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k\nellon\reports\mis\"/>
    </mc:Choice>
  </mc:AlternateContent>
  <xr:revisionPtr revIDLastSave="0" documentId="13_ncr:1_{A30D47B4-51AD-47A9-BC1C-8DA1E8B8AA88}" xr6:coauthVersionLast="47" xr6:coauthVersionMax="47" xr10:uidLastSave="{00000000-0000-0000-0000-000000000000}"/>
  <bookViews>
    <workbookView xWindow="13104" yWindow="3360" windowWidth="9936" windowHeight="8880" tabRatio="732" activeTab="2" xr2:uid="{DF2A4E00-D36D-4BFF-916D-D815BDFCE124}"/>
  </bookViews>
  <sheets>
    <sheet name="Executive Summary" sheetId="324" r:id="rId1"/>
    <sheet name="PL" sheetId="1" r:id="rId2"/>
    <sheet name="PL1_AGT" sheetId="347" r:id="rId3"/>
    <sheet name="BS" sheetId="2" r:id="rId4"/>
    <sheet name="Category Master" sheetId="328" r:id="rId5"/>
    <sheet name="AGT TB Apr -25" sheetId="364" r:id="rId6"/>
  </sheets>
  <externalReferences>
    <externalReference r:id="rId7"/>
  </externalReferences>
  <definedNames>
    <definedName name="\p">#REF!</definedName>
    <definedName name="\Q">#REF!</definedName>
    <definedName name="\t">#REF!</definedName>
    <definedName name="\v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tab2">#REF!</definedName>
    <definedName name="____tab6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tab2">#REF!</definedName>
    <definedName name="___tab6">#REF!</definedName>
    <definedName name="__123Graph_A" localSheetId="3" hidden="1">#REF!</definedName>
    <definedName name="__123Graph_A" hidden="1">#REF!</definedName>
    <definedName name="__123Graph_X" localSheetId="3" hidden="1">#REF!</definedName>
    <definedName name="__123Graph_X" hidden="1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LU3700">#REF!</definedName>
    <definedName name="__tab2">#REF!</definedName>
    <definedName name="__tab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5" hidden="1">'AGT TB Apr -25'!$A$3:$T$160</definedName>
    <definedName name="_xlnm._FilterDatabase" localSheetId="3" hidden="1">BS!$B$4:$AF$74</definedName>
    <definedName name="_xlnm._FilterDatabase" localSheetId="4" hidden="1">'Category Master'!$A$1:$G$526</definedName>
    <definedName name="_xlnm._FilterDatabase" localSheetId="1" hidden="1">PL!$B$5:$H$176</definedName>
    <definedName name="_xlnm._FilterDatabase" localSheetId="2" hidden="1">PL1_AGT!$A$4:$AG$576</definedName>
    <definedName name="_xlnm._FilterDatabase">#REF!</definedName>
    <definedName name="_Key1" localSheetId="3" hidden="1">#REF!</definedName>
    <definedName name="_Key1" hidden="1">#REF!</definedName>
    <definedName name="_LU3700">#REF!</definedName>
    <definedName name="_Order1" hidden="1">255</definedName>
    <definedName name="_Order2" hidden="1">0</definedName>
    <definedName name="_Sort" localSheetId="3" hidden="1">#REF!</definedName>
    <definedName name="_Sort" hidden="1">#REF!</definedName>
    <definedName name="_xlcn.WorksheetConnection_PL1_TradearchA4AL7431" hidden="1">#REF!</definedName>
    <definedName name="a" localSheetId="3" hidden="1">{"EVA",#N/A,FALSE,"SMT2";#N/A,#N/A,FALSE,"Summary";#N/A,#N/A,FALSE,"Graphs";#N/A,#N/A,FALSE,"4 Panel"}</definedName>
    <definedName name="a" localSheetId="4" hidden="1">{"EVA",#N/A,FALSE,"SMT2";#N/A,#N/A,FALSE,"Summary";#N/A,#N/A,FALSE,"Graphs";#N/A,#N/A,FALSE,"4 Panel"}</definedName>
    <definedName name="a" localSheetId="2" hidden="1">{"EVA",#N/A,FALSE,"SMT2";#N/A,#N/A,FALSE,"Summary";#N/A,#N/A,FALSE,"Graphs";#N/A,#N/A,FALSE,"4 Panel"}</definedName>
    <definedName name="a" hidden="1">{"EVA",#N/A,FALSE,"SMT2";#N/A,#N/A,FALSE,"Summary";#N/A,#N/A,FALSE,"Graphs";#N/A,#N/A,FALSE,"4 Panel"}</definedName>
    <definedName name="a_1" localSheetId="4" hidden="1">{"EVA",#N/A,FALSE,"SMT2";#N/A,#N/A,FALSE,"Summary";#N/A,#N/A,FALSE,"Graphs";#N/A,#N/A,FALSE,"4 Panel"}</definedName>
    <definedName name="a_1" localSheetId="2" hidden="1">{"EVA",#N/A,FALSE,"SMT2";#N/A,#N/A,FALSE,"Summary";#N/A,#N/A,FALSE,"Graphs";#N/A,#N/A,FALSE,"4 Panel"}</definedName>
    <definedName name="a_1" hidden="1">{"EVA",#N/A,FALSE,"SMT2";#N/A,#N/A,FALSE,"Summary";#N/A,#N/A,FALSE,"Graphs";#N/A,#N/A,FALSE,"4 Panel"}</definedName>
    <definedName name="a_1_1" localSheetId="4" hidden="1">{"EVA",#N/A,FALSE,"SMT2";#N/A,#N/A,FALSE,"Summary";#N/A,#N/A,FALSE,"Graphs";#N/A,#N/A,FALSE,"4 Panel"}</definedName>
    <definedName name="a_1_1" localSheetId="2" hidden="1">{"EVA",#N/A,FALSE,"SMT2";#N/A,#N/A,FALSE,"Summary";#N/A,#N/A,FALSE,"Graphs";#N/A,#N/A,FALSE,"4 Panel"}</definedName>
    <definedName name="a_1_1" hidden="1">{"EVA",#N/A,FALSE,"SMT2";#N/A,#N/A,FALSE,"Summary";#N/A,#N/A,FALSE,"Graphs";#N/A,#N/A,FALSE,"4 Panel"}</definedName>
    <definedName name="a_2" localSheetId="4" hidden="1">{"EVA",#N/A,FALSE,"SMT2";#N/A,#N/A,FALSE,"Summary";#N/A,#N/A,FALSE,"Graphs";#N/A,#N/A,FALSE,"4 Panel"}</definedName>
    <definedName name="a_2" localSheetId="2" hidden="1">{"EVA",#N/A,FALSE,"SMT2";#N/A,#N/A,FALSE,"Summary";#N/A,#N/A,FALSE,"Graphs";#N/A,#N/A,FALSE,"4 Panel"}</definedName>
    <definedName name="a_2" hidden="1">{"EVA",#N/A,FALSE,"SMT2";#N/A,#N/A,FALSE,"Summary";#N/A,#N/A,FALSE,"Graphs";#N/A,#N/A,FALSE,"4 Panel"}</definedName>
    <definedName name="a_2_1" localSheetId="4" hidden="1">{"EVA",#N/A,FALSE,"SMT2";#N/A,#N/A,FALSE,"Summary";#N/A,#N/A,FALSE,"Graphs";#N/A,#N/A,FALSE,"4 Panel"}</definedName>
    <definedName name="a_2_1" localSheetId="2" hidden="1">{"EVA",#N/A,FALSE,"SMT2";#N/A,#N/A,FALSE,"Summary";#N/A,#N/A,FALSE,"Graphs";#N/A,#N/A,FALSE,"4 Panel"}</definedName>
    <definedName name="a_2_1" hidden="1">{"EVA",#N/A,FALSE,"SMT2";#N/A,#N/A,FALSE,"Summary";#N/A,#N/A,FALSE,"Graphs";#N/A,#N/A,FALSE,"4 Panel"}</definedName>
    <definedName name="a_3" localSheetId="4" hidden="1">{"EVA",#N/A,FALSE,"SMT2";#N/A,#N/A,FALSE,"Summary";#N/A,#N/A,FALSE,"Graphs";#N/A,#N/A,FALSE,"4 Panel"}</definedName>
    <definedName name="a_3" localSheetId="2" hidden="1">{"EVA",#N/A,FALSE,"SMT2";#N/A,#N/A,FALSE,"Summary";#N/A,#N/A,FALSE,"Graphs";#N/A,#N/A,FALSE,"4 Panel"}</definedName>
    <definedName name="a_3" hidden="1">{"EVA",#N/A,FALSE,"SMT2";#N/A,#N/A,FALSE,"Summary";#N/A,#N/A,FALSE,"Graphs";#N/A,#N/A,FALSE,"4 Panel"}</definedName>
    <definedName name="aa">#REF!</definedName>
    <definedName name="aaa">#REF!</definedName>
    <definedName name="AB" localSheetId="3" hidden="1">{#N/A,#N/A,FALSE,"Balance Sheets";#N/A,#N/A,FALSE,"96 Conservative";#N/A,#N/A,FALSE,"96 Possible"}</definedName>
    <definedName name="AB" localSheetId="4" hidden="1">{#N/A,#N/A,FALSE,"Balance Sheets";#N/A,#N/A,FALSE,"96 Conservative";#N/A,#N/A,FALSE,"96 Possible"}</definedName>
    <definedName name="AB" localSheetId="2" hidden="1">{#N/A,#N/A,FALSE,"Balance Sheets";#N/A,#N/A,FALSE,"96 Conservative";#N/A,#N/A,FALSE,"96 Possible"}</definedName>
    <definedName name="AB" hidden="1">{#N/A,#N/A,FALSE,"Balance Sheets";#N/A,#N/A,FALSE,"96 Conservative";#N/A,#N/A,FALSE,"96 Possible"}</definedName>
    <definedName name="AB_1" localSheetId="4" hidden="1">{#N/A,#N/A,FALSE,"Balance Sheets";#N/A,#N/A,FALSE,"96 Conservative";#N/A,#N/A,FALSE,"96 Possible"}</definedName>
    <definedName name="AB_1" localSheetId="2" hidden="1">{#N/A,#N/A,FALSE,"Balance Sheets";#N/A,#N/A,FALSE,"96 Conservative";#N/A,#N/A,FALSE,"96 Possible"}</definedName>
    <definedName name="AB_1" hidden="1">{#N/A,#N/A,FALSE,"Balance Sheets";#N/A,#N/A,FALSE,"96 Conservative";#N/A,#N/A,FALSE,"96 Possible"}</definedName>
    <definedName name="AB_1_1" localSheetId="4" hidden="1">{#N/A,#N/A,FALSE,"Balance Sheets";#N/A,#N/A,FALSE,"96 Conservative";#N/A,#N/A,FALSE,"96 Possible"}</definedName>
    <definedName name="AB_1_1" localSheetId="2" hidden="1">{#N/A,#N/A,FALSE,"Balance Sheets";#N/A,#N/A,FALSE,"96 Conservative";#N/A,#N/A,FALSE,"96 Possible"}</definedName>
    <definedName name="AB_1_1" hidden="1">{#N/A,#N/A,FALSE,"Balance Sheets";#N/A,#N/A,FALSE,"96 Conservative";#N/A,#N/A,FALSE,"96 Possible"}</definedName>
    <definedName name="AB_2" localSheetId="4" hidden="1">{#N/A,#N/A,FALSE,"Balance Sheets";#N/A,#N/A,FALSE,"96 Conservative";#N/A,#N/A,FALSE,"96 Possible"}</definedName>
    <definedName name="AB_2" localSheetId="2" hidden="1">{#N/A,#N/A,FALSE,"Balance Sheets";#N/A,#N/A,FALSE,"96 Conservative";#N/A,#N/A,FALSE,"96 Possible"}</definedName>
    <definedName name="AB_2" hidden="1">{#N/A,#N/A,FALSE,"Balance Sheets";#N/A,#N/A,FALSE,"96 Conservative";#N/A,#N/A,FALSE,"96 Possible"}</definedName>
    <definedName name="AB_2_1" localSheetId="4" hidden="1">{#N/A,#N/A,FALSE,"Balance Sheets";#N/A,#N/A,FALSE,"96 Conservative";#N/A,#N/A,FALSE,"96 Possible"}</definedName>
    <definedName name="AB_2_1" localSheetId="2" hidden="1">{#N/A,#N/A,FALSE,"Balance Sheets";#N/A,#N/A,FALSE,"96 Conservative";#N/A,#N/A,FALSE,"96 Possible"}</definedName>
    <definedName name="AB_2_1" hidden="1">{#N/A,#N/A,FALSE,"Balance Sheets";#N/A,#N/A,FALSE,"96 Conservative";#N/A,#N/A,FALSE,"96 Possible"}</definedName>
    <definedName name="AB_3" localSheetId="4" hidden="1">{#N/A,#N/A,FALSE,"Balance Sheets";#N/A,#N/A,FALSE,"96 Conservative";#N/A,#N/A,FALSE,"96 Possible"}</definedName>
    <definedName name="AB_3" localSheetId="2" hidden="1">{#N/A,#N/A,FALSE,"Balance Sheets";#N/A,#N/A,FALSE,"96 Conservative";#N/A,#N/A,FALSE,"96 Possible"}</definedName>
    <definedName name="AB_3" hidden="1">{#N/A,#N/A,FALSE,"Balance Sheets";#N/A,#N/A,FALSE,"96 Conservative";#N/A,#N/A,FALSE,"96 Possible"}</definedName>
    <definedName name="abc">#REF!</definedName>
    <definedName name="ABG">#REF!</definedName>
    <definedName name="Accessories">#REF!</definedName>
    <definedName name="AccountType">#REF!</definedName>
    <definedName name="Accrual">#REF!</definedName>
    <definedName name="accrual_provision">#REF!</definedName>
    <definedName name="accrualprovision">#REF!</definedName>
    <definedName name="AcctList">#REF!</definedName>
    <definedName name="Actual">#REF!</definedName>
    <definedName name="AGroup">#REF!</definedName>
    <definedName name="aprcnyavg">#REF!</definedName>
    <definedName name="aprcnyend">#REF!</definedName>
    <definedName name="apreuroavg">#REF!</definedName>
    <definedName name="apreuroend">#REF!</definedName>
    <definedName name="aprgbpavg">#REF!</definedName>
    <definedName name="aprgbpend">#REF!</definedName>
    <definedName name="aprjpyavg">#REF!</definedName>
    <definedName name="aprjpyend">#REF!</definedName>
    <definedName name="AS" localSheetId="3" hidden="1">{#N/A,#N/A,FALSE,"Full";#N/A,#N/A,FALSE,"Half";#N/A,#N/A,FALSE,"Op Expenses";#N/A,#N/A,FALSE,"Cap Charge";#N/A,#N/A,FALSE,"Cost C";#N/A,#N/A,FALSE,"PP&amp;E";#N/A,#N/A,FALSE,"R&amp;D"}</definedName>
    <definedName name="AS" localSheetId="4" hidden="1">{#N/A,#N/A,FALSE,"Full";#N/A,#N/A,FALSE,"Half";#N/A,#N/A,FALSE,"Op Expenses";#N/A,#N/A,FALSE,"Cap Charge";#N/A,#N/A,FALSE,"Cost C";#N/A,#N/A,FALSE,"PP&amp;E";#N/A,#N/A,FALSE,"R&amp;D"}</definedName>
    <definedName name="AS" localSheetId="2" hidden="1">{#N/A,#N/A,FALSE,"Full";#N/A,#N/A,FALSE,"Half";#N/A,#N/A,FALSE,"Op Expenses";#N/A,#N/A,FALSE,"Cap Charge";#N/A,#N/A,FALSE,"Cost C";#N/A,#N/A,FALSE,"PP&amp;E";#N/A,#N/A,FALSE,"R&amp;D"}</definedName>
    <definedName name="AS" hidden="1">{#N/A,#N/A,FALSE,"Full";#N/A,#N/A,FALSE,"Half";#N/A,#N/A,FALSE,"Op Expenses";#N/A,#N/A,FALSE,"Cap Charge";#N/A,#N/A,FALSE,"Cost C";#N/A,#N/A,FALSE,"PP&amp;E";#N/A,#N/A,FALSE,"R&amp;D"}</definedName>
    <definedName name="AS_1" localSheetId="4" hidden="1">{#N/A,#N/A,FALSE,"Full";#N/A,#N/A,FALSE,"Half";#N/A,#N/A,FALSE,"Op Expenses";#N/A,#N/A,FALSE,"Cap Charge";#N/A,#N/A,FALSE,"Cost C";#N/A,#N/A,FALSE,"PP&amp;E";#N/A,#N/A,FALSE,"R&amp;D"}</definedName>
    <definedName name="AS_1" localSheetId="2" hidden="1">{#N/A,#N/A,FALSE,"Full";#N/A,#N/A,FALSE,"Half";#N/A,#N/A,FALSE,"Op Expenses";#N/A,#N/A,FALSE,"Cap Charge";#N/A,#N/A,FALSE,"Cost C";#N/A,#N/A,FALSE,"PP&amp;E";#N/A,#N/A,FALSE,"R&amp;D"}</definedName>
    <definedName name="AS_1" hidden="1">{#N/A,#N/A,FALSE,"Full";#N/A,#N/A,FALSE,"Half";#N/A,#N/A,FALSE,"Op Expenses";#N/A,#N/A,FALSE,"Cap Charge";#N/A,#N/A,FALSE,"Cost C";#N/A,#N/A,FALSE,"PP&amp;E";#N/A,#N/A,FALSE,"R&amp;D"}</definedName>
    <definedName name="AS_1_1" localSheetId="4" hidden="1">{#N/A,#N/A,FALSE,"Full";#N/A,#N/A,FALSE,"Half";#N/A,#N/A,FALSE,"Op Expenses";#N/A,#N/A,FALSE,"Cap Charge";#N/A,#N/A,FALSE,"Cost C";#N/A,#N/A,FALSE,"PP&amp;E";#N/A,#N/A,FALSE,"R&amp;D"}</definedName>
    <definedName name="AS_1_1" localSheetId="2" hidden="1">{#N/A,#N/A,FALSE,"Full";#N/A,#N/A,FALSE,"Half";#N/A,#N/A,FALSE,"Op Expenses";#N/A,#N/A,FALSE,"Cap Charge";#N/A,#N/A,FALSE,"Cost C";#N/A,#N/A,FALSE,"PP&amp;E";#N/A,#N/A,FALSE,"R&amp;D"}</definedName>
    <definedName name="AS_1_1" hidden="1">{#N/A,#N/A,FALSE,"Full";#N/A,#N/A,FALSE,"Half";#N/A,#N/A,FALSE,"Op Expenses";#N/A,#N/A,FALSE,"Cap Charge";#N/A,#N/A,FALSE,"Cost C";#N/A,#N/A,FALSE,"PP&amp;E";#N/A,#N/A,FALSE,"R&amp;D"}</definedName>
    <definedName name="AS_2" localSheetId="4" hidden="1">{#N/A,#N/A,FALSE,"Full";#N/A,#N/A,FALSE,"Half";#N/A,#N/A,FALSE,"Op Expenses";#N/A,#N/A,FALSE,"Cap Charge";#N/A,#N/A,FALSE,"Cost C";#N/A,#N/A,FALSE,"PP&amp;E";#N/A,#N/A,FALSE,"R&amp;D"}</definedName>
    <definedName name="AS_2" localSheetId="2" hidden="1">{#N/A,#N/A,FALSE,"Full";#N/A,#N/A,FALSE,"Half";#N/A,#N/A,FALSE,"Op Expenses";#N/A,#N/A,FALSE,"Cap Charge";#N/A,#N/A,FALSE,"Cost C";#N/A,#N/A,FALSE,"PP&amp;E";#N/A,#N/A,FALSE,"R&amp;D"}</definedName>
    <definedName name="AS_2" hidden="1">{#N/A,#N/A,FALSE,"Full";#N/A,#N/A,FALSE,"Half";#N/A,#N/A,FALSE,"Op Expenses";#N/A,#N/A,FALSE,"Cap Charge";#N/A,#N/A,FALSE,"Cost C";#N/A,#N/A,FALSE,"PP&amp;E";#N/A,#N/A,FALSE,"R&amp;D"}</definedName>
    <definedName name="AS_2_1" localSheetId="4" hidden="1">{#N/A,#N/A,FALSE,"Full";#N/A,#N/A,FALSE,"Half";#N/A,#N/A,FALSE,"Op Expenses";#N/A,#N/A,FALSE,"Cap Charge";#N/A,#N/A,FALSE,"Cost C";#N/A,#N/A,FALSE,"PP&amp;E";#N/A,#N/A,FALSE,"R&amp;D"}</definedName>
    <definedName name="AS_2_1" localSheetId="2" hidden="1">{#N/A,#N/A,FALSE,"Full";#N/A,#N/A,FALSE,"Half";#N/A,#N/A,FALSE,"Op Expenses";#N/A,#N/A,FALSE,"Cap Charge";#N/A,#N/A,FALSE,"Cost C";#N/A,#N/A,FALSE,"PP&amp;E";#N/A,#N/A,FALSE,"R&amp;D"}</definedName>
    <definedName name="AS_2_1" hidden="1">{#N/A,#N/A,FALSE,"Full";#N/A,#N/A,FALSE,"Half";#N/A,#N/A,FALSE,"Op Expenses";#N/A,#N/A,FALSE,"Cap Charge";#N/A,#N/A,FALSE,"Cost C";#N/A,#N/A,FALSE,"PP&amp;E";#N/A,#N/A,FALSE,"R&amp;D"}</definedName>
    <definedName name="AS_3" localSheetId="4" hidden="1">{#N/A,#N/A,FALSE,"Full";#N/A,#N/A,FALSE,"Half";#N/A,#N/A,FALSE,"Op Expenses";#N/A,#N/A,FALSE,"Cap Charge";#N/A,#N/A,FALSE,"Cost C";#N/A,#N/A,FALSE,"PP&amp;E";#N/A,#N/A,FALSE,"R&amp;D"}</definedName>
    <definedName name="AS_3" localSheetId="2" hidden="1">{#N/A,#N/A,FALSE,"Full";#N/A,#N/A,FALSE,"Half";#N/A,#N/A,FALSE,"Op Expenses";#N/A,#N/A,FALSE,"Cap Charge";#N/A,#N/A,FALSE,"Cost C";#N/A,#N/A,FALSE,"PP&amp;E";#N/A,#N/A,FALSE,"R&amp;D"}</definedName>
    <definedName name="AS_3" hidden="1">{#N/A,#N/A,FALSE,"Full";#N/A,#N/A,FALSE,"Half";#N/A,#N/A,FALSE,"Op Expenses";#N/A,#N/A,FALSE,"Cap Charge";#N/A,#N/A,FALSE,"Cost C";#N/A,#N/A,FALSE,"PP&amp;E";#N/A,#N/A,FALSE,"R&amp;D"}</definedName>
    <definedName name="asdf" localSheetId="4" hidden="1">{#N/A,#N/A,FALSE,"Full";#N/A,#N/A,FALSE,"Half";#N/A,#N/A,FALSE,"Op Expenses";#N/A,#N/A,FALSE,"Cap Charge";#N/A,#N/A,FALSE,"Cost C";#N/A,#N/A,FALSE,"PP&amp;E";#N/A,#N/A,FALSE,"R&amp;D"}</definedName>
    <definedName name="asdf" localSheetId="2" hidden="1">{#N/A,#N/A,FALSE,"Full";#N/A,#N/A,FALSE,"Half";#N/A,#N/A,FALSE,"Op Expenses";#N/A,#N/A,FALSE,"Cap Charge";#N/A,#N/A,FALSE,"Cost C";#N/A,#N/A,FALSE,"PP&amp;E";#N/A,#N/A,FALSE,"R&amp;D"}</definedName>
    <definedName name="asdf" hidden="1">{#N/A,#N/A,FALSE,"Full";#N/A,#N/A,FALSE,"Half";#N/A,#N/A,FALSE,"Op Expenses";#N/A,#N/A,FALSE,"Cap Charge";#N/A,#N/A,FALSE,"Cost C";#N/A,#N/A,FALSE,"PP&amp;E";#N/A,#N/A,FALSE,"R&amp;D"}</definedName>
    <definedName name="asdf_1" localSheetId="4" hidden="1">{#N/A,#N/A,FALSE,"Full";#N/A,#N/A,FALSE,"Half";#N/A,#N/A,FALSE,"Op Expenses";#N/A,#N/A,FALSE,"Cap Charge";#N/A,#N/A,FALSE,"Cost C";#N/A,#N/A,FALSE,"PP&amp;E";#N/A,#N/A,FALSE,"R&amp;D"}</definedName>
    <definedName name="asdf_1" localSheetId="2" hidden="1">{#N/A,#N/A,FALSE,"Full";#N/A,#N/A,FALSE,"Half";#N/A,#N/A,FALSE,"Op Expenses";#N/A,#N/A,FALSE,"Cap Charge";#N/A,#N/A,FALSE,"Cost C";#N/A,#N/A,FALSE,"PP&amp;E";#N/A,#N/A,FALSE,"R&amp;D"}</definedName>
    <definedName name="asdf_1" hidden="1">{#N/A,#N/A,FALSE,"Full";#N/A,#N/A,FALSE,"Half";#N/A,#N/A,FALSE,"Op Expenses";#N/A,#N/A,FALSE,"Cap Charge";#N/A,#N/A,FALSE,"Cost C";#N/A,#N/A,FALSE,"PP&amp;E";#N/A,#N/A,FALSE,"R&amp;D"}</definedName>
    <definedName name="asdf_1_1" localSheetId="4" hidden="1">{#N/A,#N/A,FALSE,"Full";#N/A,#N/A,FALSE,"Half";#N/A,#N/A,FALSE,"Op Expenses";#N/A,#N/A,FALSE,"Cap Charge";#N/A,#N/A,FALSE,"Cost C";#N/A,#N/A,FALSE,"PP&amp;E";#N/A,#N/A,FALSE,"R&amp;D"}</definedName>
    <definedName name="asdf_1_1" localSheetId="2" hidden="1">{#N/A,#N/A,FALSE,"Full";#N/A,#N/A,FALSE,"Half";#N/A,#N/A,FALSE,"Op Expenses";#N/A,#N/A,FALSE,"Cap Charge";#N/A,#N/A,FALSE,"Cost C";#N/A,#N/A,FALSE,"PP&amp;E";#N/A,#N/A,FALSE,"R&amp;D"}</definedName>
    <definedName name="asdf_1_1" hidden="1">{#N/A,#N/A,FALSE,"Full";#N/A,#N/A,FALSE,"Half";#N/A,#N/A,FALSE,"Op Expenses";#N/A,#N/A,FALSE,"Cap Charge";#N/A,#N/A,FALSE,"Cost C";#N/A,#N/A,FALSE,"PP&amp;E";#N/A,#N/A,FALSE,"R&amp;D"}</definedName>
    <definedName name="asdf_2" localSheetId="4" hidden="1">{#N/A,#N/A,FALSE,"Full";#N/A,#N/A,FALSE,"Half";#N/A,#N/A,FALSE,"Op Expenses";#N/A,#N/A,FALSE,"Cap Charge";#N/A,#N/A,FALSE,"Cost C";#N/A,#N/A,FALSE,"PP&amp;E";#N/A,#N/A,FALSE,"R&amp;D"}</definedName>
    <definedName name="asdf_2" localSheetId="2" hidden="1">{#N/A,#N/A,FALSE,"Full";#N/A,#N/A,FALSE,"Half";#N/A,#N/A,FALSE,"Op Expenses";#N/A,#N/A,FALSE,"Cap Charge";#N/A,#N/A,FALSE,"Cost C";#N/A,#N/A,FALSE,"PP&amp;E";#N/A,#N/A,FALSE,"R&amp;D"}</definedName>
    <definedName name="asdf_2" hidden="1">{#N/A,#N/A,FALSE,"Full";#N/A,#N/A,FALSE,"Half";#N/A,#N/A,FALSE,"Op Expenses";#N/A,#N/A,FALSE,"Cap Charge";#N/A,#N/A,FALSE,"Cost C";#N/A,#N/A,FALSE,"PP&amp;E";#N/A,#N/A,FALSE,"R&amp;D"}</definedName>
    <definedName name="asdf_2_1" localSheetId="4" hidden="1">{#N/A,#N/A,FALSE,"Full";#N/A,#N/A,FALSE,"Half";#N/A,#N/A,FALSE,"Op Expenses";#N/A,#N/A,FALSE,"Cap Charge";#N/A,#N/A,FALSE,"Cost C";#N/A,#N/A,FALSE,"PP&amp;E";#N/A,#N/A,FALSE,"R&amp;D"}</definedName>
    <definedName name="asdf_2_1" localSheetId="2" hidden="1">{#N/A,#N/A,FALSE,"Full";#N/A,#N/A,FALSE,"Half";#N/A,#N/A,FALSE,"Op Expenses";#N/A,#N/A,FALSE,"Cap Charge";#N/A,#N/A,FALSE,"Cost C";#N/A,#N/A,FALSE,"PP&amp;E";#N/A,#N/A,FALSE,"R&amp;D"}</definedName>
    <definedName name="asdf_2_1" hidden="1">{#N/A,#N/A,FALSE,"Full";#N/A,#N/A,FALSE,"Half";#N/A,#N/A,FALSE,"Op Expenses";#N/A,#N/A,FALSE,"Cap Charge";#N/A,#N/A,FALSE,"Cost C";#N/A,#N/A,FALSE,"PP&amp;E";#N/A,#N/A,FALSE,"R&amp;D"}</definedName>
    <definedName name="asdf_3" localSheetId="4" hidden="1">{#N/A,#N/A,FALSE,"Full";#N/A,#N/A,FALSE,"Half";#N/A,#N/A,FALSE,"Op Expenses";#N/A,#N/A,FALSE,"Cap Charge";#N/A,#N/A,FALSE,"Cost C";#N/A,#N/A,FALSE,"PP&amp;E";#N/A,#N/A,FALSE,"R&amp;D"}</definedName>
    <definedName name="asdf_3" localSheetId="2" hidden="1">{#N/A,#N/A,FALSE,"Full";#N/A,#N/A,FALSE,"Half";#N/A,#N/A,FALSE,"Op Expenses";#N/A,#N/A,FALSE,"Cap Charge";#N/A,#N/A,FALSE,"Cost C";#N/A,#N/A,FALSE,"PP&amp;E";#N/A,#N/A,FALSE,"R&amp;D"}</definedName>
    <definedName name="asdf_3" hidden="1">{#N/A,#N/A,FALSE,"Full";#N/A,#N/A,FALSE,"Half";#N/A,#N/A,FALSE,"Op Expenses";#N/A,#N/A,FALSE,"Cap Charge";#N/A,#N/A,FALSE,"Cost C";#N/A,#N/A,FALSE,"PP&amp;E";#N/A,#N/A,FALSE,"R&amp;D"}</definedName>
    <definedName name="ass" localSheetId="4" hidden="1">{#N/A,#N/A,FALSE,"Balance Sheets";#N/A,#N/A,FALSE,"96 Conservative";#N/A,#N/A,FALSE,"96 Possible"}</definedName>
    <definedName name="ass" localSheetId="2" hidden="1">{#N/A,#N/A,FALSE,"Balance Sheets";#N/A,#N/A,FALSE,"96 Conservative";#N/A,#N/A,FALSE,"96 Possible"}</definedName>
    <definedName name="ass" hidden="1">{#N/A,#N/A,FALSE,"Balance Sheets";#N/A,#N/A,FALSE,"96 Conservative";#N/A,#N/A,FALSE,"96 Possible"}</definedName>
    <definedName name="ass_1" localSheetId="4" hidden="1">{#N/A,#N/A,FALSE,"Balance Sheets";#N/A,#N/A,FALSE,"96 Conservative";#N/A,#N/A,FALSE,"96 Possible"}</definedName>
    <definedName name="ass_1" localSheetId="2" hidden="1">{#N/A,#N/A,FALSE,"Balance Sheets";#N/A,#N/A,FALSE,"96 Conservative";#N/A,#N/A,FALSE,"96 Possible"}</definedName>
    <definedName name="ass_1" hidden="1">{#N/A,#N/A,FALSE,"Balance Sheets";#N/A,#N/A,FALSE,"96 Conservative";#N/A,#N/A,FALSE,"96 Possible"}</definedName>
    <definedName name="ass_1_1" localSheetId="4" hidden="1">{#N/A,#N/A,FALSE,"Balance Sheets";#N/A,#N/A,FALSE,"96 Conservative";#N/A,#N/A,FALSE,"96 Possible"}</definedName>
    <definedName name="ass_1_1" localSheetId="2" hidden="1">{#N/A,#N/A,FALSE,"Balance Sheets";#N/A,#N/A,FALSE,"96 Conservative";#N/A,#N/A,FALSE,"96 Possible"}</definedName>
    <definedName name="ass_1_1" hidden="1">{#N/A,#N/A,FALSE,"Balance Sheets";#N/A,#N/A,FALSE,"96 Conservative";#N/A,#N/A,FALSE,"96 Possible"}</definedName>
    <definedName name="ass_2" localSheetId="4" hidden="1">{#N/A,#N/A,FALSE,"Balance Sheets";#N/A,#N/A,FALSE,"96 Conservative";#N/A,#N/A,FALSE,"96 Possible"}</definedName>
    <definedName name="ass_2" localSheetId="2" hidden="1">{#N/A,#N/A,FALSE,"Balance Sheets";#N/A,#N/A,FALSE,"96 Conservative";#N/A,#N/A,FALSE,"96 Possible"}</definedName>
    <definedName name="ass_2" hidden="1">{#N/A,#N/A,FALSE,"Balance Sheets";#N/A,#N/A,FALSE,"96 Conservative";#N/A,#N/A,FALSE,"96 Possible"}</definedName>
    <definedName name="ass_2_1" localSheetId="4" hidden="1">{#N/A,#N/A,FALSE,"Balance Sheets";#N/A,#N/A,FALSE,"96 Conservative";#N/A,#N/A,FALSE,"96 Possible"}</definedName>
    <definedName name="ass_2_1" localSheetId="2" hidden="1">{#N/A,#N/A,FALSE,"Balance Sheets";#N/A,#N/A,FALSE,"96 Conservative";#N/A,#N/A,FALSE,"96 Possible"}</definedName>
    <definedName name="ass_2_1" hidden="1">{#N/A,#N/A,FALSE,"Balance Sheets";#N/A,#N/A,FALSE,"96 Conservative";#N/A,#N/A,FALSE,"96 Possible"}</definedName>
    <definedName name="ass_3" localSheetId="4" hidden="1">{#N/A,#N/A,FALSE,"Balance Sheets";#N/A,#N/A,FALSE,"96 Conservative";#N/A,#N/A,FALSE,"96 Possible"}</definedName>
    <definedName name="ass_3" localSheetId="2" hidden="1">{#N/A,#N/A,FALSE,"Balance Sheets";#N/A,#N/A,FALSE,"96 Conservative";#N/A,#N/A,FALSE,"96 Possible"}</definedName>
    <definedName name="ass_3" hidden="1">{#N/A,#N/A,FALSE,"Balance Sheets";#N/A,#N/A,FALSE,"96 Conservative";#N/A,#N/A,FALSE,"96 Possible"}</definedName>
    <definedName name="AssCat">#REF!</definedName>
    <definedName name="assd">#REF!</definedName>
    <definedName name="augcnyavg">#REF!</definedName>
    <definedName name="augcnyend">#REF!</definedName>
    <definedName name="augeuroavg">#REF!</definedName>
    <definedName name="augeuroend">#REF!</definedName>
    <definedName name="auggbpavg">#REF!</definedName>
    <definedName name="auggbpend">#REF!</definedName>
    <definedName name="augjpyavg">#REF!</definedName>
    <definedName name="augjpyend">#REF!</definedName>
    <definedName name="b" localSheetId="3" hidden="1">{#N/A,#N/A,FALSE,"SMT1";#N/A,#N/A,FALSE,"SMT2";#N/A,#N/A,FALSE,"Summary";#N/A,#N/A,FALSE,"Graphs";#N/A,#N/A,FALSE,"4 Panel"}</definedName>
    <definedName name="b" localSheetId="4" hidden="1">{#N/A,#N/A,FALSE,"SMT1";#N/A,#N/A,FALSE,"SMT2";#N/A,#N/A,FALSE,"Summary";#N/A,#N/A,FALSE,"Graphs";#N/A,#N/A,FALSE,"4 Panel"}</definedName>
    <definedName name="b" localSheetId="2" hidden="1">{#N/A,#N/A,FALSE,"SMT1";#N/A,#N/A,FALSE,"SMT2";#N/A,#N/A,FALSE,"Summary";#N/A,#N/A,FALSE,"Graphs";#N/A,#N/A,FALSE,"4 Panel"}</definedName>
    <definedName name="b" hidden="1">{#N/A,#N/A,FALSE,"SMT1";#N/A,#N/A,FALSE,"SMT2";#N/A,#N/A,FALSE,"Summary";#N/A,#N/A,FALSE,"Graphs";#N/A,#N/A,FALSE,"4 Panel"}</definedName>
    <definedName name="b_1" localSheetId="4" hidden="1">{#N/A,#N/A,FALSE,"SMT1";#N/A,#N/A,FALSE,"SMT2";#N/A,#N/A,FALSE,"Summary";#N/A,#N/A,FALSE,"Graphs";#N/A,#N/A,FALSE,"4 Panel"}</definedName>
    <definedName name="b_1" localSheetId="2" hidden="1">{#N/A,#N/A,FALSE,"SMT1";#N/A,#N/A,FALSE,"SMT2";#N/A,#N/A,FALSE,"Summary";#N/A,#N/A,FALSE,"Graphs";#N/A,#N/A,FALSE,"4 Panel"}</definedName>
    <definedName name="b_1" hidden="1">{#N/A,#N/A,FALSE,"SMT1";#N/A,#N/A,FALSE,"SMT2";#N/A,#N/A,FALSE,"Summary";#N/A,#N/A,FALSE,"Graphs";#N/A,#N/A,FALSE,"4 Panel"}</definedName>
    <definedName name="b_1_1" localSheetId="4" hidden="1">{#N/A,#N/A,FALSE,"SMT1";#N/A,#N/A,FALSE,"SMT2";#N/A,#N/A,FALSE,"Summary";#N/A,#N/A,FALSE,"Graphs";#N/A,#N/A,FALSE,"4 Panel"}</definedName>
    <definedName name="b_1_1" localSheetId="2" hidden="1">{#N/A,#N/A,FALSE,"SMT1";#N/A,#N/A,FALSE,"SMT2";#N/A,#N/A,FALSE,"Summary";#N/A,#N/A,FALSE,"Graphs";#N/A,#N/A,FALSE,"4 Panel"}</definedName>
    <definedName name="b_1_1" hidden="1">{#N/A,#N/A,FALSE,"SMT1";#N/A,#N/A,FALSE,"SMT2";#N/A,#N/A,FALSE,"Summary";#N/A,#N/A,FALSE,"Graphs";#N/A,#N/A,FALSE,"4 Panel"}</definedName>
    <definedName name="b_2" localSheetId="4" hidden="1">{#N/A,#N/A,FALSE,"SMT1";#N/A,#N/A,FALSE,"SMT2";#N/A,#N/A,FALSE,"Summary";#N/A,#N/A,FALSE,"Graphs";#N/A,#N/A,FALSE,"4 Panel"}</definedName>
    <definedName name="b_2" localSheetId="2" hidden="1">{#N/A,#N/A,FALSE,"SMT1";#N/A,#N/A,FALSE,"SMT2";#N/A,#N/A,FALSE,"Summary";#N/A,#N/A,FALSE,"Graphs";#N/A,#N/A,FALSE,"4 Panel"}</definedName>
    <definedName name="b_2" hidden="1">{#N/A,#N/A,FALSE,"SMT1";#N/A,#N/A,FALSE,"SMT2";#N/A,#N/A,FALSE,"Summary";#N/A,#N/A,FALSE,"Graphs";#N/A,#N/A,FALSE,"4 Panel"}</definedName>
    <definedName name="b_2_1" localSheetId="4" hidden="1">{#N/A,#N/A,FALSE,"SMT1";#N/A,#N/A,FALSE,"SMT2";#N/A,#N/A,FALSE,"Summary";#N/A,#N/A,FALSE,"Graphs";#N/A,#N/A,FALSE,"4 Panel"}</definedName>
    <definedName name="b_2_1" localSheetId="2" hidden="1">{#N/A,#N/A,FALSE,"SMT1";#N/A,#N/A,FALSE,"SMT2";#N/A,#N/A,FALSE,"Summary";#N/A,#N/A,FALSE,"Graphs";#N/A,#N/A,FALSE,"4 Panel"}</definedName>
    <definedName name="b_2_1" hidden="1">{#N/A,#N/A,FALSE,"SMT1";#N/A,#N/A,FALSE,"SMT2";#N/A,#N/A,FALSE,"Summary";#N/A,#N/A,FALSE,"Graphs";#N/A,#N/A,FALSE,"4 Panel"}</definedName>
    <definedName name="b_3" localSheetId="4" hidden="1">{#N/A,#N/A,FALSE,"SMT1";#N/A,#N/A,FALSE,"SMT2";#N/A,#N/A,FALSE,"Summary";#N/A,#N/A,FALSE,"Graphs";#N/A,#N/A,FALSE,"4 Panel"}</definedName>
    <definedName name="b_3" localSheetId="2" hidden="1">{#N/A,#N/A,FALSE,"SMT1";#N/A,#N/A,FALSE,"SMT2";#N/A,#N/A,FALSE,"Summary";#N/A,#N/A,FALSE,"Graphs";#N/A,#N/A,FALSE,"4 Panel"}</definedName>
    <definedName name="b_3" hidden="1">{#N/A,#N/A,FALSE,"SMT1";#N/A,#N/A,FALSE,"SMT2";#N/A,#N/A,FALSE,"Summary";#N/A,#N/A,FALSE,"Graphs";#N/A,#N/A,FALSE,"4 Panel"}</definedName>
    <definedName name="B_goods">#REF!</definedName>
    <definedName name="B_products">#REF!</definedName>
    <definedName name="ba" localSheetId="4" hidden="1">{#N/A,#N/A,FALSE,"Full";#N/A,#N/A,FALSE,"Half";#N/A,#N/A,FALSE,"Op Expenses";#N/A,#N/A,FALSE,"Cap Charge";#N/A,#N/A,FALSE,"Cost C";#N/A,#N/A,FALSE,"PP&amp;E";#N/A,#N/A,FALSE,"R&amp;D"}</definedName>
    <definedName name="ba" localSheetId="2" hidden="1">{#N/A,#N/A,FALSE,"Full";#N/A,#N/A,FALSE,"Half";#N/A,#N/A,FALSE,"Op Expenses";#N/A,#N/A,FALSE,"Cap Charge";#N/A,#N/A,FALSE,"Cost C";#N/A,#N/A,FALSE,"PP&amp;E";#N/A,#N/A,FALSE,"R&amp;D"}</definedName>
    <definedName name="ba" hidden="1">{#N/A,#N/A,FALSE,"Full";#N/A,#N/A,FALSE,"Half";#N/A,#N/A,FALSE,"Op Expenses";#N/A,#N/A,FALSE,"Cap Charge";#N/A,#N/A,FALSE,"Cost C";#N/A,#N/A,FALSE,"PP&amp;E";#N/A,#N/A,FALSE,"R&amp;D"}</definedName>
    <definedName name="ba_1" localSheetId="4" hidden="1">{#N/A,#N/A,FALSE,"Full";#N/A,#N/A,FALSE,"Half";#N/A,#N/A,FALSE,"Op Expenses";#N/A,#N/A,FALSE,"Cap Charge";#N/A,#N/A,FALSE,"Cost C";#N/A,#N/A,FALSE,"PP&amp;E";#N/A,#N/A,FALSE,"R&amp;D"}</definedName>
    <definedName name="ba_1" localSheetId="2" hidden="1">{#N/A,#N/A,FALSE,"Full";#N/A,#N/A,FALSE,"Half";#N/A,#N/A,FALSE,"Op Expenses";#N/A,#N/A,FALSE,"Cap Charge";#N/A,#N/A,FALSE,"Cost C";#N/A,#N/A,FALSE,"PP&amp;E";#N/A,#N/A,FALSE,"R&amp;D"}</definedName>
    <definedName name="ba_1" hidden="1">{#N/A,#N/A,FALSE,"Full";#N/A,#N/A,FALSE,"Half";#N/A,#N/A,FALSE,"Op Expenses";#N/A,#N/A,FALSE,"Cap Charge";#N/A,#N/A,FALSE,"Cost C";#N/A,#N/A,FALSE,"PP&amp;E";#N/A,#N/A,FALSE,"R&amp;D"}</definedName>
    <definedName name="ba_1_1" localSheetId="4" hidden="1">{#N/A,#N/A,FALSE,"Full";#N/A,#N/A,FALSE,"Half";#N/A,#N/A,FALSE,"Op Expenses";#N/A,#N/A,FALSE,"Cap Charge";#N/A,#N/A,FALSE,"Cost C";#N/A,#N/A,FALSE,"PP&amp;E";#N/A,#N/A,FALSE,"R&amp;D"}</definedName>
    <definedName name="ba_1_1" localSheetId="2" hidden="1">{#N/A,#N/A,FALSE,"Full";#N/A,#N/A,FALSE,"Half";#N/A,#N/A,FALSE,"Op Expenses";#N/A,#N/A,FALSE,"Cap Charge";#N/A,#N/A,FALSE,"Cost C";#N/A,#N/A,FALSE,"PP&amp;E";#N/A,#N/A,FALSE,"R&amp;D"}</definedName>
    <definedName name="ba_1_1" hidden="1">{#N/A,#N/A,FALSE,"Full";#N/A,#N/A,FALSE,"Half";#N/A,#N/A,FALSE,"Op Expenses";#N/A,#N/A,FALSE,"Cap Charge";#N/A,#N/A,FALSE,"Cost C";#N/A,#N/A,FALSE,"PP&amp;E";#N/A,#N/A,FALSE,"R&amp;D"}</definedName>
    <definedName name="ba_2" localSheetId="4" hidden="1">{#N/A,#N/A,FALSE,"Full";#N/A,#N/A,FALSE,"Half";#N/A,#N/A,FALSE,"Op Expenses";#N/A,#N/A,FALSE,"Cap Charge";#N/A,#N/A,FALSE,"Cost C";#N/A,#N/A,FALSE,"PP&amp;E";#N/A,#N/A,FALSE,"R&amp;D"}</definedName>
    <definedName name="ba_2" localSheetId="2" hidden="1">{#N/A,#N/A,FALSE,"Full";#N/A,#N/A,FALSE,"Half";#N/A,#N/A,FALSE,"Op Expenses";#N/A,#N/A,FALSE,"Cap Charge";#N/A,#N/A,FALSE,"Cost C";#N/A,#N/A,FALSE,"PP&amp;E";#N/A,#N/A,FALSE,"R&amp;D"}</definedName>
    <definedName name="ba_2" hidden="1">{#N/A,#N/A,FALSE,"Full";#N/A,#N/A,FALSE,"Half";#N/A,#N/A,FALSE,"Op Expenses";#N/A,#N/A,FALSE,"Cap Charge";#N/A,#N/A,FALSE,"Cost C";#N/A,#N/A,FALSE,"PP&amp;E";#N/A,#N/A,FALSE,"R&amp;D"}</definedName>
    <definedName name="ba_2_1" localSheetId="4" hidden="1">{#N/A,#N/A,FALSE,"Full";#N/A,#N/A,FALSE,"Half";#N/A,#N/A,FALSE,"Op Expenses";#N/A,#N/A,FALSE,"Cap Charge";#N/A,#N/A,FALSE,"Cost C";#N/A,#N/A,FALSE,"PP&amp;E";#N/A,#N/A,FALSE,"R&amp;D"}</definedName>
    <definedName name="ba_2_1" localSheetId="2" hidden="1">{#N/A,#N/A,FALSE,"Full";#N/A,#N/A,FALSE,"Half";#N/A,#N/A,FALSE,"Op Expenses";#N/A,#N/A,FALSE,"Cap Charge";#N/A,#N/A,FALSE,"Cost C";#N/A,#N/A,FALSE,"PP&amp;E";#N/A,#N/A,FALSE,"R&amp;D"}</definedName>
    <definedName name="ba_2_1" hidden="1">{#N/A,#N/A,FALSE,"Full";#N/A,#N/A,FALSE,"Half";#N/A,#N/A,FALSE,"Op Expenses";#N/A,#N/A,FALSE,"Cap Charge";#N/A,#N/A,FALSE,"Cost C";#N/A,#N/A,FALSE,"PP&amp;E";#N/A,#N/A,FALSE,"R&amp;D"}</definedName>
    <definedName name="ba_3" localSheetId="4" hidden="1">{#N/A,#N/A,FALSE,"Full";#N/A,#N/A,FALSE,"Half";#N/A,#N/A,FALSE,"Op Expenses";#N/A,#N/A,FALSE,"Cap Charge";#N/A,#N/A,FALSE,"Cost C";#N/A,#N/A,FALSE,"PP&amp;E";#N/A,#N/A,FALSE,"R&amp;D"}</definedName>
    <definedName name="ba_3" localSheetId="2" hidden="1">{#N/A,#N/A,FALSE,"Full";#N/A,#N/A,FALSE,"Half";#N/A,#N/A,FALSE,"Op Expenses";#N/A,#N/A,FALSE,"Cap Charge";#N/A,#N/A,FALSE,"Cost C";#N/A,#N/A,FALSE,"PP&amp;E";#N/A,#N/A,FALSE,"R&amp;D"}</definedName>
    <definedName name="ba_3" hidden="1">{#N/A,#N/A,FALSE,"Full";#N/A,#N/A,FALSE,"Half";#N/A,#N/A,FALSE,"Op Expenses";#N/A,#N/A,FALSE,"Cap Charge";#N/A,#N/A,FALSE,"Cost C";#N/A,#N/A,FALSE,"PP&amp;E";#N/A,#N/A,FALSE,"R&amp;D"}</definedName>
    <definedName name="bcc" localSheetId="4" hidden="1">{#N/A,#N/A,FALSE,"Balance Sheets";#N/A,#N/A,FALSE,"96 Conservative";#N/A,#N/A,FALSE,"96 Possible"}</definedName>
    <definedName name="bcc" localSheetId="2" hidden="1">{#N/A,#N/A,FALSE,"Balance Sheets";#N/A,#N/A,FALSE,"96 Conservative";#N/A,#N/A,FALSE,"96 Possible"}</definedName>
    <definedName name="bcc" hidden="1">{#N/A,#N/A,FALSE,"Balance Sheets";#N/A,#N/A,FALSE,"96 Conservative";#N/A,#N/A,FALSE,"96 Possible"}</definedName>
    <definedName name="bcc_1" localSheetId="4" hidden="1">{#N/A,#N/A,FALSE,"Balance Sheets";#N/A,#N/A,FALSE,"96 Conservative";#N/A,#N/A,FALSE,"96 Possible"}</definedName>
    <definedName name="bcc_1" localSheetId="2" hidden="1">{#N/A,#N/A,FALSE,"Balance Sheets";#N/A,#N/A,FALSE,"96 Conservative";#N/A,#N/A,FALSE,"96 Possible"}</definedName>
    <definedName name="bcc_1" hidden="1">{#N/A,#N/A,FALSE,"Balance Sheets";#N/A,#N/A,FALSE,"96 Conservative";#N/A,#N/A,FALSE,"96 Possible"}</definedName>
    <definedName name="bcc_1_1" localSheetId="4" hidden="1">{#N/A,#N/A,FALSE,"Balance Sheets";#N/A,#N/A,FALSE,"96 Conservative";#N/A,#N/A,FALSE,"96 Possible"}</definedName>
    <definedName name="bcc_1_1" localSheetId="2" hidden="1">{#N/A,#N/A,FALSE,"Balance Sheets";#N/A,#N/A,FALSE,"96 Conservative";#N/A,#N/A,FALSE,"96 Possible"}</definedName>
    <definedName name="bcc_1_1" hidden="1">{#N/A,#N/A,FALSE,"Balance Sheets";#N/A,#N/A,FALSE,"96 Conservative";#N/A,#N/A,FALSE,"96 Possible"}</definedName>
    <definedName name="bcc_2" localSheetId="4" hidden="1">{#N/A,#N/A,FALSE,"Balance Sheets";#N/A,#N/A,FALSE,"96 Conservative";#N/A,#N/A,FALSE,"96 Possible"}</definedName>
    <definedName name="bcc_2" localSheetId="2" hidden="1">{#N/A,#N/A,FALSE,"Balance Sheets";#N/A,#N/A,FALSE,"96 Conservative";#N/A,#N/A,FALSE,"96 Possible"}</definedName>
    <definedName name="bcc_2" hidden="1">{#N/A,#N/A,FALSE,"Balance Sheets";#N/A,#N/A,FALSE,"96 Conservative";#N/A,#N/A,FALSE,"96 Possible"}</definedName>
    <definedName name="bcc_2_1" localSheetId="4" hidden="1">{#N/A,#N/A,FALSE,"Balance Sheets";#N/A,#N/A,FALSE,"96 Conservative";#N/A,#N/A,FALSE,"96 Possible"}</definedName>
    <definedName name="bcc_2_1" localSheetId="2" hidden="1">{#N/A,#N/A,FALSE,"Balance Sheets";#N/A,#N/A,FALSE,"96 Conservative";#N/A,#N/A,FALSE,"96 Possible"}</definedName>
    <definedName name="bcc_2_1" hidden="1">{#N/A,#N/A,FALSE,"Balance Sheets";#N/A,#N/A,FALSE,"96 Conservative";#N/A,#N/A,FALSE,"96 Possible"}</definedName>
    <definedName name="bcc_3" localSheetId="4" hidden="1">{#N/A,#N/A,FALSE,"Balance Sheets";#N/A,#N/A,FALSE,"96 Conservative";#N/A,#N/A,FALSE,"96 Possible"}</definedName>
    <definedName name="bcc_3" localSheetId="2" hidden="1">{#N/A,#N/A,FALSE,"Balance Sheets";#N/A,#N/A,FALSE,"96 Conservative";#N/A,#N/A,FALSE,"96 Possible"}</definedName>
    <definedName name="bcc_3" hidden="1">{#N/A,#N/A,FALSE,"Balance Sheets";#N/A,#N/A,FALSE,"96 Conservative";#N/A,#N/A,FALSE,"96 Possible"}</definedName>
    <definedName name="bfr" localSheetId="4" hidden="1">{#N/A,#N/A,FALSE,"SMT1";#N/A,#N/A,FALSE,"SMT2";#N/A,#N/A,FALSE,"Summary";#N/A,#N/A,FALSE,"Graphs";#N/A,#N/A,FALSE,"4 Panel"}</definedName>
    <definedName name="bfr" localSheetId="2" hidden="1">{#N/A,#N/A,FALSE,"SMT1";#N/A,#N/A,FALSE,"SMT2";#N/A,#N/A,FALSE,"Summary";#N/A,#N/A,FALSE,"Graphs";#N/A,#N/A,FALSE,"4 Panel"}</definedName>
    <definedName name="bfr" hidden="1">{#N/A,#N/A,FALSE,"SMT1";#N/A,#N/A,FALSE,"SMT2";#N/A,#N/A,FALSE,"Summary";#N/A,#N/A,FALSE,"Graphs";#N/A,#N/A,FALSE,"4 Panel"}</definedName>
    <definedName name="bfr_1" localSheetId="4" hidden="1">{#N/A,#N/A,FALSE,"SMT1";#N/A,#N/A,FALSE,"SMT2";#N/A,#N/A,FALSE,"Summary";#N/A,#N/A,FALSE,"Graphs";#N/A,#N/A,FALSE,"4 Panel"}</definedName>
    <definedName name="bfr_1" localSheetId="2" hidden="1">{#N/A,#N/A,FALSE,"SMT1";#N/A,#N/A,FALSE,"SMT2";#N/A,#N/A,FALSE,"Summary";#N/A,#N/A,FALSE,"Graphs";#N/A,#N/A,FALSE,"4 Panel"}</definedName>
    <definedName name="bfr_1" hidden="1">{#N/A,#N/A,FALSE,"SMT1";#N/A,#N/A,FALSE,"SMT2";#N/A,#N/A,FALSE,"Summary";#N/A,#N/A,FALSE,"Graphs";#N/A,#N/A,FALSE,"4 Panel"}</definedName>
    <definedName name="bfr_1_1" localSheetId="4" hidden="1">{#N/A,#N/A,FALSE,"SMT1";#N/A,#N/A,FALSE,"SMT2";#N/A,#N/A,FALSE,"Summary";#N/A,#N/A,FALSE,"Graphs";#N/A,#N/A,FALSE,"4 Panel"}</definedName>
    <definedName name="bfr_1_1" localSheetId="2" hidden="1">{#N/A,#N/A,FALSE,"SMT1";#N/A,#N/A,FALSE,"SMT2";#N/A,#N/A,FALSE,"Summary";#N/A,#N/A,FALSE,"Graphs";#N/A,#N/A,FALSE,"4 Panel"}</definedName>
    <definedName name="bfr_1_1" hidden="1">{#N/A,#N/A,FALSE,"SMT1";#N/A,#N/A,FALSE,"SMT2";#N/A,#N/A,FALSE,"Summary";#N/A,#N/A,FALSE,"Graphs";#N/A,#N/A,FALSE,"4 Panel"}</definedName>
    <definedName name="bfr_2" localSheetId="4" hidden="1">{#N/A,#N/A,FALSE,"SMT1";#N/A,#N/A,FALSE,"SMT2";#N/A,#N/A,FALSE,"Summary";#N/A,#N/A,FALSE,"Graphs";#N/A,#N/A,FALSE,"4 Panel"}</definedName>
    <definedName name="bfr_2" localSheetId="2" hidden="1">{#N/A,#N/A,FALSE,"SMT1";#N/A,#N/A,FALSE,"SMT2";#N/A,#N/A,FALSE,"Summary";#N/A,#N/A,FALSE,"Graphs";#N/A,#N/A,FALSE,"4 Panel"}</definedName>
    <definedName name="bfr_2" hidden="1">{#N/A,#N/A,FALSE,"SMT1";#N/A,#N/A,FALSE,"SMT2";#N/A,#N/A,FALSE,"Summary";#N/A,#N/A,FALSE,"Graphs";#N/A,#N/A,FALSE,"4 Panel"}</definedName>
    <definedName name="bfr_2_1" localSheetId="4" hidden="1">{#N/A,#N/A,FALSE,"SMT1";#N/A,#N/A,FALSE,"SMT2";#N/A,#N/A,FALSE,"Summary";#N/A,#N/A,FALSE,"Graphs";#N/A,#N/A,FALSE,"4 Panel"}</definedName>
    <definedName name="bfr_2_1" localSheetId="2" hidden="1">{#N/A,#N/A,FALSE,"SMT1";#N/A,#N/A,FALSE,"SMT2";#N/A,#N/A,FALSE,"Summary";#N/A,#N/A,FALSE,"Graphs";#N/A,#N/A,FALSE,"4 Panel"}</definedName>
    <definedName name="bfr_2_1" hidden="1">{#N/A,#N/A,FALSE,"SMT1";#N/A,#N/A,FALSE,"SMT2";#N/A,#N/A,FALSE,"Summary";#N/A,#N/A,FALSE,"Graphs";#N/A,#N/A,FALSE,"4 Panel"}</definedName>
    <definedName name="bfr_3" localSheetId="4" hidden="1">{#N/A,#N/A,FALSE,"SMT1";#N/A,#N/A,FALSE,"SMT2";#N/A,#N/A,FALSE,"Summary";#N/A,#N/A,FALSE,"Graphs";#N/A,#N/A,FALSE,"4 Panel"}</definedName>
    <definedName name="bfr_3" localSheetId="2" hidden="1">{#N/A,#N/A,FALSE,"SMT1";#N/A,#N/A,FALSE,"SMT2";#N/A,#N/A,FALSE,"Summary";#N/A,#N/A,FALSE,"Graphs";#N/A,#N/A,FALSE,"4 Panel"}</definedName>
    <definedName name="bfr_3" hidden="1">{#N/A,#N/A,FALSE,"SMT1";#N/A,#N/A,FALSE,"SMT2";#N/A,#N/A,FALSE,"Summary";#N/A,#N/A,FALSE,"Graphs";#N/A,#N/A,FALSE,"4 Panel"}</definedName>
    <definedName name="bh" localSheetId="4" hidden="1">{#N/A,#N/A,FALSE,"Balance Sheets";#N/A,#N/A,FALSE,"96 Conservative";#N/A,#N/A,FALSE,"96 Possible"}</definedName>
    <definedName name="bh" localSheetId="2" hidden="1">{#N/A,#N/A,FALSE,"Balance Sheets";#N/A,#N/A,FALSE,"96 Conservative";#N/A,#N/A,FALSE,"96 Possible"}</definedName>
    <definedName name="bh" hidden="1">{#N/A,#N/A,FALSE,"Balance Sheets";#N/A,#N/A,FALSE,"96 Conservative";#N/A,#N/A,FALSE,"96 Possible"}</definedName>
    <definedName name="bh_1" localSheetId="4" hidden="1">{#N/A,#N/A,FALSE,"Balance Sheets";#N/A,#N/A,FALSE,"96 Conservative";#N/A,#N/A,FALSE,"96 Possible"}</definedName>
    <definedName name="bh_1" localSheetId="2" hidden="1">{#N/A,#N/A,FALSE,"Balance Sheets";#N/A,#N/A,FALSE,"96 Conservative";#N/A,#N/A,FALSE,"96 Possible"}</definedName>
    <definedName name="bh_1" hidden="1">{#N/A,#N/A,FALSE,"Balance Sheets";#N/A,#N/A,FALSE,"96 Conservative";#N/A,#N/A,FALSE,"96 Possible"}</definedName>
    <definedName name="bh_1_1" localSheetId="4" hidden="1">{#N/A,#N/A,FALSE,"Balance Sheets";#N/A,#N/A,FALSE,"96 Conservative";#N/A,#N/A,FALSE,"96 Possible"}</definedName>
    <definedName name="bh_1_1" localSheetId="2" hidden="1">{#N/A,#N/A,FALSE,"Balance Sheets";#N/A,#N/A,FALSE,"96 Conservative";#N/A,#N/A,FALSE,"96 Possible"}</definedName>
    <definedName name="bh_1_1" hidden="1">{#N/A,#N/A,FALSE,"Balance Sheets";#N/A,#N/A,FALSE,"96 Conservative";#N/A,#N/A,FALSE,"96 Possible"}</definedName>
    <definedName name="bh_2" localSheetId="4" hidden="1">{#N/A,#N/A,FALSE,"Balance Sheets";#N/A,#N/A,FALSE,"96 Conservative";#N/A,#N/A,FALSE,"96 Possible"}</definedName>
    <definedName name="bh_2" localSheetId="2" hidden="1">{#N/A,#N/A,FALSE,"Balance Sheets";#N/A,#N/A,FALSE,"96 Conservative";#N/A,#N/A,FALSE,"96 Possible"}</definedName>
    <definedName name="bh_2" hidden="1">{#N/A,#N/A,FALSE,"Balance Sheets";#N/A,#N/A,FALSE,"96 Conservative";#N/A,#N/A,FALSE,"96 Possible"}</definedName>
    <definedName name="bh_2_1" localSheetId="4" hidden="1">{#N/A,#N/A,FALSE,"Balance Sheets";#N/A,#N/A,FALSE,"96 Conservative";#N/A,#N/A,FALSE,"96 Possible"}</definedName>
    <definedName name="bh_2_1" localSheetId="2" hidden="1">{#N/A,#N/A,FALSE,"Balance Sheets";#N/A,#N/A,FALSE,"96 Conservative";#N/A,#N/A,FALSE,"96 Possible"}</definedName>
    <definedName name="bh_2_1" hidden="1">{#N/A,#N/A,FALSE,"Balance Sheets";#N/A,#N/A,FALSE,"96 Conservative";#N/A,#N/A,FALSE,"96 Possible"}</definedName>
    <definedName name="bh_3" localSheetId="4" hidden="1">{#N/A,#N/A,FALSE,"Balance Sheets";#N/A,#N/A,FALSE,"96 Conservative";#N/A,#N/A,FALSE,"96 Possible"}</definedName>
    <definedName name="bh_3" localSheetId="2" hidden="1">{#N/A,#N/A,FALSE,"Balance Sheets";#N/A,#N/A,FALSE,"96 Conservative";#N/A,#N/A,FALSE,"96 Possible"}</definedName>
    <definedName name="bh_3" hidden="1">{#N/A,#N/A,FALSE,"Balance Sheets";#N/A,#N/A,FALSE,"96 Conservative";#N/A,#N/A,FALSE,"96 Possible"}</definedName>
    <definedName name="bhj" localSheetId="4" hidden="1">{#N/A,#N/A,FALSE,"Balance Sheets";#N/A,#N/A,FALSE,"96 Conservative";#N/A,#N/A,FALSE,"96 Possible"}</definedName>
    <definedName name="bhj" localSheetId="2" hidden="1">{#N/A,#N/A,FALSE,"Balance Sheets";#N/A,#N/A,FALSE,"96 Conservative";#N/A,#N/A,FALSE,"96 Possible"}</definedName>
    <definedName name="bhj" hidden="1">{#N/A,#N/A,FALSE,"Balance Sheets";#N/A,#N/A,FALSE,"96 Conservative";#N/A,#N/A,FALSE,"96 Possible"}</definedName>
    <definedName name="bhj_1" localSheetId="4" hidden="1">{#N/A,#N/A,FALSE,"Balance Sheets";#N/A,#N/A,FALSE,"96 Conservative";#N/A,#N/A,FALSE,"96 Possible"}</definedName>
    <definedName name="bhj_1" localSheetId="2" hidden="1">{#N/A,#N/A,FALSE,"Balance Sheets";#N/A,#N/A,FALSE,"96 Conservative";#N/A,#N/A,FALSE,"96 Possible"}</definedName>
    <definedName name="bhj_1" hidden="1">{#N/A,#N/A,FALSE,"Balance Sheets";#N/A,#N/A,FALSE,"96 Conservative";#N/A,#N/A,FALSE,"96 Possible"}</definedName>
    <definedName name="bhj_1_1" localSheetId="4" hidden="1">{#N/A,#N/A,FALSE,"Balance Sheets";#N/A,#N/A,FALSE,"96 Conservative";#N/A,#N/A,FALSE,"96 Possible"}</definedName>
    <definedName name="bhj_1_1" localSheetId="2" hidden="1">{#N/A,#N/A,FALSE,"Balance Sheets";#N/A,#N/A,FALSE,"96 Conservative";#N/A,#N/A,FALSE,"96 Possible"}</definedName>
    <definedName name="bhj_1_1" hidden="1">{#N/A,#N/A,FALSE,"Balance Sheets";#N/A,#N/A,FALSE,"96 Conservative";#N/A,#N/A,FALSE,"96 Possible"}</definedName>
    <definedName name="bhj_2" localSheetId="4" hidden="1">{#N/A,#N/A,FALSE,"Balance Sheets";#N/A,#N/A,FALSE,"96 Conservative";#N/A,#N/A,FALSE,"96 Possible"}</definedName>
    <definedName name="bhj_2" localSheetId="2" hidden="1">{#N/A,#N/A,FALSE,"Balance Sheets";#N/A,#N/A,FALSE,"96 Conservative";#N/A,#N/A,FALSE,"96 Possible"}</definedName>
    <definedName name="bhj_2" hidden="1">{#N/A,#N/A,FALSE,"Balance Sheets";#N/A,#N/A,FALSE,"96 Conservative";#N/A,#N/A,FALSE,"96 Possible"}</definedName>
    <definedName name="bhj_2_1" localSheetId="4" hidden="1">{#N/A,#N/A,FALSE,"Balance Sheets";#N/A,#N/A,FALSE,"96 Conservative";#N/A,#N/A,FALSE,"96 Possible"}</definedName>
    <definedName name="bhj_2_1" localSheetId="2" hidden="1">{#N/A,#N/A,FALSE,"Balance Sheets";#N/A,#N/A,FALSE,"96 Conservative";#N/A,#N/A,FALSE,"96 Possible"}</definedName>
    <definedName name="bhj_2_1" hidden="1">{#N/A,#N/A,FALSE,"Balance Sheets";#N/A,#N/A,FALSE,"96 Conservative";#N/A,#N/A,FALSE,"96 Possible"}</definedName>
    <definedName name="bhj_3" localSheetId="4" hidden="1">{#N/A,#N/A,FALSE,"Balance Sheets";#N/A,#N/A,FALSE,"96 Conservative";#N/A,#N/A,FALSE,"96 Possible"}</definedName>
    <definedName name="bhj_3" localSheetId="2" hidden="1">{#N/A,#N/A,FALSE,"Balance Sheets";#N/A,#N/A,FALSE,"96 Conservative";#N/A,#N/A,FALSE,"96 Possible"}</definedName>
    <definedName name="bhj_3" hidden="1">{#N/A,#N/A,FALSE,"Balance Sheets";#N/A,#N/A,FALSE,"96 Conservative";#N/A,#N/A,FALSE,"96 Possible"}</definedName>
    <definedName name="bhk" localSheetId="4" hidden="1">{#N/A,#N/A,FALSE,"Balance Sheets";#N/A,#N/A,FALSE,"96 Conservative";#N/A,#N/A,FALSE,"96 Possible"}</definedName>
    <definedName name="bhk" localSheetId="2" hidden="1">{#N/A,#N/A,FALSE,"Balance Sheets";#N/A,#N/A,FALSE,"96 Conservative";#N/A,#N/A,FALSE,"96 Possible"}</definedName>
    <definedName name="bhk" hidden="1">{#N/A,#N/A,FALSE,"Balance Sheets";#N/A,#N/A,FALSE,"96 Conservative";#N/A,#N/A,FALSE,"96 Possible"}</definedName>
    <definedName name="bhk_1" localSheetId="4" hidden="1">{#N/A,#N/A,FALSE,"Balance Sheets";#N/A,#N/A,FALSE,"96 Conservative";#N/A,#N/A,FALSE,"96 Possible"}</definedName>
    <definedName name="bhk_1" localSheetId="2" hidden="1">{#N/A,#N/A,FALSE,"Balance Sheets";#N/A,#N/A,FALSE,"96 Conservative";#N/A,#N/A,FALSE,"96 Possible"}</definedName>
    <definedName name="bhk_1" hidden="1">{#N/A,#N/A,FALSE,"Balance Sheets";#N/A,#N/A,FALSE,"96 Conservative";#N/A,#N/A,FALSE,"96 Possible"}</definedName>
    <definedName name="bhk_1_1" localSheetId="4" hidden="1">{#N/A,#N/A,FALSE,"Balance Sheets";#N/A,#N/A,FALSE,"96 Conservative";#N/A,#N/A,FALSE,"96 Possible"}</definedName>
    <definedName name="bhk_1_1" localSheetId="2" hidden="1">{#N/A,#N/A,FALSE,"Balance Sheets";#N/A,#N/A,FALSE,"96 Conservative";#N/A,#N/A,FALSE,"96 Possible"}</definedName>
    <definedName name="bhk_1_1" hidden="1">{#N/A,#N/A,FALSE,"Balance Sheets";#N/A,#N/A,FALSE,"96 Conservative";#N/A,#N/A,FALSE,"96 Possible"}</definedName>
    <definedName name="bhk_2" localSheetId="4" hidden="1">{#N/A,#N/A,FALSE,"Balance Sheets";#N/A,#N/A,FALSE,"96 Conservative";#N/A,#N/A,FALSE,"96 Possible"}</definedName>
    <definedName name="bhk_2" localSheetId="2" hidden="1">{#N/A,#N/A,FALSE,"Balance Sheets";#N/A,#N/A,FALSE,"96 Conservative";#N/A,#N/A,FALSE,"96 Possible"}</definedName>
    <definedName name="bhk_2" hidden="1">{#N/A,#N/A,FALSE,"Balance Sheets";#N/A,#N/A,FALSE,"96 Conservative";#N/A,#N/A,FALSE,"96 Possible"}</definedName>
    <definedName name="bhk_2_1" localSheetId="4" hidden="1">{#N/A,#N/A,FALSE,"Balance Sheets";#N/A,#N/A,FALSE,"96 Conservative";#N/A,#N/A,FALSE,"96 Possible"}</definedName>
    <definedName name="bhk_2_1" localSheetId="2" hidden="1">{#N/A,#N/A,FALSE,"Balance Sheets";#N/A,#N/A,FALSE,"96 Conservative";#N/A,#N/A,FALSE,"96 Possible"}</definedName>
    <definedName name="bhk_2_1" hidden="1">{#N/A,#N/A,FALSE,"Balance Sheets";#N/A,#N/A,FALSE,"96 Conservative";#N/A,#N/A,FALSE,"96 Possible"}</definedName>
    <definedName name="bhk_3" localSheetId="4" hidden="1">{#N/A,#N/A,FALSE,"Balance Sheets";#N/A,#N/A,FALSE,"96 Conservative";#N/A,#N/A,FALSE,"96 Possible"}</definedName>
    <definedName name="bhk_3" localSheetId="2" hidden="1">{#N/A,#N/A,FALSE,"Balance Sheets";#N/A,#N/A,FALSE,"96 Conservative";#N/A,#N/A,FALSE,"96 Possible"}</definedName>
    <definedName name="bhk_3" hidden="1">{#N/A,#N/A,FALSE,"Balance Sheets";#N/A,#N/A,FALSE,"96 Conservative";#N/A,#N/A,FALSE,"96 Possible"}</definedName>
    <definedName name="bjio" localSheetId="4" hidden="1">{#N/A,#N/A,FALSE,"Balance Sheets";#N/A,#N/A,FALSE,"96 Conservative";#N/A,#N/A,FALSE,"96 Possible"}</definedName>
    <definedName name="bjio" localSheetId="2" hidden="1">{#N/A,#N/A,FALSE,"Balance Sheets";#N/A,#N/A,FALSE,"96 Conservative";#N/A,#N/A,FALSE,"96 Possible"}</definedName>
    <definedName name="bjio" hidden="1">{#N/A,#N/A,FALSE,"Balance Sheets";#N/A,#N/A,FALSE,"96 Conservative";#N/A,#N/A,FALSE,"96 Possible"}</definedName>
    <definedName name="bjio_1" localSheetId="4" hidden="1">{#N/A,#N/A,FALSE,"Balance Sheets";#N/A,#N/A,FALSE,"96 Conservative";#N/A,#N/A,FALSE,"96 Possible"}</definedName>
    <definedName name="bjio_1" localSheetId="2" hidden="1">{#N/A,#N/A,FALSE,"Balance Sheets";#N/A,#N/A,FALSE,"96 Conservative";#N/A,#N/A,FALSE,"96 Possible"}</definedName>
    <definedName name="bjio_1" hidden="1">{#N/A,#N/A,FALSE,"Balance Sheets";#N/A,#N/A,FALSE,"96 Conservative";#N/A,#N/A,FALSE,"96 Possible"}</definedName>
    <definedName name="bjio_1_1" localSheetId="4" hidden="1">{#N/A,#N/A,FALSE,"Balance Sheets";#N/A,#N/A,FALSE,"96 Conservative";#N/A,#N/A,FALSE,"96 Possible"}</definedName>
    <definedName name="bjio_1_1" localSheetId="2" hidden="1">{#N/A,#N/A,FALSE,"Balance Sheets";#N/A,#N/A,FALSE,"96 Conservative";#N/A,#N/A,FALSE,"96 Possible"}</definedName>
    <definedName name="bjio_1_1" hidden="1">{#N/A,#N/A,FALSE,"Balance Sheets";#N/A,#N/A,FALSE,"96 Conservative";#N/A,#N/A,FALSE,"96 Possible"}</definedName>
    <definedName name="bjio_2" localSheetId="4" hidden="1">{#N/A,#N/A,FALSE,"Balance Sheets";#N/A,#N/A,FALSE,"96 Conservative";#N/A,#N/A,FALSE,"96 Possible"}</definedName>
    <definedName name="bjio_2" localSheetId="2" hidden="1">{#N/A,#N/A,FALSE,"Balance Sheets";#N/A,#N/A,FALSE,"96 Conservative";#N/A,#N/A,FALSE,"96 Possible"}</definedName>
    <definedName name="bjio_2" hidden="1">{#N/A,#N/A,FALSE,"Balance Sheets";#N/A,#N/A,FALSE,"96 Conservative";#N/A,#N/A,FALSE,"96 Possible"}</definedName>
    <definedName name="bjio_2_1" localSheetId="4" hidden="1">{#N/A,#N/A,FALSE,"Balance Sheets";#N/A,#N/A,FALSE,"96 Conservative";#N/A,#N/A,FALSE,"96 Possible"}</definedName>
    <definedName name="bjio_2_1" localSheetId="2" hidden="1">{#N/A,#N/A,FALSE,"Balance Sheets";#N/A,#N/A,FALSE,"96 Conservative";#N/A,#N/A,FALSE,"96 Possible"}</definedName>
    <definedName name="bjio_2_1" hidden="1">{#N/A,#N/A,FALSE,"Balance Sheets";#N/A,#N/A,FALSE,"96 Conservative";#N/A,#N/A,FALSE,"96 Possible"}</definedName>
    <definedName name="bjio_3" localSheetId="4" hidden="1">{#N/A,#N/A,FALSE,"Balance Sheets";#N/A,#N/A,FALSE,"96 Conservative";#N/A,#N/A,FALSE,"96 Possible"}</definedName>
    <definedName name="bjio_3" localSheetId="2" hidden="1">{#N/A,#N/A,FALSE,"Balance Sheets";#N/A,#N/A,FALSE,"96 Conservative";#N/A,#N/A,FALSE,"96 Possible"}</definedName>
    <definedName name="bjio_3" hidden="1">{#N/A,#N/A,FALSE,"Balance Sheets";#N/A,#N/A,FALSE,"96 Conservative";#N/A,#N/A,FALSE,"96 Possible"}</definedName>
    <definedName name="bjk" localSheetId="4" hidden="1">{#N/A,#N/A,FALSE,"Balance Sheets";#N/A,#N/A,FALSE,"96 Conservative";#N/A,#N/A,FALSE,"96 Possible"}</definedName>
    <definedName name="bjk" localSheetId="2" hidden="1">{#N/A,#N/A,FALSE,"Balance Sheets";#N/A,#N/A,FALSE,"96 Conservative";#N/A,#N/A,FALSE,"96 Possible"}</definedName>
    <definedName name="bjk" hidden="1">{#N/A,#N/A,FALSE,"Balance Sheets";#N/A,#N/A,FALSE,"96 Conservative";#N/A,#N/A,FALSE,"96 Possible"}</definedName>
    <definedName name="bjk_1" localSheetId="4" hidden="1">{#N/A,#N/A,FALSE,"Balance Sheets";#N/A,#N/A,FALSE,"96 Conservative";#N/A,#N/A,FALSE,"96 Possible"}</definedName>
    <definedName name="bjk_1" localSheetId="2" hidden="1">{#N/A,#N/A,FALSE,"Balance Sheets";#N/A,#N/A,FALSE,"96 Conservative";#N/A,#N/A,FALSE,"96 Possible"}</definedName>
    <definedName name="bjk_1" hidden="1">{#N/A,#N/A,FALSE,"Balance Sheets";#N/A,#N/A,FALSE,"96 Conservative";#N/A,#N/A,FALSE,"96 Possible"}</definedName>
    <definedName name="bjk_1_1" localSheetId="4" hidden="1">{#N/A,#N/A,FALSE,"Balance Sheets";#N/A,#N/A,FALSE,"96 Conservative";#N/A,#N/A,FALSE,"96 Possible"}</definedName>
    <definedName name="bjk_1_1" localSheetId="2" hidden="1">{#N/A,#N/A,FALSE,"Balance Sheets";#N/A,#N/A,FALSE,"96 Conservative";#N/A,#N/A,FALSE,"96 Possible"}</definedName>
    <definedName name="bjk_1_1" hidden="1">{#N/A,#N/A,FALSE,"Balance Sheets";#N/A,#N/A,FALSE,"96 Conservative";#N/A,#N/A,FALSE,"96 Possible"}</definedName>
    <definedName name="bjk_2" localSheetId="4" hidden="1">{#N/A,#N/A,FALSE,"Balance Sheets";#N/A,#N/A,FALSE,"96 Conservative";#N/A,#N/A,FALSE,"96 Possible"}</definedName>
    <definedName name="bjk_2" localSheetId="2" hidden="1">{#N/A,#N/A,FALSE,"Balance Sheets";#N/A,#N/A,FALSE,"96 Conservative";#N/A,#N/A,FALSE,"96 Possible"}</definedName>
    <definedName name="bjk_2" hidden="1">{#N/A,#N/A,FALSE,"Balance Sheets";#N/A,#N/A,FALSE,"96 Conservative";#N/A,#N/A,FALSE,"96 Possible"}</definedName>
    <definedName name="bjk_2_1" localSheetId="4" hidden="1">{#N/A,#N/A,FALSE,"Balance Sheets";#N/A,#N/A,FALSE,"96 Conservative";#N/A,#N/A,FALSE,"96 Possible"}</definedName>
    <definedName name="bjk_2_1" localSheetId="2" hidden="1">{#N/A,#N/A,FALSE,"Balance Sheets";#N/A,#N/A,FALSE,"96 Conservative";#N/A,#N/A,FALSE,"96 Possible"}</definedName>
    <definedName name="bjk_2_1" hidden="1">{#N/A,#N/A,FALSE,"Balance Sheets";#N/A,#N/A,FALSE,"96 Conservative";#N/A,#N/A,FALSE,"96 Possible"}</definedName>
    <definedName name="bjk_3" localSheetId="4" hidden="1">{#N/A,#N/A,FALSE,"Balance Sheets";#N/A,#N/A,FALSE,"96 Conservative";#N/A,#N/A,FALSE,"96 Possible"}</definedName>
    <definedName name="bjk_3" localSheetId="2" hidden="1">{#N/A,#N/A,FALSE,"Balance Sheets";#N/A,#N/A,FALSE,"96 Conservative";#N/A,#N/A,FALSE,"96 Possible"}</definedName>
    <definedName name="bjk_3" hidden="1">{#N/A,#N/A,FALSE,"Balance Sheets";#N/A,#N/A,FALSE,"96 Conservative";#N/A,#N/A,FALSE,"96 Possible"}</definedName>
    <definedName name="BLUE" localSheetId="4">AGroup</definedName>
    <definedName name="BLUE" localSheetId="2">AGroup</definedName>
    <definedName name="BLUE">AGroup</definedName>
    <definedName name="bonus">#REF!</definedName>
    <definedName name="bs" localSheetId="4" hidden="1">{#N/A,#N/A,FALSE,"Balance Sheets";#N/A,#N/A,FALSE,"96 Conservative";#N/A,#N/A,FALSE,"96 Possible"}</definedName>
    <definedName name="bs" localSheetId="2" hidden="1">{#N/A,#N/A,FALSE,"Balance Sheets";#N/A,#N/A,FALSE,"96 Conservative";#N/A,#N/A,FALSE,"96 Possible"}</definedName>
    <definedName name="bs" hidden="1">{#N/A,#N/A,FALSE,"Balance Sheets";#N/A,#N/A,FALSE,"96 Conservative";#N/A,#N/A,FALSE,"96 Possible"}</definedName>
    <definedName name="bs_1" localSheetId="4" hidden="1">{#N/A,#N/A,FALSE,"Balance Sheets";#N/A,#N/A,FALSE,"96 Conservative";#N/A,#N/A,FALSE,"96 Possible"}</definedName>
    <definedName name="bs_1" localSheetId="2" hidden="1">{#N/A,#N/A,FALSE,"Balance Sheets";#N/A,#N/A,FALSE,"96 Conservative";#N/A,#N/A,FALSE,"96 Possible"}</definedName>
    <definedName name="bs_1" hidden="1">{#N/A,#N/A,FALSE,"Balance Sheets";#N/A,#N/A,FALSE,"96 Conservative";#N/A,#N/A,FALSE,"96 Possible"}</definedName>
    <definedName name="bs_1_1" localSheetId="4" hidden="1">{#N/A,#N/A,FALSE,"Balance Sheets";#N/A,#N/A,FALSE,"96 Conservative";#N/A,#N/A,FALSE,"96 Possible"}</definedName>
    <definedName name="bs_1_1" localSheetId="2" hidden="1">{#N/A,#N/A,FALSE,"Balance Sheets";#N/A,#N/A,FALSE,"96 Conservative";#N/A,#N/A,FALSE,"96 Possible"}</definedName>
    <definedName name="bs_1_1" hidden="1">{#N/A,#N/A,FALSE,"Balance Sheets";#N/A,#N/A,FALSE,"96 Conservative";#N/A,#N/A,FALSE,"96 Possible"}</definedName>
    <definedName name="bs_2" localSheetId="4" hidden="1">{#N/A,#N/A,FALSE,"Balance Sheets";#N/A,#N/A,FALSE,"96 Conservative";#N/A,#N/A,FALSE,"96 Possible"}</definedName>
    <definedName name="bs_2" localSheetId="2" hidden="1">{#N/A,#N/A,FALSE,"Balance Sheets";#N/A,#N/A,FALSE,"96 Conservative";#N/A,#N/A,FALSE,"96 Possible"}</definedName>
    <definedName name="bs_2" hidden="1">{#N/A,#N/A,FALSE,"Balance Sheets";#N/A,#N/A,FALSE,"96 Conservative";#N/A,#N/A,FALSE,"96 Possible"}</definedName>
    <definedName name="bs_2_1" localSheetId="4" hidden="1">{#N/A,#N/A,FALSE,"Balance Sheets";#N/A,#N/A,FALSE,"96 Conservative";#N/A,#N/A,FALSE,"96 Possible"}</definedName>
    <definedName name="bs_2_1" localSheetId="2" hidden="1">{#N/A,#N/A,FALSE,"Balance Sheets";#N/A,#N/A,FALSE,"96 Conservative";#N/A,#N/A,FALSE,"96 Possible"}</definedName>
    <definedName name="bs_2_1" hidden="1">{#N/A,#N/A,FALSE,"Balance Sheets";#N/A,#N/A,FALSE,"96 Conservative";#N/A,#N/A,FALSE,"96 Possible"}</definedName>
    <definedName name="bs_3" localSheetId="4" hidden="1">{#N/A,#N/A,FALSE,"Balance Sheets";#N/A,#N/A,FALSE,"96 Conservative";#N/A,#N/A,FALSE,"96 Possible"}</definedName>
    <definedName name="bs_3" localSheetId="2" hidden="1">{#N/A,#N/A,FALSE,"Balance Sheets";#N/A,#N/A,FALSE,"96 Conservative";#N/A,#N/A,FALSE,"96 Possible"}</definedName>
    <definedName name="bs_3" hidden="1">{#N/A,#N/A,FALSE,"Balance Sheets";#N/A,#N/A,FALSE,"96 Conservative";#N/A,#N/A,FALSE,"96 Possible"}</definedName>
    <definedName name="BS_CP">#REF!</definedName>
    <definedName name="BS_DATA">#REF!</definedName>
    <definedName name="BS_RP">#REF!</definedName>
    <definedName name="BSSEP">#REF!</definedName>
    <definedName name="BusGrp">#REF!</definedName>
    <definedName name="BusinessUnit">#REF!</definedName>
    <definedName name="BusResultsCurrent">#REF!</definedName>
    <definedName name="bv" localSheetId="4" hidden="1">{#N/A,#N/A,FALSE,"Balance Sheets";#N/A,#N/A,FALSE,"96 Conservative";#N/A,#N/A,FALSE,"96 Possible"}</definedName>
    <definedName name="bv" localSheetId="2" hidden="1">{#N/A,#N/A,FALSE,"Balance Sheets";#N/A,#N/A,FALSE,"96 Conservative";#N/A,#N/A,FALSE,"96 Possible"}</definedName>
    <definedName name="bv" hidden="1">{#N/A,#N/A,FALSE,"Balance Sheets";#N/A,#N/A,FALSE,"96 Conservative";#N/A,#N/A,FALSE,"96 Possible"}</definedName>
    <definedName name="bv_1" localSheetId="4" hidden="1">{#N/A,#N/A,FALSE,"Balance Sheets";#N/A,#N/A,FALSE,"96 Conservative";#N/A,#N/A,FALSE,"96 Possible"}</definedName>
    <definedName name="bv_1" localSheetId="2" hidden="1">{#N/A,#N/A,FALSE,"Balance Sheets";#N/A,#N/A,FALSE,"96 Conservative";#N/A,#N/A,FALSE,"96 Possible"}</definedName>
    <definedName name="bv_1" hidden="1">{#N/A,#N/A,FALSE,"Balance Sheets";#N/A,#N/A,FALSE,"96 Conservative";#N/A,#N/A,FALSE,"96 Possible"}</definedName>
    <definedName name="bv_1_1" localSheetId="4" hidden="1">{#N/A,#N/A,FALSE,"Balance Sheets";#N/A,#N/A,FALSE,"96 Conservative";#N/A,#N/A,FALSE,"96 Possible"}</definedName>
    <definedName name="bv_1_1" localSheetId="2" hidden="1">{#N/A,#N/A,FALSE,"Balance Sheets";#N/A,#N/A,FALSE,"96 Conservative";#N/A,#N/A,FALSE,"96 Possible"}</definedName>
    <definedName name="bv_1_1" hidden="1">{#N/A,#N/A,FALSE,"Balance Sheets";#N/A,#N/A,FALSE,"96 Conservative";#N/A,#N/A,FALSE,"96 Possible"}</definedName>
    <definedName name="bv_2" localSheetId="4" hidden="1">{#N/A,#N/A,FALSE,"Balance Sheets";#N/A,#N/A,FALSE,"96 Conservative";#N/A,#N/A,FALSE,"96 Possible"}</definedName>
    <definedName name="bv_2" localSheetId="2" hidden="1">{#N/A,#N/A,FALSE,"Balance Sheets";#N/A,#N/A,FALSE,"96 Conservative";#N/A,#N/A,FALSE,"96 Possible"}</definedName>
    <definedName name="bv_2" hidden="1">{#N/A,#N/A,FALSE,"Balance Sheets";#N/A,#N/A,FALSE,"96 Conservative";#N/A,#N/A,FALSE,"96 Possible"}</definedName>
    <definedName name="bv_2_1" localSheetId="4" hidden="1">{#N/A,#N/A,FALSE,"Balance Sheets";#N/A,#N/A,FALSE,"96 Conservative";#N/A,#N/A,FALSE,"96 Possible"}</definedName>
    <definedName name="bv_2_1" localSheetId="2" hidden="1">{#N/A,#N/A,FALSE,"Balance Sheets";#N/A,#N/A,FALSE,"96 Conservative";#N/A,#N/A,FALSE,"96 Possible"}</definedName>
    <definedName name="bv_2_1" hidden="1">{#N/A,#N/A,FALSE,"Balance Sheets";#N/A,#N/A,FALSE,"96 Conservative";#N/A,#N/A,FALSE,"96 Possible"}</definedName>
    <definedName name="bv_3" localSheetId="4" hidden="1">{#N/A,#N/A,FALSE,"Balance Sheets";#N/A,#N/A,FALSE,"96 Conservative";#N/A,#N/A,FALSE,"96 Possible"}</definedName>
    <definedName name="bv_3" localSheetId="2" hidden="1">{#N/A,#N/A,FALSE,"Balance Sheets";#N/A,#N/A,FALSE,"96 Conservative";#N/A,#N/A,FALSE,"96 Possible"}</definedName>
    <definedName name="bv_3" hidden="1">{#N/A,#N/A,FALSE,"Balance Sheets";#N/A,#N/A,FALSE,"96 Conservative";#N/A,#N/A,FALSE,"96 Possible"}</definedName>
    <definedName name="ca" localSheetId="4" hidden="1">{#N/A,#N/A,FALSE,"Balance Sheets";#N/A,#N/A,FALSE,"96 Conservative";#N/A,#N/A,FALSE,"96 Possible"}</definedName>
    <definedName name="ca" localSheetId="2" hidden="1">{#N/A,#N/A,FALSE,"Balance Sheets";#N/A,#N/A,FALSE,"96 Conservative";#N/A,#N/A,FALSE,"96 Possible"}</definedName>
    <definedName name="ca" hidden="1">{#N/A,#N/A,FALSE,"Balance Sheets";#N/A,#N/A,FALSE,"96 Conservative";#N/A,#N/A,FALSE,"96 Possible"}</definedName>
    <definedName name="ca_1" localSheetId="4" hidden="1">{#N/A,#N/A,FALSE,"Balance Sheets";#N/A,#N/A,FALSE,"96 Conservative";#N/A,#N/A,FALSE,"96 Possible"}</definedName>
    <definedName name="ca_1" localSheetId="2" hidden="1">{#N/A,#N/A,FALSE,"Balance Sheets";#N/A,#N/A,FALSE,"96 Conservative";#N/A,#N/A,FALSE,"96 Possible"}</definedName>
    <definedName name="ca_1" hidden="1">{#N/A,#N/A,FALSE,"Balance Sheets";#N/A,#N/A,FALSE,"96 Conservative";#N/A,#N/A,FALSE,"96 Possible"}</definedName>
    <definedName name="ca_1_1" localSheetId="4" hidden="1">{#N/A,#N/A,FALSE,"Balance Sheets";#N/A,#N/A,FALSE,"96 Conservative";#N/A,#N/A,FALSE,"96 Possible"}</definedName>
    <definedName name="ca_1_1" localSheetId="2" hidden="1">{#N/A,#N/A,FALSE,"Balance Sheets";#N/A,#N/A,FALSE,"96 Conservative";#N/A,#N/A,FALSE,"96 Possible"}</definedName>
    <definedName name="ca_1_1" hidden="1">{#N/A,#N/A,FALSE,"Balance Sheets";#N/A,#N/A,FALSE,"96 Conservative";#N/A,#N/A,FALSE,"96 Possible"}</definedName>
    <definedName name="ca_2" localSheetId="4" hidden="1">{#N/A,#N/A,FALSE,"Balance Sheets";#N/A,#N/A,FALSE,"96 Conservative";#N/A,#N/A,FALSE,"96 Possible"}</definedName>
    <definedName name="ca_2" localSheetId="2" hidden="1">{#N/A,#N/A,FALSE,"Balance Sheets";#N/A,#N/A,FALSE,"96 Conservative";#N/A,#N/A,FALSE,"96 Possible"}</definedName>
    <definedName name="ca_2" hidden="1">{#N/A,#N/A,FALSE,"Balance Sheets";#N/A,#N/A,FALSE,"96 Conservative";#N/A,#N/A,FALSE,"96 Possible"}</definedName>
    <definedName name="ca_2_1" localSheetId="4" hidden="1">{#N/A,#N/A,FALSE,"Balance Sheets";#N/A,#N/A,FALSE,"96 Conservative";#N/A,#N/A,FALSE,"96 Possible"}</definedName>
    <definedName name="ca_2_1" localSheetId="2" hidden="1">{#N/A,#N/A,FALSE,"Balance Sheets";#N/A,#N/A,FALSE,"96 Conservative";#N/A,#N/A,FALSE,"96 Possible"}</definedName>
    <definedName name="ca_2_1" hidden="1">{#N/A,#N/A,FALSE,"Balance Sheets";#N/A,#N/A,FALSE,"96 Conservative";#N/A,#N/A,FALSE,"96 Possible"}</definedName>
    <definedName name="ca_3" localSheetId="4" hidden="1">{#N/A,#N/A,FALSE,"Balance Sheets";#N/A,#N/A,FALSE,"96 Conservative";#N/A,#N/A,FALSE,"96 Possible"}</definedName>
    <definedName name="ca_3" localSheetId="2" hidden="1">{#N/A,#N/A,FALSE,"Balance Sheets";#N/A,#N/A,FALSE,"96 Conservative";#N/A,#N/A,FALSE,"96 Possible"}</definedName>
    <definedName name="ca_3" hidden="1">{#N/A,#N/A,FALSE,"Balance Sheets";#N/A,#N/A,FALSE,"96 Conservative";#N/A,#N/A,FALSE,"96 Possible"}</definedName>
    <definedName name="CBWorkbookPriority" hidden="1">-2072382479</definedName>
    <definedName name="CCIDList">#REF!</definedName>
    <definedName name="cdmcombinedresponses">#REF!</definedName>
    <definedName name="cdmcrrres2">#REF!</definedName>
    <definedName name="cdmcurrres">#REF!</definedName>
    <definedName name="cdmcurrresq1">#REF!</definedName>
    <definedName name="CEL_EmpCode">#REF!</definedName>
    <definedName name="CEL_EmpDataBase">#REF!</definedName>
    <definedName name="CEL_RateBenefits">#REF!</definedName>
    <definedName name="CEL_RateBonus">#REF!</definedName>
    <definedName name="CEL_RateMerit">#REF!</definedName>
    <definedName name="CEL_RateRangeBonus">#REF!</definedName>
    <definedName name="CEL_RateRangeMerit">#REF!</definedName>
    <definedName name="CEL_RateRangeRecruit">#REF!</definedName>
    <definedName name="CEL_RateRecruit">#REF!</definedName>
    <definedName name="cny2003avg">#REF!</definedName>
    <definedName name="cnybud">#REF!</definedName>
    <definedName name="COA">#REF!</definedName>
    <definedName name="comments">#REF!</definedName>
    <definedName name="Company">#REF!</definedName>
    <definedName name="company_partner">#REF!</definedName>
    <definedName name="Company1">#REF!</definedName>
    <definedName name="Cost_centre">#REF!</definedName>
    <definedName name="Country">#REF!</definedName>
    <definedName name="cs">#REF!</definedName>
    <definedName name="CURR">#REF!</definedName>
    <definedName name="CURRENCY">#REF!</definedName>
    <definedName name="cynthia">#REF!</definedName>
    <definedName name="cynthia1">#REF!</definedName>
    <definedName name="d" localSheetId="3" hidden="1">{#N/A,#N/A,FALSE,"Full";#N/A,#N/A,FALSE,"Half";#N/A,#N/A,FALSE,"Op Expenses";#N/A,#N/A,FALSE,"Cap Charge";#N/A,#N/A,FALSE,"Cost C";#N/A,#N/A,FALSE,"PP&amp;E";#N/A,#N/A,FALSE,"R&amp;D"}</definedName>
    <definedName name="d" localSheetId="4" hidden="1">{#N/A,#N/A,FALSE,"Full";#N/A,#N/A,FALSE,"Half";#N/A,#N/A,FALSE,"Op Expenses";#N/A,#N/A,FALSE,"Cap Charge";#N/A,#N/A,FALSE,"Cost C";#N/A,#N/A,FALSE,"PP&amp;E";#N/A,#N/A,FALSE,"R&amp;D"}</definedName>
    <definedName name="d" localSheetId="2" hidden="1">{#N/A,#N/A,FALSE,"Full";#N/A,#N/A,FALSE,"Half";#N/A,#N/A,FALSE,"Op Expenses";#N/A,#N/A,FALSE,"Cap Charge";#N/A,#N/A,FALSE,"Cost C";#N/A,#N/A,FALSE,"PP&amp;E";#N/A,#N/A,FALSE,"R&amp;D"}</definedName>
    <definedName name="d" hidden="1">{#N/A,#N/A,FALSE,"Full";#N/A,#N/A,FALSE,"Half";#N/A,#N/A,FALSE,"Op Expenses";#N/A,#N/A,FALSE,"Cap Charge";#N/A,#N/A,FALSE,"Cost C";#N/A,#N/A,FALSE,"PP&amp;E";#N/A,#N/A,FALSE,"R&amp;D"}</definedName>
    <definedName name="d_1" localSheetId="4" hidden="1">{#N/A,#N/A,FALSE,"Full";#N/A,#N/A,FALSE,"Half";#N/A,#N/A,FALSE,"Op Expenses";#N/A,#N/A,FALSE,"Cap Charge";#N/A,#N/A,FALSE,"Cost C";#N/A,#N/A,FALSE,"PP&amp;E";#N/A,#N/A,FALSE,"R&amp;D"}</definedName>
    <definedName name="d_1" localSheetId="2" hidden="1">{#N/A,#N/A,FALSE,"Full";#N/A,#N/A,FALSE,"Half";#N/A,#N/A,FALSE,"Op Expenses";#N/A,#N/A,FALSE,"Cap Charge";#N/A,#N/A,FALSE,"Cost C";#N/A,#N/A,FALSE,"PP&amp;E";#N/A,#N/A,FALSE,"R&amp;D"}</definedName>
    <definedName name="d_1" hidden="1">{#N/A,#N/A,FALSE,"Full";#N/A,#N/A,FALSE,"Half";#N/A,#N/A,FALSE,"Op Expenses";#N/A,#N/A,FALSE,"Cap Charge";#N/A,#N/A,FALSE,"Cost C";#N/A,#N/A,FALSE,"PP&amp;E";#N/A,#N/A,FALSE,"R&amp;D"}</definedName>
    <definedName name="d_1_1" localSheetId="4" hidden="1">{#N/A,#N/A,FALSE,"Full";#N/A,#N/A,FALSE,"Half";#N/A,#N/A,FALSE,"Op Expenses";#N/A,#N/A,FALSE,"Cap Charge";#N/A,#N/A,FALSE,"Cost C";#N/A,#N/A,FALSE,"PP&amp;E";#N/A,#N/A,FALSE,"R&amp;D"}</definedName>
    <definedName name="d_1_1" localSheetId="2" hidden="1">{#N/A,#N/A,FALSE,"Full";#N/A,#N/A,FALSE,"Half";#N/A,#N/A,FALSE,"Op Expenses";#N/A,#N/A,FALSE,"Cap Charge";#N/A,#N/A,FALSE,"Cost C";#N/A,#N/A,FALSE,"PP&amp;E";#N/A,#N/A,FALSE,"R&amp;D"}</definedName>
    <definedName name="d_1_1" hidden="1">{#N/A,#N/A,FALSE,"Full";#N/A,#N/A,FALSE,"Half";#N/A,#N/A,FALSE,"Op Expenses";#N/A,#N/A,FALSE,"Cap Charge";#N/A,#N/A,FALSE,"Cost C";#N/A,#N/A,FALSE,"PP&amp;E";#N/A,#N/A,FALSE,"R&amp;D"}</definedName>
    <definedName name="d_2" localSheetId="4" hidden="1">{#N/A,#N/A,FALSE,"Full";#N/A,#N/A,FALSE,"Half";#N/A,#N/A,FALSE,"Op Expenses";#N/A,#N/A,FALSE,"Cap Charge";#N/A,#N/A,FALSE,"Cost C";#N/A,#N/A,FALSE,"PP&amp;E";#N/A,#N/A,FALSE,"R&amp;D"}</definedName>
    <definedName name="d_2" localSheetId="2" hidden="1">{#N/A,#N/A,FALSE,"Full";#N/A,#N/A,FALSE,"Half";#N/A,#N/A,FALSE,"Op Expenses";#N/A,#N/A,FALSE,"Cap Charge";#N/A,#N/A,FALSE,"Cost C";#N/A,#N/A,FALSE,"PP&amp;E";#N/A,#N/A,FALSE,"R&amp;D"}</definedName>
    <definedName name="d_2" hidden="1">{#N/A,#N/A,FALSE,"Full";#N/A,#N/A,FALSE,"Half";#N/A,#N/A,FALSE,"Op Expenses";#N/A,#N/A,FALSE,"Cap Charge";#N/A,#N/A,FALSE,"Cost C";#N/A,#N/A,FALSE,"PP&amp;E";#N/A,#N/A,FALSE,"R&amp;D"}</definedName>
    <definedName name="d_2_1" localSheetId="4" hidden="1">{#N/A,#N/A,FALSE,"Full";#N/A,#N/A,FALSE,"Half";#N/A,#N/A,FALSE,"Op Expenses";#N/A,#N/A,FALSE,"Cap Charge";#N/A,#N/A,FALSE,"Cost C";#N/A,#N/A,FALSE,"PP&amp;E";#N/A,#N/A,FALSE,"R&amp;D"}</definedName>
    <definedName name="d_2_1" localSheetId="2" hidden="1">{#N/A,#N/A,FALSE,"Full";#N/A,#N/A,FALSE,"Half";#N/A,#N/A,FALSE,"Op Expenses";#N/A,#N/A,FALSE,"Cap Charge";#N/A,#N/A,FALSE,"Cost C";#N/A,#N/A,FALSE,"PP&amp;E";#N/A,#N/A,FALSE,"R&amp;D"}</definedName>
    <definedName name="d_2_1" hidden="1">{#N/A,#N/A,FALSE,"Full";#N/A,#N/A,FALSE,"Half";#N/A,#N/A,FALSE,"Op Expenses";#N/A,#N/A,FALSE,"Cap Charge";#N/A,#N/A,FALSE,"Cost C";#N/A,#N/A,FALSE,"PP&amp;E";#N/A,#N/A,FALSE,"R&amp;D"}</definedName>
    <definedName name="d_3" localSheetId="4" hidden="1">{#N/A,#N/A,FALSE,"Full";#N/A,#N/A,FALSE,"Half";#N/A,#N/A,FALSE,"Op Expenses";#N/A,#N/A,FALSE,"Cap Charge";#N/A,#N/A,FALSE,"Cost C";#N/A,#N/A,FALSE,"PP&amp;E";#N/A,#N/A,FALSE,"R&amp;D"}</definedName>
    <definedName name="d_3" localSheetId="2" hidden="1">{#N/A,#N/A,FALSE,"Full";#N/A,#N/A,FALSE,"Half";#N/A,#N/A,FALSE,"Op Expenses";#N/A,#N/A,FALSE,"Cap Charge";#N/A,#N/A,FALSE,"Cost C";#N/A,#N/A,FALSE,"PP&amp;E";#N/A,#N/A,FALSE,"R&amp;D"}</definedName>
    <definedName name="d_3" hidden="1">{#N/A,#N/A,FALSE,"Full";#N/A,#N/A,FALSE,"Half";#N/A,#N/A,FALSE,"Op Expenses";#N/A,#N/A,FALSE,"Cap Charge";#N/A,#N/A,FALSE,"Cost C";#N/A,#N/A,FALSE,"PP&amp;E";#N/A,#N/A,FALSE,"R&amp;D"}</definedName>
    <definedName name="_xlnm.Database">#REF!</definedName>
    <definedName name="date">#REF!</definedName>
    <definedName name="date10">#REF!</definedName>
    <definedName name="deccnyavg">#REF!</definedName>
    <definedName name="deccnyend">#REF!</definedName>
    <definedName name="deceuroavg">#REF!</definedName>
    <definedName name="deceuroend">#REF!</definedName>
    <definedName name="decgbpavg">#REF!</definedName>
    <definedName name="decgbpend">#REF!</definedName>
    <definedName name="decjpyavg">#REF!</definedName>
    <definedName name="decjpyend">#REF!</definedName>
    <definedName name="Dept">#REF!</definedName>
    <definedName name="Dept_cost_centre">#REF!</definedName>
    <definedName name="der" localSheetId="4" hidden="1">{#N/A,#N/A,FALSE,"Balance Sheets";#N/A,#N/A,FALSE,"96 Conservative";#N/A,#N/A,FALSE,"96 Possible"}</definedName>
    <definedName name="der" localSheetId="2" hidden="1">{#N/A,#N/A,FALSE,"Balance Sheets";#N/A,#N/A,FALSE,"96 Conservative";#N/A,#N/A,FALSE,"96 Possible"}</definedName>
    <definedName name="der" hidden="1">{#N/A,#N/A,FALSE,"Balance Sheets";#N/A,#N/A,FALSE,"96 Conservative";#N/A,#N/A,FALSE,"96 Possible"}</definedName>
    <definedName name="der_1" localSheetId="4" hidden="1">{#N/A,#N/A,FALSE,"Balance Sheets";#N/A,#N/A,FALSE,"96 Conservative";#N/A,#N/A,FALSE,"96 Possible"}</definedName>
    <definedName name="der_1" localSheetId="2" hidden="1">{#N/A,#N/A,FALSE,"Balance Sheets";#N/A,#N/A,FALSE,"96 Conservative";#N/A,#N/A,FALSE,"96 Possible"}</definedName>
    <definedName name="der_1" hidden="1">{#N/A,#N/A,FALSE,"Balance Sheets";#N/A,#N/A,FALSE,"96 Conservative";#N/A,#N/A,FALSE,"96 Possible"}</definedName>
    <definedName name="der_1_1" localSheetId="4" hidden="1">{#N/A,#N/A,FALSE,"Balance Sheets";#N/A,#N/A,FALSE,"96 Conservative";#N/A,#N/A,FALSE,"96 Possible"}</definedName>
    <definedName name="der_1_1" localSheetId="2" hidden="1">{#N/A,#N/A,FALSE,"Balance Sheets";#N/A,#N/A,FALSE,"96 Conservative";#N/A,#N/A,FALSE,"96 Possible"}</definedName>
    <definedName name="der_1_1" hidden="1">{#N/A,#N/A,FALSE,"Balance Sheets";#N/A,#N/A,FALSE,"96 Conservative";#N/A,#N/A,FALSE,"96 Possible"}</definedName>
    <definedName name="der_2" localSheetId="4" hidden="1">{#N/A,#N/A,FALSE,"Balance Sheets";#N/A,#N/A,FALSE,"96 Conservative";#N/A,#N/A,FALSE,"96 Possible"}</definedName>
    <definedName name="der_2" localSheetId="2" hidden="1">{#N/A,#N/A,FALSE,"Balance Sheets";#N/A,#N/A,FALSE,"96 Conservative";#N/A,#N/A,FALSE,"96 Possible"}</definedName>
    <definedName name="der_2" hidden="1">{#N/A,#N/A,FALSE,"Balance Sheets";#N/A,#N/A,FALSE,"96 Conservative";#N/A,#N/A,FALSE,"96 Possible"}</definedName>
    <definedName name="der_2_1" localSheetId="4" hidden="1">{#N/A,#N/A,FALSE,"Balance Sheets";#N/A,#N/A,FALSE,"96 Conservative";#N/A,#N/A,FALSE,"96 Possible"}</definedName>
    <definedName name="der_2_1" localSheetId="2" hidden="1">{#N/A,#N/A,FALSE,"Balance Sheets";#N/A,#N/A,FALSE,"96 Conservative";#N/A,#N/A,FALSE,"96 Possible"}</definedName>
    <definedName name="der_2_1" hidden="1">{#N/A,#N/A,FALSE,"Balance Sheets";#N/A,#N/A,FALSE,"96 Conservative";#N/A,#N/A,FALSE,"96 Possible"}</definedName>
    <definedName name="der_3" localSheetId="4" hidden="1">{#N/A,#N/A,FALSE,"Balance Sheets";#N/A,#N/A,FALSE,"96 Conservative";#N/A,#N/A,FALSE,"96 Possible"}</definedName>
    <definedName name="der_3" localSheetId="2" hidden="1">{#N/A,#N/A,FALSE,"Balance Sheets";#N/A,#N/A,FALSE,"96 Conservative";#N/A,#N/A,FALSE,"96 Possible"}</definedName>
    <definedName name="der_3" hidden="1">{#N/A,#N/A,FALSE,"Balance Sheets";#N/A,#N/A,FALSE,"96 Conservative";#N/A,#N/A,FALSE,"96 Possible"}</definedName>
    <definedName name="detail" localSheetId="4" hidden="1">{"SUMMARY",#N/A,FALSE,"SUMMARY";"CONSOLIDATION",#N/A,FALSE,"CONSOLIDATION"}</definedName>
    <definedName name="detail" localSheetId="2" hidden="1">{"SUMMARY",#N/A,FALSE,"SUMMARY";"CONSOLIDATION",#N/A,FALSE,"CONSOLIDATION"}</definedName>
    <definedName name="detail" hidden="1">{"SUMMARY",#N/A,FALSE,"SUMMARY";"CONSOLIDATION",#N/A,FALSE,"CONSOLIDATION"}</definedName>
    <definedName name="detail_1" localSheetId="4" hidden="1">{"SUMMARY",#N/A,FALSE,"SUMMARY";"CONSOLIDATION",#N/A,FALSE,"CONSOLIDATION"}</definedName>
    <definedName name="detail_1" localSheetId="2" hidden="1">{"SUMMARY",#N/A,FALSE,"SUMMARY";"CONSOLIDATION",#N/A,FALSE,"CONSOLIDATION"}</definedName>
    <definedName name="detail_1" hidden="1">{"SUMMARY",#N/A,FALSE,"SUMMARY";"CONSOLIDATION",#N/A,FALSE,"CONSOLIDATION"}</definedName>
    <definedName name="detail_1_1" localSheetId="4" hidden="1">{"SUMMARY",#N/A,FALSE,"SUMMARY";"CONSOLIDATION",#N/A,FALSE,"CONSOLIDATION"}</definedName>
    <definedName name="detail_1_1" localSheetId="2" hidden="1">{"SUMMARY",#N/A,FALSE,"SUMMARY";"CONSOLIDATION",#N/A,FALSE,"CONSOLIDATION"}</definedName>
    <definedName name="detail_1_1" hidden="1">{"SUMMARY",#N/A,FALSE,"SUMMARY";"CONSOLIDATION",#N/A,FALSE,"CONSOLIDATION"}</definedName>
    <definedName name="detail_2" localSheetId="4" hidden="1">{"SUMMARY",#N/A,FALSE,"SUMMARY";"CONSOLIDATION",#N/A,FALSE,"CONSOLIDATION"}</definedName>
    <definedName name="detail_2" localSheetId="2" hidden="1">{"SUMMARY",#N/A,FALSE,"SUMMARY";"CONSOLIDATION",#N/A,FALSE,"CONSOLIDATION"}</definedName>
    <definedName name="detail_2" hidden="1">{"SUMMARY",#N/A,FALSE,"SUMMARY";"CONSOLIDATION",#N/A,FALSE,"CONSOLIDATION"}</definedName>
    <definedName name="detail_2_1" localSheetId="4" hidden="1">{"SUMMARY",#N/A,FALSE,"SUMMARY";"CONSOLIDATION",#N/A,FALSE,"CONSOLIDATION"}</definedName>
    <definedName name="detail_2_1" localSheetId="2" hidden="1">{"SUMMARY",#N/A,FALSE,"SUMMARY";"CONSOLIDATION",#N/A,FALSE,"CONSOLIDATION"}</definedName>
    <definedName name="detail_2_1" hidden="1">{"SUMMARY",#N/A,FALSE,"SUMMARY";"CONSOLIDATION",#N/A,FALSE,"CONSOLIDATION"}</definedName>
    <definedName name="detail_3" localSheetId="4" hidden="1">{"SUMMARY",#N/A,FALSE,"SUMMARY";"CONSOLIDATION",#N/A,FALSE,"CONSOLIDATION"}</definedName>
    <definedName name="detail_3" localSheetId="2" hidden="1">{"SUMMARY",#N/A,FALSE,"SUMMARY";"CONSOLIDATION",#N/A,FALSE,"CONSOLIDATION"}</definedName>
    <definedName name="detail_3" hidden="1">{"SUMMARY",#N/A,FALSE,"SUMMARY";"CONSOLIDATION",#N/A,FALSE,"CONSOLIDATION"}</definedName>
    <definedName name="dfg" localSheetId="4" hidden="1">{"FORNDV",#N/A,FALSE,"Sheet1"}</definedName>
    <definedName name="dfg" localSheetId="2" hidden="1">{"FORNDV",#N/A,FALSE,"Sheet1"}</definedName>
    <definedName name="dfg" hidden="1">{"FORNDV",#N/A,FALSE,"Sheet1"}</definedName>
    <definedName name="dfg_1" localSheetId="4" hidden="1">{"FORNDV",#N/A,FALSE,"Sheet1"}</definedName>
    <definedName name="dfg_1" localSheetId="2" hidden="1">{"FORNDV",#N/A,FALSE,"Sheet1"}</definedName>
    <definedName name="dfg_1" hidden="1">{"FORNDV",#N/A,FALSE,"Sheet1"}</definedName>
    <definedName name="dfg_1_1" localSheetId="4" hidden="1">{"FORNDV",#N/A,FALSE,"Sheet1"}</definedName>
    <definedName name="dfg_1_1" localSheetId="2" hidden="1">{"FORNDV",#N/A,FALSE,"Sheet1"}</definedName>
    <definedName name="dfg_1_1" hidden="1">{"FORNDV",#N/A,FALSE,"Sheet1"}</definedName>
    <definedName name="dfg_2" localSheetId="4" hidden="1">{"FORNDV",#N/A,FALSE,"Sheet1"}</definedName>
    <definedName name="dfg_2" localSheetId="2" hidden="1">{"FORNDV",#N/A,FALSE,"Sheet1"}</definedName>
    <definedName name="dfg_2" hidden="1">{"FORNDV",#N/A,FALSE,"Sheet1"}</definedName>
    <definedName name="dfg_2_1" localSheetId="4" hidden="1">{"FORNDV",#N/A,FALSE,"Sheet1"}</definedName>
    <definedName name="dfg_2_1" localSheetId="2" hidden="1">{"FORNDV",#N/A,FALSE,"Sheet1"}</definedName>
    <definedName name="dfg_2_1" hidden="1">{"FORNDV",#N/A,FALSE,"Sheet1"}</definedName>
    <definedName name="dfg_3" localSheetId="4" hidden="1">{"FORNDV",#N/A,FALSE,"Sheet1"}</definedName>
    <definedName name="dfg_3" localSheetId="2" hidden="1">{"FORNDV",#N/A,FALSE,"Sheet1"}</definedName>
    <definedName name="dfg_3" hidden="1">{"FORNDV",#N/A,FALSE,"Sheet1"}</definedName>
    <definedName name="dflt1">#REF!</definedName>
    <definedName name="dflt2">#REF!</definedName>
    <definedName name="dfvg" localSheetId="4" hidden="1">{"FORNDV",#N/A,FALSE,"Sheet1"}</definedName>
    <definedName name="dfvg" localSheetId="2" hidden="1">{"FORNDV",#N/A,FALSE,"Sheet1"}</definedName>
    <definedName name="dfvg" hidden="1">{"FORNDV",#N/A,FALSE,"Sheet1"}</definedName>
    <definedName name="dfvg_1" localSheetId="4" hidden="1">{"FORNDV",#N/A,FALSE,"Sheet1"}</definedName>
    <definedName name="dfvg_1" localSheetId="2" hidden="1">{"FORNDV",#N/A,FALSE,"Sheet1"}</definedName>
    <definedName name="dfvg_1" hidden="1">{"FORNDV",#N/A,FALSE,"Sheet1"}</definedName>
    <definedName name="dfvg_1_1" localSheetId="4" hidden="1">{"FORNDV",#N/A,FALSE,"Sheet1"}</definedName>
    <definedName name="dfvg_1_1" localSheetId="2" hidden="1">{"FORNDV",#N/A,FALSE,"Sheet1"}</definedName>
    <definedName name="dfvg_1_1" hidden="1">{"FORNDV",#N/A,FALSE,"Sheet1"}</definedName>
    <definedName name="dfvg_2" localSheetId="4" hidden="1">{"FORNDV",#N/A,FALSE,"Sheet1"}</definedName>
    <definedName name="dfvg_2" localSheetId="2" hidden="1">{"FORNDV",#N/A,FALSE,"Sheet1"}</definedName>
    <definedName name="dfvg_2" hidden="1">{"FORNDV",#N/A,FALSE,"Sheet1"}</definedName>
    <definedName name="dfvg_2_1" localSheetId="4" hidden="1">{"FORNDV",#N/A,FALSE,"Sheet1"}</definedName>
    <definedName name="dfvg_2_1" localSheetId="2" hidden="1">{"FORNDV",#N/A,FALSE,"Sheet1"}</definedName>
    <definedName name="dfvg_2_1" hidden="1">{"FORNDV",#N/A,FALSE,"Sheet1"}</definedName>
    <definedName name="dfvg_3" localSheetId="4" hidden="1">{"FORNDV",#N/A,FALSE,"Sheet1"}</definedName>
    <definedName name="dfvg_3" localSheetId="2" hidden="1">{"FORNDV",#N/A,FALSE,"Sheet1"}</definedName>
    <definedName name="dfvg_3" hidden="1">{"FORNDV",#N/A,FALSE,"Sheet1"}</definedName>
    <definedName name="Disposals">#REF!</definedName>
    <definedName name="Domestic">#REF!</definedName>
    <definedName name="DRCR">#REF!</definedName>
    <definedName name="drei">#REF!</definedName>
    <definedName name="drf" localSheetId="4" hidden="1">{#N/A,#N/A,FALSE,"Balance Sheets";#N/A,#N/A,FALSE,"96 Conservative";#N/A,#N/A,FALSE,"96 Possible"}</definedName>
    <definedName name="drf" localSheetId="2" hidden="1">{#N/A,#N/A,FALSE,"Balance Sheets";#N/A,#N/A,FALSE,"96 Conservative";#N/A,#N/A,FALSE,"96 Possible"}</definedName>
    <definedName name="drf" hidden="1">{#N/A,#N/A,FALSE,"Balance Sheets";#N/A,#N/A,FALSE,"96 Conservative";#N/A,#N/A,FALSE,"96 Possible"}</definedName>
    <definedName name="drf_1" localSheetId="4" hidden="1">{#N/A,#N/A,FALSE,"Balance Sheets";#N/A,#N/A,FALSE,"96 Conservative";#N/A,#N/A,FALSE,"96 Possible"}</definedName>
    <definedName name="drf_1" localSheetId="2" hidden="1">{#N/A,#N/A,FALSE,"Balance Sheets";#N/A,#N/A,FALSE,"96 Conservative";#N/A,#N/A,FALSE,"96 Possible"}</definedName>
    <definedName name="drf_1" hidden="1">{#N/A,#N/A,FALSE,"Balance Sheets";#N/A,#N/A,FALSE,"96 Conservative";#N/A,#N/A,FALSE,"96 Possible"}</definedName>
    <definedName name="drf_1_1" localSheetId="4" hidden="1">{#N/A,#N/A,FALSE,"Balance Sheets";#N/A,#N/A,FALSE,"96 Conservative";#N/A,#N/A,FALSE,"96 Possible"}</definedName>
    <definedName name="drf_1_1" localSheetId="2" hidden="1">{#N/A,#N/A,FALSE,"Balance Sheets";#N/A,#N/A,FALSE,"96 Conservative";#N/A,#N/A,FALSE,"96 Possible"}</definedName>
    <definedName name="drf_1_1" hidden="1">{#N/A,#N/A,FALSE,"Balance Sheets";#N/A,#N/A,FALSE,"96 Conservative";#N/A,#N/A,FALSE,"96 Possible"}</definedName>
    <definedName name="drf_2" localSheetId="4" hidden="1">{#N/A,#N/A,FALSE,"Balance Sheets";#N/A,#N/A,FALSE,"96 Conservative";#N/A,#N/A,FALSE,"96 Possible"}</definedName>
    <definedName name="drf_2" localSheetId="2" hidden="1">{#N/A,#N/A,FALSE,"Balance Sheets";#N/A,#N/A,FALSE,"96 Conservative";#N/A,#N/A,FALSE,"96 Possible"}</definedName>
    <definedName name="drf_2" hidden="1">{#N/A,#N/A,FALSE,"Balance Sheets";#N/A,#N/A,FALSE,"96 Conservative";#N/A,#N/A,FALSE,"96 Possible"}</definedName>
    <definedName name="drf_2_1" localSheetId="4" hidden="1">{#N/A,#N/A,FALSE,"Balance Sheets";#N/A,#N/A,FALSE,"96 Conservative";#N/A,#N/A,FALSE,"96 Possible"}</definedName>
    <definedName name="drf_2_1" localSheetId="2" hidden="1">{#N/A,#N/A,FALSE,"Balance Sheets";#N/A,#N/A,FALSE,"96 Conservative";#N/A,#N/A,FALSE,"96 Possible"}</definedName>
    <definedName name="drf_2_1" hidden="1">{#N/A,#N/A,FALSE,"Balance Sheets";#N/A,#N/A,FALSE,"96 Conservative";#N/A,#N/A,FALSE,"96 Possible"}</definedName>
    <definedName name="drf_3" localSheetId="4" hidden="1">{#N/A,#N/A,FALSE,"Balance Sheets";#N/A,#N/A,FALSE,"96 Conservative";#N/A,#N/A,FALSE,"96 Possible"}</definedName>
    <definedName name="drf_3" localSheetId="2" hidden="1">{#N/A,#N/A,FALSE,"Balance Sheets";#N/A,#N/A,FALSE,"96 Conservative";#N/A,#N/A,FALSE,"96 Possible"}</definedName>
    <definedName name="drf_3" hidden="1">{#N/A,#N/A,FALSE,"Balance Sheets";#N/A,#N/A,FALSE,"96 Conservative";#N/A,#N/A,FALSE,"96 Possible"}</definedName>
    <definedName name="ds">#REF!</definedName>
    <definedName name="DUES_SUBSCRIPTIONS" localSheetId="4">AGroup</definedName>
    <definedName name="DUES_SUBSCRIPTIONS" localSheetId="2">AGroup</definedName>
    <definedName name="DUES_SUBSCRIPTIONS">AGroup</definedName>
    <definedName name="e" localSheetId="3" hidden="1">{"FORNDV",#N/A,FALSE,"Sheet1"}</definedName>
    <definedName name="e" localSheetId="4" hidden="1">{"FORNDV",#N/A,FALSE,"Sheet1"}</definedName>
    <definedName name="e" localSheetId="2" hidden="1">{"FORNDV",#N/A,FALSE,"Sheet1"}</definedName>
    <definedName name="e" hidden="1">{"FORNDV",#N/A,FALSE,"Sheet1"}</definedName>
    <definedName name="e_1" localSheetId="4" hidden="1">{"FORNDV",#N/A,FALSE,"Sheet1"}</definedName>
    <definedName name="e_1" localSheetId="2" hidden="1">{"FORNDV",#N/A,FALSE,"Sheet1"}</definedName>
    <definedName name="e_1" hidden="1">{"FORNDV",#N/A,FALSE,"Sheet1"}</definedName>
    <definedName name="e_1_1" localSheetId="4" hidden="1">{"FORNDV",#N/A,FALSE,"Sheet1"}</definedName>
    <definedName name="e_1_1" localSheetId="2" hidden="1">{"FORNDV",#N/A,FALSE,"Sheet1"}</definedName>
    <definedName name="e_1_1" hidden="1">{"FORNDV",#N/A,FALSE,"Sheet1"}</definedName>
    <definedName name="e_2" localSheetId="4" hidden="1">{"FORNDV",#N/A,FALSE,"Sheet1"}</definedName>
    <definedName name="e_2" localSheetId="2" hidden="1">{"FORNDV",#N/A,FALSE,"Sheet1"}</definedName>
    <definedName name="e_2" hidden="1">{"FORNDV",#N/A,FALSE,"Sheet1"}</definedName>
    <definedName name="e_2_1" localSheetId="4" hidden="1">{"FORNDV",#N/A,FALSE,"Sheet1"}</definedName>
    <definedName name="e_2_1" localSheetId="2" hidden="1">{"FORNDV",#N/A,FALSE,"Sheet1"}</definedName>
    <definedName name="e_2_1" hidden="1">{"FORNDV",#N/A,FALSE,"Sheet1"}</definedName>
    <definedName name="e_3" localSheetId="4" hidden="1">{"FORNDV",#N/A,FALSE,"Sheet1"}</definedName>
    <definedName name="e_3" localSheetId="2" hidden="1">{"FORNDV",#N/A,FALSE,"Sheet1"}</definedName>
    <definedName name="e_3" hidden="1">{"FORNDV",#N/A,FALSE,"Sheet1"}</definedName>
    <definedName name="ed">#REF!</definedName>
    <definedName name="edf" localSheetId="4" hidden="1">{#N/A,#N/A,FALSE,"Balance Sheets";#N/A,#N/A,FALSE,"96 Conservative";#N/A,#N/A,FALSE,"96 Possible"}</definedName>
    <definedName name="edf" localSheetId="2" hidden="1">{#N/A,#N/A,FALSE,"Balance Sheets";#N/A,#N/A,FALSE,"96 Conservative";#N/A,#N/A,FALSE,"96 Possible"}</definedName>
    <definedName name="edf" hidden="1">{#N/A,#N/A,FALSE,"Balance Sheets";#N/A,#N/A,FALSE,"96 Conservative";#N/A,#N/A,FALSE,"96 Possible"}</definedName>
    <definedName name="edf_1" localSheetId="4" hidden="1">{#N/A,#N/A,FALSE,"Balance Sheets";#N/A,#N/A,FALSE,"96 Conservative";#N/A,#N/A,FALSE,"96 Possible"}</definedName>
    <definedName name="edf_1" localSheetId="2" hidden="1">{#N/A,#N/A,FALSE,"Balance Sheets";#N/A,#N/A,FALSE,"96 Conservative";#N/A,#N/A,FALSE,"96 Possible"}</definedName>
    <definedName name="edf_1" hidden="1">{#N/A,#N/A,FALSE,"Balance Sheets";#N/A,#N/A,FALSE,"96 Conservative";#N/A,#N/A,FALSE,"96 Possible"}</definedName>
    <definedName name="edf_1_1" localSheetId="4" hidden="1">{#N/A,#N/A,FALSE,"Balance Sheets";#N/A,#N/A,FALSE,"96 Conservative";#N/A,#N/A,FALSE,"96 Possible"}</definedName>
    <definedName name="edf_1_1" localSheetId="2" hidden="1">{#N/A,#N/A,FALSE,"Balance Sheets";#N/A,#N/A,FALSE,"96 Conservative";#N/A,#N/A,FALSE,"96 Possible"}</definedName>
    <definedName name="edf_1_1" hidden="1">{#N/A,#N/A,FALSE,"Balance Sheets";#N/A,#N/A,FALSE,"96 Conservative";#N/A,#N/A,FALSE,"96 Possible"}</definedName>
    <definedName name="edf_2" localSheetId="4" hidden="1">{#N/A,#N/A,FALSE,"Balance Sheets";#N/A,#N/A,FALSE,"96 Conservative";#N/A,#N/A,FALSE,"96 Possible"}</definedName>
    <definedName name="edf_2" localSheetId="2" hidden="1">{#N/A,#N/A,FALSE,"Balance Sheets";#N/A,#N/A,FALSE,"96 Conservative";#N/A,#N/A,FALSE,"96 Possible"}</definedName>
    <definedName name="edf_2" hidden="1">{#N/A,#N/A,FALSE,"Balance Sheets";#N/A,#N/A,FALSE,"96 Conservative";#N/A,#N/A,FALSE,"96 Possible"}</definedName>
    <definedName name="edf_2_1" localSheetId="4" hidden="1">{#N/A,#N/A,FALSE,"Balance Sheets";#N/A,#N/A,FALSE,"96 Conservative";#N/A,#N/A,FALSE,"96 Possible"}</definedName>
    <definedName name="edf_2_1" localSheetId="2" hidden="1">{#N/A,#N/A,FALSE,"Balance Sheets";#N/A,#N/A,FALSE,"96 Conservative";#N/A,#N/A,FALSE,"96 Possible"}</definedName>
    <definedName name="edf_2_1" hidden="1">{#N/A,#N/A,FALSE,"Balance Sheets";#N/A,#N/A,FALSE,"96 Conservative";#N/A,#N/A,FALSE,"96 Possible"}</definedName>
    <definedName name="edf_3" localSheetId="4" hidden="1">{#N/A,#N/A,FALSE,"Balance Sheets";#N/A,#N/A,FALSE,"96 Conservative";#N/A,#N/A,FALSE,"96 Possible"}</definedName>
    <definedName name="edf_3" localSheetId="2" hidden="1">{#N/A,#N/A,FALSE,"Balance Sheets";#N/A,#N/A,FALSE,"96 Conservative";#N/A,#N/A,FALSE,"96 Possible"}</definedName>
    <definedName name="edf_3" hidden="1">{#N/A,#N/A,FALSE,"Balance Sheets";#N/A,#N/A,FALSE,"96 Conservative";#N/A,#N/A,FALSE,"96 Possible"}</definedName>
    <definedName name="EE">#REF!</definedName>
    <definedName name="eins">#REF!</definedName>
    <definedName name="Entity">#REF!</definedName>
    <definedName name="EntityArray">#REF!</definedName>
    <definedName name="equity">#REF!</definedName>
    <definedName name="EssAccessories">#REF!</definedName>
    <definedName name="EssConsumable">#REF!</definedName>
    <definedName name="EssInstrument">#REF!</definedName>
    <definedName name="EssInstrumentAUP">#REF!</definedName>
    <definedName name="EssInstrumentMix">#REF!</definedName>
    <definedName name="EssService">#REF!</definedName>
    <definedName name="EssSoftware">#REF!</definedName>
    <definedName name="EssSummary">#REF!</definedName>
    <definedName name="EssSummByProd">#REF!</definedName>
    <definedName name="EssTestingResearch">#REF!</definedName>
    <definedName name="eur2003avg">#REF!</definedName>
    <definedName name="eurbud">#REF!</definedName>
    <definedName name="f" localSheetId="3" hidden="1">{#N/A,#N/A,FALSE,"Balance Sheets";#N/A,#N/A,FALSE,"96 Conservative";#N/A,#N/A,FALSE,"96 Possible"}</definedName>
    <definedName name="f" localSheetId="4" hidden="1">{#N/A,#N/A,FALSE,"Balance Sheets";#N/A,#N/A,FALSE,"96 Conservative";#N/A,#N/A,FALSE,"96 Possible"}</definedName>
    <definedName name="f" localSheetId="2" hidden="1">{#N/A,#N/A,FALSE,"Balance Sheets";#N/A,#N/A,FALSE,"96 Conservative";#N/A,#N/A,FALSE,"96 Possible"}</definedName>
    <definedName name="f" hidden="1">{#N/A,#N/A,FALSE,"Balance Sheets";#N/A,#N/A,FALSE,"96 Conservative";#N/A,#N/A,FALSE,"96 Possible"}</definedName>
    <definedName name="f_1" localSheetId="4" hidden="1">{#N/A,#N/A,FALSE,"Balance Sheets";#N/A,#N/A,FALSE,"96 Conservative";#N/A,#N/A,FALSE,"96 Possible"}</definedName>
    <definedName name="f_1" localSheetId="2" hidden="1">{#N/A,#N/A,FALSE,"Balance Sheets";#N/A,#N/A,FALSE,"96 Conservative";#N/A,#N/A,FALSE,"96 Possible"}</definedName>
    <definedName name="f_1" hidden="1">{#N/A,#N/A,FALSE,"Balance Sheets";#N/A,#N/A,FALSE,"96 Conservative";#N/A,#N/A,FALSE,"96 Possible"}</definedName>
    <definedName name="f_1_1" localSheetId="4" hidden="1">{#N/A,#N/A,FALSE,"Balance Sheets";#N/A,#N/A,FALSE,"96 Conservative";#N/A,#N/A,FALSE,"96 Possible"}</definedName>
    <definedName name="f_1_1" localSheetId="2" hidden="1">{#N/A,#N/A,FALSE,"Balance Sheets";#N/A,#N/A,FALSE,"96 Conservative";#N/A,#N/A,FALSE,"96 Possible"}</definedName>
    <definedName name="f_1_1" hidden="1">{#N/A,#N/A,FALSE,"Balance Sheets";#N/A,#N/A,FALSE,"96 Conservative";#N/A,#N/A,FALSE,"96 Possible"}</definedName>
    <definedName name="f_2" localSheetId="4" hidden="1">{#N/A,#N/A,FALSE,"Balance Sheets";#N/A,#N/A,FALSE,"96 Conservative";#N/A,#N/A,FALSE,"96 Possible"}</definedName>
    <definedName name="f_2" localSheetId="2" hidden="1">{#N/A,#N/A,FALSE,"Balance Sheets";#N/A,#N/A,FALSE,"96 Conservative";#N/A,#N/A,FALSE,"96 Possible"}</definedName>
    <definedName name="f_2" hidden="1">{#N/A,#N/A,FALSE,"Balance Sheets";#N/A,#N/A,FALSE,"96 Conservative";#N/A,#N/A,FALSE,"96 Possible"}</definedName>
    <definedName name="f_2_1" localSheetId="4" hidden="1">{#N/A,#N/A,FALSE,"Balance Sheets";#N/A,#N/A,FALSE,"96 Conservative";#N/A,#N/A,FALSE,"96 Possible"}</definedName>
    <definedName name="f_2_1" localSheetId="2" hidden="1">{#N/A,#N/A,FALSE,"Balance Sheets";#N/A,#N/A,FALSE,"96 Conservative";#N/A,#N/A,FALSE,"96 Possible"}</definedName>
    <definedName name="f_2_1" hidden="1">{#N/A,#N/A,FALSE,"Balance Sheets";#N/A,#N/A,FALSE,"96 Conservative";#N/A,#N/A,FALSE,"96 Possible"}</definedName>
    <definedName name="f_3" localSheetId="4" hidden="1">{#N/A,#N/A,FALSE,"Balance Sheets";#N/A,#N/A,FALSE,"96 Conservative";#N/A,#N/A,FALSE,"96 Possible"}</definedName>
    <definedName name="f_3" localSheetId="2" hidden="1">{#N/A,#N/A,FALSE,"Balance Sheets";#N/A,#N/A,FALSE,"96 Conservative";#N/A,#N/A,FALSE,"96 Possible"}</definedName>
    <definedName name="f_3" hidden="1">{#N/A,#N/A,FALSE,"Balance Sheets";#N/A,#N/A,FALSE,"96 Conservative";#N/A,#N/A,FALSE,"96 Possible"}</definedName>
    <definedName name="fdd">#REF!</definedName>
    <definedName name="fds">#REF!</definedName>
    <definedName name="febcnyavg">#REF!</definedName>
    <definedName name="febcnyend">#REF!</definedName>
    <definedName name="febeuroavg">#REF!</definedName>
    <definedName name="febeuroend">#REF!</definedName>
    <definedName name="febgbpavg">#REF!</definedName>
    <definedName name="febgbpend">#REF!</definedName>
    <definedName name="febjpyavg">#REF!</definedName>
    <definedName name="febjpyend">#REF!</definedName>
    <definedName name="fgt" localSheetId="4" hidden="1">{"FORNDV",#N/A,FALSE,"Sheet1"}</definedName>
    <definedName name="fgt" localSheetId="2" hidden="1">{"FORNDV",#N/A,FALSE,"Sheet1"}</definedName>
    <definedName name="fgt" hidden="1">{"FORNDV",#N/A,FALSE,"Sheet1"}</definedName>
    <definedName name="fgt_1" localSheetId="4" hidden="1">{"FORNDV",#N/A,FALSE,"Sheet1"}</definedName>
    <definedName name="fgt_1" localSheetId="2" hidden="1">{"FORNDV",#N/A,FALSE,"Sheet1"}</definedName>
    <definedName name="fgt_1" hidden="1">{"FORNDV",#N/A,FALSE,"Sheet1"}</definedName>
    <definedName name="fgt_1_1" localSheetId="4" hidden="1">{"FORNDV",#N/A,FALSE,"Sheet1"}</definedName>
    <definedName name="fgt_1_1" localSheetId="2" hidden="1">{"FORNDV",#N/A,FALSE,"Sheet1"}</definedName>
    <definedName name="fgt_1_1" hidden="1">{"FORNDV",#N/A,FALSE,"Sheet1"}</definedName>
    <definedName name="fgt_2" localSheetId="4" hidden="1">{"FORNDV",#N/A,FALSE,"Sheet1"}</definedName>
    <definedName name="fgt_2" localSheetId="2" hidden="1">{"FORNDV",#N/A,FALSE,"Sheet1"}</definedName>
    <definedName name="fgt_2" hidden="1">{"FORNDV",#N/A,FALSE,"Sheet1"}</definedName>
    <definedName name="fgt_2_1" localSheetId="4" hidden="1">{"FORNDV",#N/A,FALSE,"Sheet1"}</definedName>
    <definedName name="fgt_2_1" localSheetId="2" hidden="1">{"FORNDV",#N/A,FALSE,"Sheet1"}</definedName>
    <definedName name="fgt_2_1" hidden="1">{"FORNDV",#N/A,FALSE,"Sheet1"}</definedName>
    <definedName name="fgt_3" localSheetId="4" hidden="1">{"FORNDV",#N/A,FALSE,"Sheet1"}</definedName>
    <definedName name="fgt_3" localSheetId="2" hidden="1">{"FORNDV",#N/A,FALSE,"Sheet1"}</definedName>
    <definedName name="fgt_3" hidden="1">{"FORNDV",#N/A,FALSE,"Sheet1"}</definedName>
    <definedName name="fhh" localSheetId="3" hidden="1">{#N/A,#N/A,FALSE,"Balance Sheets";#N/A,#N/A,FALSE,"96 Conservative";#N/A,#N/A,FALSE,"96 Possible"}</definedName>
    <definedName name="fhh" localSheetId="4" hidden="1">{#N/A,#N/A,FALSE,"Balance Sheets";#N/A,#N/A,FALSE,"96 Conservative";#N/A,#N/A,FALSE,"96 Possible"}</definedName>
    <definedName name="fhh" localSheetId="2" hidden="1">{#N/A,#N/A,FALSE,"Balance Sheets";#N/A,#N/A,FALSE,"96 Conservative";#N/A,#N/A,FALSE,"96 Possible"}</definedName>
    <definedName name="fhh" hidden="1">{#N/A,#N/A,FALSE,"Balance Sheets";#N/A,#N/A,FALSE,"96 Conservative";#N/A,#N/A,FALSE,"96 Possible"}</definedName>
    <definedName name="fhh_1" localSheetId="4" hidden="1">{#N/A,#N/A,FALSE,"Balance Sheets";#N/A,#N/A,FALSE,"96 Conservative";#N/A,#N/A,FALSE,"96 Possible"}</definedName>
    <definedName name="fhh_1" localSheetId="2" hidden="1">{#N/A,#N/A,FALSE,"Balance Sheets";#N/A,#N/A,FALSE,"96 Conservative";#N/A,#N/A,FALSE,"96 Possible"}</definedName>
    <definedName name="fhh_1" hidden="1">{#N/A,#N/A,FALSE,"Balance Sheets";#N/A,#N/A,FALSE,"96 Conservative";#N/A,#N/A,FALSE,"96 Possible"}</definedName>
    <definedName name="fhh_1_1" localSheetId="4" hidden="1">{#N/A,#N/A,FALSE,"Balance Sheets";#N/A,#N/A,FALSE,"96 Conservative";#N/A,#N/A,FALSE,"96 Possible"}</definedName>
    <definedName name="fhh_1_1" localSheetId="2" hidden="1">{#N/A,#N/A,FALSE,"Balance Sheets";#N/A,#N/A,FALSE,"96 Conservative";#N/A,#N/A,FALSE,"96 Possible"}</definedName>
    <definedName name="fhh_1_1" hidden="1">{#N/A,#N/A,FALSE,"Balance Sheets";#N/A,#N/A,FALSE,"96 Conservative";#N/A,#N/A,FALSE,"96 Possible"}</definedName>
    <definedName name="fhh_2" localSheetId="4" hidden="1">{#N/A,#N/A,FALSE,"Balance Sheets";#N/A,#N/A,FALSE,"96 Conservative";#N/A,#N/A,FALSE,"96 Possible"}</definedName>
    <definedName name="fhh_2" localSheetId="2" hidden="1">{#N/A,#N/A,FALSE,"Balance Sheets";#N/A,#N/A,FALSE,"96 Conservative";#N/A,#N/A,FALSE,"96 Possible"}</definedName>
    <definedName name="fhh_2" hidden="1">{#N/A,#N/A,FALSE,"Balance Sheets";#N/A,#N/A,FALSE,"96 Conservative";#N/A,#N/A,FALSE,"96 Possible"}</definedName>
    <definedName name="fhh_2_1" localSheetId="4" hidden="1">{#N/A,#N/A,FALSE,"Balance Sheets";#N/A,#N/A,FALSE,"96 Conservative";#N/A,#N/A,FALSE,"96 Possible"}</definedName>
    <definedName name="fhh_2_1" localSheetId="2" hidden="1">{#N/A,#N/A,FALSE,"Balance Sheets";#N/A,#N/A,FALSE,"96 Conservative";#N/A,#N/A,FALSE,"96 Possible"}</definedName>
    <definedName name="fhh_2_1" hidden="1">{#N/A,#N/A,FALSE,"Balance Sheets";#N/A,#N/A,FALSE,"96 Conservative";#N/A,#N/A,FALSE,"96 Possible"}</definedName>
    <definedName name="fhh_3" localSheetId="4" hidden="1">{#N/A,#N/A,FALSE,"Balance Sheets";#N/A,#N/A,FALSE,"96 Conservative";#N/A,#N/A,FALSE,"96 Possible"}</definedName>
    <definedName name="fhh_3" localSheetId="2" hidden="1">{#N/A,#N/A,FALSE,"Balance Sheets";#N/A,#N/A,FALSE,"96 Conservative";#N/A,#N/A,FALSE,"96 Possible"}</definedName>
    <definedName name="fhh_3" hidden="1">{#N/A,#N/A,FALSE,"Balance Sheets";#N/A,#N/A,FALSE,"96 Conservative";#N/A,#N/A,FALSE,"96 Possible"}</definedName>
    <definedName name="figy" localSheetId="4" hidden="1">{#N/A,#N/A,FALSE,"Balance Sheets";#N/A,#N/A,FALSE,"96 Conservative";#N/A,#N/A,FALSE,"96 Possible"}</definedName>
    <definedName name="figy" localSheetId="2" hidden="1">{#N/A,#N/A,FALSE,"Balance Sheets";#N/A,#N/A,FALSE,"96 Conservative";#N/A,#N/A,FALSE,"96 Possible"}</definedName>
    <definedName name="figy" hidden="1">{#N/A,#N/A,FALSE,"Balance Sheets";#N/A,#N/A,FALSE,"96 Conservative";#N/A,#N/A,FALSE,"96 Possible"}</definedName>
    <definedName name="figy_1" localSheetId="4" hidden="1">{#N/A,#N/A,FALSE,"Balance Sheets";#N/A,#N/A,FALSE,"96 Conservative";#N/A,#N/A,FALSE,"96 Possible"}</definedName>
    <definedName name="figy_1" localSheetId="2" hidden="1">{#N/A,#N/A,FALSE,"Balance Sheets";#N/A,#N/A,FALSE,"96 Conservative";#N/A,#N/A,FALSE,"96 Possible"}</definedName>
    <definedName name="figy_1" hidden="1">{#N/A,#N/A,FALSE,"Balance Sheets";#N/A,#N/A,FALSE,"96 Conservative";#N/A,#N/A,FALSE,"96 Possible"}</definedName>
    <definedName name="figy_1_1" localSheetId="4" hidden="1">{#N/A,#N/A,FALSE,"Balance Sheets";#N/A,#N/A,FALSE,"96 Conservative";#N/A,#N/A,FALSE,"96 Possible"}</definedName>
    <definedName name="figy_1_1" localSheetId="2" hidden="1">{#N/A,#N/A,FALSE,"Balance Sheets";#N/A,#N/A,FALSE,"96 Conservative";#N/A,#N/A,FALSE,"96 Possible"}</definedName>
    <definedName name="figy_1_1" hidden="1">{#N/A,#N/A,FALSE,"Balance Sheets";#N/A,#N/A,FALSE,"96 Conservative";#N/A,#N/A,FALSE,"96 Possible"}</definedName>
    <definedName name="figy_2" localSheetId="4" hidden="1">{#N/A,#N/A,FALSE,"Balance Sheets";#N/A,#N/A,FALSE,"96 Conservative";#N/A,#N/A,FALSE,"96 Possible"}</definedName>
    <definedName name="figy_2" localSheetId="2" hidden="1">{#N/A,#N/A,FALSE,"Balance Sheets";#N/A,#N/A,FALSE,"96 Conservative";#N/A,#N/A,FALSE,"96 Possible"}</definedName>
    <definedName name="figy_2" hidden="1">{#N/A,#N/A,FALSE,"Balance Sheets";#N/A,#N/A,FALSE,"96 Conservative";#N/A,#N/A,FALSE,"96 Possible"}</definedName>
    <definedName name="figy_2_1" localSheetId="4" hidden="1">{#N/A,#N/A,FALSE,"Balance Sheets";#N/A,#N/A,FALSE,"96 Conservative";#N/A,#N/A,FALSE,"96 Possible"}</definedName>
    <definedName name="figy_2_1" localSheetId="2" hidden="1">{#N/A,#N/A,FALSE,"Balance Sheets";#N/A,#N/A,FALSE,"96 Conservative";#N/A,#N/A,FALSE,"96 Possible"}</definedName>
    <definedName name="figy_2_1" hidden="1">{#N/A,#N/A,FALSE,"Balance Sheets";#N/A,#N/A,FALSE,"96 Conservative";#N/A,#N/A,FALSE,"96 Possible"}</definedName>
    <definedName name="figy_3" localSheetId="4" hidden="1">{#N/A,#N/A,FALSE,"Balance Sheets";#N/A,#N/A,FALSE,"96 Conservative";#N/A,#N/A,FALSE,"96 Possible"}</definedName>
    <definedName name="figy_3" localSheetId="2" hidden="1">{#N/A,#N/A,FALSE,"Balance Sheets";#N/A,#N/A,FALSE,"96 Conservative";#N/A,#N/A,FALSE,"96 Possible"}</definedName>
    <definedName name="figy_3" hidden="1">{#N/A,#N/A,FALSE,"Balance Sheets";#N/A,#N/A,FALSE,"96 Conservative";#N/A,#N/A,FALSE,"96 Possible"}</definedName>
    <definedName name="FIN4.644317">#REF!</definedName>
    <definedName name="FinancialYear">#REF!</definedName>
    <definedName name="Forecast">#REF!</definedName>
    <definedName name="Foreign">#REF!</definedName>
    <definedName name="FORM_1.RECORD">#REF!</definedName>
    <definedName name="FRINGE">0.2225</definedName>
    <definedName name="ftghy" localSheetId="4" hidden="1">{#N/A,#N/A,FALSE,"SMT1";#N/A,#N/A,FALSE,"SMT2";#N/A,#N/A,FALSE,"Summary";#N/A,#N/A,FALSE,"Graphs";#N/A,#N/A,FALSE,"4 Panel"}</definedName>
    <definedName name="ftghy" localSheetId="2" hidden="1">{#N/A,#N/A,FALSE,"SMT1";#N/A,#N/A,FALSE,"SMT2";#N/A,#N/A,FALSE,"Summary";#N/A,#N/A,FALSE,"Graphs";#N/A,#N/A,FALSE,"4 Panel"}</definedName>
    <definedName name="ftghy" hidden="1">{#N/A,#N/A,FALSE,"SMT1";#N/A,#N/A,FALSE,"SMT2";#N/A,#N/A,FALSE,"Summary";#N/A,#N/A,FALSE,"Graphs";#N/A,#N/A,FALSE,"4 Panel"}</definedName>
    <definedName name="ftghy_1" localSheetId="4" hidden="1">{#N/A,#N/A,FALSE,"SMT1";#N/A,#N/A,FALSE,"SMT2";#N/A,#N/A,FALSE,"Summary";#N/A,#N/A,FALSE,"Graphs";#N/A,#N/A,FALSE,"4 Panel"}</definedName>
    <definedName name="ftghy_1" localSheetId="2" hidden="1">{#N/A,#N/A,FALSE,"SMT1";#N/A,#N/A,FALSE,"SMT2";#N/A,#N/A,FALSE,"Summary";#N/A,#N/A,FALSE,"Graphs";#N/A,#N/A,FALSE,"4 Panel"}</definedName>
    <definedName name="ftghy_1" hidden="1">{#N/A,#N/A,FALSE,"SMT1";#N/A,#N/A,FALSE,"SMT2";#N/A,#N/A,FALSE,"Summary";#N/A,#N/A,FALSE,"Graphs";#N/A,#N/A,FALSE,"4 Panel"}</definedName>
    <definedName name="ftghy_1_1" localSheetId="4" hidden="1">{#N/A,#N/A,FALSE,"SMT1";#N/A,#N/A,FALSE,"SMT2";#N/A,#N/A,FALSE,"Summary";#N/A,#N/A,FALSE,"Graphs";#N/A,#N/A,FALSE,"4 Panel"}</definedName>
    <definedName name="ftghy_1_1" localSheetId="2" hidden="1">{#N/A,#N/A,FALSE,"SMT1";#N/A,#N/A,FALSE,"SMT2";#N/A,#N/A,FALSE,"Summary";#N/A,#N/A,FALSE,"Graphs";#N/A,#N/A,FALSE,"4 Panel"}</definedName>
    <definedName name="ftghy_1_1" hidden="1">{#N/A,#N/A,FALSE,"SMT1";#N/A,#N/A,FALSE,"SMT2";#N/A,#N/A,FALSE,"Summary";#N/A,#N/A,FALSE,"Graphs";#N/A,#N/A,FALSE,"4 Panel"}</definedName>
    <definedName name="ftghy_2" localSheetId="4" hidden="1">{#N/A,#N/A,FALSE,"SMT1";#N/A,#N/A,FALSE,"SMT2";#N/A,#N/A,FALSE,"Summary";#N/A,#N/A,FALSE,"Graphs";#N/A,#N/A,FALSE,"4 Panel"}</definedName>
    <definedName name="ftghy_2" localSheetId="2" hidden="1">{#N/A,#N/A,FALSE,"SMT1";#N/A,#N/A,FALSE,"SMT2";#N/A,#N/A,FALSE,"Summary";#N/A,#N/A,FALSE,"Graphs";#N/A,#N/A,FALSE,"4 Panel"}</definedName>
    <definedName name="ftghy_2" hidden="1">{#N/A,#N/A,FALSE,"SMT1";#N/A,#N/A,FALSE,"SMT2";#N/A,#N/A,FALSE,"Summary";#N/A,#N/A,FALSE,"Graphs";#N/A,#N/A,FALSE,"4 Panel"}</definedName>
    <definedName name="ftghy_2_1" localSheetId="4" hidden="1">{#N/A,#N/A,FALSE,"SMT1";#N/A,#N/A,FALSE,"SMT2";#N/A,#N/A,FALSE,"Summary";#N/A,#N/A,FALSE,"Graphs";#N/A,#N/A,FALSE,"4 Panel"}</definedName>
    <definedName name="ftghy_2_1" localSheetId="2" hidden="1">{#N/A,#N/A,FALSE,"SMT1";#N/A,#N/A,FALSE,"SMT2";#N/A,#N/A,FALSE,"Summary";#N/A,#N/A,FALSE,"Graphs";#N/A,#N/A,FALSE,"4 Panel"}</definedName>
    <definedName name="ftghy_2_1" hidden="1">{#N/A,#N/A,FALSE,"SMT1";#N/A,#N/A,FALSE,"SMT2";#N/A,#N/A,FALSE,"Summary";#N/A,#N/A,FALSE,"Graphs";#N/A,#N/A,FALSE,"4 Panel"}</definedName>
    <definedName name="ftghy_3" localSheetId="4" hidden="1">{#N/A,#N/A,FALSE,"SMT1";#N/A,#N/A,FALSE,"SMT2";#N/A,#N/A,FALSE,"Summary";#N/A,#N/A,FALSE,"Graphs";#N/A,#N/A,FALSE,"4 Panel"}</definedName>
    <definedName name="ftghy_3" localSheetId="2" hidden="1">{#N/A,#N/A,FALSE,"SMT1";#N/A,#N/A,FALSE,"SMT2";#N/A,#N/A,FALSE,"Summary";#N/A,#N/A,FALSE,"Graphs";#N/A,#N/A,FALSE,"4 Panel"}</definedName>
    <definedName name="ftghy_3" hidden="1">{#N/A,#N/A,FALSE,"SMT1";#N/A,#N/A,FALSE,"SMT2";#N/A,#N/A,FALSE,"Summary";#N/A,#N/A,FALSE,"Graphs";#N/A,#N/A,FALSE,"4 Panel"}</definedName>
    <definedName name="FY00Act">#REF!</definedName>
    <definedName name="FY01Act">#REF!</definedName>
    <definedName name="FY01Bud">#REF!</definedName>
    <definedName name="FY01Fcst">#REF!</definedName>
    <definedName name="FY02Act">#REF!</definedName>
    <definedName name="FY02Bud">#REF!</definedName>
    <definedName name="FY02Fcst">#REF!</definedName>
    <definedName name="FY03Act">#REF!</definedName>
    <definedName name="FY03Bud">#REF!</definedName>
    <definedName name="FY03Fcst">#REF!</definedName>
    <definedName name="g" localSheetId="3" hidden="1">{#N/A,#N/A,FALSE,"Balance Sheets";#N/A,#N/A,FALSE,"96 Conservative";#N/A,#N/A,FALSE,"96 Possible"}</definedName>
    <definedName name="g" localSheetId="4" hidden="1">{#N/A,#N/A,FALSE,"Balance Sheets";#N/A,#N/A,FALSE,"96 Conservative";#N/A,#N/A,FALSE,"96 Possible"}</definedName>
    <definedName name="g" localSheetId="2" hidden="1">{#N/A,#N/A,FALSE,"Balance Sheets";#N/A,#N/A,FALSE,"96 Conservative";#N/A,#N/A,FALSE,"96 Possible"}</definedName>
    <definedName name="g" hidden="1">{#N/A,#N/A,FALSE,"Balance Sheets";#N/A,#N/A,FALSE,"96 Conservative";#N/A,#N/A,FALSE,"96 Possible"}</definedName>
    <definedName name="g_1" localSheetId="4" hidden="1">{#N/A,#N/A,FALSE,"Balance Sheets";#N/A,#N/A,FALSE,"96 Conservative";#N/A,#N/A,FALSE,"96 Possible"}</definedName>
    <definedName name="g_1" localSheetId="2" hidden="1">{#N/A,#N/A,FALSE,"Balance Sheets";#N/A,#N/A,FALSE,"96 Conservative";#N/A,#N/A,FALSE,"96 Possible"}</definedName>
    <definedName name="g_1" hidden="1">{#N/A,#N/A,FALSE,"Balance Sheets";#N/A,#N/A,FALSE,"96 Conservative";#N/A,#N/A,FALSE,"96 Possible"}</definedName>
    <definedName name="g_1_1" localSheetId="4" hidden="1">{#N/A,#N/A,FALSE,"Balance Sheets";#N/A,#N/A,FALSE,"96 Conservative";#N/A,#N/A,FALSE,"96 Possible"}</definedName>
    <definedName name="g_1_1" localSheetId="2" hidden="1">{#N/A,#N/A,FALSE,"Balance Sheets";#N/A,#N/A,FALSE,"96 Conservative";#N/A,#N/A,FALSE,"96 Possible"}</definedName>
    <definedName name="g_1_1" hidden="1">{#N/A,#N/A,FALSE,"Balance Sheets";#N/A,#N/A,FALSE,"96 Conservative";#N/A,#N/A,FALSE,"96 Possible"}</definedName>
    <definedName name="g_2" localSheetId="4" hidden="1">{#N/A,#N/A,FALSE,"Balance Sheets";#N/A,#N/A,FALSE,"96 Conservative";#N/A,#N/A,FALSE,"96 Possible"}</definedName>
    <definedName name="g_2" localSheetId="2" hidden="1">{#N/A,#N/A,FALSE,"Balance Sheets";#N/A,#N/A,FALSE,"96 Conservative";#N/A,#N/A,FALSE,"96 Possible"}</definedName>
    <definedName name="g_2" hidden="1">{#N/A,#N/A,FALSE,"Balance Sheets";#N/A,#N/A,FALSE,"96 Conservative";#N/A,#N/A,FALSE,"96 Possible"}</definedName>
    <definedName name="g_2_1" localSheetId="4" hidden="1">{#N/A,#N/A,FALSE,"Balance Sheets";#N/A,#N/A,FALSE,"96 Conservative";#N/A,#N/A,FALSE,"96 Possible"}</definedName>
    <definedName name="g_2_1" localSheetId="2" hidden="1">{#N/A,#N/A,FALSE,"Balance Sheets";#N/A,#N/A,FALSE,"96 Conservative";#N/A,#N/A,FALSE,"96 Possible"}</definedName>
    <definedName name="g_2_1" hidden="1">{#N/A,#N/A,FALSE,"Balance Sheets";#N/A,#N/A,FALSE,"96 Conservative";#N/A,#N/A,FALSE,"96 Possible"}</definedName>
    <definedName name="g_3" localSheetId="4" hidden="1">{#N/A,#N/A,FALSE,"Balance Sheets";#N/A,#N/A,FALSE,"96 Conservative";#N/A,#N/A,FALSE,"96 Possible"}</definedName>
    <definedName name="g_3" localSheetId="2" hidden="1">{#N/A,#N/A,FALSE,"Balance Sheets";#N/A,#N/A,FALSE,"96 Conservative";#N/A,#N/A,FALSE,"96 Possible"}</definedName>
    <definedName name="g_3" hidden="1">{#N/A,#N/A,FALSE,"Balance Sheets";#N/A,#N/A,FALSE,"96 Conservative";#N/A,#N/A,FALSE,"96 Possible"}</definedName>
    <definedName name="gbp2003avg">#REF!</definedName>
    <definedName name="gbpbud">#REF!</definedName>
    <definedName name="gdfd">#REF!</definedName>
    <definedName name="gge">#REF!</definedName>
    <definedName name="ghiu" localSheetId="4" hidden="1">{#N/A,#N/A,FALSE,"Balance Sheets";#N/A,#N/A,FALSE,"96 Conservative";#N/A,#N/A,FALSE,"96 Possible"}</definedName>
    <definedName name="ghiu" localSheetId="2" hidden="1">{#N/A,#N/A,FALSE,"Balance Sheets";#N/A,#N/A,FALSE,"96 Conservative";#N/A,#N/A,FALSE,"96 Possible"}</definedName>
    <definedName name="ghiu" hidden="1">{#N/A,#N/A,FALSE,"Balance Sheets";#N/A,#N/A,FALSE,"96 Conservative";#N/A,#N/A,FALSE,"96 Possible"}</definedName>
    <definedName name="ghiu_1" localSheetId="4" hidden="1">{#N/A,#N/A,FALSE,"Balance Sheets";#N/A,#N/A,FALSE,"96 Conservative";#N/A,#N/A,FALSE,"96 Possible"}</definedName>
    <definedName name="ghiu_1" localSheetId="2" hidden="1">{#N/A,#N/A,FALSE,"Balance Sheets";#N/A,#N/A,FALSE,"96 Conservative";#N/A,#N/A,FALSE,"96 Possible"}</definedName>
    <definedName name="ghiu_1" hidden="1">{#N/A,#N/A,FALSE,"Balance Sheets";#N/A,#N/A,FALSE,"96 Conservative";#N/A,#N/A,FALSE,"96 Possible"}</definedName>
    <definedName name="ghiu_1_1" localSheetId="4" hidden="1">{#N/A,#N/A,FALSE,"Balance Sheets";#N/A,#N/A,FALSE,"96 Conservative";#N/A,#N/A,FALSE,"96 Possible"}</definedName>
    <definedName name="ghiu_1_1" localSheetId="2" hidden="1">{#N/A,#N/A,FALSE,"Balance Sheets";#N/A,#N/A,FALSE,"96 Conservative";#N/A,#N/A,FALSE,"96 Possible"}</definedName>
    <definedName name="ghiu_1_1" hidden="1">{#N/A,#N/A,FALSE,"Balance Sheets";#N/A,#N/A,FALSE,"96 Conservative";#N/A,#N/A,FALSE,"96 Possible"}</definedName>
    <definedName name="ghiu_2" localSheetId="4" hidden="1">{#N/A,#N/A,FALSE,"Balance Sheets";#N/A,#N/A,FALSE,"96 Conservative";#N/A,#N/A,FALSE,"96 Possible"}</definedName>
    <definedName name="ghiu_2" localSheetId="2" hidden="1">{#N/A,#N/A,FALSE,"Balance Sheets";#N/A,#N/A,FALSE,"96 Conservative";#N/A,#N/A,FALSE,"96 Possible"}</definedName>
    <definedName name="ghiu_2" hidden="1">{#N/A,#N/A,FALSE,"Balance Sheets";#N/A,#N/A,FALSE,"96 Conservative";#N/A,#N/A,FALSE,"96 Possible"}</definedName>
    <definedName name="ghiu_2_1" localSheetId="4" hidden="1">{#N/A,#N/A,FALSE,"Balance Sheets";#N/A,#N/A,FALSE,"96 Conservative";#N/A,#N/A,FALSE,"96 Possible"}</definedName>
    <definedName name="ghiu_2_1" localSheetId="2" hidden="1">{#N/A,#N/A,FALSE,"Balance Sheets";#N/A,#N/A,FALSE,"96 Conservative";#N/A,#N/A,FALSE,"96 Possible"}</definedName>
    <definedName name="ghiu_2_1" hidden="1">{#N/A,#N/A,FALSE,"Balance Sheets";#N/A,#N/A,FALSE,"96 Conservative";#N/A,#N/A,FALSE,"96 Possible"}</definedName>
    <definedName name="ghiu_3" localSheetId="4" hidden="1">{#N/A,#N/A,FALSE,"Balance Sheets";#N/A,#N/A,FALSE,"96 Conservative";#N/A,#N/A,FALSE,"96 Possible"}</definedName>
    <definedName name="ghiu_3" localSheetId="2" hidden="1">{#N/A,#N/A,FALSE,"Balance Sheets";#N/A,#N/A,FALSE,"96 Conservative";#N/A,#N/A,FALSE,"96 Possible"}</definedName>
    <definedName name="ghiu_3" hidden="1">{#N/A,#N/A,FALSE,"Balance Sheets";#N/A,#N/A,FALSE,"96 Conservative";#N/A,#N/A,FALSE,"96 Possible"}</definedName>
    <definedName name="gift" localSheetId="4" hidden="1">{#N/A,#N/A,FALSE,"Balance Sheets";#N/A,#N/A,FALSE,"96 Conservative";#N/A,#N/A,FALSE,"96 Possible"}</definedName>
    <definedName name="gift" localSheetId="2" hidden="1">{#N/A,#N/A,FALSE,"Balance Sheets";#N/A,#N/A,FALSE,"96 Conservative";#N/A,#N/A,FALSE,"96 Possible"}</definedName>
    <definedName name="gift" hidden="1">{#N/A,#N/A,FALSE,"Balance Sheets";#N/A,#N/A,FALSE,"96 Conservative";#N/A,#N/A,FALSE,"96 Possible"}</definedName>
    <definedName name="gift_1" localSheetId="4" hidden="1">{#N/A,#N/A,FALSE,"Balance Sheets";#N/A,#N/A,FALSE,"96 Conservative";#N/A,#N/A,FALSE,"96 Possible"}</definedName>
    <definedName name="gift_1" localSheetId="2" hidden="1">{#N/A,#N/A,FALSE,"Balance Sheets";#N/A,#N/A,FALSE,"96 Conservative";#N/A,#N/A,FALSE,"96 Possible"}</definedName>
    <definedName name="gift_1" hidden="1">{#N/A,#N/A,FALSE,"Balance Sheets";#N/A,#N/A,FALSE,"96 Conservative";#N/A,#N/A,FALSE,"96 Possible"}</definedName>
    <definedName name="gift_1_1" localSheetId="4" hidden="1">{#N/A,#N/A,FALSE,"Balance Sheets";#N/A,#N/A,FALSE,"96 Conservative";#N/A,#N/A,FALSE,"96 Possible"}</definedName>
    <definedName name="gift_1_1" localSheetId="2" hidden="1">{#N/A,#N/A,FALSE,"Balance Sheets";#N/A,#N/A,FALSE,"96 Conservative";#N/A,#N/A,FALSE,"96 Possible"}</definedName>
    <definedName name="gift_1_1" hidden="1">{#N/A,#N/A,FALSE,"Balance Sheets";#N/A,#N/A,FALSE,"96 Conservative";#N/A,#N/A,FALSE,"96 Possible"}</definedName>
    <definedName name="gift_2" localSheetId="4" hidden="1">{#N/A,#N/A,FALSE,"Balance Sheets";#N/A,#N/A,FALSE,"96 Conservative";#N/A,#N/A,FALSE,"96 Possible"}</definedName>
    <definedName name="gift_2" localSheetId="2" hidden="1">{#N/A,#N/A,FALSE,"Balance Sheets";#N/A,#N/A,FALSE,"96 Conservative";#N/A,#N/A,FALSE,"96 Possible"}</definedName>
    <definedName name="gift_2" hidden="1">{#N/A,#N/A,FALSE,"Balance Sheets";#N/A,#N/A,FALSE,"96 Conservative";#N/A,#N/A,FALSE,"96 Possible"}</definedName>
    <definedName name="gift_2_1" localSheetId="4" hidden="1">{#N/A,#N/A,FALSE,"Balance Sheets";#N/A,#N/A,FALSE,"96 Conservative";#N/A,#N/A,FALSE,"96 Possible"}</definedName>
    <definedName name="gift_2_1" localSheetId="2" hidden="1">{#N/A,#N/A,FALSE,"Balance Sheets";#N/A,#N/A,FALSE,"96 Conservative";#N/A,#N/A,FALSE,"96 Possible"}</definedName>
    <definedName name="gift_2_1" hidden="1">{#N/A,#N/A,FALSE,"Balance Sheets";#N/A,#N/A,FALSE,"96 Conservative";#N/A,#N/A,FALSE,"96 Possible"}</definedName>
    <definedName name="gift_3" localSheetId="4" hidden="1">{#N/A,#N/A,FALSE,"Balance Sheets";#N/A,#N/A,FALSE,"96 Conservative";#N/A,#N/A,FALSE,"96 Possible"}</definedName>
    <definedName name="gift_3" localSheetId="2" hidden="1">{#N/A,#N/A,FALSE,"Balance Sheets";#N/A,#N/A,FALSE,"96 Conservative";#N/A,#N/A,FALSE,"96 Possible"}</definedName>
    <definedName name="gift_3" hidden="1">{#N/A,#N/A,FALSE,"Balance Sheets";#N/A,#N/A,FALSE,"96 Conservative";#N/A,#N/A,FALSE,"96 Possible"}</definedName>
    <definedName name="gm" localSheetId="4" hidden="1">{#N/A,#N/A,FALSE,"Full";#N/A,#N/A,FALSE,"Half";#N/A,#N/A,FALSE,"Op Expenses";#N/A,#N/A,FALSE,"Cap Charge";#N/A,#N/A,FALSE,"Cost C";#N/A,#N/A,FALSE,"PP&amp;E";#N/A,#N/A,FALSE,"R&amp;D"}</definedName>
    <definedName name="gm" localSheetId="2" hidden="1">{#N/A,#N/A,FALSE,"Full";#N/A,#N/A,FALSE,"Half";#N/A,#N/A,FALSE,"Op Expenses";#N/A,#N/A,FALSE,"Cap Charge";#N/A,#N/A,FALSE,"Cost C";#N/A,#N/A,FALSE,"PP&amp;E";#N/A,#N/A,FALSE,"R&amp;D"}</definedName>
    <definedName name="gm" hidden="1">{#N/A,#N/A,FALSE,"Full";#N/A,#N/A,FALSE,"Half";#N/A,#N/A,FALSE,"Op Expenses";#N/A,#N/A,FALSE,"Cap Charge";#N/A,#N/A,FALSE,"Cost C";#N/A,#N/A,FALSE,"PP&amp;E";#N/A,#N/A,FALSE,"R&amp;D"}</definedName>
    <definedName name="gm_1" localSheetId="4" hidden="1">{#N/A,#N/A,FALSE,"Full";#N/A,#N/A,FALSE,"Half";#N/A,#N/A,FALSE,"Op Expenses";#N/A,#N/A,FALSE,"Cap Charge";#N/A,#N/A,FALSE,"Cost C";#N/A,#N/A,FALSE,"PP&amp;E";#N/A,#N/A,FALSE,"R&amp;D"}</definedName>
    <definedName name="gm_1" localSheetId="2" hidden="1">{#N/A,#N/A,FALSE,"Full";#N/A,#N/A,FALSE,"Half";#N/A,#N/A,FALSE,"Op Expenses";#N/A,#N/A,FALSE,"Cap Charge";#N/A,#N/A,FALSE,"Cost C";#N/A,#N/A,FALSE,"PP&amp;E";#N/A,#N/A,FALSE,"R&amp;D"}</definedName>
    <definedName name="gm_1" hidden="1">{#N/A,#N/A,FALSE,"Full";#N/A,#N/A,FALSE,"Half";#N/A,#N/A,FALSE,"Op Expenses";#N/A,#N/A,FALSE,"Cap Charge";#N/A,#N/A,FALSE,"Cost C";#N/A,#N/A,FALSE,"PP&amp;E";#N/A,#N/A,FALSE,"R&amp;D"}</definedName>
    <definedName name="gm_1_1" localSheetId="4" hidden="1">{#N/A,#N/A,FALSE,"Full";#N/A,#N/A,FALSE,"Half";#N/A,#N/A,FALSE,"Op Expenses";#N/A,#N/A,FALSE,"Cap Charge";#N/A,#N/A,FALSE,"Cost C";#N/A,#N/A,FALSE,"PP&amp;E";#N/A,#N/A,FALSE,"R&amp;D"}</definedName>
    <definedName name="gm_1_1" localSheetId="2" hidden="1">{#N/A,#N/A,FALSE,"Full";#N/A,#N/A,FALSE,"Half";#N/A,#N/A,FALSE,"Op Expenses";#N/A,#N/A,FALSE,"Cap Charge";#N/A,#N/A,FALSE,"Cost C";#N/A,#N/A,FALSE,"PP&amp;E";#N/A,#N/A,FALSE,"R&amp;D"}</definedName>
    <definedName name="gm_1_1" hidden="1">{#N/A,#N/A,FALSE,"Full";#N/A,#N/A,FALSE,"Half";#N/A,#N/A,FALSE,"Op Expenses";#N/A,#N/A,FALSE,"Cap Charge";#N/A,#N/A,FALSE,"Cost C";#N/A,#N/A,FALSE,"PP&amp;E";#N/A,#N/A,FALSE,"R&amp;D"}</definedName>
    <definedName name="gm_2" localSheetId="4" hidden="1">{#N/A,#N/A,FALSE,"Full";#N/A,#N/A,FALSE,"Half";#N/A,#N/A,FALSE,"Op Expenses";#N/A,#N/A,FALSE,"Cap Charge";#N/A,#N/A,FALSE,"Cost C";#N/A,#N/A,FALSE,"PP&amp;E";#N/A,#N/A,FALSE,"R&amp;D"}</definedName>
    <definedName name="gm_2" localSheetId="2" hidden="1">{#N/A,#N/A,FALSE,"Full";#N/A,#N/A,FALSE,"Half";#N/A,#N/A,FALSE,"Op Expenses";#N/A,#N/A,FALSE,"Cap Charge";#N/A,#N/A,FALSE,"Cost C";#N/A,#N/A,FALSE,"PP&amp;E";#N/A,#N/A,FALSE,"R&amp;D"}</definedName>
    <definedName name="gm_2" hidden="1">{#N/A,#N/A,FALSE,"Full";#N/A,#N/A,FALSE,"Half";#N/A,#N/A,FALSE,"Op Expenses";#N/A,#N/A,FALSE,"Cap Charge";#N/A,#N/A,FALSE,"Cost C";#N/A,#N/A,FALSE,"PP&amp;E";#N/A,#N/A,FALSE,"R&amp;D"}</definedName>
    <definedName name="gm_2_1" localSheetId="4" hidden="1">{#N/A,#N/A,FALSE,"Full";#N/A,#N/A,FALSE,"Half";#N/A,#N/A,FALSE,"Op Expenses";#N/A,#N/A,FALSE,"Cap Charge";#N/A,#N/A,FALSE,"Cost C";#N/A,#N/A,FALSE,"PP&amp;E";#N/A,#N/A,FALSE,"R&amp;D"}</definedName>
    <definedName name="gm_2_1" localSheetId="2" hidden="1">{#N/A,#N/A,FALSE,"Full";#N/A,#N/A,FALSE,"Half";#N/A,#N/A,FALSE,"Op Expenses";#N/A,#N/A,FALSE,"Cap Charge";#N/A,#N/A,FALSE,"Cost C";#N/A,#N/A,FALSE,"PP&amp;E";#N/A,#N/A,FALSE,"R&amp;D"}</definedName>
    <definedName name="gm_2_1" hidden="1">{#N/A,#N/A,FALSE,"Full";#N/A,#N/A,FALSE,"Half";#N/A,#N/A,FALSE,"Op Expenses";#N/A,#N/A,FALSE,"Cap Charge";#N/A,#N/A,FALSE,"Cost C";#N/A,#N/A,FALSE,"PP&amp;E";#N/A,#N/A,FALSE,"R&amp;D"}</definedName>
    <definedName name="gm_3" localSheetId="4" hidden="1">{#N/A,#N/A,FALSE,"Full";#N/A,#N/A,FALSE,"Half";#N/A,#N/A,FALSE,"Op Expenses";#N/A,#N/A,FALSE,"Cap Charge";#N/A,#N/A,FALSE,"Cost C";#N/A,#N/A,FALSE,"PP&amp;E";#N/A,#N/A,FALSE,"R&amp;D"}</definedName>
    <definedName name="gm_3" localSheetId="2" hidden="1">{#N/A,#N/A,FALSE,"Full";#N/A,#N/A,FALSE,"Half";#N/A,#N/A,FALSE,"Op Expenses";#N/A,#N/A,FALSE,"Cap Charge";#N/A,#N/A,FALSE,"Cost C";#N/A,#N/A,FALSE,"PP&amp;E";#N/A,#N/A,FALSE,"R&amp;D"}</definedName>
    <definedName name="gm_3" hidden="1">{#N/A,#N/A,FALSE,"Full";#N/A,#N/A,FALSE,"Half";#N/A,#N/A,FALSE,"Op Expenses";#N/A,#N/A,FALSE,"Cap Charge";#N/A,#N/A,FALSE,"Cost C";#N/A,#N/A,FALSE,"PP&amp;E";#N/A,#N/A,FALSE,"R&amp;D"}</definedName>
    <definedName name="h" localSheetId="3" hidden="1">{#N/A,#N/A,FALSE,"Full";#N/A,#N/A,FALSE,"Half";#N/A,#N/A,FALSE,"Op Expenses";#N/A,#N/A,FALSE,"Cap Charge";#N/A,#N/A,FALSE,"Cost C";#N/A,#N/A,FALSE,"PP&amp;E";#N/A,#N/A,FALSE,"R&amp;D"}</definedName>
    <definedName name="h" localSheetId="4" hidden="1">{#N/A,#N/A,FALSE,"Full";#N/A,#N/A,FALSE,"Half";#N/A,#N/A,FALSE,"Op Expenses";#N/A,#N/A,FALSE,"Cap Charge";#N/A,#N/A,FALSE,"Cost C";#N/A,#N/A,FALSE,"PP&amp;E";#N/A,#N/A,FALSE,"R&amp;D"}</definedName>
    <definedName name="h" localSheetId="2" hidden="1">{#N/A,#N/A,FALSE,"Full";#N/A,#N/A,FALSE,"Half";#N/A,#N/A,FALSE,"Op Expenses";#N/A,#N/A,FALSE,"Cap Charge";#N/A,#N/A,FALSE,"Cost C";#N/A,#N/A,FALSE,"PP&amp;E";#N/A,#N/A,FALSE,"R&amp;D"}</definedName>
    <definedName name="h" hidden="1">{#N/A,#N/A,FALSE,"Full";#N/A,#N/A,FALSE,"Half";#N/A,#N/A,FALSE,"Op Expenses";#N/A,#N/A,FALSE,"Cap Charge";#N/A,#N/A,FALSE,"Cost C";#N/A,#N/A,FALSE,"PP&amp;E";#N/A,#N/A,FALSE,"R&amp;D"}</definedName>
    <definedName name="h_1" localSheetId="4" hidden="1">{#N/A,#N/A,FALSE,"Full";#N/A,#N/A,FALSE,"Half";#N/A,#N/A,FALSE,"Op Expenses";#N/A,#N/A,FALSE,"Cap Charge";#N/A,#N/A,FALSE,"Cost C";#N/A,#N/A,FALSE,"PP&amp;E";#N/A,#N/A,FALSE,"R&amp;D"}</definedName>
    <definedName name="h_1" localSheetId="2" hidden="1">{#N/A,#N/A,FALSE,"Full";#N/A,#N/A,FALSE,"Half";#N/A,#N/A,FALSE,"Op Expenses";#N/A,#N/A,FALSE,"Cap Charge";#N/A,#N/A,FALSE,"Cost C";#N/A,#N/A,FALSE,"PP&amp;E";#N/A,#N/A,FALSE,"R&amp;D"}</definedName>
    <definedName name="h_1" hidden="1">{#N/A,#N/A,FALSE,"Full";#N/A,#N/A,FALSE,"Half";#N/A,#N/A,FALSE,"Op Expenses";#N/A,#N/A,FALSE,"Cap Charge";#N/A,#N/A,FALSE,"Cost C";#N/A,#N/A,FALSE,"PP&amp;E";#N/A,#N/A,FALSE,"R&amp;D"}</definedName>
    <definedName name="h_1_1" localSheetId="4" hidden="1">{#N/A,#N/A,FALSE,"Full";#N/A,#N/A,FALSE,"Half";#N/A,#N/A,FALSE,"Op Expenses";#N/A,#N/A,FALSE,"Cap Charge";#N/A,#N/A,FALSE,"Cost C";#N/A,#N/A,FALSE,"PP&amp;E";#N/A,#N/A,FALSE,"R&amp;D"}</definedName>
    <definedName name="h_1_1" localSheetId="2" hidden="1">{#N/A,#N/A,FALSE,"Full";#N/A,#N/A,FALSE,"Half";#N/A,#N/A,FALSE,"Op Expenses";#N/A,#N/A,FALSE,"Cap Charge";#N/A,#N/A,FALSE,"Cost C";#N/A,#N/A,FALSE,"PP&amp;E";#N/A,#N/A,FALSE,"R&amp;D"}</definedName>
    <definedName name="h_1_1" hidden="1">{#N/A,#N/A,FALSE,"Full";#N/A,#N/A,FALSE,"Half";#N/A,#N/A,FALSE,"Op Expenses";#N/A,#N/A,FALSE,"Cap Charge";#N/A,#N/A,FALSE,"Cost C";#N/A,#N/A,FALSE,"PP&amp;E";#N/A,#N/A,FALSE,"R&amp;D"}</definedName>
    <definedName name="h_2" localSheetId="4" hidden="1">{#N/A,#N/A,FALSE,"Full";#N/A,#N/A,FALSE,"Half";#N/A,#N/A,FALSE,"Op Expenses";#N/A,#N/A,FALSE,"Cap Charge";#N/A,#N/A,FALSE,"Cost C";#N/A,#N/A,FALSE,"PP&amp;E";#N/A,#N/A,FALSE,"R&amp;D"}</definedName>
    <definedName name="h_2" localSheetId="2" hidden="1">{#N/A,#N/A,FALSE,"Full";#N/A,#N/A,FALSE,"Half";#N/A,#N/A,FALSE,"Op Expenses";#N/A,#N/A,FALSE,"Cap Charge";#N/A,#N/A,FALSE,"Cost C";#N/A,#N/A,FALSE,"PP&amp;E";#N/A,#N/A,FALSE,"R&amp;D"}</definedName>
    <definedName name="h_2" hidden="1">{#N/A,#N/A,FALSE,"Full";#N/A,#N/A,FALSE,"Half";#N/A,#N/A,FALSE,"Op Expenses";#N/A,#N/A,FALSE,"Cap Charge";#N/A,#N/A,FALSE,"Cost C";#N/A,#N/A,FALSE,"PP&amp;E";#N/A,#N/A,FALSE,"R&amp;D"}</definedName>
    <definedName name="h_2_1" localSheetId="4" hidden="1">{#N/A,#N/A,FALSE,"Full";#N/A,#N/A,FALSE,"Half";#N/A,#N/A,FALSE,"Op Expenses";#N/A,#N/A,FALSE,"Cap Charge";#N/A,#N/A,FALSE,"Cost C";#N/A,#N/A,FALSE,"PP&amp;E";#N/A,#N/A,FALSE,"R&amp;D"}</definedName>
    <definedName name="h_2_1" localSheetId="2" hidden="1">{#N/A,#N/A,FALSE,"Full";#N/A,#N/A,FALSE,"Half";#N/A,#N/A,FALSE,"Op Expenses";#N/A,#N/A,FALSE,"Cap Charge";#N/A,#N/A,FALSE,"Cost C";#N/A,#N/A,FALSE,"PP&amp;E";#N/A,#N/A,FALSE,"R&amp;D"}</definedName>
    <definedName name="h_2_1" hidden="1">{#N/A,#N/A,FALSE,"Full";#N/A,#N/A,FALSE,"Half";#N/A,#N/A,FALSE,"Op Expenses";#N/A,#N/A,FALSE,"Cap Charge";#N/A,#N/A,FALSE,"Cost C";#N/A,#N/A,FALSE,"PP&amp;E";#N/A,#N/A,FALSE,"R&amp;D"}</definedName>
    <definedName name="h_3" localSheetId="4" hidden="1">{#N/A,#N/A,FALSE,"Full";#N/A,#N/A,FALSE,"Half";#N/A,#N/A,FALSE,"Op Expenses";#N/A,#N/A,FALSE,"Cap Charge";#N/A,#N/A,FALSE,"Cost C";#N/A,#N/A,FALSE,"PP&amp;E";#N/A,#N/A,FALSE,"R&amp;D"}</definedName>
    <definedName name="h_3" localSheetId="2" hidden="1">{#N/A,#N/A,FALSE,"Full";#N/A,#N/A,FALSE,"Half";#N/A,#N/A,FALSE,"Op Expenses";#N/A,#N/A,FALSE,"Cap Charge";#N/A,#N/A,FALSE,"Cost C";#N/A,#N/A,FALSE,"PP&amp;E";#N/A,#N/A,FALSE,"R&amp;D"}</definedName>
    <definedName name="h_3" hidden="1">{#N/A,#N/A,FALSE,"Full";#N/A,#N/A,FALSE,"Half";#N/A,#N/A,FALSE,"Op Expenses";#N/A,#N/A,FALSE,"Cap Charge";#N/A,#N/A,FALSE,"Cost C";#N/A,#N/A,FALSE,"PP&amp;E";#N/A,#N/A,FALSE,"R&amp;D"}</definedName>
    <definedName name="HE">#REF!</definedName>
    <definedName name="hello">#REF!</definedName>
    <definedName name="hio" localSheetId="4" hidden="1">{"FORNDV",#N/A,FALSE,"Sheet1"}</definedName>
    <definedName name="hio" localSheetId="2" hidden="1">{"FORNDV",#N/A,FALSE,"Sheet1"}</definedName>
    <definedName name="hio" hidden="1">{"FORNDV",#N/A,FALSE,"Sheet1"}</definedName>
    <definedName name="hio_1" localSheetId="4" hidden="1">{"FORNDV",#N/A,FALSE,"Sheet1"}</definedName>
    <definedName name="hio_1" localSheetId="2" hidden="1">{"FORNDV",#N/A,FALSE,"Sheet1"}</definedName>
    <definedName name="hio_1" hidden="1">{"FORNDV",#N/A,FALSE,"Sheet1"}</definedName>
    <definedName name="hio_1_1" localSheetId="4" hidden="1">{"FORNDV",#N/A,FALSE,"Sheet1"}</definedName>
    <definedName name="hio_1_1" localSheetId="2" hidden="1">{"FORNDV",#N/A,FALSE,"Sheet1"}</definedName>
    <definedName name="hio_1_1" hidden="1">{"FORNDV",#N/A,FALSE,"Sheet1"}</definedName>
    <definedName name="hio_2" localSheetId="4" hidden="1">{"FORNDV",#N/A,FALSE,"Sheet1"}</definedName>
    <definedName name="hio_2" localSheetId="2" hidden="1">{"FORNDV",#N/A,FALSE,"Sheet1"}</definedName>
    <definedName name="hio_2" hidden="1">{"FORNDV",#N/A,FALSE,"Sheet1"}</definedName>
    <definedName name="hio_2_1" localSheetId="4" hidden="1">{"FORNDV",#N/A,FALSE,"Sheet1"}</definedName>
    <definedName name="hio_2_1" localSheetId="2" hidden="1">{"FORNDV",#N/A,FALSE,"Sheet1"}</definedName>
    <definedName name="hio_2_1" hidden="1">{"FORNDV",#N/A,FALSE,"Sheet1"}</definedName>
    <definedName name="hio_3" localSheetId="4" hidden="1">{"FORNDV",#N/A,FALSE,"Sheet1"}</definedName>
    <definedName name="hio_3" localSheetId="2" hidden="1">{"FORNDV",#N/A,FALSE,"Sheet1"}</definedName>
    <definedName name="hio_3" hidden="1">{"FORNDV",#N/A,FALSE,"Sheet1"}</definedName>
    <definedName name="i">#REF!</definedName>
    <definedName name="ijk" localSheetId="4" hidden="1">{#N/A,#N/A,FALSE,"SMT1";#N/A,#N/A,FALSE,"SMT2";#N/A,#N/A,FALSE,"Summary";#N/A,#N/A,FALSE,"Graphs";#N/A,#N/A,FALSE,"4 Panel"}</definedName>
    <definedName name="ijk" localSheetId="2" hidden="1">{#N/A,#N/A,FALSE,"SMT1";#N/A,#N/A,FALSE,"SMT2";#N/A,#N/A,FALSE,"Summary";#N/A,#N/A,FALSE,"Graphs";#N/A,#N/A,FALSE,"4 Panel"}</definedName>
    <definedName name="ijk" hidden="1">{#N/A,#N/A,FALSE,"SMT1";#N/A,#N/A,FALSE,"SMT2";#N/A,#N/A,FALSE,"Summary";#N/A,#N/A,FALSE,"Graphs";#N/A,#N/A,FALSE,"4 Panel"}</definedName>
    <definedName name="ijk_1" localSheetId="4" hidden="1">{#N/A,#N/A,FALSE,"SMT1";#N/A,#N/A,FALSE,"SMT2";#N/A,#N/A,FALSE,"Summary";#N/A,#N/A,FALSE,"Graphs";#N/A,#N/A,FALSE,"4 Panel"}</definedName>
    <definedName name="ijk_1" localSheetId="2" hidden="1">{#N/A,#N/A,FALSE,"SMT1";#N/A,#N/A,FALSE,"SMT2";#N/A,#N/A,FALSE,"Summary";#N/A,#N/A,FALSE,"Graphs";#N/A,#N/A,FALSE,"4 Panel"}</definedName>
    <definedName name="ijk_1" hidden="1">{#N/A,#N/A,FALSE,"SMT1";#N/A,#N/A,FALSE,"SMT2";#N/A,#N/A,FALSE,"Summary";#N/A,#N/A,FALSE,"Graphs";#N/A,#N/A,FALSE,"4 Panel"}</definedName>
    <definedName name="ijk_1_1" localSheetId="4" hidden="1">{#N/A,#N/A,FALSE,"SMT1";#N/A,#N/A,FALSE,"SMT2";#N/A,#N/A,FALSE,"Summary";#N/A,#N/A,FALSE,"Graphs";#N/A,#N/A,FALSE,"4 Panel"}</definedName>
    <definedName name="ijk_1_1" localSheetId="2" hidden="1">{#N/A,#N/A,FALSE,"SMT1";#N/A,#N/A,FALSE,"SMT2";#N/A,#N/A,FALSE,"Summary";#N/A,#N/A,FALSE,"Graphs";#N/A,#N/A,FALSE,"4 Panel"}</definedName>
    <definedName name="ijk_1_1" hidden="1">{#N/A,#N/A,FALSE,"SMT1";#N/A,#N/A,FALSE,"SMT2";#N/A,#N/A,FALSE,"Summary";#N/A,#N/A,FALSE,"Graphs";#N/A,#N/A,FALSE,"4 Panel"}</definedName>
    <definedName name="ijk_2" localSheetId="4" hidden="1">{#N/A,#N/A,FALSE,"SMT1";#N/A,#N/A,FALSE,"SMT2";#N/A,#N/A,FALSE,"Summary";#N/A,#N/A,FALSE,"Graphs";#N/A,#N/A,FALSE,"4 Panel"}</definedName>
    <definedName name="ijk_2" localSheetId="2" hidden="1">{#N/A,#N/A,FALSE,"SMT1";#N/A,#N/A,FALSE,"SMT2";#N/A,#N/A,FALSE,"Summary";#N/A,#N/A,FALSE,"Graphs";#N/A,#N/A,FALSE,"4 Panel"}</definedName>
    <definedName name="ijk_2" hidden="1">{#N/A,#N/A,FALSE,"SMT1";#N/A,#N/A,FALSE,"SMT2";#N/A,#N/A,FALSE,"Summary";#N/A,#N/A,FALSE,"Graphs";#N/A,#N/A,FALSE,"4 Panel"}</definedName>
    <definedName name="ijk_2_1" localSheetId="4" hidden="1">{#N/A,#N/A,FALSE,"SMT1";#N/A,#N/A,FALSE,"SMT2";#N/A,#N/A,FALSE,"Summary";#N/A,#N/A,FALSE,"Graphs";#N/A,#N/A,FALSE,"4 Panel"}</definedName>
    <definedName name="ijk_2_1" localSheetId="2" hidden="1">{#N/A,#N/A,FALSE,"SMT1";#N/A,#N/A,FALSE,"SMT2";#N/A,#N/A,FALSE,"Summary";#N/A,#N/A,FALSE,"Graphs";#N/A,#N/A,FALSE,"4 Panel"}</definedName>
    <definedName name="ijk_2_1" hidden="1">{#N/A,#N/A,FALSE,"SMT1";#N/A,#N/A,FALSE,"SMT2";#N/A,#N/A,FALSE,"Summary";#N/A,#N/A,FALSE,"Graphs";#N/A,#N/A,FALSE,"4 Panel"}</definedName>
    <definedName name="ijk_3" localSheetId="4" hidden="1">{#N/A,#N/A,FALSE,"SMT1";#N/A,#N/A,FALSE,"SMT2";#N/A,#N/A,FALSE,"Summary";#N/A,#N/A,FALSE,"Graphs";#N/A,#N/A,FALSE,"4 Panel"}</definedName>
    <definedName name="ijk_3" localSheetId="2" hidden="1">{#N/A,#N/A,FALSE,"SMT1";#N/A,#N/A,FALSE,"SMT2";#N/A,#N/A,FALSE,"Summary";#N/A,#N/A,FALSE,"Graphs";#N/A,#N/A,FALSE,"4 Panel"}</definedName>
    <definedName name="ijk_3" hidden="1">{#N/A,#N/A,FALSE,"SMT1";#N/A,#N/A,FALSE,"SMT2";#N/A,#N/A,FALSE,"Summary";#N/A,#N/A,FALSE,"Graphs";#N/A,#N/A,FALSE,"4 Panel"}</definedName>
    <definedName name="Informatics">#REF!</definedName>
    <definedName name="INR2EUR">#REF!</definedName>
    <definedName name="inst_e_o_031599c">#REF!</definedName>
    <definedName name="Instruments">#REF!</definedName>
    <definedName name="j">#REF!</definedName>
    <definedName name="Jahr">#REF!</definedName>
    <definedName name="jancnyavg">#REF!</definedName>
    <definedName name="jancnyend">#REF!</definedName>
    <definedName name="janeuroavg">#REF!</definedName>
    <definedName name="janeuroend">#REF!</definedName>
    <definedName name="jangbpavg">#REF!</definedName>
    <definedName name="jangbpend">#REF!</definedName>
    <definedName name="janjpyavg">#REF!</definedName>
    <definedName name="janjpyend">#REF!</definedName>
    <definedName name="jbk" localSheetId="4" hidden="1">{#N/A,#N/A,FALSE,"Full";#N/A,#N/A,FALSE,"Half";#N/A,#N/A,FALSE,"Op Expenses";#N/A,#N/A,FALSE,"Cap Charge";#N/A,#N/A,FALSE,"Cost C";#N/A,#N/A,FALSE,"PP&amp;E";#N/A,#N/A,FALSE,"R&amp;D"}</definedName>
    <definedName name="jbk" localSheetId="2" hidden="1">{#N/A,#N/A,FALSE,"Full";#N/A,#N/A,FALSE,"Half";#N/A,#N/A,FALSE,"Op Expenses";#N/A,#N/A,FALSE,"Cap Charge";#N/A,#N/A,FALSE,"Cost C";#N/A,#N/A,FALSE,"PP&amp;E";#N/A,#N/A,FALSE,"R&amp;D"}</definedName>
    <definedName name="jbk" hidden="1">{#N/A,#N/A,FALSE,"Full";#N/A,#N/A,FALSE,"Half";#N/A,#N/A,FALSE,"Op Expenses";#N/A,#N/A,FALSE,"Cap Charge";#N/A,#N/A,FALSE,"Cost C";#N/A,#N/A,FALSE,"PP&amp;E";#N/A,#N/A,FALSE,"R&amp;D"}</definedName>
    <definedName name="jbk_1" localSheetId="4" hidden="1">{#N/A,#N/A,FALSE,"Full";#N/A,#N/A,FALSE,"Half";#N/A,#N/A,FALSE,"Op Expenses";#N/A,#N/A,FALSE,"Cap Charge";#N/A,#N/A,FALSE,"Cost C";#N/A,#N/A,FALSE,"PP&amp;E";#N/A,#N/A,FALSE,"R&amp;D"}</definedName>
    <definedName name="jbk_1" localSheetId="2" hidden="1">{#N/A,#N/A,FALSE,"Full";#N/A,#N/A,FALSE,"Half";#N/A,#N/A,FALSE,"Op Expenses";#N/A,#N/A,FALSE,"Cap Charge";#N/A,#N/A,FALSE,"Cost C";#N/A,#N/A,FALSE,"PP&amp;E";#N/A,#N/A,FALSE,"R&amp;D"}</definedName>
    <definedName name="jbk_1" hidden="1">{#N/A,#N/A,FALSE,"Full";#N/A,#N/A,FALSE,"Half";#N/A,#N/A,FALSE,"Op Expenses";#N/A,#N/A,FALSE,"Cap Charge";#N/A,#N/A,FALSE,"Cost C";#N/A,#N/A,FALSE,"PP&amp;E";#N/A,#N/A,FALSE,"R&amp;D"}</definedName>
    <definedName name="jbk_1_1" localSheetId="4" hidden="1">{#N/A,#N/A,FALSE,"Full";#N/A,#N/A,FALSE,"Half";#N/A,#N/A,FALSE,"Op Expenses";#N/A,#N/A,FALSE,"Cap Charge";#N/A,#N/A,FALSE,"Cost C";#N/A,#N/A,FALSE,"PP&amp;E";#N/A,#N/A,FALSE,"R&amp;D"}</definedName>
    <definedName name="jbk_1_1" localSheetId="2" hidden="1">{#N/A,#N/A,FALSE,"Full";#N/A,#N/A,FALSE,"Half";#N/A,#N/A,FALSE,"Op Expenses";#N/A,#N/A,FALSE,"Cap Charge";#N/A,#N/A,FALSE,"Cost C";#N/A,#N/A,FALSE,"PP&amp;E";#N/A,#N/A,FALSE,"R&amp;D"}</definedName>
    <definedName name="jbk_1_1" hidden="1">{#N/A,#N/A,FALSE,"Full";#N/A,#N/A,FALSE,"Half";#N/A,#N/A,FALSE,"Op Expenses";#N/A,#N/A,FALSE,"Cap Charge";#N/A,#N/A,FALSE,"Cost C";#N/A,#N/A,FALSE,"PP&amp;E";#N/A,#N/A,FALSE,"R&amp;D"}</definedName>
    <definedName name="jbk_2" localSheetId="4" hidden="1">{#N/A,#N/A,FALSE,"Full";#N/A,#N/A,FALSE,"Half";#N/A,#N/A,FALSE,"Op Expenses";#N/A,#N/A,FALSE,"Cap Charge";#N/A,#N/A,FALSE,"Cost C";#N/A,#N/A,FALSE,"PP&amp;E";#N/A,#N/A,FALSE,"R&amp;D"}</definedName>
    <definedName name="jbk_2" localSheetId="2" hidden="1">{#N/A,#N/A,FALSE,"Full";#N/A,#N/A,FALSE,"Half";#N/A,#N/A,FALSE,"Op Expenses";#N/A,#N/A,FALSE,"Cap Charge";#N/A,#N/A,FALSE,"Cost C";#N/A,#N/A,FALSE,"PP&amp;E";#N/A,#N/A,FALSE,"R&amp;D"}</definedName>
    <definedName name="jbk_2" hidden="1">{#N/A,#N/A,FALSE,"Full";#N/A,#N/A,FALSE,"Half";#N/A,#N/A,FALSE,"Op Expenses";#N/A,#N/A,FALSE,"Cap Charge";#N/A,#N/A,FALSE,"Cost C";#N/A,#N/A,FALSE,"PP&amp;E";#N/A,#N/A,FALSE,"R&amp;D"}</definedName>
    <definedName name="jbk_2_1" localSheetId="4" hidden="1">{#N/A,#N/A,FALSE,"Full";#N/A,#N/A,FALSE,"Half";#N/A,#N/A,FALSE,"Op Expenses";#N/A,#N/A,FALSE,"Cap Charge";#N/A,#N/A,FALSE,"Cost C";#N/A,#N/A,FALSE,"PP&amp;E";#N/A,#N/A,FALSE,"R&amp;D"}</definedName>
    <definedName name="jbk_2_1" localSheetId="2" hidden="1">{#N/A,#N/A,FALSE,"Full";#N/A,#N/A,FALSE,"Half";#N/A,#N/A,FALSE,"Op Expenses";#N/A,#N/A,FALSE,"Cap Charge";#N/A,#N/A,FALSE,"Cost C";#N/A,#N/A,FALSE,"PP&amp;E";#N/A,#N/A,FALSE,"R&amp;D"}</definedName>
    <definedName name="jbk_2_1" hidden="1">{#N/A,#N/A,FALSE,"Full";#N/A,#N/A,FALSE,"Half";#N/A,#N/A,FALSE,"Op Expenses";#N/A,#N/A,FALSE,"Cap Charge";#N/A,#N/A,FALSE,"Cost C";#N/A,#N/A,FALSE,"PP&amp;E";#N/A,#N/A,FALSE,"R&amp;D"}</definedName>
    <definedName name="jbk_3" localSheetId="4" hidden="1">{#N/A,#N/A,FALSE,"Full";#N/A,#N/A,FALSE,"Half";#N/A,#N/A,FALSE,"Op Expenses";#N/A,#N/A,FALSE,"Cap Charge";#N/A,#N/A,FALSE,"Cost C";#N/A,#N/A,FALSE,"PP&amp;E";#N/A,#N/A,FALSE,"R&amp;D"}</definedName>
    <definedName name="jbk_3" localSheetId="2" hidden="1">{#N/A,#N/A,FALSE,"Full";#N/A,#N/A,FALSE,"Half";#N/A,#N/A,FALSE,"Op Expenses";#N/A,#N/A,FALSE,"Cap Charge";#N/A,#N/A,FALSE,"Cost C";#N/A,#N/A,FALSE,"PP&amp;E";#N/A,#N/A,FALSE,"R&amp;D"}</definedName>
    <definedName name="jbk_3" hidden="1">{#N/A,#N/A,FALSE,"Full";#N/A,#N/A,FALSE,"Half";#N/A,#N/A,FALSE,"Op Expenses";#N/A,#N/A,FALSE,"Cap Charge";#N/A,#N/A,FALSE,"Cost C";#N/A,#N/A,FALSE,"PP&amp;E";#N/A,#N/A,FALSE,"R&amp;D"}</definedName>
    <definedName name="jk" localSheetId="3" hidden="1">{#N/A,#N/A,FALSE,"Balance Sheets";#N/A,#N/A,FALSE,"96 Conservative";#N/A,#N/A,FALSE,"96 Possible"}</definedName>
    <definedName name="jk" localSheetId="4" hidden="1">{#N/A,#N/A,FALSE,"Balance Sheets";#N/A,#N/A,FALSE,"96 Conservative";#N/A,#N/A,FALSE,"96 Possible"}</definedName>
    <definedName name="jk" localSheetId="2" hidden="1">{#N/A,#N/A,FALSE,"Balance Sheets";#N/A,#N/A,FALSE,"96 Conservative";#N/A,#N/A,FALSE,"96 Possible"}</definedName>
    <definedName name="jk" hidden="1">{#N/A,#N/A,FALSE,"Balance Sheets";#N/A,#N/A,FALSE,"96 Conservative";#N/A,#N/A,FALSE,"96 Possible"}</definedName>
    <definedName name="jk_1" localSheetId="4" hidden="1">{#N/A,#N/A,FALSE,"Balance Sheets";#N/A,#N/A,FALSE,"96 Conservative";#N/A,#N/A,FALSE,"96 Possible"}</definedName>
    <definedName name="jk_1" localSheetId="2" hidden="1">{#N/A,#N/A,FALSE,"Balance Sheets";#N/A,#N/A,FALSE,"96 Conservative";#N/A,#N/A,FALSE,"96 Possible"}</definedName>
    <definedName name="jk_1" hidden="1">{#N/A,#N/A,FALSE,"Balance Sheets";#N/A,#N/A,FALSE,"96 Conservative";#N/A,#N/A,FALSE,"96 Possible"}</definedName>
    <definedName name="jk_1_1" localSheetId="4" hidden="1">{#N/A,#N/A,FALSE,"Balance Sheets";#N/A,#N/A,FALSE,"96 Conservative";#N/A,#N/A,FALSE,"96 Possible"}</definedName>
    <definedName name="jk_1_1" localSheetId="2" hidden="1">{#N/A,#N/A,FALSE,"Balance Sheets";#N/A,#N/A,FALSE,"96 Conservative";#N/A,#N/A,FALSE,"96 Possible"}</definedName>
    <definedName name="jk_1_1" hidden="1">{#N/A,#N/A,FALSE,"Balance Sheets";#N/A,#N/A,FALSE,"96 Conservative";#N/A,#N/A,FALSE,"96 Possible"}</definedName>
    <definedName name="jk_2" localSheetId="4" hidden="1">{#N/A,#N/A,FALSE,"Balance Sheets";#N/A,#N/A,FALSE,"96 Conservative";#N/A,#N/A,FALSE,"96 Possible"}</definedName>
    <definedName name="jk_2" localSheetId="2" hidden="1">{#N/A,#N/A,FALSE,"Balance Sheets";#N/A,#N/A,FALSE,"96 Conservative";#N/A,#N/A,FALSE,"96 Possible"}</definedName>
    <definedName name="jk_2" hidden="1">{#N/A,#N/A,FALSE,"Balance Sheets";#N/A,#N/A,FALSE,"96 Conservative";#N/A,#N/A,FALSE,"96 Possible"}</definedName>
    <definedName name="jk_2_1" localSheetId="4" hidden="1">{#N/A,#N/A,FALSE,"Balance Sheets";#N/A,#N/A,FALSE,"96 Conservative";#N/A,#N/A,FALSE,"96 Possible"}</definedName>
    <definedName name="jk_2_1" localSheetId="2" hidden="1">{#N/A,#N/A,FALSE,"Balance Sheets";#N/A,#N/A,FALSE,"96 Conservative";#N/A,#N/A,FALSE,"96 Possible"}</definedName>
    <definedName name="jk_2_1" hidden="1">{#N/A,#N/A,FALSE,"Balance Sheets";#N/A,#N/A,FALSE,"96 Conservative";#N/A,#N/A,FALSE,"96 Possible"}</definedName>
    <definedName name="jk_3" localSheetId="4" hidden="1">{#N/A,#N/A,FALSE,"Balance Sheets";#N/A,#N/A,FALSE,"96 Conservative";#N/A,#N/A,FALSE,"96 Possible"}</definedName>
    <definedName name="jk_3" localSheetId="2" hidden="1">{#N/A,#N/A,FALSE,"Balance Sheets";#N/A,#N/A,FALSE,"96 Conservative";#N/A,#N/A,FALSE,"96 Possible"}</definedName>
    <definedName name="jk_3" hidden="1">{#N/A,#N/A,FALSE,"Balance Sheets";#N/A,#N/A,FALSE,"96 Conservative";#N/A,#N/A,FALSE,"96 Possible"}</definedName>
    <definedName name="jkl" localSheetId="4" hidden="1">{#N/A,#N/A,FALSE,"SMT1";#N/A,#N/A,FALSE,"SMT2";#N/A,#N/A,FALSE,"Summary";#N/A,#N/A,FALSE,"Graphs";#N/A,#N/A,FALSE,"4 Panel"}</definedName>
    <definedName name="jkl" localSheetId="2" hidden="1">{#N/A,#N/A,FALSE,"SMT1";#N/A,#N/A,FALSE,"SMT2";#N/A,#N/A,FALSE,"Summary";#N/A,#N/A,FALSE,"Graphs";#N/A,#N/A,FALSE,"4 Panel"}</definedName>
    <definedName name="jkl" hidden="1">{#N/A,#N/A,FALSE,"SMT1";#N/A,#N/A,FALSE,"SMT2";#N/A,#N/A,FALSE,"Summary";#N/A,#N/A,FALSE,"Graphs";#N/A,#N/A,FALSE,"4 Panel"}</definedName>
    <definedName name="jkl_1" localSheetId="4" hidden="1">{#N/A,#N/A,FALSE,"SMT1";#N/A,#N/A,FALSE,"SMT2";#N/A,#N/A,FALSE,"Summary";#N/A,#N/A,FALSE,"Graphs";#N/A,#N/A,FALSE,"4 Panel"}</definedName>
    <definedName name="jkl_1" localSheetId="2" hidden="1">{#N/A,#N/A,FALSE,"SMT1";#N/A,#N/A,FALSE,"SMT2";#N/A,#N/A,FALSE,"Summary";#N/A,#N/A,FALSE,"Graphs";#N/A,#N/A,FALSE,"4 Panel"}</definedName>
    <definedName name="jkl_1" hidden="1">{#N/A,#N/A,FALSE,"SMT1";#N/A,#N/A,FALSE,"SMT2";#N/A,#N/A,FALSE,"Summary";#N/A,#N/A,FALSE,"Graphs";#N/A,#N/A,FALSE,"4 Panel"}</definedName>
    <definedName name="jkl_1_1" localSheetId="4" hidden="1">{#N/A,#N/A,FALSE,"SMT1";#N/A,#N/A,FALSE,"SMT2";#N/A,#N/A,FALSE,"Summary";#N/A,#N/A,FALSE,"Graphs";#N/A,#N/A,FALSE,"4 Panel"}</definedName>
    <definedName name="jkl_1_1" localSheetId="2" hidden="1">{#N/A,#N/A,FALSE,"SMT1";#N/A,#N/A,FALSE,"SMT2";#N/A,#N/A,FALSE,"Summary";#N/A,#N/A,FALSE,"Graphs";#N/A,#N/A,FALSE,"4 Panel"}</definedName>
    <definedName name="jkl_1_1" hidden="1">{#N/A,#N/A,FALSE,"SMT1";#N/A,#N/A,FALSE,"SMT2";#N/A,#N/A,FALSE,"Summary";#N/A,#N/A,FALSE,"Graphs";#N/A,#N/A,FALSE,"4 Panel"}</definedName>
    <definedName name="jkl_2" localSheetId="4" hidden="1">{#N/A,#N/A,FALSE,"SMT1";#N/A,#N/A,FALSE,"SMT2";#N/A,#N/A,FALSE,"Summary";#N/A,#N/A,FALSE,"Graphs";#N/A,#N/A,FALSE,"4 Panel"}</definedName>
    <definedName name="jkl_2" localSheetId="2" hidden="1">{#N/A,#N/A,FALSE,"SMT1";#N/A,#N/A,FALSE,"SMT2";#N/A,#N/A,FALSE,"Summary";#N/A,#N/A,FALSE,"Graphs";#N/A,#N/A,FALSE,"4 Panel"}</definedName>
    <definedName name="jkl_2" hidden="1">{#N/A,#N/A,FALSE,"SMT1";#N/A,#N/A,FALSE,"SMT2";#N/A,#N/A,FALSE,"Summary";#N/A,#N/A,FALSE,"Graphs";#N/A,#N/A,FALSE,"4 Panel"}</definedName>
    <definedName name="jkl_2_1" localSheetId="4" hidden="1">{#N/A,#N/A,FALSE,"SMT1";#N/A,#N/A,FALSE,"SMT2";#N/A,#N/A,FALSE,"Summary";#N/A,#N/A,FALSE,"Graphs";#N/A,#N/A,FALSE,"4 Panel"}</definedName>
    <definedName name="jkl_2_1" localSheetId="2" hidden="1">{#N/A,#N/A,FALSE,"SMT1";#N/A,#N/A,FALSE,"SMT2";#N/A,#N/A,FALSE,"Summary";#N/A,#N/A,FALSE,"Graphs";#N/A,#N/A,FALSE,"4 Panel"}</definedName>
    <definedName name="jkl_2_1" hidden="1">{#N/A,#N/A,FALSE,"SMT1";#N/A,#N/A,FALSE,"SMT2";#N/A,#N/A,FALSE,"Summary";#N/A,#N/A,FALSE,"Graphs";#N/A,#N/A,FALSE,"4 Panel"}</definedName>
    <definedName name="jkl_3" localSheetId="4" hidden="1">{#N/A,#N/A,FALSE,"SMT1";#N/A,#N/A,FALSE,"SMT2";#N/A,#N/A,FALSE,"Summary";#N/A,#N/A,FALSE,"Graphs";#N/A,#N/A,FALSE,"4 Panel"}</definedName>
    <definedName name="jkl_3" localSheetId="2" hidden="1">{#N/A,#N/A,FALSE,"SMT1";#N/A,#N/A,FALSE,"SMT2";#N/A,#N/A,FALSE,"Summary";#N/A,#N/A,FALSE,"Graphs";#N/A,#N/A,FALSE,"4 Panel"}</definedName>
    <definedName name="jkl_3" hidden="1">{#N/A,#N/A,FALSE,"SMT1";#N/A,#N/A,FALSE,"SMT2";#N/A,#N/A,FALSE,"Summary";#N/A,#N/A,FALSE,"Graphs";#N/A,#N/A,FALSE,"4 Panel"}</definedName>
    <definedName name="JOURNAL">#REF!</definedName>
    <definedName name="jpy2003avg">#REF!</definedName>
    <definedName name="jpybud">#REF!</definedName>
    <definedName name="julcnyavg">#REF!</definedName>
    <definedName name="julcnyend">#REF!</definedName>
    <definedName name="juleuroavg">#REF!</definedName>
    <definedName name="juleuroend">#REF!</definedName>
    <definedName name="julgbpavg">#REF!</definedName>
    <definedName name="julgbpend">#REF!</definedName>
    <definedName name="juljpyavg">#REF!</definedName>
    <definedName name="juljpyend">#REF!</definedName>
    <definedName name="juncnyavg">#REF!</definedName>
    <definedName name="juncnyend">#REF!</definedName>
    <definedName name="juneuroavg">#REF!</definedName>
    <definedName name="juneuroend">#REF!</definedName>
    <definedName name="jungbpavg">#REF!</definedName>
    <definedName name="jungbpend">#REF!</definedName>
    <definedName name="junjpyavg">#REF!</definedName>
    <definedName name="junjpyend">#REF!</definedName>
    <definedName name="k">#REF!</definedName>
    <definedName name="kjb" localSheetId="4" hidden="1">{#N/A,#N/A,FALSE,"Balance Sheets";#N/A,#N/A,FALSE,"96 Conservative";#N/A,#N/A,FALSE,"96 Possible"}</definedName>
    <definedName name="kjb" localSheetId="2" hidden="1">{#N/A,#N/A,FALSE,"Balance Sheets";#N/A,#N/A,FALSE,"96 Conservative";#N/A,#N/A,FALSE,"96 Possible"}</definedName>
    <definedName name="kjb" hidden="1">{#N/A,#N/A,FALSE,"Balance Sheets";#N/A,#N/A,FALSE,"96 Conservative";#N/A,#N/A,FALSE,"96 Possible"}</definedName>
    <definedName name="kjb_1" localSheetId="4" hidden="1">{#N/A,#N/A,FALSE,"Balance Sheets";#N/A,#N/A,FALSE,"96 Conservative";#N/A,#N/A,FALSE,"96 Possible"}</definedName>
    <definedName name="kjb_1" localSheetId="2" hidden="1">{#N/A,#N/A,FALSE,"Balance Sheets";#N/A,#N/A,FALSE,"96 Conservative";#N/A,#N/A,FALSE,"96 Possible"}</definedName>
    <definedName name="kjb_1" hidden="1">{#N/A,#N/A,FALSE,"Balance Sheets";#N/A,#N/A,FALSE,"96 Conservative";#N/A,#N/A,FALSE,"96 Possible"}</definedName>
    <definedName name="kjb_1_1" localSheetId="4" hidden="1">{#N/A,#N/A,FALSE,"Balance Sheets";#N/A,#N/A,FALSE,"96 Conservative";#N/A,#N/A,FALSE,"96 Possible"}</definedName>
    <definedName name="kjb_1_1" localSheetId="2" hidden="1">{#N/A,#N/A,FALSE,"Balance Sheets";#N/A,#N/A,FALSE,"96 Conservative";#N/A,#N/A,FALSE,"96 Possible"}</definedName>
    <definedName name="kjb_1_1" hidden="1">{#N/A,#N/A,FALSE,"Balance Sheets";#N/A,#N/A,FALSE,"96 Conservative";#N/A,#N/A,FALSE,"96 Possible"}</definedName>
    <definedName name="kjb_2" localSheetId="4" hidden="1">{#N/A,#N/A,FALSE,"Balance Sheets";#N/A,#N/A,FALSE,"96 Conservative";#N/A,#N/A,FALSE,"96 Possible"}</definedName>
    <definedName name="kjb_2" localSheetId="2" hidden="1">{#N/A,#N/A,FALSE,"Balance Sheets";#N/A,#N/A,FALSE,"96 Conservative";#N/A,#N/A,FALSE,"96 Possible"}</definedName>
    <definedName name="kjb_2" hidden="1">{#N/A,#N/A,FALSE,"Balance Sheets";#N/A,#N/A,FALSE,"96 Conservative";#N/A,#N/A,FALSE,"96 Possible"}</definedName>
    <definedName name="kjb_2_1" localSheetId="4" hidden="1">{#N/A,#N/A,FALSE,"Balance Sheets";#N/A,#N/A,FALSE,"96 Conservative";#N/A,#N/A,FALSE,"96 Possible"}</definedName>
    <definedName name="kjb_2_1" localSheetId="2" hidden="1">{#N/A,#N/A,FALSE,"Balance Sheets";#N/A,#N/A,FALSE,"96 Conservative";#N/A,#N/A,FALSE,"96 Possible"}</definedName>
    <definedName name="kjb_2_1" hidden="1">{#N/A,#N/A,FALSE,"Balance Sheets";#N/A,#N/A,FALSE,"96 Conservative";#N/A,#N/A,FALSE,"96 Possible"}</definedName>
    <definedName name="kjb_3" localSheetId="4" hidden="1">{#N/A,#N/A,FALSE,"Balance Sheets";#N/A,#N/A,FALSE,"96 Conservative";#N/A,#N/A,FALSE,"96 Possible"}</definedName>
    <definedName name="kjb_3" localSheetId="2" hidden="1">{#N/A,#N/A,FALSE,"Balance Sheets";#N/A,#N/A,FALSE,"96 Conservative";#N/A,#N/A,FALSE,"96 Possible"}</definedName>
    <definedName name="kjb_3" hidden="1">{#N/A,#N/A,FALSE,"Balance Sheets";#N/A,#N/A,FALSE,"96 Conservative";#N/A,#N/A,FALSE,"96 Possible"}</definedName>
    <definedName name="koil" localSheetId="4" hidden="1">{#N/A,#N/A,FALSE,"Full";#N/A,#N/A,FALSE,"Half";#N/A,#N/A,FALSE,"Op Expenses";#N/A,#N/A,FALSE,"Cap Charge";#N/A,#N/A,FALSE,"Cost C";#N/A,#N/A,FALSE,"PP&amp;E";#N/A,#N/A,FALSE,"R&amp;D"}</definedName>
    <definedName name="koil" localSheetId="2" hidden="1">{#N/A,#N/A,FALSE,"Full";#N/A,#N/A,FALSE,"Half";#N/A,#N/A,FALSE,"Op Expenses";#N/A,#N/A,FALSE,"Cap Charge";#N/A,#N/A,FALSE,"Cost C";#N/A,#N/A,FALSE,"PP&amp;E";#N/A,#N/A,FALSE,"R&amp;D"}</definedName>
    <definedName name="koil" hidden="1">{#N/A,#N/A,FALSE,"Full";#N/A,#N/A,FALSE,"Half";#N/A,#N/A,FALSE,"Op Expenses";#N/A,#N/A,FALSE,"Cap Charge";#N/A,#N/A,FALSE,"Cost C";#N/A,#N/A,FALSE,"PP&amp;E";#N/A,#N/A,FALSE,"R&amp;D"}</definedName>
    <definedName name="koil_1" localSheetId="4" hidden="1">{#N/A,#N/A,FALSE,"Full";#N/A,#N/A,FALSE,"Half";#N/A,#N/A,FALSE,"Op Expenses";#N/A,#N/A,FALSE,"Cap Charge";#N/A,#N/A,FALSE,"Cost C";#N/A,#N/A,FALSE,"PP&amp;E";#N/A,#N/A,FALSE,"R&amp;D"}</definedName>
    <definedName name="koil_1" localSheetId="2" hidden="1">{#N/A,#N/A,FALSE,"Full";#N/A,#N/A,FALSE,"Half";#N/A,#N/A,FALSE,"Op Expenses";#N/A,#N/A,FALSE,"Cap Charge";#N/A,#N/A,FALSE,"Cost C";#N/A,#N/A,FALSE,"PP&amp;E";#N/A,#N/A,FALSE,"R&amp;D"}</definedName>
    <definedName name="koil_1" hidden="1">{#N/A,#N/A,FALSE,"Full";#N/A,#N/A,FALSE,"Half";#N/A,#N/A,FALSE,"Op Expenses";#N/A,#N/A,FALSE,"Cap Charge";#N/A,#N/A,FALSE,"Cost C";#N/A,#N/A,FALSE,"PP&amp;E";#N/A,#N/A,FALSE,"R&amp;D"}</definedName>
    <definedName name="koil_1_1" localSheetId="4" hidden="1">{#N/A,#N/A,FALSE,"Full";#N/A,#N/A,FALSE,"Half";#N/A,#N/A,FALSE,"Op Expenses";#N/A,#N/A,FALSE,"Cap Charge";#N/A,#N/A,FALSE,"Cost C";#N/A,#N/A,FALSE,"PP&amp;E";#N/A,#N/A,FALSE,"R&amp;D"}</definedName>
    <definedName name="koil_1_1" localSheetId="2" hidden="1">{#N/A,#N/A,FALSE,"Full";#N/A,#N/A,FALSE,"Half";#N/A,#N/A,FALSE,"Op Expenses";#N/A,#N/A,FALSE,"Cap Charge";#N/A,#N/A,FALSE,"Cost C";#N/A,#N/A,FALSE,"PP&amp;E";#N/A,#N/A,FALSE,"R&amp;D"}</definedName>
    <definedName name="koil_1_1" hidden="1">{#N/A,#N/A,FALSE,"Full";#N/A,#N/A,FALSE,"Half";#N/A,#N/A,FALSE,"Op Expenses";#N/A,#N/A,FALSE,"Cap Charge";#N/A,#N/A,FALSE,"Cost C";#N/A,#N/A,FALSE,"PP&amp;E";#N/A,#N/A,FALSE,"R&amp;D"}</definedName>
    <definedName name="koil_2" localSheetId="4" hidden="1">{#N/A,#N/A,FALSE,"Full";#N/A,#N/A,FALSE,"Half";#N/A,#N/A,FALSE,"Op Expenses";#N/A,#N/A,FALSE,"Cap Charge";#N/A,#N/A,FALSE,"Cost C";#N/A,#N/A,FALSE,"PP&amp;E";#N/A,#N/A,FALSE,"R&amp;D"}</definedName>
    <definedName name="koil_2" localSheetId="2" hidden="1">{#N/A,#N/A,FALSE,"Full";#N/A,#N/A,FALSE,"Half";#N/A,#N/A,FALSE,"Op Expenses";#N/A,#N/A,FALSE,"Cap Charge";#N/A,#N/A,FALSE,"Cost C";#N/A,#N/A,FALSE,"PP&amp;E";#N/A,#N/A,FALSE,"R&amp;D"}</definedName>
    <definedName name="koil_2" hidden="1">{#N/A,#N/A,FALSE,"Full";#N/A,#N/A,FALSE,"Half";#N/A,#N/A,FALSE,"Op Expenses";#N/A,#N/A,FALSE,"Cap Charge";#N/A,#N/A,FALSE,"Cost C";#N/A,#N/A,FALSE,"PP&amp;E";#N/A,#N/A,FALSE,"R&amp;D"}</definedName>
    <definedName name="koil_2_1" localSheetId="4" hidden="1">{#N/A,#N/A,FALSE,"Full";#N/A,#N/A,FALSE,"Half";#N/A,#N/A,FALSE,"Op Expenses";#N/A,#N/A,FALSE,"Cap Charge";#N/A,#N/A,FALSE,"Cost C";#N/A,#N/A,FALSE,"PP&amp;E";#N/A,#N/A,FALSE,"R&amp;D"}</definedName>
    <definedName name="koil_2_1" localSheetId="2" hidden="1">{#N/A,#N/A,FALSE,"Full";#N/A,#N/A,FALSE,"Half";#N/A,#N/A,FALSE,"Op Expenses";#N/A,#N/A,FALSE,"Cap Charge";#N/A,#N/A,FALSE,"Cost C";#N/A,#N/A,FALSE,"PP&amp;E";#N/A,#N/A,FALSE,"R&amp;D"}</definedName>
    <definedName name="koil_2_1" hidden="1">{#N/A,#N/A,FALSE,"Full";#N/A,#N/A,FALSE,"Half";#N/A,#N/A,FALSE,"Op Expenses";#N/A,#N/A,FALSE,"Cap Charge";#N/A,#N/A,FALSE,"Cost C";#N/A,#N/A,FALSE,"PP&amp;E";#N/A,#N/A,FALSE,"R&amp;D"}</definedName>
    <definedName name="koil_3" localSheetId="4" hidden="1">{#N/A,#N/A,FALSE,"Full";#N/A,#N/A,FALSE,"Half";#N/A,#N/A,FALSE,"Op Expenses";#N/A,#N/A,FALSE,"Cap Charge";#N/A,#N/A,FALSE,"Cost C";#N/A,#N/A,FALSE,"PP&amp;E";#N/A,#N/A,FALSE,"R&amp;D"}</definedName>
    <definedName name="koil_3" localSheetId="2" hidden="1">{#N/A,#N/A,FALSE,"Full";#N/A,#N/A,FALSE,"Half";#N/A,#N/A,FALSE,"Op Expenses";#N/A,#N/A,FALSE,"Cap Charge";#N/A,#N/A,FALSE,"Cost C";#N/A,#N/A,FALSE,"PP&amp;E";#N/A,#N/A,FALSE,"R&amp;D"}</definedName>
    <definedName name="koil_3" hidden="1">{#N/A,#N/A,FALSE,"Full";#N/A,#N/A,FALSE,"Half";#N/A,#N/A,FALSE,"Op Expenses";#N/A,#N/A,FALSE,"Cap Charge";#N/A,#N/A,FALSE,"Cost C";#N/A,#N/A,FALSE,"PP&amp;E";#N/A,#N/A,FALSE,"R&amp;D"}</definedName>
    <definedName name="l" localSheetId="3" hidden="1">{#N/A,#N/A,FALSE,"Full";#N/A,#N/A,FALSE,"Half";#N/A,#N/A,FALSE,"Op Expenses";#N/A,#N/A,FALSE,"Cap Charge";#N/A,#N/A,FALSE,"Cost C";#N/A,#N/A,FALSE,"PP&amp;E";#N/A,#N/A,FALSE,"R&amp;D"}</definedName>
    <definedName name="l" localSheetId="4" hidden="1">{#N/A,#N/A,FALSE,"Full";#N/A,#N/A,FALSE,"Half";#N/A,#N/A,FALSE,"Op Expenses";#N/A,#N/A,FALSE,"Cap Charge";#N/A,#N/A,FALSE,"Cost C";#N/A,#N/A,FALSE,"PP&amp;E";#N/A,#N/A,FALSE,"R&amp;D"}</definedName>
    <definedName name="l" localSheetId="2" hidden="1">{#N/A,#N/A,FALSE,"Full";#N/A,#N/A,FALSE,"Half";#N/A,#N/A,FALSE,"Op Expenses";#N/A,#N/A,FALSE,"Cap Charge";#N/A,#N/A,FALSE,"Cost C";#N/A,#N/A,FALSE,"PP&amp;E";#N/A,#N/A,FALSE,"R&amp;D"}</definedName>
    <definedName name="l" hidden="1">{#N/A,#N/A,FALSE,"Full";#N/A,#N/A,FALSE,"Half";#N/A,#N/A,FALSE,"Op Expenses";#N/A,#N/A,FALSE,"Cap Charge";#N/A,#N/A,FALSE,"Cost C";#N/A,#N/A,FALSE,"PP&amp;E";#N/A,#N/A,FALSE,"R&amp;D"}</definedName>
    <definedName name="l_1" localSheetId="4" hidden="1">{#N/A,#N/A,FALSE,"Full";#N/A,#N/A,FALSE,"Half";#N/A,#N/A,FALSE,"Op Expenses";#N/A,#N/A,FALSE,"Cap Charge";#N/A,#N/A,FALSE,"Cost C";#N/A,#N/A,FALSE,"PP&amp;E";#N/A,#N/A,FALSE,"R&amp;D"}</definedName>
    <definedName name="l_1" localSheetId="2" hidden="1">{#N/A,#N/A,FALSE,"Full";#N/A,#N/A,FALSE,"Half";#N/A,#N/A,FALSE,"Op Expenses";#N/A,#N/A,FALSE,"Cap Charge";#N/A,#N/A,FALSE,"Cost C";#N/A,#N/A,FALSE,"PP&amp;E";#N/A,#N/A,FALSE,"R&amp;D"}</definedName>
    <definedName name="l_1" hidden="1">{#N/A,#N/A,FALSE,"Full";#N/A,#N/A,FALSE,"Half";#N/A,#N/A,FALSE,"Op Expenses";#N/A,#N/A,FALSE,"Cap Charge";#N/A,#N/A,FALSE,"Cost C";#N/A,#N/A,FALSE,"PP&amp;E";#N/A,#N/A,FALSE,"R&amp;D"}</definedName>
    <definedName name="l_1_1" localSheetId="4" hidden="1">{#N/A,#N/A,FALSE,"Full";#N/A,#N/A,FALSE,"Half";#N/A,#N/A,FALSE,"Op Expenses";#N/A,#N/A,FALSE,"Cap Charge";#N/A,#N/A,FALSE,"Cost C";#N/A,#N/A,FALSE,"PP&amp;E";#N/A,#N/A,FALSE,"R&amp;D"}</definedName>
    <definedName name="l_1_1" localSheetId="2" hidden="1">{#N/A,#N/A,FALSE,"Full";#N/A,#N/A,FALSE,"Half";#N/A,#N/A,FALSE,"Op Expenses";#N/A,#N/A,FALSE,"Cap Charge";#N/A,#N/A,FALSE,"Cost C";#N/A,#N/A,FALSE,"PP&amp;E";#N/A,#N/A,FALSE,"R&amp;D"}</definedName>
    <definedName name="l_1_1" hidden="1">{#N/A,#N/A,FALSE,"Full";#N/A,#N/A,FALSE,"Half";#N/A,#N/A,FALSE,"Op Expenses";#N/A,#N/A,FALSE,"Cap Charge";#N/A,#N/A,FALSE,"Cost C";#N/A,#N/A,FALSE,"PP&amp;E";#N/A,#N/A,FALSE,"R&amp;D"}</definedName>
    <definedName name="l_2" localSheetId="4" hidden="1">{#N/A,#N/A,FALSE,"Full";#N/A,#N/A,FALSE,"Half";#N/A,#N/A,FALSE,"Op Expenses";#N/A,#N/A,FALSE,"Cap Charge";#N/A,#N/A,FALSE,"Cost C";#N/A,#N/A,FALSE,"PP&amp;E";#N/A,#N/A,FALSE,"R&amp;D"}</definedName>
    <definedName name="l_2" localSheetId="2" hidden="1">{#N/A,#N/A,FALSE,"Full";#N/A,#N/A,FALSE,"Half";#N/A,#N/A,FALSE,"Op Expenses";#N/A,#N/A,FALSE,"Cap Charge";#N/A,#N/A,FALSE,"Cost C";#N/A,#N/A,FALSE,"PP&amp;E";#N/A,#N/A,FALSE,"R&amp;D"}</definedName>
    <definedName name="l_2" hidden="1">{#N/A,#N/A,FALSE,"Full";#N/A,#N/A,FALSE,"Half";#N/A,#N/A,FALSE,"Op Expenses";#N/A,#N/A,FALSE,"Cap Charge";#N/A,#N/A,FALSE,"Cost C";#N/A,#N/A,FALSE,"PP&amp;E";#N/A,#N/A,FALSE,"R&amp;D"}</definedName>
    <definedName name="l_2_1" localSheetId="4" hidden="1">{#N/A,#N/A,FALSE,"Full";#N/A,#N/A,FALSE,"Half";#N/A,#N/A,FALSE,"Op Expenses";#N/A,#N/A,FALSE,"Cap Charge";#N/A,#N/A,FALSE,"Cost C";#N/A,#N/A,FALSE,"PP&amp;E";#N/A,#N/A,FALSE,"R&amp;D"}</definedName>
    <definedName name="l_2_1" localSheetId="2" hidden="1">{#N/A,#N/A,FALSE,"Full";#N/A,#N/A,FALSE,"Half";#N/A,#N/A,FALSE,"Op Expenses";#N/A,#N/A,FALSE,"Cap Charge";#N/A,#N/A,FALSE,"Cost C";#N/A,#N/A,FALSE,"PP&amp;E";#N/A,#N/A,FALSE,"R&amp;D"}</definedName>
    <definedName name="l_2_1" hidden="1">{#N/A,#N/A,FALSE,"Full";#N/A,#N/A,FALSE,"Half";#N/A,#N/A,FALSE,"Op Expenses";#N/A,#N/A,FALSE,"Cap Charge";#N/A,#N/A,FALSE,"Cost C";#N/A,#N/A,FALSE,"PP&amp;E";#N/A,#N/A,FALSE,"R&amp;D"}</definedName>
    <definedName name="l_3" localSheetId="4" hidden="1">{#N/A,#N/A,FALSE,"Full";#N/A,#N/A,FALSE,"Half";#N/A,#N/A,FALSE,"Op Expenses";#N/A,#N/A,FALSE,"Cap Charge";#N/A,#N/A,FALSE,"Cost C";#N/A,#N/A,FALSE,"PP&amp;E";#N/A,#N/A,FALSE,"R&amp;D"}</definedName>
    <definedName name="l_3" localSheetId="2" hidden="1">{#N/A,#N/A,FALSE,"Full";#N/A,#N/A,FALSE,"Half";#N/A,#N/A,FALSE,"Op Expenses";#N/A,#N/A,FALSE,"Cap Charge";#N/A,#N/A,FALSE,"Cost C";#N/A,#N/A,FALSE,"PP&amp;E";#N/A,#N/A,FALSE,"R&amp;D"}</definedName>
    <definedName name="l_3" hidden="1">{#N/A,#N/A,FALSE,"Full";#N/A,#N/A,FALSE,"Half";#N/A,#N/A,FALSE,"Op Expenses";#N/A,#N/A,FALSE,"Cap Charge";#N/A,#N/A,FALSE,"Cost C";#N/A,#N/A,FALSE,"PP&amp;E";#N/A,#N/A,FALSE,"R&amp;D"}</definedName>
    <definedName name="LJbis">#REF!</definedName>
    <definedName name="lko" localSheetId="4" hidden="1">{#N/A,#N/A,FALSE,"Full";#N/A,#N/A,FALSE,"Half";#N/A,#N/A,FALSE,"Op Expenses";#N/A,#N/A,FALSE,"Cap Charge";#N/A,#N/A,FALSE,"Cost C";#N/A,#N/A,FALSE,"PP&amp;E";#N/A,#N/A,FALSE,"R&amp;D"}</definedName>
    <definedName name="lko" localSheetId="2" hidden="1">{#N/A,#N/A,FALSE,"Full";#N/A,#N/A,FALSE,"Half";#N/A,#N/A,FALSE,"Op Expenses";#N/A,#N/A,FALSE,"Cap Charge";#N/A,#N/A,FALSE,"Cost C";#N/A,#N/A,FALSE,"PP&amp;E";#N/A,#N/A,FALSE,"R&amp;D"}</definedName>
    <definedName name="lko" hidden="1">{#N/A,#N/A,FALSE,"Full";#N/A,#N/A,FALSE,"Half";#N/A,#N/A,FALSE,"Op Expenses";#N/A,#N/A,FALSE,"Cap Charge";#N/A,#N/A,FALSE,"Cost C";#N/A,#N/A,FALSE,"PP&amp;E";#N/A,#N/A,FALSE,"R&amp;D"}</definedName>
    <definedName name="lko_1" localSheetId="4" hidden="1">{#N/A,#N/A,FALSE,"Full";#N/A,#N/A,FALSE,"Half";#N/A,#N/A,FALSE,"Op Expenses";#N/A,#N/A,FALSE,"Cap Charge";#N/A,#N/A,FALSE,"Cost C";#N/A,#N/A,FALSE,"PP&amp;E";#N/A,#N/A,FALSE,"R&amp;D"}</definedName>
    <definedName name="lko_1" localSheetId="2" hidden="1">{#N/A,#N/A,FALSE,"Full";#N/A,#N/A,FALSE,"Half";#N/A,#N/A,FALSE,"Op Expenses";#N/A,#N/A,FALSE,"Cap Charge";#N/A,#N/A,FALSE,"Cost C";#N/A,#N/A,FALSE,"PP&amp;E";#N/A,#N/A,FALSE,"R&amp;D"}</definedName>
    <definedName name="lko_1" hidden="1">{#N/A,#N/A,FALSE,"Full";#N/A,#N/A,FALSE,"Half";#N/A,#N/A,FALSE,"Op Expenses";#N/A,#N/A,FALSE,"Cap Charge";#N/A,#N/A,FALSE,"Cost C";#N/A,#N/A,FALSE,"PP&amp;E";#N/A,#N/A,FALSE,"R&amp;D"}</definedName>
    <definedName name="lko_1_1" localSheetId="4" hidden="1">{#N/A,#N/A,FALSE,"Full";#N/A,#N/A,FALSE,"Half";#N/A,#N/A,FALSE,"Op Expenses";#N/A,#N/A,FALSE,"Cap Charge";#N/A,#N/A,FALSE,"Cost C";#N/A,#N/A,FALSE,"PP&amp;E";#N/A,#N/A,FALSE,"R&amp;D"}</definedName>
    <definedName name="lko_1_1" localSheetId="2" hidden="1">{#N/A,#N/A,FALSE,"Full";#N/A,#N/A,FALSE,"Half";#N/A,#N/A,FALSE,"Op Expenses";#N/A,#N/A,FALSE,"Cap Charge";#N/A,#N/A,FALSE,"Cost C";#N/A,#N/A,FALSE,"PP&amp;E";#N/A,#N/A,FALSE,"R&amp;D"}</definedName>
    <definedName name="lko_1_1" hidden="1">{#N/A,#N/A,FALSE,"Full";#N/A,#N/A,FALSE,"Half";#N/A,#N/A,FALSE,"Op Expenses";#N/A,#N/A,FALSE,"Cap Charge";#N/A,#N/A,FALSE,"Cost C";#N/A,#N/A,FALSE,"PP&amp;E";#N/A,#N/A,FALSE,"R&amp;D"}</definedName>
    <definedName name="lko_2" localSheetId="4" hidden="1">{#N/A,#N/A,FALSE,"Full";#N/A,#N/A,FALSE,"Half";#N/A,#N/A,FALSE,"Op Expenses";#N/A,#N/A,FALSE,"Cap Charge";#N/A,#N/A,FALSE,"Cost C";#N/A,#N/A,FALSE,"PP&amp;E";#N/A,#N/A,FALSE,"R&amp;D"}</definedName>
    <definedName name="lko_2" localSheetId="2" hidden="1">{#N/A,#N/A,FALSE,"Full";#N/A,#N/A,FALSE,"Half";#N/A,#N/A,FALSE,"Op Expenses";#N/A,#N/A,FALSE,"Cap Charge";#N/A,#N/A,FALSE,"Cost C";#N/A,#N/A,FALSE,"PP&amp;E";#N/A,#N/A,FALSE,"R&amp;D"}</definedName>
    <definedName name="lko_2" hidden="1">{#N/A,#N/A,FALSE,"Full";#N/A,#N/A,FALSE,"Half";#N/A,#N/A,FALSE,"Op Expenses";#N/A,#N/A,FALSE,"Cap Charge";#N/A,#N/A,FALSE,"Cost C";#N/A,#N/A,FALSE,"PP&amp;E";#N/A,#N/A,FALSE,"R&amp;D"}</definedName>
    <definedName name="lko_2_1" localSheetId="4" hidden="1">{#N/A,#N/A,FALSE,"Full";#N/A,#N/A,FALSE,"Half";#N/A,#N/A,FALSE,"Op Expenses";#N/A,#N/A,FALSE,"Cap Charge";#N/A,#N/A,FALSE,"Cost C";#N/A,#N/A,FALSE,"PP&amp;E";#N/A,#N/A,FALSE,"R&amp;D"}</definedName>
    <definedName name="lko_2_1" localSheetId="2" hidden="1">{#N/A,#N/A,FALSE,"Full";#N/A,#N/A,FALSE,"Half";#N/A,#N/A,FALSE,"Op Expenses";#N/A,#N/A,FALSE,"Cap Charge";#N/A,#N/A,FALSE,"Cost C";#N/A,#N/A,FALSE,"PP&amp;E";#N/A,#N/A,FALSE,"R&amp;D"}</definedName>
    <definedName name="lko_2_1" hidden="1">{#N/A,#N/A,FALSE,"Full";#N/A,#N/A,FALSE,"Half";#N/A,#N/A,FALSE,"Op Expenses";#N/A,#N/A,FALSE,"Cap Charge";#N/A,#N/A,FALSE,"Cost C";#N/A,#N/A,FALSE,"PP&amp;E";#N/A,#N/A,FALSE,"R&amp;D"}</definedName>
    <definedName name="lko_3" localSheetId="4" hidden="1">{#N/A,#N/A,FALSE,"Full";#N/A,#N/A,FALSE,"Half";#N/A,#N/A,FALSE,"Op Expenses";#N/A,#N/A,FALSE,"Cap Charge";#N/A,#N/A,FALSE,"Cost C";#N/A,#N/A,FALSE,"PP&amp;E";#N/A,#N/A,FALSE,"R&amp;D"}</definedName>
    <definedName name="lko_3" localSheetId="2" hidden="1">{#N/A,#N/A,FALSE,"Full";#N/A,#N/A,FALSE,"Half";#N/A,#N/A,FALSE,"Op Expenses";#N/A,#N/A,FALSE,"Cap Charge";#N/A,#N/A,FALSE,"Cost C";#N/A,#N/A,FALSE,"PP&amp;E";#N/A,#N/A,FALSE,"R&amp;D"}</definedName>
    <definedName name="lko_3" hidden="1">{#N/A,#N/A,FALSE,"Full";#N/A,#N/A,FALSE,"Half";#N/A,#N/A,FALSE,"Op Expenses";#N/A,#N/A,FALSE,"Cap Charge";#N/A,#N/A,FALSE,"Cost C";#N/A,#N/A,FALSE,"PP&amp;E";#N/A,#N/A,FALSE,"R&amp;D"}</definedName>
    <definedName name="ll">#REF!</definedName>
    <definedName name="lll">#REF!</definedName>
    <definedName name="LUcost">#REF!</definedName>
    <definedName name="LUforcst">#REF!</definedName>
    <definedName name="lummpp">#REF!</definedName>
    <definedName name="LUmore">#REF!</definedName>
    <definedName name="LUnew">#REF!</definedName>
    <definedName name="LUqoh">#REF!</definedName>
    <definedName name="luservice">#REF!</definedName>
    <definedName name="LUusg">#REF!</definedName>
    <definedName name="m">#REF!</definedName>
    <definedName name="map">#REF!</definedName>
    <definedName name="Mappings">#REF!</definedName>
    <definedName name="marcnyavg">#REF!</definedName>
    <definedName name="marcnyend">#REF!</definedName>
    <definedName name="mareuroavg">#REF!</definedName>
    <definedName name="mareuroend">#REF!</definedName>
    <definedName name="margbpavg">#REF!</definedName>
    <definedName name="margbpend">#REF!</definedName>
    <definedName name="marjpyavg">#REF!</definedName>
    <definedName name="marjpyend">#REF!</definedName>
    <definedName name="MasterPartList">#REF!</definedName>
    <definedName name="material">#REF!</definedName>
    <definedName name="MATERIAL1">#REF!</definedName>
    <definedName name="maycnyavg">#REF!</definedName>
    <definedName name="maycnyend">#REF!</definedName>
    <definedName name="mayeuroavg">#REF!</definedName>
    <definedName name="mayeuroend">#REF!</definedName>
    <definedName name="maygbpavg">#REF!</definedName>
    <definedName name="maygbpend">#REF!</definedName>
    <definedName name="mayjpyavg">#REF!</definedName>
    <definedName name="mayjpyend">#REF!</definedName>
    <definedName name="MB_Entity">#REF!</definedName>
    <definedName name="mg" localSheetId="4" hidden="1">{"FORNDV",#N/A,FALSE,"Sheet1"}</definedName>
    <definedName name="mg" localSheetId="2" hidden="1">{"FORNDV",#N/A,FALSE,"Sheet1"}</definedName>
    <definedName name="mg" hidden="1">{"FORNDV",#N/A,FALSE,"Sheet1"}</definedName>
    <definedName name="mg_1" localSheetId="4" hidden="1">{"FORNDV",#N/A,FALSE,"Sheet1"}</definedName>
    <definedName name="mg_1" localSheetId="2" hidden="1">{"FORNDV",#N/A,FALSE,"Sheet1"}</definedName>
    <definedName name="mg_1" hidden="1">{"FORNDV",#N/A,FALSE,"Sheet1"}</definedName>
    <definedName name="mg_1_1" localSheetId="4" hidden="1">{"FORNDV",#N/A,FALSE,"Sheet1"}</definedName>
    <definedName name="mg_1_1" localSheetId="2" hidden="1">{"FORNDV",#N/A,FALSE,"Sheet1"}</definedName>
    <definedName name="mg_1_1" hidden="1">{"FORNDV",#N/A,FALSE,"Sheet1"}</definedName>
    <definedName name="mg_2" localSheetId="4" hidden="1">{"FORNDV",#N/A,FALSE,"Sheet1"}</definedName>
    <definedName name="mg_2" localSheetId="2" hidden="1">{"FORNDV",#N/A,FALSE,"Sheet1"}</definedName>
    <definedName name="mg_2" hidden="1">{"FORNDV",#N/A,FALSE,"Sheet1"}</definedName>
    <definedName name="mg_2_1" localSheetId="4" hidden="1">{"FORNDV",#N/A,FALSE,"Sheet1"}</definedName>
    <definedName name="mg_2_1" localSheetId="2" hidden="1">{"FORNDV",#N/A,FALSE,"Sheet1"}</definedName>
    <definedName name="mg_2_1" hidden="1">{"FORNDV",#N/A,FALSE,"Sheet1"}</definedName>
    <definedName name="mg_3" localSheetId="4" hidden="1">{"FORNDV",#N/A,FALSE,"Sheet1"}</definedName>
    <definedName name="mg_3" localSheetId="2" hidden="1">{"FORNDV",#N/A,FALSE,"Sheet1"}</definedName>
    <definedName name="mg_3" hidden="1">{"FORNDV",#N/A,FALSE,"Sheet1"}</definedName>
    <definedName name="mju" localSheetId="4" hidden="1">{#N/A,#N/A,FALSE,"Balance Sheets";#N/A,#N/A,FALSE,"96 Conservative";#N/A,#N/A,FALSE,"96 Possible"}</definedName>
    <definedName name="mju" localSheetId="2" hidden="1">{#N/A,#N/A,FALSE,"Balance Sheets";#N/A,#N/A,FALSE,"96 Conservative";#N/A,#N/A,FALSE,"96 Possible"}</definedName>
    <definedName name="mju" hidden="1">{#N/A,#N/A,FALSE,"Balance Sheets";#N/A,#N/A,FALSE,"96 Conservative";#N/A,#N/A,FALSE,"96 Possible"}</definedName>
    <definedName name="mju_1" localSheetId="4" hidden="1">{#N/A,#N/A,FALSE,"Balance Sheets";#N/A,#N/A,FALSE,"96 Conservative";#N/A,#N/A,FALSE,"96 Possible"}</definedName>
    <definedName name="mju_1" localSheetId="2" hidden="1">{#N/A,#N/A,FALSE,"Balance Sheets";#N/A,#N/A,FALSE,"96 Conservative";#N/A,#N/A,FALSE,"96 Possible"}</definedName>
    <definedName name="mju_1" hidden="1">{#N/A,#N/A,FALSE,"Balance Sheets";#N/A,#N/A,FALSE,"96 Conservative";#N/A,#N/A,FALSE,"96 Possible"}</definedName>
    <definedName name="mju_1_1" localSheetId="4" hidden="1">{#N/A,#N/A,FALSE,"Balance Sheets";#N/A,#N/A,FALSE,"96 Conservative";#N/A,#N/A,FALSE,"96 Possible"}</definedName>
    <definedName name="mju_1_1" localSheetId="2" hidden="1">{#N/A,#N/A,FALSE,"Balance Sheets";#N/A,#N/A,FALSE,"96 Conservative";#N/A,#N/A,FALSE,"96 Possible"}</definedName>
    <definedName name="mju_1_1" hidden="1">{#N/A,#N/A,FALSE,"Balance Sheets";#N/A,#N/A,FALSE,"96 Conservative";#N/A,#N/A,FALSE,"96 Possible"}</definedName>
    <definedName name="mju_2" localSheetId="4" hidden="1">{#N/A,#N/A,FALSE,"Balance Sheets";#N/A,#N/A,FALSE,"96 Conservative";#N/A,#N/A,FALSE,"96 Possible"}</definedName>
    <definedName name="mju_2" localSheetId="2" hidden="1">{#N/A,#N/A,FALSE,"Balance Sheets";#N/A,#N/A,FALSE,"96 Conservative";#N/A,#N/A,FALSE,"96 Possible"}</definedName>
    <definedName name="mju_2" hidden="1">{#N/A,#N/A,FALSE,"Balance Sheets";#N/A,#N/A,FALSE,"96 Conservative";#N/A,#N/A,FALSE,"96 Possible"}</definedName>
    <definedName name="mju_2_1" localSheetId="4" hidden="1">{#N/A,#N/A,FALSE,"Balance Sheets";#N/A,#N/A,FALSE,"96 Conservative";#N/A,#N/A,FALSE,"96 Possible"}</definedName>
    <definedName name="mju_2_1" localSheetId="2" hidden="1">{#N/A,#N/A,FALSE,"Balance Sheets";#N/A,#N/A,FALSE,"96 Conservative";#N/A,#N/A,FALSE,"96 Possible"}</definedName>
    <definedName name="mju_2_1" hidden="1">{#N/A,#N/A,FALSE,"Balance Sheets";#N/A,#N/A,FALSE,"96 Conservative";#N/A,#N/A,FALSE,"96 Possible"}</definedName>
    <definedName name="mju_3" localSheetId="4" hidden="1">{#N/A,#N/A,FALSE,"Balance Sheets";#N/A,#N/A,FALSE,"96 Conservative";#N/A,#N/A,FALSE,"96 Possible"}</definedName>
    <definedName name="mju_3" localSheetId="2" hidden="1">{#N/A,#N/A,FALSE,"Balance Sheets";#N/A,#N/A,FALSE,"96 Conservative";#N/A,#N/A,FALSE,"96 Possible"}</definedName>
    <definedName name="mju_3" hidden="1">{#N/A,#N/A,FALSE,"Balance Sheets";#N/A,#N/A,FALSE,"96 Conservative";#N/A,#N/A,FALSE,"96 Possible"}</definedName>
    <definedName name="mk" localSheetId="4" hidden="1">{#N/A,#N/A,FALSE,"SMT1";#N/A,#N/A,FALSE,"SMT2";#N/A,#N/A,FALSE,"Summary";#N/A,#N/A,FALSE,"Graphs";#N/A,#N/A,FALSE,"4 Panel"}</definedName>
    <definedName name="mk" localSheetId="2" hidden="1">{#N/A,#N/A,FALSE,"SMT1";#N/A,#N/A,FALSE,"SMT2";#N/A,#N/A,FALSE,"Summary";#N/A,#N/A,FALSE,"Graphs";#N/A,#N/A,FALSE,"4 Panel"}</definedName>
    <definedName name="mk" hidden="1">{#N/A,#N/A,FALSE,"SMT1";#N/A,#N/A,FALSE,"SMT2";#N/A,#N/A,FALSE,"Summary";#N/A,#N/A,FALSE,"Graphs";#N/A,#N/A,FALSE,"4 Panel"}</definedName>
    <definedName name="mk_1" localSheetId="4" hidden="1">{#N/A,#N/A,FALSE,"SMT1";#N/A,#N/A,FALSE,"SMT2";#N/A,#N/A,FALSE,"Summary";#N/A,#N/A,FALSE,"Graphs";#N/A,#N/A,FALSE,"4 Panel"}</definedName>
    <definedName name="mk_1" localSheetId="2" hidden="1">{#N/A,#N/A,FALSE,"SMT1";#N/A,#N/A,FALSE,"SMT2";#N/A,#N/A,FALSE,"Summary";#N/A,#N/A,FALSE,"Graphs";#N/A,#N/A,FALSE,"4 Panel"}</definedName>
    <definedName name="mk_1" hidden="1">{#N/A,#N/A,FALSE,"SMT1";#N/A,#N/A,FALSE,"SMT2";#N/A,#N/A,FALSE,"Summary";#N/A,#N/A,FALSE,"Graphs";#N/A,#N/A,FALSE,"4 Panel"}</definedName>
    <definedName name="mk_1_1" localSheetId="4" hidden="1">{#N/A,#N/A,FALSE,"SMT1";#N/A,#N/A,FALSE,"SMT2";#N/A,#N/A,FALSE,"Summary";#N/A,#N/A,FALSE,"Graphs";#N/A,#N/A,FALSE,"4 Panel"}</definedName>
    <definedName name="mk_1_1" localSheetId="2" hidden="1">{#N/A,#N/A,FALSE,"SMT1";#N/A,#N/A,FALSE,"SMT2";#N/A,#N/A,FALSE,"Summary";#N/A,#N/A,FALSE,"Graphs";#N/A,#N/A,FALSE,"4 Panel"}</definedName>
    <definedName name="mk_1_1" hidden="1">{#N/A,#N/A,FALSE,"SMT1";#N/A,#N/A,FALSE,"SMT2";#N/A,#N/A,FALSE,"Summary";#N/A,#N/A,FALSE,"Graphs";#N/A,#N/A,FALSE,"4 Panel"}</definedName>
    <definedName name="mk_2" localSheetId="4" hidden="1">{#N/A,#N/A,FALSE,"SMT1";#N/A,#N/A,FALSE,"SMT2";#N/A,#N/A,FALSE,"Summary";#N/A,#N/A,FALSE,"Graphs";#N/A,#N/A,FALSE,"4 Panel"}</definedName>
    <definedName name="mk_2" localSheetId="2" hidden="1">{#N/A,#N/A,FALSE,"SMT1";#N/A,#N/A,FALSE,"SMT2";#N/A,#N/A,FALSE,"Summary";#N/A,#N/A,FALSE,"Graphs";#N/A,#N/A,FALSE,"4 Panel"}</definedName>
    <definedName name="mk_2" hidden="1">{#N/A,#N/A,FALSE,"SMT1";#N/A,#N/A,FALSE,"SMT2";#N/A,#N/A,FALSE,"Summary";#N/A,#N/A,FALSE,"Graphs";#N/A,#N/A,FALSE,"4 Panel"}</definedName>
    <definedName name="mk_2_1" localSheetId="4" hidden="1">{#N/A,#N/A,FALSE,"SMT1";#N/A,#N/A,FALSE,"SMT2";#N/A,#N/A,FALSE,"Summary";#N/A,#N/A,FALSE,"Graphs";#N/A,#N/A,FALSE,"4 Panel"}</definedName>
    <definedName name="mk_2_1" localSheetId="2" hidden="1">{#N/A,#N/A,FALSE,"SMT1";#N/A,#N/A,FALSE,"SMT2";#N/A,#N/A,FALSE,"Summary";#N/A,#N/A,FALSE,"Graphs";#N/A,#N/A,FALSE,"4 Panel"}</definedName>
    <definedName name="mk_2_1" hidden="1">{#N/A,#N/A,FALSE,"SMT1";#N/A,#N/A,FALSE,"SMT2";#N/A,#N/A,FALSE,"Summary";#N/A,#N/A,FALSE,"Graphs";#N/A,#N/A,FALSE,"4 Panel"}</definedName>
    <definedName name="mk_3" localSheetId="4" hidden="1">{#N/A,#N/A,FALSE,"SMT1";#N/A,#N/A,FALSE,"SMT2";#N/A,#N/A,FALSE,"Summary";#N/A,#N/A,FALSE,"Graphs";#N/A,#N/A,FALSE,"4 Panel"}</definedName>
    <definedName name="mk_3" localSheetId="2" hidden="1">{#N/A,#N/A,FALSE,"SMT1";#N/A,#N/A,FALSE,"SMT2";#N/A,#N/A,FALSE,"Summary";#N/A,#N/A,FALSE,"Graphs";#N/A,#N/A,FALSE,"4 Panel"}</definedName>
    <definedName name="mk_3" hidden="1">{#N/A,#N/A,FALSE,"SMT1";#N/A,#N/A,FALSE,"SMT2";#N/A,#N/A,FALSE,"Summary";#N/A,#N/A,FALSE,"Graphs";#N/A,#N/A,FALSE,"4 Panel"}</definedName>
    <definedName name="mki" localSheetId="4" hidden="1">{"FORNDV",#N/A,FALSE,"Sheet1"}</definedName>
    <definedName name="mki" localSheetId="2" hidden="1">{"FORNDV",#N/A,FALSE,"Sheet1"}</definedName>
    <definedName name="mki" hidden="1">{"FORNDV",#N/A,FALSE,"Sheet1"}</definedName>
    <definedName name="mki_1" localSheetId="4" hidden="1">{"FORNDV",#N/A,FALSE,"Sheet1"}</definedName>
    <definedName name="mki_1" localSheetId="2" hidden="1">{"FORNDV",#N/A,FALSE,"Sheet1"}</definedName>
    <definedName name="mki_1" hidden="1">{"FORNDV",#N/A,FALSE,"Sheet1"}</definedName>
    <definedName name="mki_1_1" localSheetId="4" hidden="1">{"FORNDV",#N/A,FALSE,"Sheet1"}</definedName>
    <definedName name="mki_1_1" localSheetId="2" hidden="1">{"FORNDV",#N/A,FALSE,"Sheet1"}</definedName>
    <definedName name="mki_1_1" hidden="1">{"FORNDV",#N/A,FALSE,"Sheet1"}</definedName>
    <definedName name="mki_2" localSheetId="4" hidden="1">{"FORNDV",#N/A,FALSE,"Sheet1"}</definedName>
    <definedName name="mki_2" localSheetId="2" hidden="1">{"FORNDV",#N/A,FALSE,"Sheet1"}</definedName>
    <definedName name="mki_2" hidden="1">{"FORNDV",#N/A,FALSE,"Sheet1"}</definedName>
    <definedName name="mki_2_1" localSheetId="4" hidden="1">{"FORNDV",#N/A,FALSE,"Sheet1"}</definedName>
    <definedName name="mki_2_1" localSheetId="2" hidden="1">{"FORNDV",#N/A,FALSE,"Sheet1"}</definedName>
    <definedName name="mki_2_1" hidden="1">{"FORNDV",#N/A,FALSE,"Sheet1"}</definedName>
    <definedName name="mki_3" localSheetId="4" hidden="1">{"FORNDV",#N/A,FALSE,"Sheet1"}</definedName>
    <definedName name="mki_3" localSheetId="2" hidden="1">{"FORNDV",#N/A,FALSE,"Sheet1"}</definedName>
    <definedName name="mki_3" hidden="1">{"FORNDV",#N/A,FALSE,"Sheet1"}</definedName>
    <definedName name="Mktg1">#REF!</definedName>
    <definedName name="mn" localSheetId="4" hidden="1">{"EVA",#N/A,FALSE,"SMT2";#N/A,#N/A,FALSE,"Summary";#N/A,#N/A,FALSE,"Graphs";#N/A,#N/A,FALSE,"4 Panel"}</definedName>
    <definedName name="mn" localSheetId="2" hidden="1">{"EVA",#N/A,FALSE,"SMT2";#N/A,#N/A,FALSE,"Summary";#N/A,#N/A,FALSE,"Graphs";#N/A,#N/A,FALSE,"4 Panel"}</definedName>
    <definedName name="mn" hidden="1">{"EVA",#N/A,FALSE,"SMT2";#N/A,#N/A,FALSE,"Summary";#N/A,#N/A,FALSE,"Graphs";#N/A,#N/A,FALSE,"4 Panel"}</definedName>
    <definedName name="mn_1" localSheetId="4" hidden="1">{"EVA",#N/A,FALSE,"SMT2";#N/A,#N/A,FALSE,"Summary";#N/A,#N/A,FALSE,"Graphs";#N/A,#N/A,FALSE,"4 Panel"}</definedName>
    <definedName name="mn_1" localSheetId="2" hidden="1">{"EVA",#N/A,FALSE,"SMT2";#N/A,#N/A,FALSE,"Summary";#N/A,#N/A,FALSE,"Graphs";#N/A,#N/A,FALSE,"4 Panel"}</definedName>
    <definedName name="mn_1" hidden="1">{"EVA",#N/A,FALSE,"SMT2";#N/A,#N/A,FALSE,"Summary";#N/A,#N/A,FALSE,"Graphs";#N/A,#N/A,FALSE,"4 Panel"}</definedName>
    <definedName name="mn_1_1" localSheetId="4" hidden="1">{"EVA",#N/A,FALSE,"SMT2";#N/A,#N/A,FALSE,"Summary";#N/A,#N/A,FALSE,"Graphs";#N/A,#N/A,FALSE,"4 Panel"}</definedName>
    <definedName name="mn_1_1" localSheetId="2" hidden="1">{"EVA",#N/A,FALSE,"SMT2";#N/A,#N/A,FALSE,"Summary";#N/A,#N/A,FALSE,"Graphs";#N/A,#N/A,FALSE,"4 Panel"}</definedName>
    <definedName name="mn_1_1" hidden="1">{"EVA",#N/A,FALSE,"SMT2";#N/A,#N/A,FALSE,"Summary";#N/A,#N/A,FALSE,"Graphs";#N/A,#N/A,FALSE,"4 Panel"}</definedName>
    <definedName name="mn_2" localSheetId="4" hidden="1">{"EVA",#N/A,FALSE,"SMT2";#N/A,#N/A,FALSE,"Summary";#N/A,#N/A,FALSE,"Graphs";#N/A,#N/A,FALSE,"4 Panel"}</definedName>
    <definedName name="mn_2" localSheetId="2" hidden="1">{"EVA",#N/A,FALSE,"SMT2";#N/A,#N/A,FALSE,"Summary";#N/A,#N/A,FALSE,"Graphs";#N/A,#N/A,FALSE,"4 Panel"}</definedName>
    <definedName name="mn_2" hidden="1">{"EVA",#N/A,FALSE,"SMT2";#N/A,#N/A,FALSE,"Summary";#N/A,#N/A,FALSE,"Graphs";#N/A,#N/A,FALSE,"4 Panel"}</definedName>
    <definedName name="mn_2_1" localSheetId="4" hidden="1">{"EVA",#N/A,FALSE,"SMT2";#N/A,#N/A,FALSE,"Summary";#N/A,#N/A,FALSE,"Graphs";#N/A,#N/A,FALSE,"4 Panel"}</definedName>
    <definedName name="mn_2_1" localSheetId="2" hidden="1">{"EVA",#N/A,FALSE,"SMT2";#N/A,#N/A,FALSE,"Summary";#N/A,#N/A,FALSE,"Graphs";#N/A,#N/A,FALSE,"4 Panel"}</definedName>
    <definedName name="mn_2_1" hidden="1">{"EVA",#N/A,FALSE,"SMT2";#N/A,#N/A,FALSE,"Summary";#N/A,#N/A,FALSE,"Graphs";#N/A,#N/A,FALSE,"4 Panel"}</definedName>
    <definedName name="mn_3" localSheetId="4" hidden="1">{"EVA",#N/A,FALSE,"SMT2";#N/A,#N/A,FALSE,"Summary";#N/A,#N/A,FALSE,"Graphs";#N/A,#N/A,FALSE,"4 Panel"}</definedName>
    <definedName name="mn_3" localSheetId="2" hidden="1">{"EVA",#N/A,FALSE,"SMT2";#N/A,#N/A,FALSE,"Summary";#N/A,#N/A,FALSE,"Graphs";#N/A,#N/A,FALSE,"4 Panel"}</definedName>
    <definedName name="mn_3" hidden="1">{"EVA",#N/A,FALSE,"SMT2";#N/A,#N/A,FALSE,"Summary";#N/A,#N/A,FALSE,"Graphs";#N/A,#N/A,FALSE,"4 Panel"}</definedName>
    <definedName name="mnb" localSheetId="4" hidden="1">{#N/A,#N/A,FALSE,"Full";#N/A,#N/A,FALSE,"Half";#N/A,#N/A,FALSE,"Op Expenses";#N/A,#N/A,FALSE,"Cap Charge";#N/A,#N/A,FALSE,"Cost C";#N/A,#N/A,FALSE,"PP&amp;E";#N/A,#N/A,FALSE,"R&amp;D"}</definedName>
    <definedName name="mnb" localSheetId="2" hidden="1">{#N/A,#N/A,FALSE,"Full";#N/A,#N/A,FALSE,"Half";#N/A,#N/A,FALSE,"Op Expenses";#N/A,#N/A,FALSE,"Cap Charge";#N/A,#N/A,FALSE,"Cost C";#N/A,#N/A,FALSE,"PP&amp;E";#N/A,#N/A,FALSE,"R&amp;D"}</definedName>
    <definedName name="mnb" hidden="1">{#N/A,#N/A,FALSE,"Full";#N/A,#N/A,FALSE,"Half";#N/A,#N/A,FALSE,"Op Expenses";#N/A,#N/A,FALSE,"Cap Charge";#N/A,#N/A,FALSE,"Cost C";#N/A,#N/A,FALSE,"PP&amp;E";#N/A,#N/A,FALSE,"R&amp;D"}</definedName>
    <definedName name="mnb_1" localSheetId="4" hidden="1">{#N/A,#N/A,FALSE,"Full";#N/A,#N/A,FALSE,"Half";#N/A,#N/A,FALSE,"Op Expenses";#N/A,#N/A,FALSE,"Cap Charge";#N/A,#N/A,FALSE,"Cost C";#N/A,#N/A,FALSE,"PP&amp;E";#N/A,#N/A,FALSE,"R&amp;D"}</definedName>
    <definedName name="mnb_1" localSheetId="2" hidden="1">{#N/A,#N/A,FALSE,"Full";#N/A,#N/A,FALSE,"Half";#N/A,#N/A,FALSE,"Op Expenses";#N/A,#N/A,FALSE,"Cap Charge";#N/A,#N/A,FALSE,"Cost C";#N/A,#N/A,FALSE,"PP&amp;E";#N/A,#N/A,FALSE,"R&amp;D"}</definedName>
    <definedName name="mnb_1" hidden="1">{#N/A,#N/A,FALSE,"Full";#N/A,#N/A,FALSE,"Half";#N/A,#N/A,FALSE,"Op Expenses";#N/A,#N/A,FALSE,"Cap Charge";#N/A,#N/A,FALSE,"Cost C";#N/A,#N/A,FALSE,"PP&amp;E";#N/A,#N/A,FALSE,"R&amp;D"}</definedName>
    <definedName name="mnb_1_1" localSheetId="4" hidden="1">{#N/A,#N/A,FALSE,"Full";#N/A,#N/A,FALSE,"Half";#N/A,#N/A,FALSE,"Op Expenses";#N/A,#N/A,FALSE,"Cap Charge";#N/A,#N/A,FALSE,"Cost C";#N/A,#N/A,FALSE,"PP&amp;E";#N/A,#N/A,FALSE,"R&amp;D"}</definedName>
    <definedName name="mnb_1_1" localSheetId="2" hidden="1">{#N/A,#N/A,FALSE,"Full";#N/A,#N/A,FALSE,"Half";#N/A,#N/A,FALSE,"Op Expenses";#N/A,#N/A,FALSE,"Cap Charge";#N/A,#N/A,FALSE,"Cost C";#N/A,#N/A,FALSE,"PP&amp;E";#N/A,#N/A,FALSE,"R&amp;D"}</definedName>
    <definedName name="mnb_1_1" hidden="1">{#N/A,#N/A,FALSE,"Full";#N/A,#N/A,FALSE,"Half";#N/A,#N/A,FALSE,"Op Expenses";#N/A,#N/A,FALSE,"Cap Charge";#N/A,#N/A,FALSE,"Cost C";#N/A,#N/A,FALSE,"PP&amp;E";#N/A,#N/A,FALSE,"R&amp;D"}</definedName>
    <definedName name="mnb_2" localSheetId="4" hidden="1">{#N/A,#N/A,FALSE,"Full";#N/A,#N/A,FALSE,"Half";#N/A,#N/A,FALSE,"Op Expenses";#N/A,#N/A,FALSE,"Cap Charge";#N/A,#N/A,FALSE,"Cost C";#N/A,#N/A,FALSE,"PP&amp;E";#N/A,#N/A,FALSE,"R&amp;D"}</definedName>
    <definedName name="mnb_2" localSheetId="2" hidden="1">{#N/A,#N/A,FALSE,"Full";#N/A,#N/A,FALSE,"Half";#N/A,#N/A,FALSE,"Op Expenses";#N/A,#N/A,FALSE,"Cap Charge";#N/A,#N/A,FALSE,"Cost C";#N/A,#N/A,FALSE,"PP&amp;E";#N/A,#N/A,FALSE,"R&amp;D"}</definedName>
    <definedName name="mnb_2" hidden="1">{#N/A,#N/A,FALSE,"Full";#N/A,#N/A,FALSE,"Half";#N/A,#N/A,FALSE,"Op Expenses";#N/A,#N/A,FALSE,"Cap Charge";#N/A,#N/A,FALSE,"Cost C";#N/A,#N/A,FALSE,"PP&amp;E";#N/A,#N/A,FALSE,"R&amp;D"}</definedName>
    <definedName name="mnb_2_1" localSheetId="4" hidden="1">{#N/A,#N/A,FALSE,"Full";#N/A,#N/A,FALSE,"Half";#N/A,#N/A,FALSE,"Op Expenses";#N/A,#N/A,FALSE,"Cap Charge";#N/A,#N/A,FALSE,"Cost C";#N/A,#N/A,FALSE,"PP&amp;E";#N/A,#N/A,FALSE,"R&amp;D"}</definedName>
    <definedName name="mnb_2_1" localSheetId="2" hidden="1">{#N/A,#N/A,FALSE,"Full";#N/A,#N/A,FALSE,"Half";#N/A,#N/A,FALSE,"Op Expenses";#N/A,#N/A,FALSE,"Cap Charge";#N/A,#N/A,FALSE,"Cost C";#N/A,#N/A,FALSE,"PP&amp;E";#N/A,#N/A,FALSE,"R&amp;D"}</definedName>
    <definedName name="mnb_2_1" hidden="1">{#N/A,#N/A,FALSE,"Full";#N/A,#N/A,FALSE,"Half";#N/A,#N/A,FALSE,"Op Expenses";#N/A,#N/A,FALSE,"Cap Charge";#N/A,#N/A,FALSE,"Cost C";#N/A,#N/A,FALSE,"PP&amp;E";#N/A,#N/A,FALSE,"R&amp;D"}</definedName>
    <definedName name="mnb_3" localSheetId="4" hidden="1">{#N/A,#N/A,FALSE,"Full";#N/A,#N/A,FALSE,"Half";#N/A,#N/A,FALSE,"Op Expenses";#N/A,#N/A,FALSE,"Cap Charge";#N/A,#N/A,FALSE,"Cost C";#N/A,#N/A,FALSE,"PP&amp;E";#N/A,#N/A,FALSE,"R&amp;D"}</definedName>
    <definedName name="mnb_3" localSheetId="2" hidden="1">{#N/A,#N/A,FALSE,"Full";#N/A,#N/A,FALSE,"Half";#N/A,#N/A,FALSE,"Op Expenses";#N/A,#N/A,FALSE,"Cap Charge";#N/A,#N/A,FALSE,"Cost C";#N/A,#N/A,FALSE,"PP&amp;E";#N/A,#N/A,FALSE,"R&amp;D"}</definedName>
    <definedName name="mnb_3" hidden="1">{#N/A,#N/A,FALSE,"Full";#N/A,#N/A,FALSE,"Half";#N/A,#N/A,FALSE,"Op Expenses";#N/A,#N/A,FALSE,"Cap Charge";#N/A,#N/A,FALSE,"Cost C";#N/A,#N/A,FALSE,"PP&amp;E";#N/A,#N/A,FALSE,"R&amp;D"}</definedName>
    <definedName name="mth">#REF!</definedName>
    <definedName name="n" localSheetId="3" hidden="1">{#N/A,#N/A,FALSE,"Balance Sheets";#N/A,#N/A,FALSE,"96 Conservative";#N/A,#N/A,FALSE,"96 Possible"}</definedName>
    <definedName name="n" localSheetId="4" hidden="1">{#N/A,#N/A,FALSE,"Balance Sheets";#N/A,#N/A,FALSE,"96 Conservative";#N/A,#N/A,FALSE,"96 Possible"}</definedName>
    <definedName name="n" localSheetId="2" hidden="1">{#N/A,#N/A,FALSE,"Balance Sheets";#N/A,#N/A,FALSE,"96 Conservative";#N/A,#N/A,FALSE,"96 Possible"}</definedName>
    <definedName name="n" hidden="1">{#N/A,#N/A,FALSE,"Balance Sheets";#N/A,#N/A,FALSE,"96 Conservative";#N/A,#N/A,FALSE,"96 Possible"}</definedName>
    <definedName name="n_1" localSheetId="4" hidden="1">{#N/A,#N/A,FALSE,"Balance Sheets";#N/A,#N/A,FALSE,"96 Conservative";#N/A,#N/A,FALSE,"96 Possible"}</definedName>
    <definedName name="n_1" localSheetId="2" hidden="1">{#N/A,#N/A,FALSE,"Balance Sheets";#N/A,#N/A,FALSE,"96 Conservative";#N/A,#N/A,FALSE,"96 Possible"}</definedName>
    <definedName name="n_1" hidden="1">{#N/A,#N/A,FALSE,"Balance Sheets";#N/A,#N/A,FALSE,"96 Conservative";#N/A,#N/A,FALSE,"96 Possible"}</definedName>
    <definedName name="n_1_1" localSheetId="4" hidden="1">{#N/A,#N/A,FALSE,"Balance Sheets";#N/A,#N/A,FALSE,"96 Conservative";#N/A,#N/A,FALSE,"96 Possible"}</definedName>
    <definedName name="n_1_1" localSheetId="2" hidden="1">{#N/A,#N/A,FALSE,"Balance Sheets";#N/A,#N/A,FALSE,"96 Conservative";#N/A,#N/A,FALSE,"96 Possible"}</definedName>
    <definedName name="n_1_1" hidden="1">{#N/A,#N/A,FALSE,"Balance Sheets";#N/A,#N/A,FALSE,"96 Conservative";#N/A,#N/A,FALSE,"96 Possible"}</definedName>
    <definedName name="n_2" localSheetId="4" hidden="1">{#N/A,#N/A,FALSE,"Balance Sheets";#N/A,#N/A,FALSE,"96 Conservative";#N/A,#N/A,FALSE,"96 Possible"}</definedName>
    <definedName name="n_2" localSheetId="2" hidden="1">{#N/A,#N/A,FALSE,"Balance Sheets";#N/A,#N/A,FALSE,"96 Conservative";#N/A,#N/A,FALSE,"96 Possible"}</definedName>
    <definedName name="n_2" hidden="1">{#N/A,#N/A,FALSE,"Balance Sheets";#N/A,#N/A,FALSE,"96 Conservative";#N/A,#N/A,FALSE,"96 Possible"}</definedName>
    <definedName name="n_2_1" localSheetId="4" hidden="1">{#N/A,#N/A,FALSE,"Balance Sheets";#N/A,#N/A,FALSE,"96 Conservative";#N/A,#N/A,FALSE,"96 Possible"}</definedName>
    <definedName name="n_2_1" localSheetId="2" hidden="1">{#N/A,#N/A,FALSE,"Balance Sheets";#N/A,#N/A,FALSE,"96 Conservative";#N/A,#N/A,FALSE,"96 Possible"}</definedName>
    <definedName name="n_2_1" hidden="1">{#N/A,#N/A,FALSE,"Balance Sheets";#N/A,#N/A,FALSE,"96 Conservative";#N/A,#N/A,FALSE,"96 Possible"}</definedName>
    <definedName name="n_3" localSheetId="4" hidden="1">{#N/A,#N/A,FALSE,"Balance Sheets";#N/A,#N/A,FALSE,"96 Conservative";#N/A,#N/A,FALSE,"96 Possible"}</definedName>
    <definedName name="n_3" localSheetId="2" hidden="1">{#N/A,#N/A,FALSE,"Balance Sheets";#N/A,#N/A,FALSE,"96 Conservative";#N/A,#N/A,FALSE,"96 Possible"}</definedName>
    <definedName name="n_3" hidden="1">{#N/A,#N/A,FALSE,"Balance Sheets";#N/A,#N/A,FALSE,"96 Conservative";#N/A,#N/A,FALSE,"96 Possible"}</definedName>
    <definedName name="NameField">#REF!</definedName>
    <definedName name="Nature">#REF!</definedName>
    <definedName name="nbb" localSheetId="4" hidden="1">{#N/A,#N/A,FALSE,"SMT1";#N/A,#N/A,FALSE,"SMT2";#N/A,#N/A,FALSE,"Summary";#N/A,#N/A,FALSE,"Graphs";#N/A,#N/A,FALSE,"4 Panel"}</definedName>
    <definedName name="nbb" localSheetId="2" hidden="1">{#N/A,#N/A,FALSE,"SMT1";#N/A,#N/A,FALSE,"SMT2";#N/A,#N/A,FALSE,"Summary";#N/A,#N/A,FALSE,"Graphs";#N/A,#N/A,FALSE,"4 Panel"}</definedName>
    <definedName name="nbb" hidden="1">{#N/A,#N/A,FALSE,"SMT1";#N/A,#N/A,FALSE,"SMT2";#N/A,#N/A,FALSE,"Summary";#N/A,#N/A,FALSE,"Graphs";#N/A,#N/A,FALSE,"4 Panel"}</definedName>
    <definedName name="nbb_1" localSheetId="4" hidden="1">{#N/A,#N/A,FALSE,"SMT1";#N/A,#N/A,FALSE,"SMT2";#N/A,#N/A,FALSE,"Summary";#N/A,#N/A,FALSE,"Graphs";#N/A,#N/A,FALSE,"4 Panel"}</definedName>
    <definedName name="nbb_1" localSheetId="2" hidden="1">{#N/A,#N/A,FALSE,"SMT1";#N/A,#N/A,FALSE,"SMT2";#N/A,#N/A,FALSE,"Summary";#N/A,#N/A,FALSE,"Graphs";#N/A,#N/A,FALSE,"4 Panel"}</definedName>
    <definedName name="nbb_1" hidden="1">{#N/A,#N/A,FALSE,"SMT1";#N/A,#N/A,FALSE,"SMT2";#N/A,#N/A,FALSE,"Summary";#N/A,#N/A,FALSE,"Graphs";#N/A,#N/A,FALSE,"4 Panel"}</definedName>
    <definedName name="nbb_1_1" localSheetId="4" hidden="1">{#N/A,#N/A,FALSE,"SMT1";#N/A,#N/A,FALSE,"SMT2";#N/A,#N/A,FALSE,"Summary";#N/A,#N/A,FALSE,"Graphs";#N/A,#N/A,FALSE,"4 Panel"}</definedName>
    <definedName name="nbb_1_1" localSheetId="2" hidden="1">{#N/A,#N/A,FALSE,"SMT1";#N/A,#N/A,FALSE,"SMT2";#N/A,#N/A,FALSE,"Summary";#N/A,#N/A,FALSE,"Graphs";#N/A,#N/A,FALSE,"4 Panel"}</definedName>
    <definedName name="nbb_1_1" hidden="1">{#N/A,#N/A,FALSE,"SMT1";#N/A,#N/A,FALSE,"SMT2";#N/A,#N/A,FALSE,"Summary";#N/A,#N/A,FALSE,"Graphs";#N/A,#N/A,FALSE,"4 Panel"}</definedName>
    <definedName name="nbb_2" localSheetId="4" hidden="1">{#N/A,#N/A,FALSE,"SMT1";#N/A,#N/A,FALSE,"SMT2";#N/A,#N/A,FALSE,"Summary";#N/A,#N/A,FALSE,"Graphs";#N/A,#N/A,FALSE,"4 Panel"}</definedName>
    <definedName name="nbb_2" localSheetId="2" hidden="1">{#N/A,#N/A,FALSE,"SMT1";#N/A,#N/A,FALSE,"SMT2";#N/A,#N/A,FALSE,"Summary";#N/A,#N/A,FALSE,"Graphs";#N/A,#N/A,FALSE,"4 Panel"}</definedName>
    <definedName name="nbb_2" hidden="1">{#N/A,#N/A,FALSE,"SMT1";#N/A,#N/A,FALSE,"SMT2";#N/A,#N/A,FALSE,"Summary";#N/A,#N/A,FALSE,"Graphs";#N/A,#N/A,FALSE,"4 Panel"}</definedName>
    <definedName name="nbb_2_1" localSheetId="4" hidden="1">{#N/A,#N/A,FALSE,"SMT1";#N/A,#N/A,FALSE,"SMT2";#N/A,#N/A,FALSE,"Summary";#N/A,#N/A,FALSE,"Graphs";#N/A,#N/A,FALSE,"4 Panel"}</definedName>
    <definedName name="nbb_2_1" localSheetId="2" hidden="1">{#N/A,#N/A,FALSE,"SMT1";#N/A,#N/A,FALSE,"SMT2";#N/A,#N/A,FALSE,"Summary";#N/A,#N/A,FALSE,"Graphs";#N/A,#N/A,FALSE,"4 Panel"}</definedName>
    <definedName name="nbb_2_1" hidden="1">{#N/A,#N/A,FALSE,"SMT1";#N/A,#N/A,FALSE,"SMT2";#N/A,#N/A,FALSE,"Summary";#N/A,#N/A,FALSE,"Graphs";#N/A,#N/A,FALSE,"4 Panel"}</definedName>
    <definedName name="nbb_3" localSheetId="4" hidden="1">{#N/A,#N/A,FALSE,"SMT1";#N/A,#N/A,FALSE,"SMT2";#N/A,#N/A,FALSE,"Summary";#N/A,#N/A,FALSE,"Graphs";#N/A,#N/A,FALSE,"4 Panel"}</definedName>
    <definedName name="nbb_3" localSheetId="2" hidden="1">{#N/A,#N/A,FALSE,"SMT1";#N/A,#N/A,FALSE,"SMT2";#N/A,#N/A,FALSE,"Summary";#N/A,#N/A,FALSE,"Graphs";#N/A,#N/A,FALSE,"4 Panel"}</definedName>
    <definedName name="nbb_3" hidden="1">{#N/A,#N/A,FALSE,"SMT1";#N/A,#N/A,FALSE,"SMT2";#N/A,#N/A,FALSE,"Summary";#N/A,#N/A,FALSE,"Graphs";#N/A,#N/A,FALSE,"4 Panel"}</definedName>
    <definedName name="NewHires">#REF!</definedName>
    <definedName name="njk" localSheetId="4" hidden="1">{#N/A,#N/A,FALSE,"Balance Sheets";#N/A,#N/A,FALSE,"96 Conservative";#N/A,#N/A,FALSE,"96 Possible"}</definedName>
    <definedName name="njk" localSheetId="2" hidden="1">{#N/A,#N/A,FALSE,"Balance Sheets";#N/A,#N/A,FALSE,"96 Conservative";#N/A,#N/A,FALSE,"96 Possible"}</definedName>
    <definedName name="njk" hidden="1">{#N/A,#N/A,FALSE,"Balance Sheets";#N/A,#N/A,FALSE,"96 Conservative";#N/A,#N/A,FALSE,"96 Possible"}</definedName>
    <definedName name="njk_1" localSheetId="4" hidden="1">{#N/A,#N/A,FALSE,"Balance Sheets";#N/A,#N/A,FALSE,"96 Conservative";#N/A,#N/A,FALSE,"96 Possible"}</definedName>
    <definedName name="njk_1" localSheetId="2" hidden="1">{#N/A,#N/A,FALSE,"Balance Sheets";#N/A,#N/A,FALSE,"96 Conservative";#N/A,#N/A,FALSE,"96 Possible"}</definedName>
    <definedName name="njk_1" hidden="1">{#N/A,#N/A,FALSE,"Balance Sheets";#N/A,#N/A,FALSE,"96 Conservative";#N/A,#N/A,FALSE,"96 Possible"}</definedName>
    <definedName name="njk_1_1" localSheetId="4" hidden="1">{#N/A,#N/A,FALSE,"Balance Sheets";#N/A,#N/A,FALSE,"96 Conservative";#N/A,#N/A,FALSE,"96 Possible"}</definedName>
    <definedName name="njk_1_1" localSheetId="2" hidden="1">{#N/A,#N/A,FALSE,"Balance Sheets";#N/A,#N/A,FALSE,"96 Conservative";#N/A,#N/A,FALSE,"96 Possible"}</definedName>
    <definedName name="njk_1_1" hidden="1">{#N/A,#N/A,FALSE,"Balance Sheets";#N/A,#N/A,FALSE,"96 Conservative";#N/A,#N/A,FALSE,"96 Possible"}</definedName>
    <definedName name="njk_2" localSheetId="4" hidden="1">{#N/A,#N/A,FALSE,"Balance Sheets";#N/A,#N/A,FALSE,"96 Conservative";#N/A,#N/A,FALSE,"96 Possible"}</definedName>
    <definedName name="njk_2" localSheetId="2" hidden="1">{#N/A,#N/A,FALSE,"Balance Sheets";#N/A,#N/A,FALSE,"96 Conservative";#N/A,#N/A,FALSE,"96 Possible"}</definedName>
    <definedName name="njk_2" hidden="1">{#N/A,#N/A,FALSE,"Balance Sheets";#N/A,#N/A,FALSE,"96 Conservative";#N/A,#N/A,FALSE,"96 Possible"}</definedName>
    <definedName name="njk_2_1" localSheetId="4" hidden="1">{#N/A,#N/A,FALSE,"Balance Sheets";#N/A,#N/A,FALSE,"96 Conservative";#N/A,#N/A,FALSE,"96 Possible"}</definedName>
    <definedName name="njk_2_1" localSheetId="2" hidden="1">{#N/A,#N/A,FALSE,"Balance Sheets";#N/A,#N/A,FALSE,"96 Conservative";#N/A,#N/A,FALSE,"96 Possible"}</definedName>
    <definedName name="njk_2_1" hidden="1">{#N/A,#N/A,FALSE,"Balance Sheets";#N/A,#N/A,FALSE,"96 Conservative";#N/A,#N/A,FALSE,"96 Possible"}</definedName>
    <definedName name="njk_3" localSheetId="4" hidden="1">{#N/A,#N/A,FALSE,"Balance Sheets";#N/A,#N/A,FALSE,"96 Conservative";#N/A,#N/A,FALSE,"96 Possible"}</definedName>
    <definedName name="njk_3" localSheetId="2" hidden="1">{#N/A,#N/A,FALSE,"Balance Sheets";#N/A,#N/A,FALSE,"96 Conservative";#N/A,#N/A,FALSE,"96 Possible"}</definedName>
    <definedName name="njk_3" hidden="1">{#N/A,#N/A,FALSE,"Balance Sheets";#N/A,#N/A,FALSE,"96 Conservative";#N/A,#N/A,FALSE,"96 Possible"}</definedName>
    <definedName name="nju" localSheetId="4" hidden="1">{#N/A,#N/A,FALSE,"Full";#N/A,#N/A,FALSE,"Half";#N/A,#N/A,FALSE,"Op Expenses";#N/A,#N/A,FALSE,"Cap Charge";#N/A,#N/A,FALSE,"Cost C";#N/A,#N/A,FALSE,"PP&amp;E";#N/A,#N/A,FALSE,"R&amp;D"}</definedName>
    <definedName name="nju" localSheetId="2" hidden="1">{#N/A,#N/A,FALSE,"Full";#N/A,#N/A,FALSE,"Half";#N/A,#N/A,FALSE,"Op Expenses";#N/A,#N/A,FALSE,"Cap Charge";#N/A,#N/A,FALSE,"Cost C";#N/A,#N/A,FALSE,"PP&amp;E";#N/A,#N/A,FALSE,"R&amp;D"}</definedName>
    <definedName name="nju" hidden="1">{#N/A,#N/A,FALSE,"Full";#N/A,#N/A,FALSE,"Half";#N/A,#N/A,FALSE,"Op Expenses";#N/A,#N/A,FALSE,"Cap Charge";#N/A,#N/A,FALSE,"Cost C";#N/A,#N/A,FALSE,"PP&amp;E";#N/A,#N/A,FALSE,"R&amp;D"}</definedName>
    <definedName name="nju_1" localSheetId="4" hidden="1">{#N/A,#N/A,FALSE,"Full";#N/A,#N/A,FALSE,"Half";#N/A,#N/A,FALSE,"Op Expenses";#N/A,#N/A,FALSE,"Cap Charge";#N/A,#N/A,FALSE,"Cost C";#N/A,#N/A,FALSE,"PP&amp;E";#N/A,#N/A,FALSE,"R&amp;D"}</definedName>
    <definedName name="nju_1" localSheetId="2" hidden="1">{#N/A,#N/A,FALSE,"Full";#N/A,#N/A,FALSE,"Half";#N/A,#N/A,FALSE,"Op Expenses";#N/A,#N/A,FALSE,"Cap Charge";#N/A,#N/A,FALSE,"Cost C";#N/A,#N/A,FALSE,"PP&amp;E";#N/A,#N/A,FALSE,"R&amp;D"}</definedName>
    <definedName name="nju_1" hidden="1">{#N/A,#N/A,FALSE,"Full";#N/A,#N/A,FALSE,"Half";#N/A,#N/A,FALSE,"Op Expenses";#N/A,#N/A,FALSE,"Cap Charge";#N/A,#N/A,FALSE,"Cost C";#N/A,#N/A,FALSE,"PP&amp;E";#N/A,#N/A,FALSE,"R&amp;D"}</definedName>
    <definedName name="nju_1_1" localSheetId="4" hidden="1">{#N/A,#N/A,FALSE,"Full";#N/A,#N/A,FALSE,"Half";#N/A,#N/A,FALSE,"Op Expenses";#N/A,#N/A,FALSE,"Cap Charge";#N/A,#N/A,FALSE,"Cost C";#N/A,#N/A,FALSE,"PP&amp;E";#N/A,#N/A,FALSE,"R&amp;D"}</definedName>
    <definedName name="nju_1_1" localSheetId="2" hidden="1">{#N/A,#N/A,FALSE,"Full";#N/A,#N/A,FALSE,"Half";#N/A,#N/A,FALSE,"Op Expenses";#N/A,#N/A,FALSE,"Cap Charge";#N/A,#N/A,FALSE,"Cost C";#N/A,#N/A,FALSE,"PP&amp;E";#N/A,#N/A,FALSE,"R&amp;D"}</definedName>
    <definedName name="nju_1_1" hidden="1">{#N/A,#N/A,FALSE,"Full";#N/A,#N/A,FALSE,"Half";#N/A,#N/A,FALSE,"Op Expenses";#N/A,#N/A,FALSE,"Cap Charge";#N/A,#N/A,FALSE,"Cost C";#N/A,#N/A,FALSE,"PP&amp;E";#N/A,#N/A,FALSE,"R&amp;D"}</definedName>
    <definedName name="nju_2" localSheetId="4" hidden="1">{#N/A,#N/A,FALSE,"Full";#N/A,#N/A,FALSE,"Half";#N/A,#N/A,FALSE,"Op Expenses";#N/A,#N/A,FALSE,"Cap Charge";#N/A,#N/A,FALSE,"Cost C";#N/A,#N/A,FALSE,"PP&amp;E";#N/A,#N/A,FALSE,"R&amp;D"}</definedName>
    <definedName name="nju_2" localSheetId="2" hidden="1">{#N/A,#N/A,FALSE,"Full";#N/A,#N/A,FALSE,"Half";#N/A,#N/A,FALSE,"Op Expenses";#N/A,#N/A,FALSE,"Cap Charge";#N/A,#N/A,FALSE,"Cost C";#N/A,#N/A,FALSE,"PP&amp;E";#N/A,#N/A,FALSE,"R&amp;D"}</definedName>
    <definedName name="nju_2" hidden="1">{#N/A,#N/A,FALSE,"Full";#N/A,#N/A,FALSE,"Half";#N/A,#N/A,FALSE,"Op Expenses";#N/A,#N/A,FALSE,"Cap Charge";#N/A,#N/A,FALSE,"Cost C";#N/A,#N/A,FALSE,"PP&amp;E";#N/A,#N/A,FALSE,"R&amp;D"}</definedName>
    <definedName name="nju_2_1" localSheetId="4" hidden="1">{#N/A,#N/A,FALSE,"Full";#N/A,#N/A,FALSE,"Half";#N/A,#N/A,FALSE,"Op Expenses";#N/A,#N/A,FALSE,"Cap Charge";#N/A,#N/A,FALSE,"Cost C";#N/A,#N/A,FALSE,"PP&amp;E";#N/A,#N/A,FALSE,"R&amp;D"}</definedName>
    <definedName name="nju_2_1" localSheetId="2" hidden="1">{#N/A,#N/A,FALSE,"Full";#N/A,#N/A,FALSE,"Half";#N/A,#N/A,FALSE,"Op Expenses";#N/A,#N/A,FALSE,"Cap Charge";#N/A,#N/A,FALSE,"Cost C";#N/A,#N/A,FALSE,"PP&amp;E";#N/A,#N/A,FALSE,"R&amp;D"}</definedName>
    <definedName name="nju_2_1" hidden="1">{#N/A,#N/A,FALSE,"Full";#N/A,#N/A,FALSE,"Half";#N/A,#N/A,FALSE,"Op Expenses";#N/A,#N/A,FALSE,"Cap Charge";#N/A,#N/A,FALSE,"Cost C";#N/A,#N/A,FALSE,"PP&amp;E";#N/A,#N/A,FALSE,"R&amp;D"}</definedName>
    <definedName name="nju_3" localSheetId="4" hidden="1">{#N/A,#N/A,FALSE,"Full";#N/A,#N/A,FALSE,"Half";#N/A,#N/A,FALSE,"Op Expenses";#N/A,#N/A,FALSE,"Cap Charge";#N/A,#N/A,FALSE,"Cost C";#N/A,#N/A,FALSE,"PP&amp;E";#N/A,#N/A,FALSE,"R&amp;D"}</definedName>
    <definedName name="nju_3" localSheetId="2" hidden="1">{#N/A,#N/A,FALSE,"Full";#N/A,#N/A,FALSE,"Half";#N/A,#N/A,FALSE,"Op Expenses";#N/A,#N/A,FALSE,"Cap Charge";#N/A,#N/A,FALSE,"Cost C";#N/A,#N/A,FALSE,"PP&amp;E";#N/A,#N/A,FALSE,"R&amp;D"}</definedName>
    <definedName name="nju_3" hidden="1">{#N/A,#N/A,FALSE,"Full";#N/A,#N/A,FALSE,"Half";#N/A,#N/A,FALSE,"Op Expenses";#N/A,#N/A,FALSE,"Cap Charge";#N/A,#N/A,FALSE,"Cost C";#N/A,#N/A,FALSE,"PP&amp;E";#N/A,#N/A,FALSE,"R&amp;D"}</definedName>
    <definedName name="nki" localSheetId="4" hidden="1">{"EVA",#N/A,FALSE,"SMT2";#N/A,#N/A,FALSE,"Summary";#N/A,#N/A,FALSE,"Graphs";#N/A,#N/A,FALSE,"4 Panel"}</definedName>
    <definedName name="nki" localSheetId="2" hidden="1">{"EVA",#N/A,FALSE,"SMT2";#N/A,#N/A,FALSE,"Summary";#N/A,#N/A,FALSE,"Graphs";#N/A,#N/A,FALSE,"4 Panel"}</definedName>
    <definedName name="nki" hidden="1">{"EVA",#N/A,FALSE,"SMT2";#N/A,#N/A,FALSE,"Summary";#N/A,#N/A,FALSE,"Graphs";#N/A,#N/A,FALSE,"4 Panel"}</definedName>
    <definedName name="nki_1" localSheetId="4" hidden="1">{"EVA",#N/A,FALSE,"SMT2";#N/A,#N/A,FALSE,"Summary";#N/A,#N/A,FALSE,"Graphs";#N/A,#N/A,FALSE,"4 Panel"}</definedName>
    <definedName name="nki_1" localSheetId="2" hidden="1">{"EVA",#N/A,FALSE,"SMT2";#N/A,#N/A,FALSE,"Summary";#N/A,#N/A,FALSE,"Graphs";#N/A,#N/A,FALSE,"4 Panel"}</definedName>
    <definedName name="nki_1" hidden="1">{"EVA",#N/A,FALSE,"SMT2";#N/A,#N/A,FALSE,"Summary";#N/A,#N/A,FALSE,"Graphs";#N/A,#N/A,FALSE,"4 Panel"}</definedName>
    <definedName name="nki_1_1" localSheetId="4" hidden="1">{"EVA",#N/A,FALSE,"SMT2";#N/A,#N/A,FALSE,"Summary";#N/A,#N/A,FALSE,"Graphs";#N/A,#N/A,FALSE,"4 Panel"}</definedName>
    <definedName name="nki_1_1" localSheetId="2" hidden="1">{"EVA",#N/A,FALSE,"SMT2";#N/A,#N/A,FALSE,"Summary";#N/A,#N/A,FALSE,"Graphs";#N/A,#N/A,FALSE,"4 Panel"}</definedName>
    <definedName name="nki_1_1" hidden="1">{"EVA",#N/A,FALSE,"SMT2";#N/A,#N/A,FALSE,"Summary";#N/A,#N/A,FALSE,"Graphs";#N/A,#N/A,FALSE,"4 Panel"}</definedName>
    <definedName name="nki_2" localSheetId="4" hidden="1">{"EVA",#N/A,FALSE,"SMT2";#N/A,#N/A,FALSE,"Summary";#N/A,#N/A,FALSE,"Graphs";#N/A,#N/A,FALSE,"4 Panel"}</definedName>
    <definedName name="nki_2" localSheetId="2" hidden="1">{"EVA",#N/A,FALSE,"SMT2";#N/A,#N/A,FALSE,"Summary";#N/A,#N/A,FALSE,"Graphs";#N/A,#N/A,FALSE,"4 Panel"}</definedName>
    <definedName name="nki_2" hidden="1">{"EVA",#N/A,FALSE,"SMT2";#N/A,#N/A,FALSE,"Summary";#N/A,#N/A,FALSE,"Graphs";#N/A,#N/A,FALSE,"4 Panel"}</definedName>
    <definedName name="nki_2_1" localSheetId="4" hidden="1">{"EVA",#N/A,FALSE,"SMT2";#N/A,#N/A,FALSE,"Summary";#N/A,#N/A,FALSE,"Graphs";#N/A,#N/A,FALSE,"4 Panel"}</definedName>
    <definedName name="nki_2_1" localSheetId="2" hidden="1">{"EVA",#N/A,FALSE,"SMT2";#N/A,#N/A,FALSE,"Summary";#N/A,#N/A,FALSE,"Graphs";#N/A,#N/A,FALSE,"4 Panel"}</definedName>
    <definedName name="nki_2_1" hidden="1">{"EVA",#N/A,FALSE,"SMT2";#N/A,#N/A,FALSE,"Summary";#N/A,#N/A,FALSE,"Graphs";#N/A,#N/A,FALSE,"4 Panel"}</definedName>
    <definedName name="nki_3" localSheetId="4" hidden="1">{"EVA",#N/A,FALSE,"SMT2";#N/A,#N/A,FALSE,"Summary";#N/A,#N/A,FALSE,"Graphs";#N/A,#N/A,FALSE,"4 Panel"}</definedName>
    <definedName name="nki_3" localSheetId="2" hidden="1">{"EVA",#N/A,FALSE,"SMT2";#N/A,#N/A,FALSE,"Summary";#N/A,#N/A,FALSE,"Graphs";#N/A,#N/A,FALSE,"4 Panel"}</definedName>
    <definedName name="nki_3" hidden="1">{"EVA",#N/A,FALSE,"SMT2";#N/A,#N/A,FALSE,"Summary";#N/A,#N/A,FALSE,"Graphs";#N/A,#N/A,FALSE,"4 Panel"}</definedName>
    <definedName name="non_current_assets">#REF!</definedName>
    <definedName name="noncurrentassets">#REF!</definedName>
    <definedName name="noncurrentassetsa">#REF!</definedName>
    <definedName name="novcnyavg">#REF!</definedName>
    <definedName name="novcnyend">#REF!</definedName>
    <definedName name="noveuroavg">#REF!</definedName>
    <definedName name="noveuroend">#REF!</definedName>
    <definedName name="novgbpavg">#REF!</definedName>
    <definedName name="novgbpend">#REF!</definedName>
    <definedName name="novjpyavg">#REF!</definedName>
    <definedName name="novjpyend">#REF!</definedName>
    <definedName name="o">#REF!</definedName>
    <definedName name="Oct">#REF!</definedName>
    <definedName name="octcnyavg">#REF!</definedName>
    <definedName name="octcnyend">#REF!</definedName>
    <definedName name="octeuroavg">#REF!</definedName>
    <definedName name="octeuroend">#REF!</definedName>
    <definedName name="octgbpavg">#REF!</definedName>
    <definedName name="octgbpend">#REF!</definedName>
    <definedName name="octjpyavg">#REF!</definedName>
    <definedName name="octjpyend">#REF!</definedName>
    <definedName name="okl" localSheetId="4" hidden="1">{#N/A,#N/A,FALSE,"Balance Sheets";#N/A,#N/A,FALSE,"96 Conservative";#N/A,#N/A,FALSE,"96 Possible"}</definedName>
    <definedName name="okl" localSheetId="2" hidden="1">{#N/A,#N/A,FALSE,"Balance Sheets";#N/A,#N/A,FALSE,"96 Conservative";#N/A,#N/A,FALSE,"96 Possible"}</definedName>
    <definedName name="okl" hidden="1">{#N/A,#N/A,FALSE,"Balance Sheets";#N/A,#N/A,FALSE,"96 Conservative";#N/A,#N/A,FALSE,"96 Possible"}</definedName>
    <definedName name="okl_1" localSheetId="4" hidden="1">{#N/A,#N/A,FALSE,"Balance Sheets";#N/A,#N/A,FALSE,"96 Conservative";#N/A,#N/A,FALSE,"96 Possible"}</definedName>
    <definedName name="okl_1" localSheetId="2" hidden="1">{#N/A,#N/A,FALSE,"Balance Sheets";#N/A,#N/A,FALSE,"96 Conservative";#N/A,#N/A,FALSE,"96 Possible"}</definedName>
    <definedName name="okl_1" hidden="1">{#N/A,#N/A,FALSE,"Balance Sheets";#N/A,#N/A,FALSE,"96 Conservative";#N/A,#N/A,FALSE,"96 Possible"}</definedName>
    <definedName name="okl_1_1" localSheetId="4" hidden="1">{#N/A,#N/A,FALSE,"Balance Sheets";#N/A,#N/A,FALSE,"96 Conservative";#N/A,#N/A,FALSE,"96 Possible"}</definedName>
    <definedName name="okl_1_1" localSheetId="2" hidden="1">{#N/A,#N/A,FALSE,"Balance Sheets";#N/A,#N/A,FALSE,"96 Conservative";#N/A,#N/A,FALSE,"96 Possible"}</definedName>
    <definedName name="okl_1_1" hidden="1">{#N/A,#N/A,FALSE,"Balance Sheets";#N/A,#N/A,FALSE,"96 Conservative";#N/A,#N/A,FALSE,"96 Possible"}</definedName>
    <definedName name="okl_2" localSheetId="4" hidden="1">{#N/A,#N/A,FALSE,"Balance Sheets";#N/A,#N/A,FALSE,"96 Conservative";#N/A,#N/A,FALSE,"96 Possible"}</definedName>
    <definedName name="okl_2" localSheetId="2" hidden="1">{#N/A,#N/A,FALSE,"Balance Sheets";#N/A,#N/A,FALSE,"96 Conservative";#N/A,#N/A,FALSE,"96 Possible"}</definedName>
    <definedName name="okl_2" hidden="1">{#N/A,#N/A,FALSE,"Balance Sheets";#N/A,#N/A,FALSE,"96 Conservative";#N/A,#N/A,FALSE,"96 Possible"}</definedName>
    <definedName name="okl_2_1" localSheetId="4" hidden="1">{#N/A,#N/A,FALSE,"Balance Sheets";#N/A,#N/A,FALSE,"96 Conservative";#N/A,#N/A,FALSE,"96 Possible"}</definedName>
    <definedName name="okl_2_1" localSheetId="2" hidden="1">{#N/A,#N/A,FALSE,"Balance Sheets";#N/A,#N/A,FALSE,"96 Conservative";#N/A,#N/A,FALSE,"96 Possible"}</definedName>
    <definedName name="okl_2_1" hidden="1">{#N/A,#N/A,FALSE,"Balance Sheets";#N/A,#N/A,FALSE,"96 Conservative";#N/A,#N/A,FALSE,"96 Possible"}</definedName>
    <definedName name="okl_3" localSheetId="4" hidden="1">{#N/A,#N/A,FALSE,"Balance Sheets";#N/A,#N/A,FALSE,"96 Conservative";#N/A,#N/A,FALSE,"96 Possible"}</definedName>
    <definedName name="okl_3" localSheetId="2" hidden="1">{#N/A,#N/A,FALSE,"Balance Sheets";#N/A,#N/A,FALSE,"96 Conservative";#N/A,#N/A,FALSE,"96 Possible"}</definedName>
    <definedName name="okl_3" hidden="1">{#N/A,#N/A,FALSE,"Balance Sheets";#N/A,#N/A,FALSE,"96 Conservative";#N/A,#N/A,FALSE,"96 Possible"}</definedName>
    <definedName name="Op_Margin">#REF!</definedName>
    <definedName name="p" localSheetId="3" hidden="1">{"FORNDV",#N/A,FALSE,"Sheet1"}</definedName>
    <definedName name="p" localSheetId="4" hidden="1">{"FORNDV",#N/A,FALSE,"Sheet1"}</definedName>
    <definedName name="p" localSheetId="2" hidden="1">{"FORNDV",#N/A,FALSE,"Sheet1"}</definedName>
    <definedName name="p" hidden="1">{"FORNDV",#N/A,FALSE,"Sheet1"}</definedName>
    <definedName name="p_1" localSheetId="4" hidden="1">{"FORNDV",#N/A,FALSE,"Sheet1"}</definedName>
    <definedName name="p_1" localSheetId="2" hidden="1">{"FORNDV",#N/A,FALSE,"Sheet1"}</definedName>
    <definedName name="p_1" hidden="1">{"FORNDV",#N/A,FALSE,"Sheet1"}</definedName>
    <definedName name="p_1_1" localSheetId="4" hidden="1">{"FORNDV",#N/A,FALSE,"Sheet1"}</definedName>
    <definedName name="p_1_1" localSheetId="2" hidden="1">{"FORNDV",#N/A,FALSE,"Sheet1"}</definedName>
    <definedName name="p_1_1" hidden="1">{"FORNDV",#N/A,FALSE,"Sheet1"}</definedName>
    <definedName name="p_2" localSheetId="4" hidden="1">{"FORNDV",#N/A,FALSE,"Sheet1"}</definedName>
    <definedName name="p_2" localSheetId="2" hidden="1">{"FORNDV",#N/A,FALSE,"Sheet1"}</definedName>
    <definedName name="p_2" hidden="1">{"FORNDV",#N/A,FALSE,"Sheet1"}</definedName>
    <definedName name="p_2_1" localSheetId="4" hidden="1">{"FORNDV",#N/A,FALSE,"Sheet1"}</definedName>
    <definedName name="p_2_1" localSheetId="2" hidden="1">{"FORNDV",#N/A,FALSE,"Sheet1"}</definedName>
    <definedName name="p_2_1" hidden="1">{"FORNDV",#N/A,FALSE,"Sheet1"}</definedName>
    <definedName name="p_3" localSheetId="4" hidden="1">{"FORNDV",#N/A,FALSE,"Sheet1"}</definedName>
    <definedName name="p_3" localSheetId="2" hidden="1">{"FORNDV",#N/A,FALSE,"Sheet1"}</definedName>
    <definedName name="p_3" hidden="1">{"FORNDV",#N/A,FALSE,"Sheet1"}</definedName>
    <definedName name="PAGE1">#REF!</definedName>
    <definedName name="PAGE2">#REF!</definedName>
    <definedName name="PAGE3">#REF!</definedName>
    <definedName name="PAGE4">#REF!</definedName>
    <definedName name="Partner">#REF!</definedName>
    <definedName name="Partnera">#REF!</definedName>
    <definedName name="PB_Entity">#REF!</definedName>
    <definedName name="PEI_Entity">#REF!</definedName>
    <definedName name="PeriodArray">#REF!</definedName>
    <definedName name="Periode">#REF!</definedName>
    <definedName name="PeriodField">#REF!</definedName>
    <definedName name="Periods">#REF!</definedName>
    <definedName name="PivotDataRange">OFFSET(#REF!,0,0,COUNTA(#REF!),8)</definedName>
    <definedName name="Plan">#REF!</definedName>
    <definedName name="PLInterest">#REF!</definedName>
    <definedName name="plk" localSheetId="4" hidden="1">{#N/A,#N/A,FALSE,"Balance Sheets";#N/A,#N/A,FALSE,"96 Conservative";#N/A,#N/A,FALSE,"96 Possible"}</definedName>
    <definedName name="plk" localSheetId="2" hidden="1">{#N/A,#N/A,FALSE,"Balance Sheets";#N/A,#N/A,FALSE,"96 Conservative";#N/A,#N/A,FALSE,"96 Possible"}</definedName>
    <definedName name="plk" hidden="1">{#N/A,#N/A,FALSE,"Balance Sheets";#N/A,#N/A,FALSE,"96 Conservative";#N/A,#N/A,FALSE,"96 Possible"}</definedName>
    <definedName name="plk_1" localSheetId="4" hidden="1">{#N/A,#N/A,FALSE,"Balance Sheets";#N/A,#N/A,FALSE,"96 Conservative";#N/A,#N/A,FALSE,"96 Possible"}</definedName>
    <definedName name="plk_1" localSheetId="2" hidden="1">{#N/A,#N/A,FALSE,"Balance Sheets";#N/A,#N/A,FALSE,"96 Conservative";#N/A,#N/A,FALSE,"96 Possible"}</definedName>
    <definedName name="plk_1" hidden="1">{#N/A,#N/A,FALSE,"Balance Sheets";#N/A,#N/A,FALSE,"96 Conservative";#N/A,#N/A,FALSE,"96 Possible"}</definedName>
    <definedName name="plk_1_1" localSheetId="4" hidden="1">{#N/A,#N/A,FALSE,"Balance Sheets";#N/A,#N/A,FALSE,"96 Conservative";#N/A,#N/A,FALSE,"96 Possible"}</definedName>
    <definedName name="plk_1_1" localSheetId="2" hidden="1">{#N/A,#N/A,FALSE,"Balance Sheets";#N/A,#N/A,FALSE,"96 Conservative";#N/A,#N/A,FALSE,"96 Possible"}</definedName>
    <definedName name="plk_1_1" hidden="1">{#N/A,#N/A,FALSE,"Balance Sheets";#N/A,#N/A,FALSE,"96 Conservative";#N/A,#N/A,FALSE,"96 Possible"}</definedName>
    <definedName name="plk_2" localSheetId="4" hidden="1">{#N/A,#N/A,FALSE,"Balance Sheets";#N/A,#N/A,FALSE,"96 Conservative";#N/A,#N/A,FALSE,"96 Possible"}</definedName>
    <definedName name="plk_2" localSheetId="2" hidden="1">{#N/A,#N/A,FALSE,"Balance Sheets";#N/A,#N/A,FALSE,"96 Conservative";#N/A,#N/A,FALSE,"96 Possible"}</definedName>
    <definedName name="plk_2" hidden="1">{#N/A,#N/A,FALSE,"Balance Sheets";#N/A,#N/A,FALSE,"96 Conservative";#N/A,#N/A,FALSE,"96 Possible"}</definedName>
    <definedName name="plk_2_1" localSheetId="4" hidden="1">{#N/A,#N/A,FALSE,"Balance Sheets";#N/A,#N/A,FALSE,"96 Conservative";#N/A,#N/A,FALSE,"96 Possible"}</definedName>
    <definedName name="plk_2_1" localSheetId="2" hidden="1">{#N/A,#N/A,FALSE,"Balance Sheets";#N/A,#N/A,FALSE,"96 Conservative";#N/A,#N/A,FALSE,"96 Possible"}</definedName>
    <definedName name="plk_2_1" hidden="1">{#N/A,#N/A,FALSE,"Balance Sheets";#N/A,#N/A,FALSE,"96 Conservative";#N/A,#N/A,FALSE,"96 Possible"}</definedName>
    <definedName name="plk_3" localSheetId="4" hidden="1">{#N/A,#N/A,FALSE,"Balance Sheets";#N/A,#N/A,FALSE,"96 Conservative";#N/A,#N/A,FALSE,"96 Possible"}</definedName>
    <definedName name="plk_3" localSheetId="2" hidden="1">{#N/A,#N/A,FALSE,"Balance Sheets";#N/A,#N/A,FALSE,"96 Conservative";#N/A,#N/A,FALSE,"96 Possible"}</definedName>
    <definedName name="plk_3" hidden="1">{#N/A,#N/A,FALSE,"Balance Sheets";#N/A,#N/A,FALSE,"96 Conservative";#N/A,#N/A,FALSE,"96 Possible"}</definedName>
    <definedName name="PLVsBud" localSheetId="3" hidden="1">{#N/A,#N/A,FALSE,"Full";#N/A,#N/A,FALSE,"Half";#N/A,#N/A,FALSE,"Op Expenses";#N/A,#N/A,FALSE,"Cap Charge";#N/A,#N/A,FALSE,"Cost C";#N/A,#N/A,FALSE,"PP&amp;E";#N/A,#N/A,FALSE,"R&amp;D"}</definedName>
    <definedName name="PLVsBud" localSheetId="4" hidden="1">{#N/A,#N/A,FALSE,"Full";#N/A,#N/A,FALSE,"Half";#N/A,#N/A,FALSE,"Op Expenses";#N/A,#N/A,FALSE,"Cap Charge";#N/A,#N/A,FALSE,"Cost C";#N/A,#N/A,FALSE,"PP&amp;E";#N/A,#N/A,FALSE,"R&amp;D"}</definedName>
    <definedName name="PLVsBud" localSheetId="2" hidden="1">{#N/A,#N/A,FALSE,"Full";#N/A,#N/A,FALSE,"Half";#N/A,#N/A,FALSE,"Op Expenses";#N/A,#N/A,FALSE,"Cap Charge";#N/A,#N/A,FALSE,"Cost C";#N/A,#N/A,FALSE,"PP&amp;E";#N/A,#N/A,FALSE,"R&amp;D"}</definedName>
    <definedName name="PLVsBud" hidden="1">{#N/A,#N/A,FALSE,"Full";#N/A,#N/A,FALSE,"Half";#N/A,#N/A,FALSE,"Op Expenses";#N/A,#N/A,FALSE,"Cap Charge";#N/A,#N/A,FALSE,"Cost C";#N/A,#N/A,FALSE,"PP&amp;E";#N/A,#N/A,FALSE,"R&amp;D"}</definedName>
    <definedName name="PLVsBud_1" localSheetId="4" hidden="1">{#N/A,#N/A,FALSE,"Full";#N/A,#N/A,FALSE,"Half";#N/A,#N/A,FALSE,"Op Expenses";#N/A,#N/A,FALSE,"Cap Charge";#N/A,#N/A,FALSE,"Cost C";#N/A,#N/A,FALSE,"PP&amp;E";#N/A,#N/A,FALSE,"R&amp;D"}</definedName>
    <definedName name="PLVsBud_1" localSheetId="2" hidden="1">{#N/A,#N/A,FALSE,"Full";#N/A,#N/A,FALSE,"Half";#N/A,#N/A,FALSE,"Op Expenses";#N/A,#N/A,FALSE,"Cap Charge";#N/A,#N/A,FALSE,"Cost C";#N/A,#N/A,FALSE,"PP&amp;E";#N/A,#N/A,FALSE,"R&amp;D"}</definedName>
    <definedName name="PLVsBud_1" hidden="1">{#N/A,#N/A,FALSE,"Full";#N/A,#N/A,FALSE,"Half";#N/A,#N/A,FALSE,"Op Expenses";#N/A,#N/A,FALSE,"Cap Charge";#N/A,#N/A,FALSE,"Cost C";#N/A,#N/A,FALSE,"PP&amp;E";#N/A,#N/A,FALSE,"R&amp;D"}</definedName>
    <definedName name="PLVsBud_1_1" localSheetId="4" hidden="1">{#N/A,#N/A,FALSE,"Full";#N/A,#N/A,FALSE,"Half";#N/A,#N/A,FALSE,"Op Expenses";#N/A,#N/A,FALSE,"Cap Charge";#N/A,#N/A,FALSE,"Cost C";#N/A,#N/A,FALSE,"PP&amp;E";#N/A,#N/A,FALSE,"R&amp;D"}</definedName>
    <definedName name="PLVsBud_1_1" localSheetId="2" hidden="1">{#N/A,#N/A,FALSE,"Full";#N/A,#N/A,FALSE,"Half";#N/A,#N/A,FALSE,"Op Expenses";#N/A,#N/A,FALSE,"Cap Charge";#N/A,#N/A,FALSE,"Cost C";#N/A,#N/A,FALSE,"PP&amp;E";#N/A,#N/A,FALSE,"R&amp;D"}</definedName>
    <definedName name="PLVsBud_1_1" hidden="1">{#N/A,#N/A,FALSE,"Full";#N/A,#N/A,FALSE,"Half";#N/A,#N/A,FALSE,"Op Expenses";#N/A,#N/A,FALSE,"Cap Charge";#N/A,#N/A,FALSE,"Cost C";#N/A,#N/A,FALSE,"PP&amp;E";#N/A,#N/A,FALSE,"R&amp;D"}</definedName>
    <definedName name="PLVsBud_2" localSheetId="4" hidden="1">{#N/A,#N/A,FALSE,"Full";#N/A,#N/A,FALSE,"Half";#N/A,#N/A,FALSE,"Op Expenses";#N/A,#N/A,FALSE,"Cap Charge";#N/A,#N/A,FALSE,"Cost C";#N/A,#N/A,FALSE,"PP&amp;E";#N/A,#N/A,FALSE,"R&amp;D"}</definedName>
    <definedName name="PLVsBud_2" localSheetId="2" hidden="1">{#N/A,#N/A,FALSE,"Full";#N/A,#N/A,FALSE,"Half";#N/A,#N/A,FALSE,"Op Expenses";#N/A,#N/A,FALSE,"Cap Charge";#N/A,#N/A,FALSE,"Cost C";#N/A,#N/A,FALSE,"PP&amp;E";#N/A,#N/A,FALSE,"R&amp;D"}</definedName>
    <definedName name="PLVsBud_2" hidden="1">{#N/A,#N/A,FALSE,"Full";#N/A,#N/A,FALSE,"Half";#N/A,#N/A,FALSE,"Op Expenses";#N/A,#N/A,FALSE,"Cap Charge";#N/A,#N/A,FALSE,"Cost C";#N/A,#N/A,FALSE,"PP&amp;E";#N/A,#N/A,FALSE,"R&amp;D"}</definedName>
    <definedName name="PLVsBud_2_1" localSheetId="4" hidden="1">{#N/A,#N/A,FALSE,"Full";#N/A,#N/A,FALSE,"Half";#N/A,#N/A,FALSE,"Op Expenses";#N/A,#N/A,FALSE,"Cap Charge";#N/A,#N/A,FALSE,"Cost C";#N/A,#N/A,FALSE,"PP&amp;E";#N/A,#N/A,FALSE,"R&amp;D"}</definedName>
    <definedName name="PLVsBud_2_1" localSheetId="2" hidden="1">{#N/A,#N/A,FALSE,"Full";#N/A,#N/A,FALSE,"Half";#N/A,#N/A,FALSE,"Op Expenses";#N/A,#N/A,FALSE,"Cap Charge";#N/A,#N/A,FALSE,"Cost C";#N/A,#N/A,FALSE,"PP&amp;E";#N/A,#N/A,FALSE,"R&amp;D"}</definedName>
    <definedName name="PLVsBud_2_1" hidden="1">{#N/A,#N/A,FALSE,"Full";#N/A,#N/A,FALSE,"Half";#N/A,#N/A,FALSE,"Op Expenses";#N/A,#N/A,FALSE,"Cap Charge";#N/A,#N/A,FALSE,"Cost C";#N/A,#N/A,FALSE,"PP&amp;E";#N/A,#N/A,FALSE,"R&amp;D"}</definedName>
    <definedName name="PLVsBud_3" localSheetId="4" hidden="1">{#N/A,#N/A,FALSE,"Full";#N/A,#N/A,FALSE,"Half";#N/A,#N/A,FALSE,"Op Expenses";#N/A,#N/A,FALSE,"Cap Charge";#N/A,#N/A,FALSE,"Cost C";#N/A,#N/A,FALSE,"PP&amp;E";#N/A,#N/A,FALSE,"R&amp;D"}</definedName>
    <definedName name="PLVsBud_3" localSheetId="2" hidden="1">{#N/A,#N/A,FALSE,"Full";#N/A,#N/A,FALSE,"Half";#N/A,#N/A,FALSE,"Op Expenses";#N/A,#N/A,FALSE,"Cap Charge";#N/A,#N/A,FALSE,"Cost C";#N/A,#N/A,FALSE,"PP&amp;E";#N/A,#N/A,FALSE,"R&amp;D"}</definedName>
    <definedName name="PLVsBud_3" hidden="1">{#N/A,#N/A,FALSE,"Full";#N/A,#N/A,FALSE,"Half";#N/A,#N/A,FALSE,"Op Expenses";#N/A,#N/A,FALSE,"Cap Charge";#N/A,#N/A,FALSE,"Cost C";#N/A,#N/A,FALSE,"PP&amp;E";#N/A,#N/A,FALSE,"R&amp;D"}</definedName>
    <definedName name="pq" localSheetId="3" hidden="1">{#N/A,#N/A,FALSE,"Balance Sheets";#N/A,#N/A,FALSE,"96 Conservative";#N/A,#N/A,FALSE,"96 Possible"}</definedName>
    <definedName name="pq" localSheetId="4" hidden="1">{#N/A,#N/A,FALSE,"Balance Sheets";#N/A,#N/A,FALSE,"96 Conservative";#N/A,#N/A,FALSE,"96 Possible"}</definedName>
    <definedName name="pq" localSheetId="2" hidden="1">{#N/A,#N/A,FALSE,"Balance Sheets";#N/A,#N/A,FALSE,"96 Conservative";#N/A,#N/A,FALSE,"96 Possible"}</definedName>
    <definedName name="pq" hidden="1">{#N/A,#N/A,FALSE,"Balance Sheets";#N/A,#N/A,FALSE,"96 Conservative";#N/A,#N/A,FALSE,"96 Possible"}</definedName>
    <definedName name="pq_1" localSheetId="4" hidden="1">{#N/A,#N/A,FALSE,"Balance Sheets";#N/A,#N/A,FALSE,"96 Conservative";#N/A,#N/A,FALSE,"96 Possible"}</definedName>
    <definedName name="pq_1" localSheetId="2" hidden="1">{#N/A,#N/A,FALSE,"Balance Sheets";#N/A,#N/A,FALSE,"96 Conservative";#N/A,#N/A,FALSE,"96 Possible"}</definedName>
    <definedName name="pq_1" hidden="1">{#N/A,#N/A,FALSE,"Balance Sheets";#N/A,#N/A,FALSE,"96 Conservative";#N/A,#N/A,FALSE,"96 Possible"}</definedName>
    <definedName name="pq_1_1" localSheetId="4" hidden="1">{#N/A,#N/A,FALSE,"Balance Sheets";#N/A,#N/A,FALSE,"96 Conservative";#N/A,#N/A,FALSE,"96 Possible"}</definedName>
    <definedName name="pq_1_1" localSheetId="2" hidden="1">{#N/A,#N/A,FALSE,"Balance Sheets";#N/A,#N/A,FALSE,"96 Conservative";#N/A,#N/A,FALSE,"96 Possible"}</definedName>
    <definedName name="pq_1_1" hidden="1">{#N/A,#N/A,FALSE,"Balance Sheets";#N/A,#N/A,FALSE,"96 Conservative";#N/A,#N/A,FALSE,"96 Possible"}</definedName>
    <definedName name="pq_2" localSheetId="4" hidden="1">{#N/A,#N/A,FALSE,"Balance Sheets";#N/A,#N/A,FALSE,"96 Conservative";#N/A,#N/A,FALSE,"96 Possible"}</definedName>
    <definedName name="pq_2" localSheetId="2" hidden="1">{#N/A,#N/A,FALSE,"Balance Sheets";#N/A,#N/A,FALSE,"96 Conservative";#N/A,#N/A,FALSE,"96 Possible"}</definedName>
    <definedName name="pq_2" hidden="1">{#N/A,#N/A,FALSE,"Balance Sheets";#N/A,#N/A,FALSE,"96 Conservative";#N/A,#N/A,FALSE,"96 Possible"}</definedName>
    <definedName name="pq_2_1" localSheetId="4" hidden="1">{#N/A,#N/A,FALSE,"Balance Sheets";#N/A,#N/A,FALSE,"96 Conservative";#N/A,#N/A,FALSE,"96 Possible"}</definedName>
    <definedName name="pq_2_1" localSheetId="2" hidden="1">{#N/A,#N/A,FALSE,"Balance Sheets";#N/A,#N/A,FALSE,"96 Conservative";#N/A,#N/A,FALSE,"96 Possible"}</definedName>
    <definedName name="pq_2_1" hidden="1">{#N/A,#N/A,FALSE,"Balance Sheets";#N/A,#N/A,FALSE,"96 Conservative";#N/A,#N/A,FALSE,"96 Possible"}</definedName>
    <definedName name="pq_3" localSheetId="4" hidden="1">{#N/A,#N/A,FALSE,"Balance Sheets";#N/A,#N/A,FALSE,"96 Conservative";#N/A,#N/A,FALSE,"96 Possible"}</definedName>
    <definedName name="pq_3" localSheetId="2" hidden="1">{#N/A,#N/A,FALSE,"Balance Sheets";#N/A,#N/A,FALSE,"96 Conservative";#N/A,#N/A,FALSE,"96 Possible"}</definedName>
    <definedName name="pq_3" hidden="1">{#N/A,#N/A,FALSE,"Balance Sheets";#N/A,#N/A,FALSE,"96 Conservative";#N/A,#N/A,FALSE,"96 Possible"}</definedName>
    <definedName name="Preqtr">#REF!</definedName>
    <definedName name="PRICELIST">#REF!</definedName>
    <definedName name="_xlnm.Print_Area" localSheetId="0">'Executive Summary'!$B$1:$H$93</definedName>
    <definedName name="PRINT_J">#REF!</definedName>
    <definedName name="PRINT_S">#REF!</definedName>
    <definedName name="PRINTALL" localSheetId="4">PAGE1,PAGE2,PAGE3,PAGE4</definedName>
    <definedName name="PRINTALL" localSheetId="2">PAGE1,PAGE2,PAGE3,PAGE4</definedName>
    <definedName name="PRINTALL">PAGE1,PAGE2,PAGE3,PAGE4</definedName>
    <definedName name="Prior_Yr">#REF!</definedName>
    <definedName name="q" localSheetId="3" hidden="1">{#N/A,#N/A,FALSE,"Balance Sheets";#N/A,#N/A,FALSE,"96 Conservative";#N/A,#N/A,FALSE,"96 Possible"}</definedName>
    <definedName name="q" localSheetId="4" hidden="1">{#N/A,#N/A,FALSE,"Balance Sheets";#N/A,#N/A,FALSE,"96 Conservative";#N/A,#N/A,FALSE,"96 Possible"}</definedName>
    <definedName name="q" localSheetId="2" hidden="1">{#N/A,#N/A,FALSE,"Balance Sheets";#N/A,#N/A,FALSE,"96 Conservative";#N/A,#N/A,FALSE,"96 Possible"}</definedName>
    <definedName name="q" hidden="1">{#N/A,#N/A,FALSE,"Balance Sheets";#N/A,#N/A,FALSE,"96 Conservative";#N/A,#N/A,FALSE,"96 Possible"}</definedName>
    <definedName name="q_1" localSheetId="4" hidden="1">{#N/A,#N/A,FALSE,"Balance Sheets";#N/A,#N/A,FALSE,"96 Conservative";#N/A,#N/A,FALSE,"96 Possible"}</definedName>
    <definedName name="q_1" localSheetId="2" hidden="1">{#N/A,#N/A,FALSE,"Balance Sheets";#N/A,#N/A,FALSE,"96 Conservative";#N/A,#N/A,FALSE,"96 Possible"}</definedName>
    <definedName name="q_1" hidden="1">{#N/A,#N/A,FALSE,"Balance Sheets";#N/A,#N/A,FALSE,"96 Conservative";#N/A,#N/A,FALSE,"96 Possible"}</definedName>
    <definedName name="q_1_1" localSheetId="4" hidden="1">{#N/A,#N/A,FALSE,"Balance Sheets";#N/A,#N/A,FALSE,"96 Conservative";#N/A,#N/A,FALSE,"96 Possible"}</definedName>
    <definedName name="q_1_1" localSheetId="2" hidden="1">{#N/A,#N/A,FALSE,"Balance Sheets";#N/A,#N/A,FALSE,"96 Conservative";#N/A,#N/A,FALSE,"96 Possible"}</definedName>
    <definedName name="q_1_1" hidden="1">{#N/A,#N/A,FALSE,"Balance Sheets";#N/A,#N/A,FALSE,"96 Conservative";#N/A,#N/A,FALSE,"96 Possible"}</definedName>
    <definedName name="q_2" localSheetId="4" hidden="1">{#N/A,#N/A,FALSE,"Balance Sheets";#N/A,#N/A,FALSE,"96 Conservative";#N/A,#N/A,FALSE,"96 Possible"}</definedName>
    <definedName name="q_2" localSheetId="2" hidden="1">{#N/A,#N/A,FALSE,"Balance Sheets";#N/A,#N/A,FALSE,"96 Conservative";#N/A,#N/A,FALSE,"96 Possible"}</definedName>
    <definedName name="q_2" hidden="1">{#N/A,#N/A,FALSE,"Balance Sheets";#N/A,#N/A,FALSE,"96 Conservative";#N/A,#N/A,FALSE,"96 Possible"}</definedName>
    <definedName name="q_2_1" localSheetId="4" hidden="1">{#N/A,#N/A,FALSE,"Balance Sheets";#N/A,#N/A,FALSE,"96 Conservative";#N/A,#N/A,FALSE,"96 Possible"}</definedName>
    <definedName name="q_2_1" localSheetId="2" hidden="1">{#N/A,#N/A,FALSE,"Balance Sheets";#N/A,#N/A,FALSE,"96 Conservative";#N/A,#N/A,FALSE,"96 Possible"}</definedName>
    <definedName name="q_2_1" hidden="1">{#N/A,#N/A,FALSE,"Balance Sheets";#N/A,#N/A,FALSE,"96 Conservative";#N/A,#N/A,FALSE,"96 Possible"}</definedName>
    <definedName name="q_3" localSheetId="4" hidden="1">{#N/A,#N/A,FALSE,"Balance Sheets";#N/A,#N/A,FALSE,"96 Conservative";#N/A,#N/A,FALSE,"96 Possible"}</definedName>
    <definedName name="q_3" localSheetId="2" hidden="1">{#N/A,#N/A,FALSE,"Balance Sheets";#N/A,#N/A,FALSE,"96 Conservative";#N/A,#N/A,FALSE,"96 Possible"}</definedName>
    <definedName name="q_3" hidden="1">{#N/A,#N/A,FALSE,"Balance Sheets";#N/A,#N/A,FALSE,"96 Conservative";#N/A,#N/A,FALSE,"96 Possible"}</definedName>
    <definedName name="q1comments">#REF!</definedName>
    <definedName name="q1reserves">#REF!</definedName>
    <definedName name="q2comments">#REF!</definedName>
    <definedName name="q399reserve">#REF!</definedName>
    <definedName name="q499reserve">#REF!</definedName>
    <definedName name="QUARTERFOUR">#REF!</definedName>
    <definedName name="QUARTERTHREE">#REF!</definedName>
    <definedName name="QUARTERTWO">#REF!</definedName>
    <definedName name="RAISE_96">0.055</definedName>
    <definedName name="rate01">#REF!</definedName>
    <definedName name="rate02">#REF!</definedName>
    <definedName name="rate03">#REF!</definedName>
    <definedName name="reasoncode">#REF!</definedName>
    <definedName name="RECORD">#REF!</definedName>
    <definedName name="Respo">#REF!</definedName>
    <definedName name="RetrieveOrdersQtr">#REF!</definedName>
    <definedName name="RetrieveOrdFullYr">#REF!</definedName>
    <definedName name="RetrieveRange">#REF!</definedName>
    <definedName name="RetrieveRevFullYr">#REF!</definedName>
    <definedName name="RetrieveRevQtr">#REF!</definedName>
    <definedName name="rfd" localSheetId="4" hidden="1">{#N/A,#N/A,FALSE,"Balance Sheets";#N/A,#N/A,FALSE,"96 Conservative";#N/A,#N/A,FALSE,"96 Possible"}</definedName>
    <definedName name="rfd" localSheetId="2" hidden="1">{#N/A,#N/A,FALSE,"Balance Sheets";#N/A,#N/A,FALSE,"96 Conservative";#N/A,#N/A,FALSE,"96 Possible"}</definedName>
    <definedName name="rfd" hidden="1">{#N/A,#N/A,FALSE,"Balance Sheets";#N/A,#N/A,FALSE,"96 Conservative";#N/A,#N/A,FALSE,"96 Possible"}</definedName>
    <definedName name="rfd_1" localSheetId="4" hidden="1">{#N/A,#N/A,FALSE,"Balance Sheets";#N/A,#N/A,FALSE,"96 Conservative";#N/A,#N/A,FALSE,"96 Possible"}</definedName>
    <definedName name="rfd_1" localSheetId="2" hidden="1">{#N/A,#N/A,FALSE,"Balance Sheets";#N/A,#N/A,FALSE,"96 Conservative";#N/A,#N/A,FALSE,"96 Possible"}</definedName>
    <definedName name="rfd_1" hidden="1">{#N/A,#N/A,FALSE,"Balance Sheets";#N/A,#N/A,FALSE,"96 Conservative";#N/A,#N/A,FALSE,"96 Possible"}</definedName>
    <definedName name="rfd_1_1" localSheetId="4" hidden="1">{#N/A,#N/A,FALSE,"Balance Sheets";#N/A,#N/A,FALSE,"96 Conservative";#N/A,#N/A,FALSE,"96 Possible"}</definedName>
    <definedName name="rfd_1_1" localSheetId="2" hidden="1">{#N/A,#N/A,FALSE,"Balance Sheets";#N/A,#N/A,FALSE,"96 Conservative";#N/A,#N/A,FALSE,"96 Possible"}</definedName>
    <definedName name="rfd_1_1" hidden="1">{#N/A,#N/A,FALSE,"Balance Sheets";#N/A,#N/A,FALSE,"96 Conservative";#N/A,#N/A,FALSE,"96 Possible"}</definedName>
    <definedName name="rfd_2" localSheetId="4" hidden="1">{#N/A,#N/A,FALSE,"Balance Sheets";#N/A,#N/A,FALSE,"96 Conservative";#N/A,#N/A,FALSE,"96 Possible"}</definedName>
    <definedName name="rfd_2" localSheetId="2" hidden="1">{#N/A,#N/A,FALSE,"Balance Sheets";#N/A,#N/A,FALSE,"96 Conservative";#N/A,#N/A,FALSE,"96 Possible"}</definedName>
    <definedName name="rfd_2" hidden="1">{#N/A,#N/A,FALSE,"Balance Sheets";#N/A,#N/A,FALSE,"96 Conservative";#N/A,#N/A,FALSE,"96 Possible"}</definedName>
    <definedName name="rfd_2_1" localSheetId="4" hidden="1">{#N/A,#N/A,FALSE,"Balance Sheets";#N/A,#N/A,FALSE,"96 Conservative";#N/A,#N/A,FALSE,"96 Possible"}</definedName>
    <definedName name="rfd_2_1" localSheetId="2" hidden="1">{#N/A,#N/A,FALSE,"Balance Sheets";#N/A,#N/A,FALSE,"96 Conservative";#N/A,#N/A,FALSE,"96 Possible"}</definedName>
    <definedName name="rfd_2_1" hidden="1">{#N/A,#N/A,FALSE,"Balance Sheets";#N/A,#N/A,FALSE,"96 Conservative";#N/A,#N/A,FALSE,"96 Possible"}</definedName>
    <definedName name="rfd_3" localSheetId="4" hidden="1">{#N/A,#N/A,FALSE,"Balance Sheets";#N/A,#N/A,FALSE,"96 Conservative";#N/A,#N/A,FALSE,"96 Possible"}</definedName>
    <definedName name="rfd_3" localSheetId="2" hidden="1">{#N/A,#N/A,FALSE,"Balance Sheets";#N/A,#N/A,FALSE,"96 Conservative";#N/A,#N/A,FALSE,"96 Possible"}</definedName>
    <definedName name="rfd_3" hidden="1">{#N/A,#N/A,FALSE,"Balance Sheets";#N/A,#N/A,FALSE,"96 Conservative";#N/A,#N/A,FALSE,"96 Possible"}</definedName>
    <definedName name="rfg" localSheetId="4" hidden="1">{#N/A,#N/A,FALSE,"Balance Sheets";#N/A,#N/A,FALSE,"96 Conservative";#N/A,#N/A,FALSE,"96 Possible"}</definedName>
    <definedName name="rfg" localSheetId="2" hidden="1">{#N/A,#N/A,FALSE,"Balance Sheets";#N/A,#N/A,FALSE,"96 Conservative";#N/A,#N/A,FALSE,"96 Possible"}</definedName>
    <definedName name="rfg" hidden="1">{#N/A,#N/A,FALSE,"Balance Sheets";#N/A,#N/A,FALSE,"96 Conservative";#N/A,#N/A,FALSE,"96 Possible"}</definedName>
    <definedName name="rfg_1" localSheetId="4" hidden="1">{#N/A,#N/A,FALSE,"Balance Sheets";#N/A,#N/A,FALSE,"96 Conservative";#N/A,#N/A,FALSE,"96 Possible"}</definedName>
    <definedName name="rfg_1" localSheetId="2" hidden="1">{#N/A,#N/A,FALSE,"Balance Sheets";#N/A,#N/A,FALSE,"96 Conservative";#N/A,#N/A,FALSE,"96 Possible"}</definedName>
    <definedName name="rfg_1" hidden="1">{#N/A,#N/A,FALSE,"Balance Sheets";#N/A,#N/A,FALSE,"96 Conservative";#N/A,#N/A,FALSE,"96 Possible"}</definedName>
    <definedName name="rfg_1_1" localSheetId="4" hidden="1">{#N/A,#N/A,FALSE,"Balance Sheets";#N/A,#N/A,FALSE,"96 Conservative";#N/A,#N/A,FALSE,"96 Possible"}</definedName>
    <definedName name="rfg_1_1" localSheetId="2" hidden="1">{#N/A,#N/A,FALSE,"Balance Sheets";#N/A,#N/A,FALSE,"96 Conservative";#N/A,#N/A,FALSE,"96 Possible"}</definedName>
    <definedName name="rfg_1_1" hidden="1">{#N/A,#N/A,FALSE,"Balance Sheets";#N/A,#N/A,FALSE,"96 Conservative";#N/A,#N/A,FALSE,"96 Possible"}</definedName>
    <definedName name="rfg_2" localSheetId="4" hidden="1">{#N/A,#N/A,FALSE,"Balance Sheets";#N/A,#N/A,FALSE,"96 Conservative";#N/A,#N/A,FALSE,"96 Possible"}</definedName>
    <definedName name="rfg_2" localSheetId="2" hidden="1">{#N/A,#N/A,FALSE,"Balance Sheets";#N/A,#N/A,FALSE,"96 Conservative";#N/A,#N/A,FALSE,"96 Possible"}</definedName>
    <definedName name="rfg_2" hidden="1">{#N/A,#N/A,FALSE,"Balance Sheets";#N/A,#N/A,FALSE,"96 Conservative";#N/A,#N/A,FALSE,"96 Possible"}</definedName>
    <definedName name="rfg_2_1" localSheetId="4" hidden="1">{#N/A,#N/A,FALSE,"Balance Sheets";#N/A,#N/A,FALSE,"96 Conservative";#N/A,#N/A,FALSE,"96 Possible"}</definedName>
    <definedName name="rfg_2_1" localSheetId="2" hidden="1">{#N/A,#N/A,FALSE,"Balance Sheets";#N/A,#N/A,FALSE,"96 Conservative";#N/A,#N/A,FALSE,"96 Possible"}</definedName>
    <definedName name="rfg_2_1" hidden="1">{#N/A,#N/A,FALSE,"Balance Sheets";#N/A,#N/A,FALSE,"96 Conservative";#N/A,#N/A,FALSE,"96 Possible"}</definedName>
    <definedName name="rfg_3" localSheetId="4" hidden="1">{#N/A,#N/A,FALSE,"Balance Sheets";#N/A,#N/A,FALSE,"96 Conservative";#N/A,#N/A,FALSE,"96 Possible"}</definedName>
    <definedName name="rfg_3" localSheetId="2" hidden="1">{#N/A,#N/A,FALSE,"Balance Sheets";#N/A,#N/A,FALSE,"96 Conservative";#N/A,#N/A,FALSE,"96 Possible"}</definedName>
    <definedName name="rfg_3" hidden="1">{#N/A,#N/A,FALSE,"Balance Sheets";#N/A,#N/A,FALSE,"96 Conservative";#N/A,#N/A,FALSE,"96 Possible"}</definedName>
    <definedName name="RMCOptions">"*010000000000000"</definedName>
    <definedName name="Roche">#REF!</definedName>
    <definedName name="s">#REF!</definedName>
    <definedName name="S_CY_End_Data">#REF!</definedName>
    <definedName name="S_PY_End_Data">#REF!</definedName>
    <definedName name="sa" localSheetId="4" hidden="1">{#N/A,#N/A,FALSE,"Full";#N/A,#N/A,FALSE,"Half";#N/A,#N/A,FALSE,"Op Expenses";#N/A,#N/A,FALSE,"Cap Charge";#N/A,#N/A,FALSE,"Cost C";#N/A,#N/A,FALSE,"PP&amp;E";#N/A,#N/A,FALSE,"R&amp;D"}</definedName>
    <definedName name="sa" localSheetId="2" hidden="1">{#N/A,#N/A,FALSE,"Full";#N/A,#N/A,FALSE,"Half";#N/A,#N/A,FALSE,"Op Expenses";#N/A,#N/A,FALSE,"Cap Charge";#N/A,#N/A,FALSE,"Cost C";#N/A,#N/A,FALSE,"PP&amp;E";#N/A,#N/A,FALSE,"R&amp;D"}</definedName>
    <definedName name="sa" hidden="1">{#N/A,#N/A,FALSE,"Full";#N/A,#N/A,FALSE,"Half";#N/A,#N/A,FALSE,"Op Expenses";#N/A,#N/A,FALSE,"Cap Charge";#N/A,#N/A,FALSE,"Cost C";#N/A,#N/A,FALSE,"PP&amp;E";#N/A,#N/A,FALSE,"R&amp;D"}</definedName>
    <definedName name="sa_1" localSheetId="4" hidden="1">{#N/A,#N/A,FALSE,"Full";#N/A,#N/A,FALSE,"Half";#N/A,#N/A,FALSE,"Op Expenses";#N/A,#N/A,FALSE,"Cap Charge";#N/A,#N/A,FALSE,"Cost C";#N/A,#N/A,FALSE,"PP&amp;E";#N/A,#N/A,FALSE,"R&amp;D"}</definedName>
    <definedName name="sa_1" localSheetId="2" hidden="1">{#N/A,#N/A,FALSE,"Full";#N/A,#N/A,FALSE,"Half";#N/A,#N/A,FALSE,"Op Expenses";#N/A,#N/A,FALSE,"Cap Charge";#N/A,#N/A,FALSE,"Cost C";#N/A,#N/A,FALSE,"PP&amp;E";#N/A,#N/A,FALSE,"R&amp;D"}</definedName>
    <definedName name="sa_1" hidden="1">{#N/A,#N/A,FALSE,"Full";#N/A,#N/A,FALSE,"Half";#N/A,#N/A,FALSE,"Op Expenses";#N/A,#N/A,FALSE,"Cap Charge";#N/A,#N/A,FALSE,"Cost C";#N/A,#N/A,FALSE,"PP&amp;E";#N/A,#N/A,FALSE,"R&amp;D"}</definedName>
    <definedName name="sa_1_1" localSheetId="4" hidden="1">{#N/A,#N/A,FALSE,"Full";#N/A,#N/A,FALSE,"Half";#N/A,#N/A,FALSE,"Op Expenses";#N/A,#N/A,FALSE,"Cap Charge";#N/A,#N/A,FALSE,"Cost C";#N/A,#N/A,FALSE,"PP&amp;E";#N/A,#N/A,FALSE,"R&amp;D"}</definedName>
    <definedName name="sa_1_1" localSheetId="2" hidden="1">{#N/A,#N/A,FALSE,"Full";#N/A,#N/A,FALSE,"Half";#N/A,#N/A,FALSE,"Op Expenses";#N/A,#N/A,FALSE,"Cap Charge";#N/A,#N/A,FALSE,"Cost C";#N/A,#N/A,FALSE,"PP&amp;E";#N/A,#N/A,FALSE,"R&amp;D"}</definedName>
    <definedName name="sa_1_1" hidden="1">{#N/A,#N/A,FALSE,"Full";#N/A,#N/A,FALSE,"Half";#N/A,#N/A,FALSE,"Op Expenses";#N/A,#N/A,FALSE,"Cap Charge";#N/A,#N/A,FALSE,"Cost C";#N/A,#N/A,FALSE,"PP&amp;E";#N/A,#N/A,FALSE,"R&amp;D"}</definedName>
    <definedName name="sa_2" localSheetId="4" hidden="1">{#N/A,#N/A,FALSE,"Full";#N/A,#N/A,FALSE,"Half";#N/A,#N/A,FALSE,"Op Expenses";#N/A,#N/A,FALSE,"Cap Charge";#N/A,#N/A,FALSE,"Cost C";#N/A,#N/A,FALSE,"PP&amp;E";#N/A,#N/A,FALSE,"R&amp;D"}</definedName>
    <definedName name="sa_2" localSheetId="2" hidden="1">{#N/A,#N/A,FALSE,"Full";#N/A,#N/A,FALSE,"Half";#N/A,#N/A,FALSE,"Op Expenses";#N/A,#N/A,FALSE,"Cap Charge";#N/A,#N/A,FALSE,"Cost C";#N/A,#N/A,FALSE,"PP&amp;E";#N/A,#N/A,FALSE,"R&amp;D"}</definedName>
    <definedName name="sa_2" hidden="1">{#N/A,#N/A,FALSE,"Full";#N/A,#N/A,FALSE,"Half";#N/A,#N/A,FALSE,"Op Expenses";#N/A,#N/A,FALSE,"Cap Charge";#N/A,#N/A,FALSE,"Cost C";#N/A,#N/A,FALSE,"PP&amp;E";#N/A,#N/A,FALSE,"R&amp;D"}</definedName>
    <definedName name="sa_2_1" localSheetId="4" hidden="1">{#N/A,#N/A,FALSE,"Full";#N/A,#N/A,FALSE,"Half";#N/A,#N/A,FALSE,"Op Expenses";#N/A,#N/A,FALSE,"Cap Charge";#N/A,#N/A,FALSE,"Cost C";#N/A,#N/A,FALSE,"PP&amp;E";#N/A,#N/A,FALSE,"R&amp;D"}</definedName>
    <definedName name="sa_2_1" localSheetId="2" hidden="1">{#N/A,#N/A,FALSE,"Full";#N/A,#N/A,FALSE,"Half";#N/A,#N/A,FALSE,"Op Expenses";#N/A,#N/A,FALSE,"Cap Charge";#N/A,#N/A,FALSE,"Cost C";#N/A,#N/A,FALSE,"PP&amp;E";#N/A,#N/A,FALSE,"R&amp;D"}</definedName>
    <definedName name="sa_2_1" hidden="1">{#N/A,#N/A,FALSE,"Full";#N/A,#N/A,FALSE,"Half";#N/A,#N/A,FALSE,"Op Expenses";#N/A,#N/A,FALSE,"Cap Charge";#N/A,#N/A,FALSE,"Cost C";#N/A,#N/A,FALSE,"PP&amp;E";#N/A,#N/A,FALSE,"R&amp;D"}</definedName>
    <definedName name="sa_3" localSheetId="4" hidden="1">{#N/A,#N/A,FALSE,"Full";#N/A,#N/A,FALSE,"Half";#N/A,#N/A,FALSE,"Op Expenses";#N/A,#N/A,FALSE,"Cap Charge";#N/A,#N/A,FALSE,"Cost C";#N/A,#N/A,FALSE,"PP&amp;E";#N/A,#N/A,FALSE,"R&amp;D"}</definedName>
    <definedName name="sa_3" localSheetId="2" hidden="1">{#N/A,#N/A,FALSE,"Full";#N/A,#N/A,FALSE,"Half";#N/A,#N/A,FALSE,"Op Expenses";#N/A,#N/A,FALSE,"Cap Charge";#N/A,#N/A,FALSE,"Cost C";#N/A,#N/A,FALSE,"PP&amp;E";#N/A,#N/A,FALSE,"R&amp;D"}</definedName>
    <definedName name="sa_3" hidden="1">{#N/A,#N/A,FALSE,"Full";#N/A,#N/A,FALSE,"Half";#N/A,#N/A,FALSE,"Op Expenses";#N/A,#N/A,FALSE,"Cap Charge";#N/A,#N/A,FALSE,"Cost C";#N/A,#N/A,FALSE,"PP&amp;E";#N/A,#N/A,FALSE,"R&amp;D"}</definedName>
    <definedName name="SAPBEXrevision" hidden="1">1</definedName>
    <definedName name="SAPBEXsysID" hidden="1">"BW1"</definedName>
    <definedName name="SAPBEXwbID" hidden="1">"DB7E7N8UQWA4IREBXJZHTM27G"</definedName>
    <definedName name="sd" localSheetId="4" hidden="1">{#N/A,#N/A,FALSE,"Balance Sheets";#N/A,#N/A,FALSE,"96 Conservative";#N/A,#N/A,FALSE,"96 Possible"}</definedName>
    <definedName name="sd" localSheetId="2" hidden="1">{#N/A,#N/A,FALSE,"Balance Sheets";#N/A,#N/A,FALSE,"96 Conservative";#N/A,#N/A,FALSE,"96 Possible"}</definedName>
    <definedName name="sd" hidden="1">{#N/A,#N/A,FALSE,"Balance Sheets";#N/A,#N/A,FALSE,"96 Conservative";#N/A,#N/A,FALSE,"96 Possible"}</definedName>
    <definedName name="sd_1" localSheetId="4" hidden="1">{#N/A,#N/A,FALSE,"Balance Sheets";#N/A,#N/A,FALSE,"96 Conservative";#N/A,#N/A,FALSE,"96 Possible"}</definedName>
    <definedName name="sd_1" localSheetId="2" hidden="1">{#N/A,#N/A,FALSE,"Balance Sheets";#N/A,#N/A,FALSE,"96 Conservative";#N/A,#N/A,FALSE,"96 Possible"}</definedName>
    <definedName name="sd_1" hidden="1">{#N/A,#N/A,FALSE,"Balance Sheets";#N/A,#N/A,FALSE,"96 Conservative";#N/A,#N/A,FALSE,"96 Possible"}</definedName>
    <definedName name="sd_1_1" localSheetId="4" hidden="1">{#N/A,#N/A,FALSE,"Balance Sheets";#N/A,#N/A,FALSE,"96 Conservative";#N/A,#N/A,FALSE,"96 Possible"}</definedName>
    <definedName name="sd_1_1" localSheetId="2" hidden="1">{#N/A,#N/A,FALSE,"Balance Sheets";#N/A,#N/A,FALSE,"96 Conservative";#N/A,#N/A,FALSE,"96 Possible"}</definedName>
    <definedName name="sd_1_1" hidden="1">{#N/A,#N/A,FALSE,"Balance Sheets";#N/A,#N/A,FALSE,"96 Conservative";#N/A,#N/A,FALSE,"96 Possible"}</definedName>
    <definedName name="sd_2" localSheetId="4" hidden="1">{#N/A,#N/A,FALSE,"Balance Sheets";#N/A,#N/A,FALSE,"96 Conservative";#N/A,#N/A,FALSE,"96 Possible"}</definedName>
    <definedName name="sd_2" localSheetId="2" hidden="1">{#N/A,#N/A,FALSE,"Balance Sheets";#N/A,#N/A,FALSE,"96 Conservative";#N/A,#N/A,FALSE,"96 Possible"}</definedName>
    <definedName name="sd_2" hidden="1">{#N/A,#N/A,FALSE,"Balance Sheets";#N/A,#N/A,FALSE,"96 Conservative";#N/A,#N/A,FALSE,"96 Possible"}</definedName>
    <definedName name="sd_2_1" localSheetId="4" hidden="1">{#N/A,#N/A,FALSE,"Balance Sheets";#N/A,#N/A,FALSE,"96 Conservative";#N/A,#N/A,FALSE,"96 Possible"}</definedName>
    <definedName name="sd_2_1" localSheetId="2" hidden="1">{#N/A,#N/A,FALSE,"Balance Sheets";#N/A,#N/A,FALSE,"96 Conservative";#N/A,#N/A,FALSE,"96 Possible"}</definedName>
    <definedName name="sd_2_1" hidden="1">{#N/A,#N/A,FALSE,"Balance Sheets";#N/A,#N/A,FALSE,"96 Conservative";#N/A,#N/A,FALSE,"96 Possible"}</definedName>
    <definedName name="sd_3" localSheetId="4" hidden="1">{#N/A,#N/A,FALSE,"Balance Sheets";#N/A,#N/A,FALSE,"96 Conservative";#N/A,#N/A,FALSE,"96 Possible"}</definedName>
    <definedName name="sd_3" localSheetId="2" hidden="1">{#N/A,#N/A,FALSE,"Balance Sheets";#N/A,#N/A,FALSE,"96 Conservative";#N/A,#N/A,FALSE,"96 Possible"}</definedName>
    <definedName name="sd_3" hidden="1">{#N/A,#N/A,FALSE,"Balance Sheets";#N/A,#N/A,FALSE,"96 Conservative";#N/A,#N/A,FALSE,"96 Possible"}</definedName>
    <definedName name="sdfg" localSheetId="4" hidden="1">{"EVA",#N/A,FALSE,"SMT2";#N/A,#N/A,FALSE,"Summary";#N/A,#N/A,FALSE,"Graphs";#N/A,#N/A,FALSE,"4 Panel"}</definedName>
    <definedName name="sdfg" localSheetId="2" hidden="1">{"EVA",#N/A,FALSE,"SMT2";#N/A,#N/A,FALSE,"Summary";#N/A,#N/A,FALSE,"Graphs";#N/A,#N/A,FALSE,"4 Panel"}</definedName>
    <definedName name="sdfg" hidden="1">{"EVA",#N/A,FALSE,"SMT2";#N/A,#N/A,FALSE,"Summary";#N/A,#N/A,FALSE,"Graphs";#N/A,#N/A,FALSE,"4 Panel"}</definedName>
    <definedName name="sdfg_1" localSheetId="4" hidden="1">{"EVA",#N/A,FALSE,"SMT2";#N/A,#N/A,FALSE,"Summary";#N/A,#N/A,FALSE,"Graphs";#N/A,#N/A,FALSE,"4 Panel"}</definedName>
    <definedName name="sdfg_1" localSheetId="2" hidden="1">{"EVA",#N/A,FALSE,"SMT2";#N/A,#N/A,FALSE,"Summary";#N/A,#N/A,FALSE,"Graphs";#N/A,#N/A,FALSE,"4 Panel"}</definedName>
    <definedName name="sdfg_1" hidden="1">{"EVA",#N/A,FALSE,"SMT2";#N/A,#N/A,FALSE,"Summary";#N/A,#N/A,FALSE,"Graphs";#N/A,#N/A,FALSE,"4 Panel"}</definedName>
    <definedName name="sdfg_1_1" localSheetId="4" hidden="1">{"EVA",#N/A,FALSE,"SMT2";#N/A,#N/A,FALSE,"Summary";#N/A,#N/A,FALSE,"Graphs";#N/A,#N/A,FALSE,"4 Panel"}</definedName>
    <definedName name="sdfg_1_1" localSheetId="2" hidden="1">{"EVA",#N/A,FALSE,"SMT2";#N/A,#N/A,FALSE,"Summary";#N/A,#N/A,FALSE,"Graphs";#N/A,#N/A,FALSE,"4 Panel"}</definedName>
    <definedName name="sdfg_1_1" hidden="1">{"EVA",#N/A,FALSE,"SMT2";#N/A,#N/A,FALSE,"Summary";#N/A,#N/A,FALSE,"Graphs";#N/A,#N/A,FALSE,"4 Panel"}</definedName>
    <definedName name="sdfg_2" localSheetId="4" hidden="1">{"EVA",#N/A,FALSE,"SMT2";#N/A,#N/A,FALSE,"Summary";#N/A,#N/A,FALSE,"Graphs";#N/A,#N/A,FALSE,"4 Panel"}</definedName>
    <definedName name="sdfg_2" localSheetId="2" hidden="1">{"EVA",#N/A,FALSE,"SMT2";#N/A,#N/A,FALSE,"Summary";#N/A,#N/A,FALSE,"Graphs";#N/A,#N/A,FALSE,"4 Panel"}</definedName>
    <definedName name="sdfg_2" hidden="1">{"EVA",#N/A,FALSE,"SMT2";#N/A,#N/A,FALSE,"Summary";#N/A,#N/A,FALSE,"Graphs";#N/A,#N/A,FALSE,"4 Panel"}</definedName>
    <definedName name="sdfg_2_1" localSheetId="4" hidden="1">{"EVA",#N/A,FALSE,"SMT2";#N/A,#N/A,FALSE,"Summary";#N/A,#N/A,FALSE,"Graphs";#N/A,#N/A,FALSE,"4 Panel"}</definedName>
    <definedName name="sdfg_2_1" localSheetId="2" hidden="1">{"EVA",#N/A,FALSE,"SMT2";#N/A,#N/A,FALSE,"Summary";#N/A,#N/A,FALSE,"Graphs";#N/A,#N/A,FALSE,"4 Panel"}</definedName>
    <definedName name="sdfg_2_1" hidden="1">{"EVA",#N/A,FALSE,"SMT2";#N/A,#N/A,FALSE,"Summary";#N/A,#N/A,FALSE,"Graphs";#N/A,#N/A,FALSE,"4 Panel"}</definedName>
    <definedName name="sdfg_3" localSheetId="4" hidden="1">{"EVA",#N/A,FALSE,"SMT2";#N/A,#N/A,FALSE,"Summary";#N/A,#N/A,FALSE,"Graphs";#N/A,#N/A,FALSE,"4 Panel"}</definedName>
    <definedName name="sdfg_3" localSheetId="2" hidden="1">{"EVA",#N/A,FALSE,"SMT2";#N/A,#N/A,FALSE,"Summary";#N/A,#N/A,FALSE,"Graphs";#N/A,#N/A,FALSE,"4 Panel"}</definedName>
    <definedName name="sdfg_3" hidden="1">{"EVA",#N/A,FALSE,"SMT2";#N/A,#N/A,FALSE,"Summary";#N/A,#N/A,FALSE,"Graphs";#N/A,#N/A,FALSE,"4 Panel"}</definedName>
    <definedName name="sdfh" localSheetId="4" hidden="1">{#N/A,#N/A,FALSE,"Balance Sheets";#N/A,#N/A,FALSE,"96 Conservative";#N/A,#N/A,FALSE,"96 Possible"}</definedName>
    <definedName name="sdfh" localSheetId="2" hidden="1">{#N/A,#N/A,FALSE,"Balance Sheets";#N/A,#N/A,FALSE,"96 Conservative";#N/A,#N/A,FALSE,"96 Possible"}</definedName>
    <definedName name="sdfh" hidden="1">{#N/A,#N/A,FALSE,"Balance Sheets";#N/A,#N/A,FALSE,"96 Conservative";#N/A,#N/A,FALSE,"96 Possible"}</definedName>
    <definedName name="sdfh_1" localSheetId="4" hidden="1">{#N/A,#N/A,FALSE,"Balance Sheets";#N/A,#N/A,FALSE,"96 Conservative";#N/A,#N/A,FALSE,"96 Possible"}</definedName>
    <definedName name="sdfh_1" localSheetId="2" hidden="1">{#N/A,#N/A,FALSE,"Balance Sheets";#N/A,#N/A,FALSE,"96 Conservative";#N/A,#N/A,FALSE,"96 Possible"}</definedName>
    <definedName name="sdfh_1" hidden="1">{#N/A,#N/A,FALSE,"Balance Sheets";#N/A,#N/A,FALSE,"96 Conservative";#N/A,#N/A,FALSE,"96 Possible"}</definedName>
    <definedName name="sdfh_1_1" localSheetId="4" hidden="1">{#N/A,#N/A,FALSE,"Balance Sheets";#N/A,#N/A,FALSE,"96 Conservative";#N/A,#N/A,FALSE,"96 Possible"}</definedName>
    <definedName name="sdfh_1_1" localSheetId="2" hidden="1">{#N/A,#N/A,FALSE,"Balance Sheets";#N/A,#N/A,FALSE,"96 Conservative";#N/A,#N/A,FALSE,"96 Possible"}</definedName>
    <definedName name="sdfh_1_1" hidden="1">{#N/A,#N/A,FALSE,"Balance Sheets";#N/A,#N/A,FALSE,"96 Conservative";#N/A,#N/A,FALSE,"96 Possible"}</definedName>
    <definedName name="sdfh_2" localSheetId="4" hidden="1">{#N/A,#N/A,FALSE,"Balance Sheets";#N/A,#N/A,FALSE,"96 Conservative";#N/A,#N/A,FALSE,"96 Possible"}</definedName>
    <definedName name="sdfh_2" localSheetId="2" hidden="1">{#N/A,#N/A,FALSE,"Balance Sheets";#N/A,#N/A,FALSE,"96 Conservative";#N/A,#N/A,FALSE,"96 Possible"}</definedName>
    <definedName name="sdfh_2" hidden="1">{#N/A,#N/A,FALSE,"Balance Sheets";#N/A,#N/A,FALSE,"96 Conservative";#N/A,#N/A,FALSE,"96 Possible"}</definedName>
    <definedName name="sdfh_2_1" localSheetId="4" hidden="1">{#N/A,#N/A,FALSE,"Balance Sheets";#N/A,#N/A,FALSE,"96 Conservative";#N/A,#N/A,FALSE,"96 Possible"}</definedName>
    <definedName name="sdfh_2_1" localSheetId="2" hidden="1">{#N/A,#N/A,FALSE,"Balance Sheets";#N/A,#N/A,FALSE,"96 Conservative";#N/A,#N/A,FALSE,"96 Possible"}</definedName>
    <definedName name="sdfh_2_1" hidden="1">{#N/A,#N/A,FALSE,"Balance Sheets";#N/A,#N/A,FALSE,"96 Conservative";#N/A,#N/A,FALSE,"96 Possible"}</definedName>
    <definedName name="sdfh_3" localSheetId="4" hidden="1">{#N/A,#N/A,FALSE,"Balance Sheets";#N/A,#N/A,FALSE,"96 Conservative";#N/A,#N/A,FALSE,"96 Possible"}</definedName>
    <definedName name="sdfh_3" localSheetId="2" hidden="1">{#N/A,#N/A,FALSE,"Balance Sheets";#N/A,#N/A,FALSE,"96 Conservative";#N/A,#N/A,FALSE,"96 Possible"}</definedName>
    <definedName name="sdfh_3" hidden="1">{#N/A,#N/A,FALSE,"Balance Sheets";#N/A,#N/A,FALSE,"96 Conservative";#N/A,#N/A,FALSE,"96 Possible"}</definedName>
    <definedName name="se">#REF!</definedName>
    <definedName name="sedf" localSheetId="4" hidden="1">{#N/A,#N/A,FALSE,"Balance Sheets";#N/A,#N/A,FALSE,"96 Conservative";#N/A,#N/A,FALSE,"96 Possible"}</definedName>
    <definedName name="sedf" localSheetId="2" hidden="1">{#N/A,#N/A,FALSE,"Balance Sheets";#N/A,#N/A,FALSE,"96 Conservative";#N/A,#N/A,FALSE,"96 Possible"}</definedName>
    <definedName name="sedf" hidden="1">{#N/A,#N/A,FALSE,"Balance Sheets";#N/A,#N/A,FALSE,"96 Conservative";#N/A,#N/A,FALSE,"96 Possible"}</definedName>
    <definedName name="sedf_1" localSheetId="4" hidden="1">{#N/A,#N/A,FALSE,"Balance Sheets";#N/A,#N/A,FALSE,"96 Conservative";#N/A,#N/A,FALSE,"96 Possible"}</definedName>
    <definedName name="sedf_1" localSheetId="2" hidden="1">{#N/A,#N/A,FALSE,"Balance Sheets";#N/A,#N/A,FALSE,"96 Conservative";#N/A,#N/A,FALSE,"96 Possible"}</definedName>
    <definedName name="sedf_1" hidden="1">{#N/A,#N/A,FALSE,"Balance Sheets";#N/A,#N/A,FALSE,"96 Conservative";#N/A,#N/A,FALSE,"96 Possible"}</definedName>
    <definedName name="sedf_1_1" localSheetId="4" hidden="1">{#N/A,#N/A,FALSE,"Balance Sheets";#N/A,#N/A,FALSE,"96 Conservative";#N/A,#N/A,FALSE,"96 Possible"}</definedName>
    <definedName name="sedf_1_1" localSheetId="2" hidden="1">{#N/A,#N/A,FALSE,"Balance Sheets";#N/A,#N/A,FALSE,"96 Conservative";#N/A,#N/A,FALSE,"96 Possible"}</definedName>
    <definedName name="sedf_1_1" hidden="1">{#N/A,#N/A,FALSE,"Balance Sheets";#N/A,#N/A,FALSE,"96 Conservative";#N/A,#N/A,FALSE,"96 Possible"}</definedName>
    <definedName name="sedf_2" localSheetId="4" hidden="1">{#N/A,#N/A,FALSE,"Balance Sheets";#N/A,#N/A,FALSE,"96 Conservative";#N/A,#N/A,FALSE,"96 Possible"}</definedName>
    <definedName name="sedf_2" localSheetId="2" hidden="1">{#N/A,#N/A,FALSE,"Balance Sheets";#N/A,#N/A,FALSE,"96 Conservative";#N/A,#N/A,FALSE,"96 Possible"}</definedName>
    <definedName name="sedf_2" hidden="1">{#N/A,#N/A,FALSE,"Balance Sheets";#N/A,#N/A,FALSE,"96 Conservative";#N/A,#N/A,FALSE,"96 Possible"}</definedName>
    <definedName name="sedf_2_1" localSheetId="4" hidden="1">{#N/A,#N/A,FALSE,"Balance Sheets";#N/A,#N/A,FALSE,"96 Conservative";#N/A,#N/A,FALSE,"96 Possible"}</definedName>
    <definedName name="sedf_2_1" localSheetId="2" hidden="1">{#N/A,#N/A,FALSE,"Balance Sheets";#N/A,#N/A,FALSE,"96 Conservative";#N/A,#N/A,FALSE,"96 Possible"}</definedName>
    <definedName name="sedf_2_1" hidden="1">{#N/A,#N/A,FALSE,"Balance Sheets";#N/A,#N/A,FALSE,"96 Conservative";#N/A,#N/A,FALSE,"96 Possible"}</definedName>
    <definedName name="sedf_3" localSheetId="4" hidden="1">{#N/A,#N/A,FALSE,"Balance Sheets";#N/A,#N/A,FALSE,"96 Conservative";#N/A,#N/A,FALSE,"96 Possible"}</definedName>
    <definedName name="sedf_3" localSheetId="2" hidden="1">{#N/A,#N/A,FALSE,"Balance Sheets";#N/A,#N/A,FALSE,"96 Conservative";#N/A,#N/A,FALSE,"96 Possible"}</definedName>
    <definedName name="sedf_3" hidden="1">{#N/A,#N/A,FALSE,"Balance Sheets";#N/A,#N/A,FALSE,"96 Conservative";#N/A,#N/A,FALSE,"96 Possible"}</definedName>
    <definedName name="sepcnyavg">#REF!</definedName>
    <definedName name="sepcnyend">#REF!</definedName>
    <definedName name="sepeuroavg">#REF!</definedName>
    <definedName name="sepeuroend">#REF!</definedName>
    <definedName name="sepgbpavg">#REF!</definedName>
    <definedName name="sepgbpend">#REF!</definedName>
    <definedName name="sepjpyavg">#REF!</definedName>
    <definedName name="sepjpyend">#REF!</definedName>
    <definedName name="ser">#REF!</definedName>
    <definedName name="ssdf">#REF!</definedName>
    <definedName name="STA1B">#REF!</definedName>
    <definedName name="STA7.2">#REF!</definedName>
    <definedName name="STA7E">#REF!</definedName>
    <definedName name="t">#REF!</definedName>
    <definedName name="tag" localSheetId="4" hidden="1">{"EVA",#N/A,FALSE,"SMT2";#N/A,#N/A,FALSE,"Summary";#N/A,#N/A,FALSE,"Graphs";#N/A,#N/A,FALSE,"4 Panel"}</definedName>
    <definedName name="tag" localSheetId="2" hidden="1">{"EVA",#N/A,FALSE,"SMT2";#N/A,#N/A,FALSE,"Summary";#N/A,#N/A,FALSE,"Graphs";#N/A,#N/A,FALSE,"4 Panel"}</definedName>
    <definedName name="tag" hidden="1">{"EVA",#N/A,FALSE,"SMT2";#N/A,#N/A,FALSE,"Summary";#N/A,#N/A,FALSE,"Graphs";#N/A,#N/A,FALSE,"4 Panel"}</definedName>
    <definedName name="tag_1" localSheetId="4" hidden="1">{"EVA",#N/A,FALSE,"SMT2";#N/A,#N/A,FALSE,"Summary";#N/A,#N/A,FALSE,"Graphs";#N/A,#N/A,FALSE,"4 Panel"}</definedName>
    <definedName name="tag_1" localSheetId="2" hidden="1">{"EVA",#N/A,FALSE,"SMT2";#N/A,#N/A,FALSE,"Summary";#N/A,#N/A,FALSE,"Graphs";#N/A,#N/A,FALSE,"4 Panel"}</definedName>
    <definedName name="tag_1" hidden="1">{"EVA",#N/A,FALSE,"SMT2";#N/A,#N/A,FALSE,"Summary";#N/A,#N/A,FALSE,"Graphs";#N/A,#N/A,FALSE,"4 Panel"}</definedName>
    <definedName name="tag_1_1" localSheetId="4" hidden="1">{"EVA",#N/A,FALSE,"SMT2";#N/A,#N/A,FALSE,"Summary";#N/A,#N/A,FALSE,"Graphs";#N/A,#N/A,FALSE,"4 Panel"}</definedName>
    <definedName name="tag_1_1" localSheetId="2" hidden="1">{"EVA",#N/A,FALSE,"SMT2";#N/A,#N/A,FALSE,"Summary";#N/A,#N/A,FALSE,"Graphs";#N/A,#N/A,FALSE,"4 Panel"}</definedName>
    <definedName name="tag_1_1" hidden="1">{"EVA",#N/A,FALSE,"SMT2";#N/A,#N/A,FALSE,"Summary";#N/A,#N/A,FALSE,"Graphs";#N/A,#N/A,FALSE,"4 Panel"}</definedName>
    <definedName name="tag_2" localSheetId="4" hidden="1">{"EVA",#N/A,FALSE,"SMT2";#N/A,#N/A,FALSE,"Summary";#N/A,#N/A,FALSE,"Graphs";#N/A,#N/A,FALSE,"4 Panel"}</definedName>
    <definedName name="tag_2" localSheetId="2" hidden="1">{"EVA",#N/A,FALSE,"SMT2";#N/A,#N/A,FALSE,"Summary";#N/A,#N/A,FALSE,"Graphs";#N/A,#N/A,FALSE,"4 Panel"}</definedName>
    <definedName name="tag_2" hidden="1">{"EVA",#N/A,FALSE,"SMT2";#N/A,#N/A,FALSE,"Summary";#N/A,#N/A,FALSE,"Graphs";#N/A,#N/A,FALSE,"4 Panel"}</definedName>
    <definedName name="tag_2_1" localSheetId="4" hidden="1">{"EVA",#N/A,FALSE,"SMT2";#N/A,#N/A,FALSE,"Summary";#N/A,#N/A,FALSE,"Graphs";#N/A,#N/A,FALSE,"4 Panel"}</definedName>
    <definedName name="tag_2_1" localSheetId="2" hidden="1">{"EVA",#N/A,FALSE,"SMT2";#N/A,#N/A,FALSE,"Summary";#N/A,#N/A,FALSE,"Graphs";#N/A,#N/A,FALSE,"4 Panel"}</definedName>
    <definedName name="tag_2_1" hidden="1">{"EVA",#N/A,FALSE,"SMT2";#N/A,#N/A,FALSE,"Summary";#N/A,#N/A,FALSE,"Graphs";#N/A,#N/A,FALSE,"4 Panel"}</definedName>
    <definedName name="tag_3" localSheetId="4" hidden="1">{"EVA",#N/A,FALSE,"SMT2";#N/A,#N/A,FALSE,"Summary";#N/A,#N/A,FALSE,"Graphs";#N/A,#N/A,FALSE,"4 Panel"}</definedName>
    <definedName name="tag_3" localSheetId="2" hidden="1">{"EVA",#N/A,FALSE,"SMT2";#N/A,#N/A,FALSE,"Summary";#N/A,#N/A,FALSE,"Graphs";#N/A,#N/A,FALSE,"4 Panel"}</definedName>
    <definedName name="tag_3" hidden="1">{"EVA",#N/A,FALSE,"SMT2";#N/A,#N/A,FALSE,"Summary";#N/A,#N/A,FALSE,"Graphs";#N/A,#N/A,FALSE,"4 Panel"}</definedName>
    <definedName name="TB">#REF!</definedName>
    <definedName name="Territory">#REF!</definedName>
    <definedName name="TEST">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RefCopyRangeCount" hidden="1">14</definedName>
    <definedName name="tgif" localSheetId="4" hidden="1">{#N/A,#N/A,FALSE,"Balance Sheets";#N/A,#N/A,FALSE,"96 Conservative";#N/A,#N/A,FALSE,"96 Possible"}</definedName>
    <definedName name="tgif" localSheetId="2" hidden="1">{#N/A,#N/A,FALSE,"Balance Sheets";#N/A,#N/A,FALSE,"96 Conservative";#N/A,#N/A,FALSE,"96 Possible"}</definedName>
    <definedName name="tgif" hidden="1">{#N/A,#N/A,FALSE,"Balance Sheets";#N/A,#N/A,FALSE,"96 Conservative";#N/A,#N/A,FALSE,"96 Possible"}</definedName>
    <definedName name="tgif_1" localSheetId="4" hidden="1">{#N/A,#N/A,FALSE,"Balance Sheets";#N/A,#N/A,FALSE,"96 Conservative";#N/A,#N/A,FALSE,"96 Possible"}</definedName>
    <definedName name="tgif_1" localSheetId="2" hidden="1">{#N/A,#N/A,FALSE,"Balance Sheets";#N/A,#N/A,FALSE,"96 Conservative";#N/A,#N/A,FALSE,"96 Possible"}</definedName>
    <definedName name="tgif_1" hidden="1">{#N/A,#N/A,FALSE,"Balance Sheets";#N/A,#N/A,FALSE,"96 Conservative";#N/A,#N/A,FALSE,"96 Possible"}</definedName>
    <definedName name="tgif_1_1" localSheetId="4" hidden="1">{#N/A,#N/A,FALSE,"Balance Sheets";#N/A,#N/A,FALSE,"96 Conservative";#N/A,#N/A,FALSE,"96 Possible"}</definedName>
    <definedName name="tgif_1_1" localSheetId="2" hidden="1">{#N/A,#N/A,FALSE,"Balance Sheets";#N/A,#N/A,FALSE,"96 Conservative";#N/A,#N/A,FALSE,"96 Possible"}</definedName>
    <definedName name="tgif_1_1" hidden="1">{#N/A,#N/A,FALSE,"Balance Sheets";#N/A,#N/A,FALSE,"96 Conservative";#N/A,#N/A,FALSE,"96 Possible"}</definedName>
    <definedName name="tgif_2" localSheetId="4" hidden="1">{#N/A,#N/A,FALSE,"Balance Sheets";#N/A,#N/A,FALSE,"96 Conservative";#N/A,#N/A,FALSE,"96 Possible"}</definedName>
    <definedName name="tgif_2" localSheetId="2" hidden="1">{#N/A,#N/A,FALSE,"Balance Sheets";#N/A,#N/A,FALSE,"96 Conservative";#N/A,#N/A,FALSE,"96 Possible"}</definedName>
    <definedName name="tgif_2" hidden="1">{#N/A,#N/A,FALSE,"Balance Sheets";#N/A,#N/A,FALSE,"96 Conservative";#N/A,#N/A,FALSE,"96 Possible"}</definedName>
    <definedName name="tgif_2_1" localSheetId="4" hidden="1">{#N/A,#N/A,FALSE,"Balance Sheets";#N/A,#N/A,FALSE,"96 Conservative";#N/A,#N/A,FALSE,"96 Possible"}</definedName>
    <definedName name="tgif_2_1" localSheetId="2" hidden="1">{#N/A,#N/A,FALSE,"Balance Sheets";#N/A,#N/A,FALSE,"96 Conservative";#N/A,#N/A,FALSE,"96 Possible"}</definedName>
    <definedName name="tgif_2_1" hidden="1">{#N/A,#N/A,FALSE,"Balance Sheets";#N/A,#N/A,FALSE,"96 Conservative";#N/A,#N/A,FALSE,"96 Possible"}</definedName>
    <definedName name="tgif_3" localSheetId="4" hidden="1">{#N/A,#N/A,FALSE,"Balance Sheets";#N/A,#N/A,FALSE,"96 Conservative";#N/A,#N/A,FALSE,"96 Possible"}</definedName>
    <definedName name="tgif_3" localSheetId="2" hidden="1">{#N/A,#N/A,FALSE,"Balance Sheets";#N/A,#N/A,FALSE,"96 Conservative";#N/A,#N/A,FALSE,"96 Possible"}</definedName>
    <definedName name="tgif_3" hidden="1">{#N/A,#N/A,FALSE,"Balance Sheets";#N/A,#N/A,FALSE,"96 Conservative";#N/A,#N/A,FALSE,"96 Possible"}</definedName>
    <definedName name="ting">#REF!</definedName>
    <definedName name="tingting">#REF!</definedName>
    <definedName name="Title">#REF!</definedName>
    <definedName name="TOT">#REF!</definedName>
    <definedName name="TOTAL">#REF!</definedName>
    <definedName name="Tradepayable">#REF!+#REF!</definedName>
    <definedName name="Trx_Entity">#REF!</definedName>
    <definedName name="Type">#REF!</definedName>
    <definedName name="u">#REF!</definedName>
    <definedName name="UMB">#REF!</definedName>
    <definedName name="Units">#REF!</definedName>
    <definedName name="V">#REF!</definedName>
    <definedName name="Version">#REF!</definedName>
    <definedName name="vgh" localSheetId="4" hidden="1">{#N/A,#N/A,FALSE,"Full";#N/A,#N/A,FALSE,"Half";#N/A,#N/A,FALSE,"Op Expenses";#N/A,#N/A,FALSE,"Cap Charge";#N/A,#N/A,FALSE,"Cost C";#N/A,#N/A,FALSE,"PP&amp;E";#N/A,#N/A,FALSE,"R&amp;D"}</definedName>
    <definedName name="vgh" localSheetId="2" hidden="1">{#N/A,#N/A,FALSE,"Full";#N/A,#N/A,FALSE,"Half";#N/A,#N/A,FALSE,"Op Expenses";#N/A,#N/A,FALSE,"Cap Charge";#N/A,#N/A,FALSE,"Cost C";#N/A,#N/A,FALSE,"PP&amp;E";#N/A,#N/A,FALSE,"R&amp;D"}</definedName>
    <definedName name="vgh" hidden="1">{#N/A,#N/A,FALSE,"Full";#N/A,#N/A,FALSE,"Half";#N/A,#N/A,FALSE,"Op Expenses";#N/A,#N/A,FALSE,"Cap Charge";#N/A,#N/A,FALSE,"Cost C";#N/A,#N/A,FALSE,"PP&amp;E";#N/A,#N/A,FALSE,"R&amp;D"}</definedName>
    <definedName name="vgh_1" localSheetId="4" hidden="1">{#N/A,#N/A,FALSE,"Full";#N/A,#N/A,FALSE,"Half";#N/A,#N/A,FALSE,"Op Expenses";#N/A,#N/A,FALSE,"Cap Charge";#N/A,#N/A,FALSE,"Cost C";#N/A,#N/A,FALSE,"PP&amp;E";#N/A,#N/A,FALSE,"R&amp;D"}</definedName>
    <definedName name="vgh_1" localSheetId="2" hidden="1">{#N/A,#N/A,FALSE,"Full";#N/A,#N/A,FALSE,"Half";#N/A,#N/A,FALSE,"Op Expenses";#N/A,#N/A,FALSE,"Cap Charge";#N/A,#N/A,FALSE,"Cost C";#N/A,#N/A,FALSE,"PP&amp;E";#N/A,#N/A,FALSE,"R&amp;D"}</definedName>
    <definedName name="vgh_1" hidden="1">{#N/A,#N/A,FALSE,"Full";#N/A,#N/A,FALSE,"Half";#N/A,#N/A,FALSE,"Op Expenses";#N/A,#N/A,FALSE,"Cap Charge";#N/A,#N/A,FALSE,"Cost C";#N/A,#N/A,FALSE,"PP&amp;E";#N/A,#N/A,FALSE,"R&amp;D"}</definedName>
    <definedName name="vgh_1_1" localSheetId="4" hidden="1">{#N/A,#N/A,FALSE,"Full";#N/A,#N/A,FALSE,"Half";#N/A,#N/A,FALSE,"Op Expenses";#N/A,#N/A,FALSE,"Cap Charge";#N/A,#N/A,FALSE,"Cost C";#N/A,#N/A,FALSE,"PP&amp;E";#N/A,#N/A,FALSE,"R&amp;D"}</definedName>
    <definedName name="vgh_1_1" localSheetId="2" hidden="1">{#N/A,#N/A,FALSE,"Full";#N/A,#N/A,FALSE,"Half";#N/A,#N/A,FALSE,"Op Expenses";#N/A,#N/A,FALSE,"Cap Charge";#N/A,#N/A,FALSE,"Cost C";#N/A,#N/A,FALSE,"PP&amp;E";#N/A,#N/A,FALSE,"R&amp;D"}</definedName>
    <definedName name="vgh_1_1" hidden="1">{#N/A,#N/A,FALSE,"Full";#N/A,#N/A,FALSE,"Half";#N/A,#N/A,FALSE,"Op Expenses";#N/A,#N/A,FALSE,"Cap Charge";#N/A,#N/A,FALSE,"Cost C";#N/A,#N/A,FALSE,"PP&amp;E";#N/A,#N/A,FALSE,"R&amp;D"}</definedName>
    <definedName name="vgh_2" localSheetId="4" hidden="1">{#N/A,#N/A,FALSE,"Full";#N/A,#N/A,FALSE,"Half";#N/A,#N/A,FALSE,"Op Expenses";#N/A,#N/A,FALSE,"Cap Charge";#N/A,#N/A,FALSE,"Cost C";#N/A,#N/A,FALSE,"PP&amp;E";#N/A,#N/A,FALSE,"R&amp;D"}</definedName>
    <definedName name="vgh_2" localSheetId="2" hidden="1">{#N/A,#N/A,FALSE,"Full";#N/A,#N/A,FALSE,"Half";#N/A,#N/A,FALSE,"Op Expenses";#N/A,#N/A,FALSE,"Cap Charge";#N/A,#N/A,FALSE,"Cost C";#N/A,#N/A,FALSE,"PP&amp;E";#N/A,#N/A,FALSE,"R&amp;D"}</definedName>
    <definedName name="vgh_2" hidden="1">{#N/A,#N/A,FALSE,"Full";#N/A,#N/A,FALSE,"Half";#N/A,#N/A,FALSE,"Op Expenses";#N/A,#N/A,FALSE,"Cap Charge";#N/A,#N/A,FALSE,"Cost C";#N/A,#N/A,FALSE,"PP&amp;E";#N/A,#N/A,FALSE,"R&amp;D"}</definedName>
    <definedName name="vgh_2_1" localSheetId="4" hidden="1">{#N/A,#N/A,FALSE,"Full";#N/A,#N/A,FALSE,"Half";#N/A,#N/A,FALSE,"Op Expenses";#N/A,#N/A,FALSE,"Cap Charge";#N/A,#N/A,FALSE,"Cost C";#N/A,#N/A,FALSE,"PP&amp;E";#N/A,#N/A,FALSE,"R&amp;D"}</definedName>
    <definedName name="vgh_2_1" localSheetId="2" hidden="1">{#N/A,#N/A,FALSE,"Full";#N/A,#N/A,FALSE,"Half";#N/A,#N/A,FALSE,"Op Expenses";#N/A,#N/A,FALSE,"Cap Charge";#N/A,#N/A,FALSE,"Cost C";#N/A,#N/A,FALSE,"PP&amp;E";#N/A,#N/A,FALSE,"R&amp;D"}</definedName>
    <definedName name="vgh_2_1" hidden="1">{#N/A,#N/A,FALSE,"Full";#N/A,#N/A,FALSE,"Half";#N/A,#N/A,FALSE,"Op Expenses";#N/A,#N/A,FALSE,"Cap Charge";#N/A,#N/A,FALSE,"Cost C";#N/A,#N/A,FALSE,"PP&amp;E";#N/A,#N/A,FALSE,"R&amp;D"}</definedName>
    <definedName name="vgh_3" localSheetId="4" hidden="1">{#N/A,#N/A,FALSE,"Full";#N/A,#N/A,FALSE,"Half";#N/A,#N/A,FALSE,"Op Expenses";#N/A,#N/A,FALSE,"Cap Charge";#N/A,#N/A,FALSE,"Cost C";#N/A,#N/A,FALSE,"PP&amp;E";#N/A,#N/A,FALSE,"R&amp;D"}</definedName>
    <definedName name="vgh_3" localSheetId="2" hidden="1">{#N/A,#N/A,FALSE,"Full";#N/A,#N/A,FALSE,"Half";#N/A,#N/A,FALSE,"Op Expenses";#N/A,#N/A,FALSE,"Cap Charge";#N/A,#N/A,FALSE,"Cost C";#N/A,#N/A,FALSE,"PP&amp;E";#N/A,#N/A,FALSE,"R&amp;D"}</definedName>
    <definedName name="vgh_3" hidden="1">{#N/A,#N/A,FALSE,"Full";#N/A,#N/A,FALSE,"Half";#N/A,#N/A,FALSE,"Op Expenses";#N/A,#N/A,FALSE,"Cap Charge";#N/A,#N/A,FALSE,"Cost C";#N/A,#N/A,FALSE,"PP&amp;E";#N/A,#N/A,FALSE,"R&amp;D"}</definedName>
    <definedName name="View">#REF!</definedName>
    <definedName name="VTG">#REF!</definedName>
    <definedName name="w">#REF!</definedName>
    <definedName name="wdv" localSheetId="4" hidden="1">{"EVA",#N/A,FALSE,"SMT2";#N/A,#N/A,FALSE,"Summary";#N/A,#N/A,FALSE,"Graphs";#N/A,#N/A,FALSE,"4 Panel"}</definedName>
    <definedName name="wdv" localSheetId="2" hidden="1">{"EVA",#N/A,FALSE,"SMT2";#N/A,#N/A,FALSE,"Summary";#N/A,#N/A,FALSE,"Graphs";#N/A,#N/A,FALSE,"4 Panel"}</definedName>
    <definedName name="wdv" hidden="1">{"EVA",#N/A,FALSE,"SMT2";#N/A,#N/A,FALSE,"Summary";#N/A,#N/A,FALSE,"Graphs";#N/A,#N/A,FALSE,"4 Panel"}</definedName>
    <definedName name="wdv_1" localSheetId="4" hidden="1">{"EVA",#N/A,FALSE,"SMT2";#N/A,#N/A,FALSE,"Summary";#N/A,#N/A,FALSE,"Graphs";#N/A,#N/A,FALSE,"4 Panel"}</definedName>
    <definedName name="wdv_1" localSheetId="2" hidden="1">{"EVA",#N/A,FALSE,"SMT2";#N/A,#N/A,FALSE,"Summary";#N/A,#N/A,FALSE,"Graphs";#N/A,#N/A,FALSE,"4 Panel"}</definedName>
    <definedName name="wdv_1" hidden="1">{"EVA",#N/A,FALSE,"SMT2";#N/A,#N/A,FALSE,"Summary";#N/A,#N/A,FALSE,"Graphs";#N/A,#N/A,FALSE,"4 Panel"}</definedName>
    <definedName name="wdv_1_1" localSheetId="4" hidden="1">{"EVA",#N/A,FALSE,"SMT2";#N/A,#N/A,FALSE,"Summary";#N/A,#N/A,FALSE,"Graphs";#N/A,#N/A,FALSE,"4 Panel"}</definedName>
    <definedName name="wdv_1_1" localSheetId="2" hidden="1">{"EVA",#N/A,FALSE,"SMT2";#N/A,#N/A,FALSE,"Summary";#N/A,#N/A,FALSE,"Graphs";#N/A,#N/A,FALSE,"4 Panel"}</definedName>
    <definedName name="wdv_1_1" hidden="1">{"EVA",#N/A,FALSE,"SMT2";#N/A,#N/A,FALSE,"Summary";#N/A,#N/A,FALSE,"Graphs";#N/A,#N/A,FALSE,"4 Panel"}</definedName>
    <definedName name="wdv_2" localSheetId="4" hidden="1">{"EVA",#N/A,FALSE,"SMT2";#N/A,#N/A,FALSE,"Summary";#N/A,#N/A,FALSE,"Graphs";#N/A,#N/A,FALSE,"4 Panel"}</definedName>
    <definedName name="wdv_2" localSheetId="2" hidden="1">{"EVA",#N/A,FALSE,"SMT2";#N/A,#N/A,FALSE,"Summary";#N/A,#N/A,FALSE,"Graphs";#N/A,#N/A,FALSE,"4 Panel"}</definedName>
    <definedName name="wdv_2" hidden="1">{"EVA",#N/A,FALSE,"SMT2";#N/A,#N/A,FALSE,"Summary";#N/A,#N/A,FALSE,"Graphs";#N/A,#N/A,FALSE,"4 Panel"}</definedName>
    <definedName name="wdv_2_1" localSheetId="4" hidden="1">{"EVA",#N/A,FALSE,"SMT2";#N/A,#N/A,FALSE,"Summary";#N/A,#N/A,FALSE,"Graphs";#N/A,#N/A,FALSE,"4 Panel"}</definedName>
    <definedName name="wdv_2_1" localSheetId="2" hidden="1">{"EVA",#N/A,FALSE,"SMT2";#N/A,#N/A,FALSE,"Summary";#N/A,#N/A,FALSE,"Graphs";#N/A,#N/A,FALSE,"4 Panel"}</definedName>
    <definedName name="wdv_2_1" hidden="1">{"EVA",#N/A,FALSE,"SMT2";#N/A,#N/A,FALSE,"Summary";#N/A,#N/A,FALSE,"Graphs";#N/A,#N/A,FALSE,"4 Panel"}</definedName>
    <definedName name="wdv_3" localSheetId="4" hidden="1">{"EVA",#N/A,FALSE,"SMT2";#N/A,#N/A,FALSE,"Summary";#N/A,#N/A,FALSE,"Graphs";#N/A,#N/A,FALSE,"4 Panel"}</definedName>
    <definedName name="wdv_3" localSheetId="2" hidden="1">{"EVA",#N/A,FALSE,"SMT2";#N/A,#N/A,FALSE,"Summary";#N/A,#N/A,FALSE,"Graphs";#N/A,#N/A,FALSE,"4 Panel"}</definedName>
    <definedName name="wdv_3" hidden="1">{"EVA",#N/A,FALSE,"SMT2";#N/A,#N/A,FALSE,"Summary";#N/A,#N/A,FALSE,"Graphs";#N/A,#N/A,FALSE,"4 Panel"}</definedName>
    <definedName name="whatever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" hidden="1">{#N/A,#N/A,FALSE,"Orders Trend (Annual)";#N/A,#N/A,FALSE,"PROFILE";#N/A,#N/A,FALSE,"Revenue Trend";#N/A,#N/A,FALSE,"Orders Trend 00-01-02";#N/A,#N/A,FALSE,"Revenue Trend 00-01-02";#N/A,#N/A,FALSE,"Orders Trend"}</definedName>
    <definedName name="whatever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1" hidden="1">{#N/A,#N/A,FALSE,"Orders Trend (Annual)";#N/A,#N/A,FALSE,"PROFILE";#N/A,#N/A,FALSE,"Revenue Trend";#N/A,#N/A,FALSE,"Orders Trend 00-01-02";#N/A,#N/A,FALSE,"Revenue Trend 00-01-02";#N/A,#N/A,FALSE,"Orders Trend"}</definedName>
    <definedName name="whatever_1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1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1_1" hidden="1">{#N/A,#N/A,FALSE,"Orders Trend (Annual)";#N/A,#N/A,FALSE,"PROFILE";#N/A,#N/A,FALSE,"Revenue Trend";#N/A,#N/A,FALSE,"Orders Trend 00-01-02";#N/A,#N/A,FALSE,"Revenue Trend 00-01-02";#N/A,#N/A,FALSE,"Orders Trend"}</definedName>
    <definedName name="whatever_2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2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2" hidden="1">{#N/A,#N/A,FALSE,"Orders Trend (Annual)";#N/A,#N/A,FALSE,"PROFILE";#N/A,#N/A,FALSE,"Revenue Trend";#N/A,#N/A,FALSE,"Orders Trend 00-01-02";#N/A,#N/A,FALSE,"Revenue Trend 00-01-02";#N/A,#N/A,FALSE,"Orders Trend"}</definedName>
    <definedName name="whatever_2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2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2_1" hidden="1">{#N/A,#N/A,FALSE,"Orders Trend (Annual)";#N/A,#N/A,FALSE,"PROFILE";#N/A,#N/A,FALSE,"Revenue Trend";#N/A,#N/A,FALSE,"Orders Trend 00-01-02";#N/A,#N/A,FALSE,"Revenue Trend 00-01-02";#N/A,#N/A,FALSE,"Orders Trend"}</definedName>
    <definedName name="whatever_3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hatever_3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hatever_3" hidden="1">{#N/A,#N/A,FALSE,"Orders Trend (Annual)";#N/A,#N/A,FALSE,"PROFILE";#N/A,#N/A,FALSE,"Revenue Trend";#N/A,#N/A,FALSE,"Orders Trend 00-01-02";#N/A,#N/A,FALSE,"Revenue Trend 00-01-02";#N/A,#N/A,FALSE,"Orders Trend"}</definedName>
    <definedName name="wrn.ANZ._.Report." localSheetId="3" hidden="1">{#N/A,#N/A,FALSE,"Balance Sheets";#N/A,#N/A,FALSE,"96 Conservative";#N/A,#N/A,FALSE,"96 Possible"}</definedName>
    <definedName name="wrn.ANZ._.Report." localSheetId="4" hidden="1">{#N/A,#N/A,FALSE,"Balance Sheets";#N/A,#N/A,FALSE,"96 Conservative";#N/A,#N/A,FALSE,"96 Possible"}</definedName>
    <definedName name="wrn.ANZ._.Report." localSheetId="2" hidden="1">{#N/A,#N/A,FALSE,"Balance Sheets";#N/A,#N/A,FALSE,"96 Conservative";#N/A,#N/A,FALSE,"96 Possible"}</definedName>
    <definedName name="wrn.ANZ._.Report." hidden="1">{#N/A,#N/A,FALSE,"Balance Sheets";#N/A,#N/A,FALSE,"96 Conservative";#N/A,#N/A,FALSE,"96 Possible"}</definedName>
    <definedName name="wrn.ANZ._.Report._1" localSheetId="4" hidden="1">{#N/A,#N/A,FALSE,"Balance Sheets";#N/A,#N/A,FALSE,"96 Conservative";#N/A,#N/A,FALSE,"96 Possible"}</definedName>
    <definedName name="wrn.ANZ._.Report._1" localSheetId="2" hidden="1">{#N/A,#N/A,FALSE,"Balance Sheets";#N/A,#N/A,FALSE,"96 Conservative";#N/A,#N/A,FALSE,"96 Possible"}</definedName>
    <definedName name="wrn.ANZ._.Report._1" hidden="1">{#N/A,#N/A,FALSE,"Balance Sheets";#N/A,#N/A,FALSE,"96 Conservative";#N/A,#N/A,FALSE,"96 Possible"}</definedName>
    <definedName name="wrn.ANZ._.Report._1_1" localSheetId="4" hidden="1">{#N/A,#N/A,FALSE,"Balance Sheets";#N/A,#N/A,FALSE,"96 Conservative";#N/A,#N/A,FALSE,"96 Possible"}</definedName>
    <definedName name="wrn.ANZ._.Report._1_1" localSheetId="2" hidden="1">{#N/A,#N/A,FALSE,"Balance Sheets";#N/A,#N/A,FALSE,"96 Conservative";#N/A,#N/A,FALSE,"96 Possible"}</definedName>
    <definedName name="wrn.ANZ._.Report._1_1" hidden="1">{#N/A,#N/A,FALSE,"Balance Sheets";#N/A,#N/A,FALSE,"96 Conservative";#N/A,#N/A,FALSE,"96 Possible"}</definedName>
    <definedName name="wrn.ANZ._.Report._2" localSheetId="4" hidden="1">{#N/A,#N/A,FALSE,"Balance Sheets";#N/A,#N/A,FALSE,"96 Conservative";#N/A,#N/A,FALSE,"96 Possible"}</definedName>
    <definedName name="wrn.ANZ._.Report._2" localSheetId="2" hidden="1">{#N/A,#N/A,FALSE,"Balance Sheets";#N/A,#N/A,FALSE,"96 Conservative";#N/A,#N/A,FALSE,"96 Possible"}</definedName>
    <definedName name="wrn.ANZ._.Report._2" hidden="1">{#N/A,#N/A,FALSE,"Balance Sheets";#N/A,#N/A,FALSE,"96 Conservative";#N/A,#N/A,FALSE,"96 Possible"}</definedName>
    <definedName name="wrn.ANZ._.Report._2_1" localSheetId="4" hidden="1">{#N/A,#N/A,FALSE,"Balance Sheets";#N/A,#N/A,FALSE,"96 Conservative";#N/A,#N/A,FALSE,"96 Possible"}</definedName>
    <definedName name="wrn.ANZ._.Report._2_1" localSheetId="2" hidden="1">{#N/A,#N/A,FALSE,"Balance Sheets";#N/A,#N/A,FALSE,"96 Conservative";#N/A,#N/A,FALSE,"96 Possible"}</definedName>
    <definedName name="wrn.ANZ._.Report._2_1" hidden="1">{#N/A,#N/A,FALSE,"Balance Sheets";#N/A,#N/A,FALSE,"96 Conservative";#N/A,#N/A,FALSE,"96 Possible"}</definedName>
    <definedName name="wrn.ANZ._.Report._3" localSheetId="4" hidden="1">{#N/A,#N/A,FALSE,"Balance Sheets";#N/A,#N/A,FALSE,"96 Conservative";#N/A,#N/A,FALSE,"96 Possible"}</definedName>
    <definedName name="wrn.ANZ._.Report._3" localSheetId="2" hidden="1">{#N/A,#N/A,FALSE,"Balance Sheets";#N/A,#N/A,FALSE,"96 Conservative";#N/A,#N/A,FALSE,"96 Possible"}</definedName>
    <definedName name="wrn.ANZ._.Report._3" hidden="1">{#N/A,#N/A,FALSE,"Balance Sheets";#N/A,#N/A,FALSE,"96 Conservative";#N/A,#N/A,FALSE,"96 Possible"}</definedName>
    <definedName name="wrn.Book." localSheetId="3" hidden="1">{"EVA",#N/A,FALSE,"SMT2";#N/A,#N/A,FALSE,"Summary";#N/A,#N/A,FALSE,"Graphs";#N/A,#N/A,FALSE,"4 Panel"}</definedName>
    <definedName name="wrn.Book." localSheetId="4" hidden="1">{"EVA",#N/A,FALSE,"SMT2";#N/A,#N/A,FALSE,"Summary";#N/A,#N/A,FALSE,"Graphs";#N/A,#N/A,FALSE,"4 Panel"}</definedName>
    <definedName name="wrn.Book." localSheetId="2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ook._1" localSheetId="4" hidden="1">{"EVA",#N/A,FALSE,"SMT2";#N/A,#N/A,FALSE,"Summary";#N/A,#N/A,FALSE,"Graphs";#N/A,#N/A,FALSE,"4 Panel"}</definedName>
    <definedName name="wrn.Book._1" localSheetId="2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ook._1_1" localSheetId="4" hidden="1">{"EVA",#N/A,FALSE,"SMT2";#N/A,#N/A,FALSE,"Summary";#N/A,#N/A,FALSE,"Graphs";#N/A,#N/A,FALSE,"4 Panel"}</definedName>
    <definedName name="wrn.Book._1_1" localSheetId="2" hidden="1">{"EVA",#N/A,FALSE,"SMT2";#N/A,#N/A,FALSE,"Summary";#N/A,#N/A,FALSE,"Graphs";#N/A,#N/A,FALSE,"4 Panel"}</definedName>
    <definedName name="wrn.Book._1_1" hidden="1">{"EVA",#N/A,FALSE,"SMT2";#N/A,#N/A,FALSE,"Summary";#N/A,#N/A,FALSE,"Graphs";#N/A,#N/A,FALSE,"4 Panel"}</definedName>
    <definedName name="wrn.Book._2" localSheetId="4" hidden="1">{"EVA",#N/A,FALSE,"SMT2";#N/A,#N/A,FALSE,"Summary";#N/A,#N/A,FALSE,"Graphs";#N/A,#N/A,FALSE,"4 Panel"}</definedName>
    <definedName name="wrn.Book._2" localSheetId="2" hidden="1">{"EVA",#N/A,FALSE,"SMT2";#N/A,#N/A,FALSE,"Summary";#N/A,#N/A,FALSE,"Graphs";#N/A,#N/A,FALSE,"4 Panel"}</definedName>
    <definedName name="wrn.Book._2" hidden="1">{"EVA",#N/A,FALSE,"SMT2";#N/A,#N/A,FALSE,"Summary";#N/A,#N/A,FALSE,"Graphs";#N/A,#N/A,FALSE,"4 Panel"}</definedName>
    <definedName name="wrn.Book._2_1" localSheetId="4" hidden="1">{"EVA",#N/A,FALSE,"SMT2";#N/A,#N/A,FALSE,"Summary";#N/A,#N/A,FALSE,"Graphs";#N/A,#N/A,FALSE,"4 Panel"}</definedName>
    <definedName name="wrn.Book._2_1" localSheetId="2" hidden="1">{"EVA",#N/A,FALSE,"SMT2";#N/A,#N/A,FALSE,"Summary";#N/A,#N/A,FALSE,"Graphs";#N/A,#N/A,FALSE,"4 Panel"}</definedName>
    <definedName name="wrn.Book._2_1" hidden="1">{"EVA",#N/A,FALSE,"SMT2";#N/A,#N/A,FALSE,"Summary";#N/A,#N/A,FALSE,"Graphs";#N/A,#N/A,FALSE,"4 Panel"}</definedName>
    <definedName name="wrn.Book._3" localSheetId="4" hidden="1">{"EVA",#N/A,FALSE,"SMT2";#N/A,#N/A,FALSE,"Summary";#N/A,#N/A,FALSE,"Graphs";#N/A,#N/A,FALSE,"4 Panel"}</definedName>
    <definedName name="wrn.Book._3" localSheetId="2" hidden="1">{"EVA",#N/A,FALSE,"SMT2";#N/A,#N/A,FALSE,"Summary";#N/A,#N/A,FALSE,"Graphs";#N/A,#N/A,FALSE,"4 Panel"}</definedName>
    <definedName name="wrn.Book._3" hidden="1">{"EVA",#N/A,FALSE,"SMT2";#N/A,#N/A,FALSE,"Summary";#N/A,#N/A,FALSE,"Graphs";#N/A,#N/A,FALSE,"4 Panel"}</definedName>
    <definedName name="wrn.Complete." localSheetId="3" hidden="1">{#N/A,#N/A,FALSE,"SMT1";#N/A,#N/A,FALSE,"SMT2";#N/A,#N/A,FALSE,"Summary";#N/A,#N/A,FALSE,"Graphs";#N/A,#N/A,FALSE,"4 Panel"}</definedName>
    <definedName name="wrn.Complete." localSheetId="4" hidden="1">{#N/A,#N/A,FALSE,"SMT1";#N/A,#N/A,FALSE,"SMT2";#N/A,#N/A,FALSE,"Summary";#N/A,#N/A,FALSE,"Graphs";#N/A,#N/A,FALSE,"4 Panel"}</definedName>
    <definedName name="wrn.Complete." localSheetId="2" hidden="1">{#N/A,#N/A,FALSE,"SMT1";#N/A,#N/A,FALSE,"SMT2";#N/A,#N/A,FALSE,"Summary";#N/A,#N/A,FALSE,"Graphs";#N/A,#N/A,FALSE,"4 Panel"}</definedName>
    <definedName name="wrn.Complete.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" localSheetId="4" hidden="1">{#N/A,#N/A,FALSE,"Full";#N/A,#N/A,FALSE,"Half";#N/A,#N/A,FALSE,"Op Expenses";#N/A,#N/A,FALSE,"Cap Charge";#N/A,#N/A,FALSE,"Cost C";#N/A,#N/A,FALSE,"PP&amp;E";#N/A,#N/A,FALSE,"R&amp;D"}</definedName>
    <definedName name="wrn.Complete._.Set." localSheetId="2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localSheetId="4" hidden="1">{#N/A,#N/A,FALSE,"Full";#N/A,#N/A,FALSE,"Half";#N/A,#N/A,FALSE,"Op Expenses";#N/A,#N/A,FALSE,"Cap Charge";#N/A,#N/A,FALSE,"Cost C";#N/A,#N/A,FALSE,"PP&amp;E";#N/A,#N/A,FALSE,"R&amp;D"}</definedName>
    <definedName name="wrn.Complete._.Set._1" localSheetId="2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.Set._1_1" localSheetId="4" hidden="1">{#N/A,#N/A,FALSE,"Full";#N/A,#N/A,FALSE,"Half";#N/A,#N/A,FALSE,"Op Expenses";#N/A,#N/A,FALSE,"Cap Charge";#N/A,#N/A,FALSE,"Cost C";#N/A,#N/A,FALSE,"PP&amp;E";#N/A,#N/A,FALSE,"R&amp;D"}</definedName>
    <definedName name="wrn.Complete._.Set._1_1" localSheetId="2" hidden="1">{#N/A,#N/A,FALSE,"Full";#N/A,#N/A,FALSE,"Half";#N/A,#N/A,FALSE,"Op Expenses";#N/A,#N/A,FALSE,"Cap Charge";#N/A,#N/A,FALSE,"Cost C";#N/A,#N/A,FALSE,"PP&amp;E";#N/A,#N/A,FALSE,"R&amp;D"}</definedName>
    <definedName name="wrn.Complete._.Set._1_1" hidden="1">{#N/A,#N/A,FALSE,"Full";#N/A,#N/A,FALSE,"Half";#N/A,#N/A,FALSE,"Op Expenses";#N/A,#N/A,FALSE,"Cap Charge";#N/A,#N/A,FALSE,"Cost C";#N/A,#N/A,FALSE,"PP&amp;E";#N/A,#N/A,FALSE,"R&amp;D"}</definedName>
    <definedName name="wrn.Complete._.Set._2" localSheetId="4" hidden="1">{#N/A,#N/A,FALSE,"Full";#N/A,#N/A,FALSE,"Half";#N/A,#N/A,FALSE,"Op Expenses";#N/A,#N/A,FALSE,"Cap Charge";#N/A,#N/A,FALSE,"Cost C";#N/A,#N/A,FALSE,"PP&amp;E";#N/A,#N/A,FALSE,"R&amp;D"}</definedName>
    <definedName name="wrn.Complete._.Set._2" localSheetId="2" hidden="1">{#N/A,#N/A,FALSE,"Full";#N/A,#N/A,FALSE,"Half";#N/A,#N/A,FALSE,"Op Expenses";#N/A,#N/A,FALSE,"Cap Charge";#N/A,#N/A,FALSE,"Cost C";#N/A,#N/A,FALSE,"PP&amp;E";#N/A,#N/A,FALSE,"R&amp;D"}</definedName>
    <definedName name="wrn.Complete._.Set._2" hidden="1">{#N/A,#N/A,FALSE,"Full";#N/A,#N/A,FALSE,"Half";#N/A,#N/A,FALSE,"Op Expenses";#N/A,#N/A,FALSE,"Cap Charge";#N/A,#N/A,FALSE,"Cost C";#N/A,#N/A,FALSE,"PP&amp;E";#N/A,#N/A,FALSE,"R&amp;D"}</definedName>
    <definedName name="wrn.Complete._.Set._2_1" localSheetId="4" hidden="1">{#N/A,#N/A,FALSE,"Full";#N/A,#N/A,FALSE,"Half";#N/A,#N/A,FALSE,"Op Expenses";#N/A,#N/A,FALSE,"Cap Charge";#N/A,#N/A,FALSE,"Cost C";#N/A,#N/A,FALSE,"PP&amp;E";#N/A,#N/A,FALSE,"R&amp;D"}</definedName>
    <definedName name="wrn.Complete._.Set._2_1" localSheetId="2" hidden="1">{#N/A,#N/A,FALSE,"Full";#N/A,#N/A,FALSE,"Half";#N/A,#N/A,FALSE,"Op Expenses";#N/A,#N/A,FALSE,"Cap Charge";#N/A,#N/A,FALSE,"Cost C";#N/A,#N/A,FALSE,"PP&amp;E";#N/A,#N/A,FALSE,"R&amp;D"}</definedName>
    <definedName name="wrn.Complete._.Set._2_1" hidden="1">{#N/A,#N/A,FALSE,"Full";#N/A,#N/A,FALSE,"Half";#N/A,#N/A,FALSE,"Op Expenses";#N/A,#N/A,FALSE,"Cap Charge";#N/A,#N/A,FALSE,"Cost C";#N/A,#N/A,FALSE,"PP&amp;E";#N/A,#N/A,FALSE,"R&amp;D"}</definedName>
    <definedName name="wrn.Complete._.Set._3" localSheetId="4" hidden="1">{#N/A,#N/A,FALSE,"Full";#N/A,#N/A,FALSE,"Half";#N/A,#N/A,FALSE,"Op Expenses";#N/A,#N/A,FALSE,"Cap Charge";#N/A,#N/A,FALSE,"Cost C";#N/A,#N/A,FALSE,"PP&amp;E";#N/A,#N/A,FALSE,"R&amp;D"}</definedName>
    <definedName name="wrn.Complete._.Set._3" localSheetId="2" hidden="1">{#N/A,#N/A,FALSE,"Full";#N/A,#N/A,FALSE,"Half";#N/A,#N/A,FALSE,"Op Expenses";#N/A,#N/A,FALSE,"Cap Charge";#N/A,#N/A,FALSE,"Cost C";#N/A,#N/A,FALSE,"PP&amp;E";#N/A,#N/A,FALSE,"R&amp;D"}</definedName>
    <definedName name="wrn.Complete._.Set._3" hidden="1">{#N/A,#N/A,FALSE,"Full";#N/A,#N/A,FALSE,"Half";#N/A,#N/A,FALSE,"Op Expenses";#N/A,#N/A,FALSE,"Cap Charge";#N/A,#N/A,FALSE,"Cost C";#N/A,#N/A,FALSE,"PP&amp;E";#N/A,#N/A,FALSE,"R&amp;D"}</definedName>
    <definedName name="wrn.Complete._1" localSheetId="4" hidden="1">{#N/A,#N/A,FALSE,"SMT1";#N/A,#N/A,FALSE,"SMT2";#N/A,#N/A,FALSE,"Summary";#N/A,#N/A,FALSE,"Graphs";#N/A,#N/A,FALSE,"4 Panel"}</definedName>
    <definedName name="wrn.Complete._1" localSheetId="2" hidden="1">{#N/A,#N/A,FALSE,"SMT1";#N/A,#N/A,FALSE,"SMT2";#N/A,#N/A,FALSE,"Summary";#N/A,#N/A,FALSE,"Graphs";#N/A,#N/A,FALSE,"4 Panel"}</definedName>
    <definedName name="wrn.Complete._1" hidden="1">{#N/A,#N/A,FALSE,"SMT1";#N/A,#N/A,FALSE,"SMT2";#N/A,#N/A,FALSE,"Summary";#N/A,#N/A,FALSE,"Graphs";#N/A,#N/A,FALSE,"4 Panel"}</definedName>
    <definedName name="wrn.Complete._1_1" localSheetId="4" hidden="1">{#N/A,#N/A,FALSE,"SMT1";#N/A,#N/A,FALSE,"SMT2";#N/A,#N/A,FALSE,"Summary";#N/A,#N/A,FALSE,"Graphs";#N/A,#N/A,FALSE,"4 Panel"}</definedName>
    <definedName name="wrn.Complete._1_1" localSheetId="2" hidden="1">{#N/A,#N/A,FALSE,"SMT1";#N/A,#N/A,FALSE,"SMT2";#N/A,#N/A,FALSE,"Summary";#N/A,#N/A,FALSE,"Graphs";#N/A,#N/A,FALSE,"4 Panel"}</definedName>
    <definedName name="wrn.Complete._1_1" hidden="1">{#N/A,#N/A,FALSE,"SMT1";#N/A,#N/A,FALSE,"SMT2";#N/A,#N/A,FALSE,"Summary";#N/A,#N/A,FALSE,"Graphs";#N/A,#N/A,FALSE,"4 Panel"}</definedName>
    <definedName name="wrn.Complete._2" localSheetId="4" hidden="1">{#N/A,#N/A,FALSE,"SMT1";#N/A,#N/A,FALSE,"SMT2";#N/A,#N/A,FALSE,"Summary";#N/A,#N/A,FALSE,"Graphs";#N/A,#N/A,FALSE,"4 Panel"}</definedName>
    <definedName name="wrn.Complete._2" localSheetId="2" hidden="1">{#N/A,#N/A,FALSE,"SMT1";#N/A,#N/A,FALSE,"SMT2";#N/A,#N/A,FALSE,"Summary";#N/A,#N/A,FALSE,"Graphs";#N/A,#N/A,FALSE,"4 Panel"}</definedName>
    <definedName name="wrn.Complete._2" hidden="1">{#N/A,#N/A,FALSE,"SMT1";#N/A,#N/A,FALSE,"SMT2";#N/A,#N/A,FALSE,"Summary";#N/A,#N/A,FALSE,"Graphs";#N/A,#N/A,FALSE,"4 Panel"}</definedName>
    <definedName name="wrn.Complete._2_1" localSheetId="4" hidden="1">{#N/A,#N/A,FALSE,"SMT1";#N/A,#N/A,FALSE,"SMT2";#N/A,#N/A,FALSE,"Summary";#N/A,#N/A,FALSE,"Graphs";#N/A,#N/A,FALSE,"4 Panel"}</definedName>
    <definedName name="wrn.Complete._2_1" localSheetId="2" hidden="1">{#N/A,#N/A,FALSE,"SMT1";#N/A,#N/A,FALSE,"SMT2";#N/A,#N/A,FALSE,"Summary";#N/A,#N/A,FALSE,"Graphs";#N/A,#N/A,FALSE,"4 Panel"}</definedName>
    <definedName name="wrn.Complete._2_1" hidden="1">{#N/A,#N/A,FALSE,"SMT1";#N/A,#N/A,FALSE,"SMT2";#N/A,#N/A,FALSE,"Summary";#N/A,#N/A,FALSE,"Graphs";#N/A,#N/A,FALSE,"4 Panel"}</definedName>
    <definedName name="wrn.Complete._3" localSheetId="4" hidden="1">{#N/A,#N/A,FALSE,"SMT1";#N/A,#N/A,FALSE,"SMT2";#N/A,#N/A,FALSE,"Summary";#N/A,#N/A,FALSE,"Graphs";#N/A,#N/A,FALSE,"4 Panel"}</definedName>
    <definedName name="wrn.Complete._3" localSheetId="2" hidden="1">{#N/A,#N/A,FALSE,"SMT1";#N/A,#N/A,FALSE,"SMT2";#N/A,#N/A,FALSE,"Summary";#N/A,#N/A,FALSE,"Graphs";#N/A,#N/A,FALSE,"4 Panel"}</definedName>
    <definedName name="wrn.Complete._3" hidden="1">{#N/A,#N/A,FALSE,"SMT1";#N/A,#N/A,FALSE,"SMT2";#N/A,#N/A,FALSE,"Summary";#N/A,#N/A,FALSE,"Graphs";#N/A,#N/A,FALSE,"4 Panel"}</definedName>
    <definedName name="wrn.CONSOLIDATION." localSheetId="4" hidden="1">{"SUMMARY",#N/A,FALSE,"SUMMARY";"CONSOLIDATION",#N/A,FALSE,"CONSOLIDATION"}</definedName>
    <definedName name="wrn.CONSOLIDATION." localSheetId="2" hidden="1">{"SUMMARY",#N/A,FALSE,"SUMMARY";"CONSOLIDATION",#N/A,FALSE,"CONSOLIDATION"}</definedName>
    <definedName name="wrn.CONSOLIDATION." hidden="1">{"SUMMARY",#N/A,FALSE,"SUMMARY";"CONSOLIDATION",#N/A,FALSE,"CONSOLIDATION"}</definedName>
    <definedName name="wrn.CONSOLIDATION._1" localSheetId="4" hidden="1">{"SUMMARY",#N/A,FALSE,"SUMMARY";"CONSOLIDATION",#N/A,FALSE,"CONSOLIDATION"}</definedName>
    <definedName name="wrn.CONSOLIDATION._1" localSheetId="2" hidden="1">{"SUMMARY",#N/A,FALSE,"SUMMARY";"CONSOLIDATION",#N/A,FALSE,"CONSOLIDATION"}</definedName>
    <definedName name="wrn.CONSOLIDATION._1" hidden="1">{"SUMMARY",#N/A,FALSE,"SUMMARY";"CONSOLIDATION",#N/A,FALSE,"CONSOLIDATION"}</definedName>
    <definedName name="wrn.CONSOLIDATION._1_1" localSheetId="4" hidden="1">{"SUMMARY",#N/A,FALSE,"SUMMARY";"CONSOLIDATION",#N/A,FALSE,"CONSOLIDATION"}</definedName>
    <definedName name="wrn.CONSOLIDATION._1_1" localSheetId="2" hidden="1">{"SUMMARY",#N/A,FALSE,"SUMMARY";"CONSOLIDATION",#N/A,FALSE,"CONSOLIDATION"}</definedName>
    <definedName name="wrn.CONSOLIDATION._1_1" hidden="1">{"SUMMARY",#N/A,FALSE,"SUMMARY";"CONSOLIDATION",#N/A,FALSE,"CONSOLIDATION"}</definedName>
    <definedName name="wrn.CONSOLIDATION._2" localSheetId="4" hidden="1">{"SUMMARY",#N/A,FALSE,"SUMMARY";"CONSOLIDATION",#N/A,FALSE,"CONSOLIDATION"}</definedName>
    <definedName name="wrn.CONSOLIDATION._2" localSheetId="2" hidden="1">{"SUMMARY",#N/A,FALSE,"SUMMARY";"CONSOLIDATION",#N/A,FALSE,"CONSOLIDATION"}</definedName>
    <definedName name="wrn.CONSOLIDATION._2" hidden="1">{"SUMMARY",#N/A,FALSE,"SUMMARY";"CONSOLIDATION",#N/A,FALSE,"CONSOLIDATION"}</definedName>
    <definedName name="wrn.CONSOLIDATION._2_1" localSheetId="4" hidden="1">{"SUMMARY",#N/A,FALSE,"SUMMARY";"CONSOLIDATION",#N/A,FALSE,"CONSOLIDATION"}</definedName>
    <definedName name="wrn.CONSOLIDATION._2_1" localSheetId="2" hidden="1">{"SUMMARY",#N/A,FALSE,"SUMMARY";"CONSOLIDATION",#N/A,FALSE,"CONSOLIDATION"}</definedName>
    <definedName name="wrn.CONSOLIDATION._2_1" hidden="1">{"SUMMARY",#N/A,FALSE,"SUMMARY";"CONSOLIDATION",#N/A,FALSE,"CONSOLIDATION"}</definedName>
    <definedName name="wrn.CONSOLIDATION._3" localSheetId="4" hidden="1">{"SUMMARY",#N/A,FALSE,"SUMMARY";"CONSOLIDATION",#N/A,FALSE,"CONSOLIDATION"}</definedName>
    <definedName name="wrn.CONSOLIDATION._3" localSheetId="2" hidden="1">{"SUMMARY",#N/A,FALSE,"SUMMARY";"CONSOLIDATION",#N/A,FALSE,"CONSOLIDATION"}</definedName>
    <definedName name="wrn.CONSOLIDATION._3" hidden="1">{"SUMMARY",#N/A,FALSE,"SUMMARY";"CONSOLIDATION",#N/A,FALSE,"CONSOLIDATION"}</definedName>
    <definedName name="wrn.data." localSheetId="4" hidden="1">{#N/A,#N/A,FALSE,"Data Sheet"}</definedName>
    <definedName name="wrn.data." localSheetId="2" hidden="1">{#N/A,#N/A,FALSE,"Data Sheet"}</definedName>
    <definedName name="wrn.data." hidden="1">{#N/A,#N/A,FALSE,"Data Sheet"}</definedName>
    <definedName name="wrn.data._1" localSheetId="4" hidden="1">{#N/A,#N/A,FALSE,"Data Sheet"}</definedName>
    <definedName name="wrn.data._1" localSheetId="2" hidden="1">{#N/A,#N/A,FALSE,"Data Sheet"}</definedName>
    <definedName name="wrn.data._1" hidden="1">{#N/A,#N/A,FALSE,"Data Sheet"}</definedName>
    <definedName name="wrn.data._1_1" localSheetId="4" hidden="1">{#N/A,#N/A,FALSE,"Data Sheet"}</definedName>
    <definedName name="wrn.data._1_1" localSheetId="2" hidden="1">{#N/A,#N/A,FALSE,"Data Sheet"}</definedName>
    <definedName name="wrn.data._1_1" hidden="1">{#N/A,#N/A,FALSE,"Data Sheet"}</definedName>
    <definedName name="wrn.data._2" localSheetId="4" hidden="1">{#N/A,#N/A,FALSE,"Data Sheet"}</definedName>
    <definedName name="wrn.data._2" localSheetId="2" hidden="1">{#N/A,#N/A,FALSE,"Data Sheet"}</definedName>
    <definedName name="wrn.data._2" hidden="1">{#N/A,#N/A,FALSE,"Data Sheet"}</definedName>
    <definedName name="wrn.data._2_1" localSheetId="4" hidden="1">{#N/A,#N/A,FALSE,"Data Sheet"}</definedName>
    <definedName name="wrn.data._2_1" localSheetId="2" hidden="1">{#N/A,#N/A,FALSE,"Data Sheet"}</definedName>
    <definedName name="wrn.data._2_1" hidden="1">{#N/A,#N/A,FALSE,"Data Sheet"}</definedName>
    <definedName name="wrn.data._3" localSheetId="4" hidden="1">{#N/A,#N/A,FALSE,"Data Sheet"}</definedName>
    <definedName name="wrn.data._3" localSheetId="2" hidden="1">{#N/A,#N/A,FALSE,"Data Sheet"}</definedName>
    <definedName name="wrn.data._3" hidden="1">{#N/A,#N/A,FALSE,"Data Sheet"}</definedName>
    <definedName name="wrn.Forecast._.Review.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_1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_1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1_1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_1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_1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2_1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3" localSheetId="4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3" localSheetId="2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ecast._.Review._3" hidden="1">{#N/A,#N/A,FALSE,"Invoice";#N/A,#N/A,FALSE," Orders Breakdown";#N/A,#N/A,FALSE,"Orders Breakdown VS. PR.FCST";#N/A,#N/A,FALSE,"Orders VS. PR.FCST - New Year";#N/A,#N/A,FALSE,"Revenue";#N/A,#N/A,FALSE,"Revenue Breakdown";#N/A,#N/A,FALSE,"Revenue Breakdown VS. PR.FCST";#N/A,#N/A,FALSE,"REVENUE VS. PR.FCST - New Year"}</definedName>
    <definedName name="wrn.FORNDV." localSheetId="3" hidden="1">{"FORNDV",#N/A,FALSE,"Sheet1"}</definedName>
    <definedName name="wrn.FORNDV." localSheetId="4" hidden="1">{"FORNDV",#N/A,FALSE,"Sheet1"}</definedName>
    <definedName name="wrn.FORNDV." localSheetId="2" hidden="1">{"FORNDV",#N/A,FALSE,"Sheet1"}</definedName>
    <definedName name="wrn.FORNDV." hidden="1">{"FORNDV",#N/A,FALSE,"Sheet1"}</definedName>
    <definedName name="wrn.FORNDV._1" localSheetId="4" hidden="1">{"FORNDV",#N/A,FALSE,"Sheet1"}</definedName>
    <definedName name="wrn.FORNDV._1" localSheetId="2" hidden="1">{"FORNDV",#N/A,FALSE,"Sheet1"}</definedName>
    <definedName name="wrn.FORNDV._1" hidden="1">{"FORNDV",#N/A,FALSE,"Sheet1"}</definedName>
    <definedName name="wrn.FORNDV._1_1" localSheetId="4" hidden="1">{"FORNDV",#N/A,FALSE,"Sheet1"}</definedName>
    <definedName name="wrn.FORNDV._1_1" localSheetId="2" hidden="1">{"FORNDV",#N/A,FALSE,"Sheet1"}</definedName>
    <definedName name="wrn.FORNDV._1_1" hidden="1">{"FORNDV",#N/A,FALSE,"Sheet1"}</definedName>
    <definedName name="wrn.FORNDV._2" localSheetId="4" hidden="1">{"FORNDV",#N/A,FALSE,"Sheet1"}</definedName>
    <definedName name="wrn.FORNDV._2" localSheetId="2" hidden="1">{"FORNDV",#N/A,FALSE,"Sheet1"}</definedName>
    <definedName name="wrn.FORNDV._2" hidden="1">{"FORNDV",#N/A,FALSE,"Sheet1"}</definedName>
    <definedName name="wrn.FORNDV._2_1" localSheetId="4" hidden="1">{"FORNDV",#N/A,FALSE,"Sheet1"}</definedName>
    <definedName name="wrn.FORNDV._2_1" localSheetId="2" hidden="1">{"FORNDV",#N/A,FALSE,"Sheet1"}</definedName>
    <definedName name="wrn.FORNDV._2_1" hidden="1">{"FORNDV",#N/A,FALSE,"Sheet1"}</definedName>
    <definedName name="wrn.FORNDV._3" localSheetId="4" hidden="1">{"FORNDV",#N/A,FALSE,"Sheet1"}</definedName>
    <definedName name="wrn.FORNDV._3" localSheetId="2" hidden="1">{"FORNDV",#N/A,FALSE,"Sheet1"}</definedName>
    <definedName name="wrn.FORNDV._3" hidden="1">{"FORNDV",#N/A,FALSE,"Sheet1"}</definedName>
    <definedName name="wrn.Full._.Year._.By._.Month." localSheetId="4" hidden="1">{"JanToDec",#N/A,FALSE,"Forecast"}</definedName>
    <definedName name="wrn.Full._.Year._.By._.Month." localSheetId="2" hidden="1">{"JanToDec",#N/A,FALSE,"Forecast"}</definedName>
    <definedName name="wrn.Full._.Year._.By._.Month." hidden="1">{"JanToDec",#N/A,FALSE,"Forecast"}</definedName>
    <definedName name="wrn.Full._.Year._.By._.Month._1" localSheetId="4" hidden="1">{"JanToDec",#N/A,FALSE,"Forecast"}</definedName>
    <definedName name="wrn.Full._.Year._.By._.Month._1" localSheetId="2" hidden="1">{"JanToDec",#N/A,FALSE,"Forecast"}</definedName>
    <definedName name="wrn.Full._.Year._.By._.Month._1" hidden="1">{"JanToDec",#N/A,FALSE,"Forecast"}</definedName>
    <definedName name="wrn.Full._.Year._.By._.Month._1_1" localSheetId="4" hidden="1">{"JanToDec",#N/A,FALSE,"Forecast"}</definedName>
    <definedName name="wrn.Full._.Year._.By._.Month._1_1" localSheetId="2" hidden="1">{"JanToDec",#N/A,FALSE,"Forecast"}</definedName>
    <definedName name="wrn.Full._.Year._.By._.Month._1_1" hidden="1">{"JanToDec",#N/A,FALSE,"Forecast"}</definedName>
    <definedName name="wrn.Full._.Year._.By._.Month._2" localSheetId="4" hidden="1">{"JanToDec",#N/A,FALSE,"Forecast"}</definedName>
    <definedName name="wrn.Full._.Year._.By._.Month._2" localSheetId="2" hidden="1">{"JanToDec",#N/A,FALSE,"Forecast"}</definedName>
    <definedName name="wrn.Full._.Year._.By._.Month._2" hidden="1">{"JanToDec",#N/A,FALSE,"Forecast"}</definedName>
    <definedName name="wrn.Full._.Year._.By._.Month._2_1" localSheetId="4" hidden="1">{"JanToDec",#N/A,FALSE,"Forecast"}</definedName>
    <definedName name="wrn.Full._.Year._.By._.Month._2_1" localSheetId="2" hidden="1">{"JanToDec",#N/A,FALSE,"Forecast"}</definedName>
    <definedName name="wrn.Full._.Year._.By._.Month._2_1" hidden="1">{"JanToDec",#N/A,FALSE,"Forecast"}</definedName>
    <definedName name="wrn.Full._.Year._.By._.Month._3" localSheetId="4" hidden="1">{"JanToDec",#N/A,FALSE,"Forecast"}</definedName>
    <definedName name="wrn.Full._.Year._.By._.Month._3" localSheetId="2" hidden="1">{"JanToDec",#N/A,FALSE,"Forecast"}</definedName>
    <definedName name="wrn.Full._.Year._.By._.Month._3" hidden="1">{"JanToDec",#N/A,FALSE,"Forecast"}</definedName>
    <definedName name="wrn.Invoice._.by._.Instrument." localSheetId="4" hidden="1">{#N/A,#N/A,FALSE,"ExpiringCont";#N/A,#N/A,FALSE,"Expiring Warranty"}</definedName>
    <definedName name="wrn.Invoice._.by._.Instrument." localSheetId="2" hidden="1">{#N/A,#N/A,FALSE,"ExpiringCont";#N/A,#N/A,FALSE,"Expiring Warranty"}</definedName>
    <definedName name="wrn.Invoice._.by._.Instrument." hidden="1">{#N/A,#N/A,FALSE,"ExpiringCont";#N/A,#N/A,FALSE,"Expiring Warranty"}</definedName>
    <definedName name="wrn.Invoice._.by._.Instrument._1" localSheetId="4" hidden="1">{#N/A,#N/A,FALSE,"ExpiringCont";#N/A,#N/A,FALSE,"Expiring Warranty"}</definedName>
    <definedName name="wrn.Invoice._.by._.Instrument._1" localSheetId="2" hidden="1">{#N/A,#N/A,FALSE,"ExpiringCont";#N/A,#N/A,FALSE,"Expiring Warranty"}</definedName>
    <definedName name="wrn.Invoice._.by._.Instrument._1" hidden="1">{#N/A,#N/A,FALSE,"ExpiringCont";#N/A,#N/A,FALSE,"Expiring Warranty"}</definedName>
    <definedName name="wrn.Invoice._.by._.Instrument._1_1" localSheetId="4" hidden="1">{#N/A,#N/A,FALSE,"ExpiringCont";#N/A,#N/A,FALSE,"Expiring Warranty"}</definedName>
    <definedName name="wrn.Invoice._.by._.Instrument._1_1" localSheetId="2" hidden="1">{#N/A,#N/A,FALSE,"ExpiringCont";#N/A,#N/A,FALSE,"Expiring Warranty"}</definedName>
    <definedName name="wrn.Invoice._.by._.Instrument._1_1" hidden="1">{#N/A,#N/A,FALSE,"ExpiringCont";#N/A,#N/A,FALSE,"Expiring Warranty"}</definedName>
    <definedName name="wrn.Invoice._.by._.Instrument._2" localSheetId="4" hidden="1">{#N/A,#N/A,FALSE,"ExpiringCont";#N/A,#N/A,FALSE,"Expiring Warranty"}</definedName>
    <definedName name="wrn.Invoice._.by._.Instrument._2" localSheetId="2" hidden="1">{#N/A,#N/A,FALSE,"ExpiringCont";#N/A,#N/A,FALSE,"Expiring Warranty"}</definedName>
    <definedName name="wrn.Invoice._.by._.Instrument._2" hidden="1">{#N/A,#N/A,FALSE,"ExpiringCont";#N/A,#N/A,FALSE,"Expiring Warranty"}</definedName>
    <definedName name="wrn.Invoice._.by._.Instrument._2_1" localSheetId="4" hidden="1">{#N/A,#N/A,FALSE,"ExpiringCont";#N/A,#N/A,FALSE,"Expiring Warranty"}</definedName>
    <definedName name="wrn.Invoice._.by._.Instrument._2_1" localSheetId="2" hidden="1">{#N/A,#N/A,FALSE,"ExpiringCont";#N/A,#N/A,FALSE,"Expiring Warranty"}</definedName>
    <definedName name="wrn.Invoice._.by._.Instrument._2_1" hidden="1">{#N/A,#N/A,FALSE,"ExpiringCont";#N/A,#N/A,FALSE,"Expiring Warranty"}</definedName>
    <definedName name="wrn.Invoice._.by._.Instrument._3" localSheetId="4" hidden="1">{#N/A,#N/A,FALSE,"ExpiringCont";#N/A,#N/A,FALSE,"Expiring Warranty"}</definedName>
    <definedName name="wrn.Invoice._.by._.Instrument._3" localSheetId="2" hidden="1">{#N/A,#N/A,FALSE,"ExpiringCont";#N/A,#N/A,FALSE,"Expiring Warranty"}</definedName>
    <definedName name="wrn.Invoice._.by._.Instrument._3" hidden="1">{#N/A,#N/A,FALSE,"ExpiringCont";#N/A,#N/A,FALSE,"Expiring Warranty"}</definedName>
    <definedName name="wrn.mon._.data." localSheetId="4" hidden="1">{#N/A,#N/A,FALSE,"Data Sheet"}</definedName>
    <definedName name="wrn.mon._.data." localSheetId="2" hidden="1">{#N/A,#N/A,FALSE,"Data Sheet"}</definedName>
    <definedName name="wrn.mon._.data." hidden="1">{#N/A,#N/A,FALSE,"Data Sheet"}</definedName>
    <definedName name="wrn.mon._.data._1" localSheetId="4" hidden="1">{#N/A,#N/A,FALSE,"Data Sheet"}</definedName>
    <definedName name="wrn.mon._.data._1" localSheetId="2" hidden="1">{#N/A,#N/A,FALSE,"Data Sheet"}</definedName>
    <definedName name="wrn.mon._.data._1" hidden="1">{#N/A,#N/A,FALSE,"Data Sheet"}</definedName>
    <definedName name="wrn.mon._.data._1_1" localSheetId="4" hidden="1">{#N/A,#N/A,FALSE,"Data Sheet"}</definedName>
    <definedName name="wrn.mon._.data._1_1" localSheetId="2" hidden="1">{#N/A,#N/A,FALSE,"Data Sheet"}</definedName>
    <definedName name="wrn.mon._.data._1_1" hidden="1">{#N/A,#N/A,FALSE,"Data Sheet"}</definedName>
    <definedName name="wrn.mon._.data._2" localSheetId="4" hidden="1">{#N/A,#N/A,FALSE,"Data Sheet"}</definedName>
    <definedName name="wrn.mon._.data._2" localSheetId="2" hidden="1">{#N/A,#N/A,FALSE,"Data Sheet"}</definedName>
    <definedName name="wrn.mon._.data._2" hidden="1">{#N/A,#N/A,FALSE,"Data Sheet"}</definedName>
    <definedName name="wrn.mon._.data._2_1" localSheetId="4" hidden="1">{#N/A,#N/A,FALSE,"Data Sheet"}</definedName>
    <definedName name="wrn.mon._.data._2_1" localSheetId="2" hidden="1">{#N/A,#N/A,FALSE,"Data Sheet"}</definedName>
    <definedName name="wrn.mon._.data._2_1" hidden="1">{#N/A,#N/A,FALSE,"Data Sheet"}</definedName>
    <definedName name="wrn.mon._.data._3" localSheetId="4" hidden="1">{#N/A,#N/A,FALSE,"Data Sheet"}</definedName>
    <definedName name="wrn.mon._.data._3" localSheetId="2" hidden="1">{#N/A,#N/A,FALSE,"Data Sheet"}</definedName>
    <definedName name="wrn.mon._.data._3" hidden="1">{#N/A,#N/A,FALSE,"Data Sheet"}</definedName>
    <definedName name="wrn.Plan._.Review.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_1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_1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1_1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_1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_1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2_1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3" localSheetId="4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3" localSheetId="2" hidden="1">{#N/A,#N/A,FALSE,"ANN SUMMARY";#N/A,#N/A,FALSE,"Revenue Component FY02";#N/A,#N/A,FALSE,"Consortium Renewals";#N/A,#N/A,FALSE," Orders Breakdown";#N/A,#N/A,FALSE,"Revenue Breakdown";#N/A,#N/A,FALSE,"Summary Data"}</definedName>
    <definedName name="wrn.Plan._.Review._3" hidden="1">{#N/A,#N/A,FALSE,"ANN SUMMARY";#N/A,#N/A,FALSE,"Revenue Component FY02";#N/A,#N/A,FALSE,"Consortium Renewals";#N/A,#N/A,FALSE," Orders Breakdown";#N/A,#N/A,FALSE,"Revenue Breakdown";#N/A,#N/A,FALSE,"Summary Data"}</definedName>
    <definedName name="wrn.Planning._.Package.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1_1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_1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_1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2_1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3" localSheetId="4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3" localSheetId="2" hidden="1">{#N/A,#N/A,FALSE,"Orders Trend (Annual)";#N/A,#N/A,FALSE,"PROFILE";#N/A,#N/A,FALSE,"Revenue Trend";#N/A,#N/A,FALSE,"Orders Trend 00-01-02";#N/A,#N/A,FALSE,"Revenue Trend 00-01-02";#N/A,#N/A,FALSE,"Orders Trend"}</definedName>
    <definedName name="wrn.Planning._.Package._3" hidden="1">{#N/A,#N/A,FALSE,"Orders Trend (Annual)";#N/A,#N/A,FALSE,"PROFILE";#N/A,#N/A,FALSE,"Revenue Trend";#N/A,#N/A,FALSE,"Orders Trend 00-01-02";#N/A,#N/A,FALSE,"Revenue Trend 00-01-02";#N/A,#N/A,FALSE,"Orders Trend"}</definedName>
    <definedName name="wrn.Planning._.Review.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_1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_1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1_1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_1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_1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2_1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3" localSheetId="4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3" localSheetId="2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Planning._.Review._3" hidden="1">{#N/A,#N/A,FALSE,"Invoice";#N/A,#N/A,FALSE," Orders Breakdown";#N/A,#N/A,FALSE,"Revenue";#N/A,#N/A,FALSE,"ANN SUMMARY";#N/A,#N/A,FALSE,"Revenue Breakdown";#N/A,#N/A,FALSE,"Revenue Component FY02";#N/A,#N/A,FALSE,"Consortium Renewals";#N/A,#N/A,FALSE,"Summary Data"}</definedName>
    <definedName name="wrn.REVIEW.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_1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_1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1_1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_1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_1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2_1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3" localSheetId="4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3" localSheetId="2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REVIEW._3" hidden="1">{#N/A,#N/A,FALSE,"Quarterly P&amp;L Summary";#N/A,#N/A,FALSE,"Quarterly P&amp;L Intermediate";#N/A,#N/A,FALSE,"Quarterly P&amp;L Intermediate (2)";#N/A,#N/A,FALSE,"Product Line P&amp;LWHAT-IF";#N/A,#N/A,FALSE,"W&amp;I AS % OF REVENUE"}</definedName>
    <definedName name="wrn.Standard._.Forecast._.Report." localSheetId="4" hidden="1">{"StandardReport",#N/A,FALSE,"Forecast"}</definedName>
    <definedName name="wrn.Standard._.Forecast._.Report." localSheetId="2" hidden="1">{"StandardReport",#N/A,FALSE,"Forecast"}</definedName>
    <definedName name="wrn.Standard._.Forecast._.Report." hidden="1">{"StandardReport",#N/A,FALSE,"Forecast"}</definedName>
    <definedName name="wrn.Standard._.Forecast._.Report._1" localSheetId="4" hidden="1">{"StandardReport",#N/A,FALSE,"Forecast"}</definedName>
    <definedName name="wrn.Standard._.Forecast._.Report._1" localSheetId="2" hidden="1">{"StandardReport",#N/A,FALSE,"Forecast"}</definedName>
    <definedName name="wrn.Standard._.Forecast._.Report._1" hidden="1">{"StandardReport",#N/A,FALSE,"Forecast"}</definedName>
    <definedName name="wrn.Standard._.Forecast._.Report._1_1" localSheetId="4" hidden="1">{"StandardReport",#N/A,FALSE,"Forecast"}</definedName>
    <definedName name="wrn.Standard._.Forecast._.Report._1_1" localSheetId="2" hidden="1">{"StandardReport",#N/A,FALSE,"Forecast"}</definedName>
    <definedName name="wrn.Standard._.Forecast._.Report._1_1" hidden="1">{"StandardReport",#N/A,FALSE,"Forecast"}</definedName>
    <definedName name="wrn.Standard._.Forecast._.Report._2" localSheetId="4" hidden="1">{"StandardReport",#N/A,FALSE,"Forecast"}</definedName>
    <definedName name="wrn.Standard._.Forecast._.Report._2" localSheetId="2" hidden="1">{"StandardReport",#N/A,FALSE,"Forecast"}</definedName>
    <definedName name="wrn.Standard._.Forecast._.Report._2" hidden="1">{"StandardReport",#N/A,FALSE,"Forecast"}</definedName>
    <definedName name="wrn.Standard._.Forecast._.Report._2_1" localSheetId="4" hidden="1">{"StandardReport",#N/A,FALSE,"Forecast"}</definedName>
    <definedName name="wrn.Standard._.Forecast._.Report._2_1" localSheetId="2" hidden="1">{"StandardReport",#N/A,FALSE,"Forecast"}</definedName>
    <definedName name="wrn.Standard._.Forecast._.Report._2_1" hidden="1">{"StandardReport",#N/A,FALSE,"Forecast"}</definedName>
    <definedName name="wrn.Standard._.Forecast._.Report._3" localSheetId="4" hidden="1">{"StandardReport",#N/A,FALSE,"Forecast"}</definedName>
    <definedName name="wrn.Standard._.Forecast._.Report._3" localSheetId="2" hidden="1">{"StandardReport",#N/A,FALSE,"Forecast"}</definedName>
    <definedName name="wrn.Standard._.Forecast._.Report._3" hidden="1">{"StandardReport",#N/A,FALSE,"Forecast"}</definedName>
    <definedName name="wrn.SUMMARY." localSheetId="4" hidden="1">{"SUMMARY",#N/A,FALSE,"SUMMARY"}</definedName>
    <definedName name="wrn.SUMMARY." localSheetId="2" hidden="1">{"SUMMARY",#N/A,FALSE,"SUMMARY"}</definedName>
    <definedName name="wrn.SUMMARY." hidden="1">{"SUMMARY",#N/A,FALSE,"SUMMARY"}</definedName>
    <definedName name="wrn.SUMMARY._1" localSheetId="4" hidden="1">{"SUMMARY",#N/A,FALSE,"SUMMARY"}</definedName>
    <definedName name="wrn.SUMMARY._1" localSheetId="2" hidden="1">{"SUMMARY",#N/A,FALSE,"SUMMARY"}</definedName>
    <definedName name="wrn.SUMMARY._1" hidden="1">{"SUMMARY",#N/A,FALSE,"SUMMARY"}</definedName>
    <definedName name="wrn.SUMMARY._1_1" localSheetId="4" hidden="1">{"SUMMARY",#N/A,FALSE,"SUMMARY"}</definedName>
    <definedName name="wrn.SUMMARY._1_1" localSheetId="2" hidden="1">{"SUMMARY",#N/A,FALSE,"SUMMARY"}</definedName>
    <definedName name="wrn.SUMMARY._1_1" hidden="1">{"SUMMARY",#N/A,FALSE,"SUMMARY"}</definedName>
    <definedName name="wrn.SUMMARY._2" localSheetId="4" hidden="1">{"SUMMARY",#N/A,FALSE,"SUMMARY"}</definedName>
    <definedName name="wrn.SUMMARY._2" localSheetId="2" hidden="1">{"SUMMARY",#N/A,FALSE,"SUMMARY"}</definedName>
    <definedName name="wrn.SUMMARY._2" hidden="1">{"SUMMARY",#N/A,FALSE,"SUMMARY"}</definedName>
    <definedName name="wrn.SUMMARY._2_1" localSheetId="4" hidden="1">{"SUMMARY",#N/A,FALSE,"SUMMARY"}</definedName>
    <definedName name="wrn.SUMMARY._2_1" localSheetId="2" hidden="1">{"SUMMARY",#N/A,FALSE,"SUMMARY"}</definedName>
    <definedName name="wrn.SUMMARY._2_1" hidden="1">{"SUMMARY",#N/A,FALSE,"SUMMARY"}</definedName>
    <definedName name="wrn.SUMMARY._3" localSheetId="4" hidden="1">{"SUMMARY",#N/A,FALSE,"SUMMARY"}</definedName>
    <definedName name="wrn.SUMMARY._3" localSheetId="2" hidden="1">{"SUMMARY",#N/A,FALSE,"SUMMARY"}</definedName>
    <definedName name="wrn.SUMMARY._3" hidden="1">{"SUMMARY",#N/A,FALSE,"SUMMARY"}</definedName>
    <definedName name="wrn.Variance._.Only._.Report." localSheetId="4" hidden="1">{"Variance",#N/A,FALSE,"Forecast"}</definedName>
    <definedName name="wrn.Variance._.Only._.Report." localSheetId="2" hidden="1">{"Variance",#N/A,FALSE,"Forecast"}</definedName>
    <definedName name="wrn.Variance._.Only._.Report." hidden="1">{"Variance",#N/A,FALSE,"Forecast"}</definedName>
    <definedName name="wrn.Variance._.Only._.Report._1" localSheetId="4" hidden="1">{"Variance",#N/A,FALSE,"Forecast"}</definedName>
    <definedName name="wrn.Variance._.Only._.Report._1" localSheetId="2" hidden="1">{"Variance",#N/A,FALSE,"Forecast"}</definedName>
    <definedName name="wrn.Variance._.Only._.Report._1" hidden="1">{"Variance",#N/A,FALSE,"Forecast"}</definedName>
    <definedName name="wrn.Variance._.Only._.Report._1_1" localSheetId="4" hidden="1">{"Variance",#N/A,FALSE,"Forecast"}</definedName>
    <definedName name="wrn.Variance._.Only._.Report._1_1" localSheetId="2" hidden="1">{"Variance",#N/A,FALSE,"Forecast"}</definedName>
    <definedName name="wrn.Variance._.Only._.Report._1_1" hidden="1">{"Variance",#N/A,FALSE,"Forecast"}</definedName>
    <definedName name="wrn.Variance._.Only._.Report._2" localSheetId="4" hidden="1">{"Variance",#N/A,FALSE,"Forecast"}</definedName>
    <definedName name="wrn.Variance._.Only._.Report._2" localSheetId="2" hidden="1">{"Variance",#N/A,FALSE,"Forecast"}</definedName>
    <definedName name="wrn.Variance._.Only._.Report._2" hidden="1">{"Variance",#N/A,FALSE,"Forecast"}</definedName>
    <definedName name="wrn.Variance._.Only._.Report._2_1" localSheetId="4" hidden="1">{"Variance",#N/A,FALSE,"Forecast"}</definedName>
    <definedName name="wrn.Variance._.Only._.Report._2_1" localSheetId="2" hidden="1">{"Variance",#N/A,FALSE,"Forecast"}</definedName>
    <definedName name="wrn.Variance._.Only._.Report._2_1" hidden="1">{"Variance",#N/A,FALSE,"Forecast"}</definedName>
    <definedName name="wrn.Variance._.Only._.Report._3" localSheetId="4" hidden="1">{"Variance",#N/A,FALSE,"Forecast"}</definedName>
    <definedName name="wrn.Variance._.Only._.Report._3" localSheetId="2" hidden="1">{"Variance",#N/A,FALSE,"Forecast"}</definedName>
    <definedName name="wrn.Variance._.Only._.Report._3" hidden="1">{"Variance",#N/A,FALSE,"Forecast"}</definedName>
    <definedName name="wsd" localSheetId="4" hidden="1">{#N/A,#N/A,FALSE,"Balance Sheets";#N/A,#N/A,FALSE,"96 Conservative";#N/A,#N/A,FALSE,"96 Possible"}</definedName>
    <definedName name="wsd" localSheetId="2" hidden="1">{#N/A,#N/A,FALSE,"Balance Sheets";#N/A,#N/A,FALSE,"96 Conservative";#N/A,#N/A,FALSE,"96 Possible"}</definedName>
    <definedName name="wsd" hidden="1">{#N/A,#N/A,FALSE,"Balance Sheets";#N/A,#N/A,FALSE,"96 Conservative";#N/A,#N/A,FALSE,"96 Possible"}</definedName>
    <definedName name="wsd_1" localSheetId="4" hidden="1">{#N/A,#N/A,FALSE,"Balance Sheets";#N/A,#N/A,FALSE,"96 Conservative";#N/A,#N/A,FALSE,"96 Possible"}</definedName>
    <definedName name="wsd_1" localSheetId="2" hidden="1">{#N/A,#N/A,FALSE,"Balance Sheets";#N/A,#N/A,FALSE,"96 Conservative";#N/A,#N/A,FALSE,"96 Possible"}</definedName>
    <definedName name="wsd_1" hidden="1">{#N/A,#N/A,FALSE,"Balance Sheets";#N/A,#N/A,FALSE,"96 Conservative";#N/A,#N/A,FALSE,"96 Possible"}</definedName>
    <definedName name="wsd_1_1" localSheetId="4" hidden="1">{#N/A,#N/A,FALSE,"Balance Sheets";#N/A,#N/A,FALSE,"96 Conservative";#N/A,#N/A,FALSE,"96 Possible"}</definedName>
    <definedName name="wsd_1_1" localSheetId="2" hidden="1">{#N/A,#N/A,FALSE,"Balance Sheets";#N/A,#N/A,FALSE,"96 Conservative";#N/A,#N/A,FALSE,"96 Possible"}</definedName>
    <definedName name="wsd_1_1" hidden="1">{#N/A,#N/A,FALSE,"Balance Sheets";#N/A,#N/A,FALSE,"96 Conservative";#N/A,#N/A,FALSE,"96 Possible"}</definedName>
    <definedName name="wsd_2" localSheetId="4" hidden="1">{#N/A,#N/A,FALSE,"Balance Sheets";#N/A,#N/A,FALSE,"96 Conservative";#N/A,#N/A,FALSE,"96 Possible"}</definedName>
    <definedName name="wsd_2" localSheetId="2" hidden="1">{#N/A,#N/A,FALSE,"Balance Sheets";#N/A,#N/A,FALSE,"96 Conservative";#N/A,#N/A,FALSE,"96 Possible"}</definedName>
    <definedName name="wsd_2" hidden="1">{#N/A,#N/A,FALSE,"Balance Sheets";#N/A,#N/A,FALSE,"96 Conservative";#N/A,#N/A,FALSE,"96 Possible"}</definedName>
    <definedName name="wsd_2_1" localSheetId="4" hidden="1">{#N/A,#N/A,FALSE,"Balance Sheets";#N/A,#N/A,FALSE,"96 Conservative";#N/A,#N/A,FALSE,"96 Possible"}</definedName>
    <definedName name="wsd_2_1" localSheetId="2" hidden="1">{#N/A,#N/A,FALSE,"Balance Sheets";#N/A,#N/A,FALSE,"96 Conservative";#N/A,#N/A,FALSE,"96 Possible"}</definedName>
    <definedName name="wsd_2_1" hidden="1">{#N/A,#N/A,FALSE,"Balance Sheets";#N/A,#N/A,FALSE,"96 Conservative";#N/A,#N/A,FALSE,"96 Possible"}</definedName>
    <definedName name="wsd_3" localSheetId="4" hidden="1">{#N/A,#N/A,FALSE,"Balance Sheets";#N/A,#N/A,FALSE,"96 Conservative";#N/A,#N/A,FALSE,"96 Possible"}</definedName>
    <definedName name="wsd_3" localSheetId="2" hidden="1">{#N/A,#N/A,FALSE,"Balance Sheets";#N/A,#N/A,FALSE,"96 Conservative";#N/A,#N/A,FALSE,"96 Possible"}</definedName>
    <definedName name="wsd_3" hidden="1">{#N/A,#N/A,FALSE,"Balance Sheets";#N/A,#N/A,FALSE,"96 Conservative";#N/A,#N/A,FALSE,"96 Possible"}</definedName>
    <definedName name="x" localSheetId="3" hidden="1">{#N/A,#N/A,FALSE,"Balance Sheets";#N/A,#N/A,FALSE,"96 Conservative";#N/A,#N/A,FALSE,"96 Possible"}</definedName>
    <definedName name="x" localSheetId="4" hidden="1">{#N/A,#N/A,FALSE,"Balance Sheets";#N/A,#N/A,FALSE,"96 Conservative";#N/A,#N/A,FALSE,"96 Possible"}</definedName>
    <definedName name="x" localSheetId="2" hidden="1">{#N/A,#N/A,FALSE,"Balance Sheets";#N/A,#N/A,FALSE,"96 Conservative";#N/A,#N/A,FALSE,"96 Possible"}</definedName>
    <definedName name="x" hidden="1">{#N/A,#N/A,FALSE,"Balance Sheets";#N/A,#N/A,FALSE,"96 Conservative";#N/A,#N/A,FALSE,"96 Possible"}</definedName>
    <definedName name="x_1" localSheetId="4" hidden="1">{#N/A,#N/A,FALSE,"Balance Sheets";#N/A,#N/A,FALSE,"96 Conservative";#N/A,#N/A,FALSE,"96 Possible"}</definedName>
    <definedName name="x_1" localSheetId="2" hidden="1">{#N/A,#N/A,FALSE,"Balance Sheets";#N/A,#N/A,FALSE,"96 Conservative";#N/A,#N/A,FALSE,"96 Possible"}</definedName>
    <definedName name="x_1" hidden="1">{#N/A,#N/A,FALSE,"Balance Sheets";#N/A,#N/A,FALSE,"96 Conservative";#N/A,#N/A,FALSE,"96 Possible"}</definedName>
    <definedName name="x_1_1" localSheetId="4" hidden="1">{#N/A,#N/A,FALSE,"Balance Sheets";#N/A,#N/A,FALSE,"96 Conservative";#N/A,#N/A,FALSE,"96 Possible"}</definedName>
    <definedName name="x_1_1" localSheetId="2" hidden="1">{#N/A,#N/A,FALSE,"Balance Sheets";#N/A,#N/A,FALSE,"96 Conservative";#N/A,#N/A,FALSE,"96 Possible"}</definedName>
    <definedName name="x_1_1" hidden="1">{#N/A,#N/A,FALSE,"Balance Sheets";#N/A,#N/A,FALSE,"96 Conservative";#N/A,#N/A,FALSE,"96 Possible"}</definedName>
    <definedName name="x_2" localSheetId="4" hidden="1">{#N/A,#N/A,FALSE,"Balance Sheets";#N/A,#N/A,FALSE,"96 Conservative";#N/A,#N/A,FALSE,"96 Possible"}</definedName>
    <definedName name="x_2" localSheetId="2" hidden="1">{#N/A,#N/A,FALSE,"Balance Sheets";#N/A,#N/A,FALSE,"96 Conservative";#N/A,#N/A,FALSE,"96 Possible"}</definedName>
    <definedName name="x_2" hidden="1">{#N/A,#N/A,FALSE,"Balance Sheets";#N/A,#N/A,FALSE,"96 Conservative";#N/A,#N/A,FALSE,"96 Possible"}</definedName>
    <definedName name="x_2_1" localSheetId="4" hidden="1">{#N/A,#N/A,FALSE,"Balance Sheets";#N/A,#N/A,FALSE,"96 Conservative";#N/A,#N/A,FALSE,"96 Possible"}</definedName>
    <definedName name="x_2_1" localSheetId="2" hidden="1">{#N/A,#N/A,FALSE,"Balance Sheets";#N/A,#N/A,FALSE,"96 Conservative";#N/A,#N/A,FALSE,"96 Possible"}</definedName>
    <definedName name="x_2_1" hidden="1">{#N/A,#N/A,FALSE,"Balance Sheets";#N/A,#N/A,FALSE,"96 Conservative";#N/A,#N/A,FALSE,"96 Possible"}</definedName>
    <definedName name="x_3" localSheetId="4" hidden="1">{#N/A,#N/A,FALSE,"Balance Sheets";#N/A,#N/A,FALSE,"96 Conservative";#N/A,#N/A,FALSE,"96 Possible"}</definedName>
    <definedName name="x_3" localSheetId="2" hidden="1">{#N/A,#N/A,FALSE,"Balance Sheets";#N/A,#N/A,FALSE,"96 Conservative";#N/A,#N/A,FALSE,"96 Possible"}</definedName>
    <definedName name="x_3" hidden="1">{#N/A,#N/A,FALSE,"Balance Sheets";#N/A,#N/A,FALSE,"96 Conservative";#N/A,#N/A,FALSE,"96 Possible"}</definedName>
    <definedName name="XDepr">#REF!</definedName>
    <definedName name="XRecruit">#REF!</definedName>
    <definedName name="XResearch">#REF!</definedName>
    <definedName name="xx" localSheetId="4" hidden="1">{#N/A,#N/A,FALSE,"Summary Account Comparison";#N/A,#N/A,FALSE,"FY01 EOY HC";#N/A,#N/A,FALSE,"FIELD EXPENSE comparison"}</definedName>
    <definedName name="xx" localSheetId="2" hidden="1">{#N/A,#N/A,FALSE,"Summary Account Comparison";#N/A,#N/A,FALSE,"FY01 EOY HC";#N/A,#N/A,FALSE,"FIELD EXPENSE comparison"}</definedName>
    <definedName name="xx" hidden="1">{#N/A,#N/A,FALSE,"Summary Account Comparison";#N/A,#N/A,FALSE,"FY01 EOY HC";#N/A,#N/A,FALSE,"FIELD EXPENSE comparison"}</definedName>
    <definedName name="xx_1" localSheetId="4" hidden="1">{#N/A,#N/A,FALSE,"Summary Account Comparison";#N/A,#N/A,FALSE,"FY01 EOY HC";#N/A,#N/A,FALSE,"FIELD EXPENSE comparison"}</definedName>
    <definedName name="xx_1" localSheetId="2" hidden="1">{#N/A,#N/A,FALSE,"Summary Account Comparison";#N/A,#N/A,FALSE,"FY01 EOY HC";#N/A,#N/A,FALSE,"FIELD EXPENSE comparison"}</definedName>
    <definedName name="xx_1" hidden="1">{#N/A,#N/A,FALSE,"Summary Account Comparison";#N/A,#N/A,FALSE,"FY01 EOY HC";#N/A,#N/A,FALSE,"FIELD EXPENSE comparison"}</definedName>
    <definedName name="xx_1_1" localSheetId="4" hidden="1">{#N/A,#N/A,FALSE,"Summary Account Comparison";#N/A,#N/A,FALSE,"FY01 EOY HC";#N/A,#N/A,FALSE,"FIELD EXPENSE comparison"}</definedName>
    <definedName name="xx_1_1" localSheetId="2" hidden="1">{#N/A,#N/A,FALSE,"Summary Account Comparison";#N/A,#N/A,FALSE,"FY01 EOY HC";#N/A,#N/A,FALSE,"FIELD EXPENSE comparison"}</definedName>
    <definedName name="xx_1_1" hidden="1">{#N/A,#N/A,FALSE,"Summary Account Comparison";#N/A,#N/A,FALSE,"FY01 EOY HC";#N/A,#N/A,FALSE,"FIELD EXPENSE comparison"}</definedName>
    <definedName name="xx_2" localSheetId="4" hidden="1">{#N/A,#N/A,FALSE,"Summary Account Comparison";#N/A,#N/A,FALSE,"FY01 EOY HC";#N/A,#N/A,FALSE,"FIELD EXPENSE comparison"}</definedName>
    <definedName name="xx_2" localSheetId="2" hidden="1">{#N/A,#N/A,FALSE,"Summary Account Comparison";#N/A,#N/A,FALSE,"FY01 EOY HC";#N/A,#N/A,FALSE,"FIELD EXPENSE comparison"}</definedName>
    <definedName name="xx_2" hidden="1">{#N/A,#N/A,FALSE,"Summary Account Comparison";#N/A,#N/A,FALSE,"FY01 EOY HC";#N/A,#N/A,FALSE,"FIELD EXPENSE comparison"}</definedName>
    <definedName name="xx_2_1" localSheetId="4" hidden="1">{#N/A,#N/A,FALSE,"Summary Account Comparison";#N/A,#N/A,FALSE,"FY01 EOY HC";#N/A,#N/A,FALSE,"FIELD EXPENSE comparison"}</definedName>
    <definedName name="xx_2_1" localSheetId="2" hidden="1">{#N/A,#N/A,FALSE,"Summary Account Comparison";#N/A,#N/A,FALSE,"FY01 EOY HC";#N/A,#N/A,FALSE,"FIELD EXPENSE comparison"}</definedName>
    <definedName name="xx_2_1" hidden="1">{#N/A,#N/A,FALSE,"Summary Account Comparison";#N/A,#N/A,FALSE,"FY01 EOY HC";#N/A,#N/A,FALSE,"FIELD EXPENSE comparison"}</definedName>
    <definedName name="xx_3" localSheetId="4" hidden="1">{#N/A,#N/A,FALSE,"Summary Account Comparison";#N/A,#N/A,FALSE,"FY01 EOY HC";#N/A,#N/A,FALSE,"FIELD EXPENSE comparison"}</definedName>
    <definedName name="xx_3" localSheetId="2" hidden="1">{#N/A,#N/A,FALSE,"Summary Account Comparison";#N/A,#N/A,FALSE,"FY01 EOY HC";#N/A,#N/A,FALSE,"FIELD EXPENSE comparison"}</definedName>
    <definedName name="xx_3" hidden="1">{#N/A,#N/A,FALSE,"Summary Account Comparison";#N/A,#N/A,FALSE,"FY01 EOY HC";#N/A,#N/A,FALSE,"FIELD EXPENSE comparison"}</definedName>
    <definedName name="xxnn" localSheetId="3" hidden="1">{#N/A,#N/A,FALSE,"Balance Sheets";#N/A,#N/A,FALSE,"96 Conservative";#N/A,#N/A,FALSE,"96 Possible"}</definedName>
    <definedName name="xxnn" localSheetId="4" hidden="1">{#N/A,#N/A,FALSE,"Balance Sheets";#N/A,#N/A,FALSE,"96 Conservative";#N/A,#N/A,FALSE,"96 Possible"}</definedName>
    <definedName name="xxnn" localSheetId="2" hidden="1">{#N/A,#N/A,FALSE,"Balance Sheets";#N/A,#N/A,FALSE,"96 Conservative";#N/A,#N/A,FALSE,"96 Possible"}</definedName>
    <definedName name="xxnn" hidden="1">{#N/A,#N/A,FALSE,"Balance Sheets";#N/A,#N/A,FALSE,"96 Conservative";#N/A,#N/A,FALSE,"96 Possible"}</definedName>
    <definedName name="xxnn_1" localSheetId="4" hidden="1">{#N/A,#N/A,FALSE,"Balance Sheets";#N/A,#N/A,FALSE,"96 Conservative";#N/A,#N/A,FALSE,"96 Possible"}</definedName>
    <definedName name="xxnn_1" localSheetId="2" hidden="1">{#N/A,#N/A,FALSE,"Balance Sheets";#N/A,#N/A,FALSE,"96 Conservative";#N/A,#N/A,FALSE,"96 Possible"}</definedName>
    <definedName name="xxnn_1" hidden="1">{#N/A,#N/A,FALSE,"Balance Sheets";#N/A,#N/A,FALSE,"96 Conservative";#N/A,#N/A,FALSE,"96 Possible"}</definedName>
    <definedName name="xxnn_1_1" localSheetId="4" hidden="1">{#N/A,#N/A,FALSE,"Balance Sheets";#N/A,#N/A,FALSE,"96 Conservative";#N/A,#N/A,FALSE,"96 Possible"}</definedName>
    <definedName name="xxnn_1_1" localSheetId="2" hidden="1">{#N/A,#N/A,FALSE,"Balance Sheets";#N/A,#N/A,FALSE,"96 Conservative";#N/A,#N/A,FALSE,"96 Possible"}</definedName>
    <definedName name="xxnn_1_1" hidden="1">{#N/A,#N/A,FALSE,"Balance Sheets";#N/A,#N/A,FALSE,"96 Conservative";#N/A,#N/A,FALSE,"96 Possible"}</definedName>
    <definedName name="xxnn_2" localSheetId="4" hidden="1">{#N/A,#N/A,FALSE,"Balance Sheets";#N/A,#N/A,FALSE,"96 Conservative";#N/A,#N/A,FALSE,"96 Possible"}</definedName>
    <definedName name="xxnn_2" localSheetId="2" hidden="1">{#N/A,#N/A,FALSE,"Balance Sheets";#N/A,#N/A,FALSE,"96 Conservative";#N/A,#N/A,FALSE,"96 Possible"}</definedName>
    <definedName name="xxnn_2" hidden="1">{#N/A,#N/A,FALSE,"Balance Sheets";#N/A,#N/A,FALSE,"96 Conservative";#N/A,#N/A,FALSE,"96 Possible"}</definedName>
    <definedName name="xxnn_2_1" localSheetId="4" hidden="1">{#N/A,#N/A,FALSE,"Balance Sheets";#N/A,#N/A,FALSE,"96 Conservative";#N/A,#N/A,FALSE,"96 Possible"}</definedName>
    <definedName name="xxnn_2_1" localSheetId="2" hidden="1">{#N/A,#N/A,FALSE,"Balance Sheets";#N/A,#N/A,FALSE,"96 Conservative";#N/A,#N/A,FALSE,"96 Possible"}</definedName>
    <definedName name="xxnn_2_1" hidden="1">{#N/A,#N/A,FALSE,"Balance Sheets";#N/A,#N/A,FALSE,"96 Conservative";#N/A,#N/A,FALSE,"96 Possible"}</definedName>
    <definedName name="xxnn_3" localSheetId="4" hidden="1">{#N/A,#N/A,FALSE,"Balance Sheets";#N/A,#N/A,FALSE,"96 Conservative";#N/A,#N/A,FALSE,"96 Possible"}</definedName>
    <definedName name="xxnn_3" localSheetId="2" hidden="1">{#N/A,#N/A,FALSE,"Balance Sheets";#N/A,#N/A,FALSE,"96 Conservative";#N/A,#N/A,FALSE,"96 Possible"}</definedName>
    <definedName name="xxnn_3" hidden="1">{#N/A,#N/A,FALSE,"Balance Sheets";#N/A,#N/A,FALSE,"96 Conservative";#N/A,#N/A,FALSE,"96 Possible"}</definedName>
    <definedName name="xyz" localSheetId="3" hidden="1">{#N/A,#N/A,FALSE,"Balance Sheets";#N/A,#N/A,FALSE,"96 Conservative";#N/A,#N/A,FALSE,"96 Possible"}</definedName>
    <definedName name="xyz" localSheetId="4" hidden="1">{#N/A,#N/A,FALSE,"Balance Sheets";#N/A,#N/A,FALSE,"96 Conservative";#N/A,#N/A,FALSE,"96 Possible"}</definedName>
    <definedName name="xyz" localSheetId="2" hidden="1">{#N/A,#N/A,FALSE,"Balance Sheets";#N/A,#N/A,FALSE,"96 Conservative";#N/A,#N/A,FALSE,"96 Possible"}</definedName>
    <definedName name="xyz" hidden="1">{#N/A,#N/A,FALSE,"Balance Sheets";#N/A,#N/A,FALSE,"96 Conservative";#N/A,#N/A,FALSE,"96 Possible"}</definedName>
    <definedName name="xyz_1" localSheetId="4" hidden="1">{#N/A,#N/A,FALSE,"Balance Sheets";#N/A,#N/A,FALSE,"96 Conservative";#N/A,#N/A,FALSE,"96 Possible"}</definedName>
    <definedName name="xyz_1" localSheetId="2" hidden="1">{#N/A,#N/A,FALSE,"Balance Sheets";#N/A,#N/A,FALSE,"96 Conservative";#N/A,#N/A,FALSE,"96 Possible"}</definedName>
    <definedName name="xyz_1" hidden="1">{#N/A,#N/A,FALSE,"Balance Sheets";#N/A,#N/A,FALSE,"96 Conservative";#N/A,#N/A,FALSE,"96 Possible"}</definedName>
    <definedName name="xyz_1_1" localSheetId="4" hidden="1">{#N/A,#N/A,FALSE,"Balance Sheets";#N/A,#N/A,FALSE,"96 Conservative";#N/A,#N/A,FALSE,"96 Possible"}</definedName>
    <definedName name="xyz_1_1" localSheetId="2" hidden="1">{#N/A,#N/A,FALSE,"Balance Sheets";#N/A,#N/A,FALSE,"96 Conservative";#N/A,#N/A,FALSE,"96 Possible"}</definedName>
    <definedName name="xyz_1_1" hidden="1">{#N/A,#N/A,FALSE,"Balance Sheets";#N/A,#N/A,FALSE,"96 Conservative";#N/A,#N/A,FALSE,"96 Possible"}</definedName>
    <definedName name="xyz_2" localSheetId="4" hidden="1">{#N/A,#N/A,FALSE,"Balance Sheets";#N/A,#N/A,FALSE,"96 Conservative";#N/A,#N/A,FALSE,"96 Possible"}</definedName>
    <definedName name="xyz_2" localSheetId="2" hidden="1">{#N/A,#N/A,FALSE,"Balance Sheets";#N/A,#N/A,FALSE,"96 Conservative";#N/A,#N/A,FALSE,"96 Possible"}</definedName>
    <definedName name="xyz_2" hidden="1">{#N/A,#N/A,FALSE,"Balance Sheets";#N/A,#N/A,FALSE,"96 Conservative";#N/A,#N/A,FALSE,"96 Possible"}</definedName>
    <definedName name="xyz_2_1" localSheetId="4" hidden="1">{#N/A,#N/A,FALSE,"Balance Sheets";#N/A,#N/A,FALSE,"96 Conservative";#N/A,#N/A,FALSE,"96 Possible"}</definedName>
    <definedName name="xyz_2_1" localSheetId="2" hidden="1">{#N/A,#N/A,FALSE,"Balance Sheets";#N/A,#N/A,FALSE,"96 Conservative";#N/A,#N/A,FALSE,"96 Possible"}</definedName>
    <definedName name="xyz_2_1" hidden="1">{#N/A,#N/A,FALSE,"Balance Sheets";#N/A,#N/A,FALSE,"96 Conservative";#N/A,#N/A,FALSE,"96 Possible"}</definedName>
    <definedName name="xyz_3" localSheetId="4" hidden="1">{#N/A,#N/A,FALSE,"Balance Sheets";#N/A,#N/A,FALSE,"96 Conservative";#N/A,#N/A,FALSE,"96 Possible"}</definedName>
    <definedName name="xyz_3" localSheetId="2" hidden="1">{#N/A,#N/A,FALSE,"Balance Sheets";#N/A,#N/A,FALSE,"96 Conservative";#N/A,#N/A,FALSE,"96 Possible"}</definedName>
    <definedName name="xyz_3" hidden="1">{#N/A,#N/A,FALSE,"Balance Sheets";#N/A,#N/A,FALSE,"96 Conservative";#N/A,#N/A,FALSE,"96 Possible"}</definedName>
    <definedName name="y" localSheetId="3" hidden="1">{"EVA",#N/A,FALSE,"SMT2";#N/A,#N/A,FALSE,"Summary";#N/A,#N/A,FALSE,"Graphs";#N/A,#N/A,FALSE,"4 Panel"}</definedName>
    <definedName name="y" localSheetId="4" hidden="1">{"EVA",#N/A,FALSE,"SMT2";#N/A,#N/A,FALSE,"Summary";#N/A,#N/A,FALSE,"Graphs";#N/A,#N/A,FALSE,"4 Panel"}</definedName>
    <definedName name="y" localSheetId="2" hidden="1">{"EVA",#N/A,FALSE,"SMT2";#N/A,#N/A,FALSE,"Summary";#N/A,#N/A,FALSE,"Graphs";#N/A,#N/A,FALSE,"4 Panel"}</definedName>
    <definedName name="y" hidden="1">{"EVA",#N/A,FALSE,"SMT2";#N/A,#N/A,FALSE,"Summary";#N/A,#N/A,FALSE,"Graphs";#N/A,#N/A,FALSE,"4 Panel"}</definedName>
    <definedName name="y_1" localSheetId="4" hidden="1">{"EVA",#N/A,FALSE,"SMT2";#N/A,#N/A,FALSE,"Summary";#N/A,#N/A,FALSE,"Graphs";#N/A,#N/A,FALSE,"4 Panel"}</definedName>
    <definedName name="y_1" localSheetId="2" hidden="1">{"EVA",#N/A,FALSE,"SMT2";#N/A,#N/A,FALSE,"Summary";#N/A,#N/A,FALSE,"Graphs";#N/A,#N/A,FALSE,"4 Panel"}</definedName>
    <definedName name="y_1" hidden="1">{"EVA",#N/A,FALSE,"SMT2";#N/A,#N/A,FALSE,"Summary";#N/A,#N/A,FALSE,"Graphs";#N/A,#N/A,FALSE,"4 Panel"}</definedName>
    <definedName name="y_1_1" localSheetId="4" hidden="1">{"EVA",#N/A,FALSE,"SMT2";#N/A,#N/A,FALSE,"Summary";#N/A,#N/A,FALSE,"Graphs";#N/A,#N/A,FALSE,"4 Panel"}</definedName>
    <definedName name="y_1_1" localSheetId="2" hidden="1">{"EVA",#N/A,FALSE,"SMT2";#N/A,#N/A,FALSE,"Summary";#N/A,#N/A,FALSE,"Graphs";#N/A,#N/A,FALSE,"4 Panel"}</definedName>
    <definedName name="y_1_1" hidden="1">{"EVA",#N/A,FALSE,"SMT2";#N/A,#N/A,FALSE,"Summary";#N/A,#N/A,FALSE,"Graphs";#N/A,#N/A,FALSE,"4 Panel"}</definedName>
    <definedName name="y_2" localSheetId="4" hidden="1">{"EVA",#N/A,FALSE,"SMT2";#N/A,#N/A,FALSE,"Summary";#N/A,#N/A,FALSE,"Graphs";#N/A,#N/A,FALSE,"4 Panel"}</definedName>
    <definedName name="y_2" localSheetId="2" hidden="1">{"EVA",#N/A,FALSE,"SMT2";#N/A,#N/A,FALSE,"Summary";#N/A,#N/A,FALSE,"Graphs";#N/A,#N/A,FALSE,"4 Panel"}</definedName>
    <definedName name="y_2" hidden="1">{"EVA",#N/A,FALSE,"SMT2";#N/A,#N/A,FALSE,"Summary";#N/A,#N/A,FALSE,"Graphs";#N/A,#N/A,FALSE,"4 Panel"}</definedName>
    <definedName name="y_2_1" localSheetId="4" hidden="1">{"EVA",#N/A,FALSE,"SMT2";#N/A,#N/A,FALSE,"Summary";#N/A,#N/A,FALSE,"Graphs";#N/A,#N/A,FALSE,"4 Panel"}</definedName>
    <definedName name="y_2_1" localSheetId="2" hidden="1">{"EVA",#N/A,FALSE,"SMT2";#N/A,#N/A,FALSE,"Summary";#N/A,#N/A,FALSE,"Graphs";#N/A,#N/A,FALSE,"4 Panel"}</definedName>
    <definedName name="y_2_1" hidden="1">{"EVA",#N/A,FALSE,"SMT2";#N/A,#N/A,FALSE,"Summary";#N/A,#N/A,FALSE,"Graphs";#N/A,#N/A,FALSE,"4 Panel"}</definedName>
    <definedName name="y_3" localSheetId="4" hidden="1">{"EVA",#N/A,FALSE,"SMT2";#N/A,#N/A,FALSE,"Summary";#N/A,#N/A,FALSE,"Graphs";#N/A,#N/A,FALSE,"4 Panel"}</definedName>
    <definedName name="y_3" localSheetId="2" hidden="1">{"EVA",#N/A,FALSE,"SMT2";#N/A,#N/A,FALSE,"Summary";#N/A,#N/A,FALSE,"Graphs";#N/A,#N/A,FALSE,"4 Panel"}</definedName>
    <definedName name="y_3" hidden="1">{"EVA",#N/A,FALSE,"SMT2";#N/A,#N/A,FALSE,"Summary";#N/A,#N/A,FALSE,"Graphs";#N/A,#N/A,FALSE,"4 Panel"}</definedName>
    <definedName name="YEAR">#REF!</definedName>
    <definedName name="years">#REF!</definedName>
    <definedName name="z" localSheetId="3" hidden="1">{#N/A,#N/A,FALSE,"SMT1";#N/A,#N/A,FALSE,"SMT2";#N/A,#N/A,FALSE,"Summary";#N/A,#N/A,FALSE,"Graphs";#N/A,#N/A,FALSE,"4 Panel"}</definedName>
    <definedName name="z" localSheetId="4" hidden="1">{#N/A,#N/A,FALSE,"SMT1";#N/A,#N/A,FALSE,"SMT2";#N/A,#N/A,FALSE,"Summary";#N/A,#N/A,FALSE,"Graphs";#N/A,#N/A,FALSE,"4 Panel"}</definedName>
    <definedName name="z" localSheetId="2" hidden="1">{#N/A,#N/A,FALSE,"SMT1";#N/A,#N/A,FALSE,"SMT2";#N/A,#N/A,FALSE,"Summary";#N/A,#N/A,FALSE,"Graphs";#N/A,#N/A,FALSE,"4 Panel"}</definedName>
    <definedName name="z" hidden="1">{#N/A,#N/A,FALSE,"SMT1";#N/A,#N/A,FALSE,"SMT2";#N/A,#N/A,FALSE,"Summary";#N/A,#N/A,FALSE,"Graphs";#N/A,#N/A,FALSE,"4 Panel"}</definedName>
    <definedName name="z_1" localSheetId="4" hidden="1">{#N/A,#N/A,FALSE,"SMT1";#N/A,#N/A,FALSE,"SMT2";#N/A,#N/A,FALSE,"Summary";#N/A,#N/A,FALSE,"Graphs";#N/A,#N/A,FALSE,"4 Panel"}</definedName>
    <definedName name="z_1" localSheetId="2" hidden="1">{#N/A,#N/A,FALSE,"SMT1";#N/A,#N/A,FALSE,"SMT2";#N/A,#N/A,FALSE,"Summary";#N/A,#N/A,FALSE,"Graphs";#N/A,#N/A,FALSE,"4 Panel"}</definedName>
    <definedName name="z_1" hidden="1">{#N/A,#N/A,FALSE,"SMT1";#N/A,#N/A,FALSE,"SMT2";#N/A,#N/A,FALSE,"Summary";#N/A,#N/A,FALSE,"Graphs";#N/A,#N/A,FALSE,"4 Panel"}</definedName>
    <definedName name="z_1_1" localSheetId="4" hidden="1">{#N/A,#N/A,FALSE,"SMT1";#N/A,#N/A,FALSE,"SMT2";#N/A,#N/A,FALSE,"Summary";#N/A,#N/A,FALSE,"Graphs";#N/A,#N/A,FALSE,"4 Panel"}</definedName>
    <definedName name="z_1_1" localSheetId="2" hidden="1">{#N/A,#N/A,FALSE,"SMT1";#N/A,#N/A,FALSE,"SMT2";#N/A,#N/A,FALSE,"Summary";#N/A,#N/A,FALSE,"Graphs";#N/A,#N/A,FALSE,"4 Panel"}</definedName>
    <definedName name="z_1_1" hidden="1">{#N/A,#N/A,FALSE,"SMT1";#N/A,#N/A,FALSE,"SMT2";#N/A,#N/A,FALSE,"Summary";#N/A,#N/A,FALSE,"Graphs";#N/A,#N/A,FALSE,"4 Panel"}</definedName>
    <definedName name="z_2" localSheetId="4" hidden="1">{#N/A,#N/A,FALSE,"SMT1";#N/A,#N/A,FALSE,"SMT2";#N/A,#N/A,FALSE,"Summary";#N/A,#N/A,FALSE,"Graphs";#N/A,#N/A,FALSE,"4 Panel"}</definedName>
    <definedName name="z_2" localSheetId="2" hidden="1">{#N/A,#N/A,FALSE,"SMT1";#N/A,#N/A,FALSE,"SMT2";#N/A,#N/A,FALSE,"Summary";#N/A,#N/A,FALSE,"Graphs";#N/A,#N/A,FALSE,"4 Panel"}</definedName>
    <definedName name="z_2" hidden="1">{#N/A,#N/A,FALSE,"SMT1";#N/A,#N/A,FALSE,"SMT2";#N/A,#N/A,FALSE,"Summary";#N/A,#N/A,FALSE,"Graphs";#N/A,#N/A,FALSE,"4 Panel"}</definedName>
    <definedName name="z_2_1" localSheetId="4" hidden="1">{#N/A,#N/A,FALSE,"SMT1";#N/A,#N/A,FALSE,"SMT2";#N/A,#N/A,FALSE,"Summary";#N/A,#N/A,FALSE,"Graphs";#N/A,#N/A,FALSE,"4 Panel"}</definedName>
    <definedName name="z_2_1" localSheetId="2" hidden="1">{#N/A,#N/A,FALSE,"SMT1";#N/A,#N/A,FALSE,"SMT2";#N/A,#N/A,FALSE,"Summary";#N/A,#N/A,FALSE,"Graphs";#N/A,#N/A,FALSE,"4 Panel"}</definedName>
    <definedName name="z_2_1" hidden="1">{#N/A,#N/A,FALSE,"SMT1";#N/A,#N/A,FALSE,"SMT2";#N/A,#N/A,FALSE,"Summary";#N/A,#N/A,FALSE,"Graphs";#N/A,#N/A,FALSE,"4 Panel"}</definedName>
    <definedName name="z_3" localSheetId="4" hidden="1">{#N/A,#N/A,FALSE,"SMT1";#N/A,#N/A,FALSE,"SMT2";#N/A,#N/A,FALSE,"Summary";#N/A,#N/A,FALSE,"Graphs";#N/A,#N/A,FALSE,"4 Panel"}</definedName>
    <definedName name="z_3" localSheetId="2" hidden="1">{#N/A,#N/A,FALSE,"SMT1";#N/A,#N/A,FALSE,"SMT2";#N/A,#N/A,FALSE,"Summary";#N/A,#N/A,FALSE,"Graphs";#N/A,#N/A,FALSE,"4 Panel"}</definedName>
    <definedName name="z_3" hidden="1">{#N/A,#N/A,FALSE,"SMT1";#N/A,#N/A,FALSE,"SMT2";#N/A,#N/A,FALSE,"Summary";#N/A,#N/A,FALSE,"Graphs";#N/A,#N/A,FALSE,"4 Panel"}</definedName>
    <definedName name="ZBONUS">0.1</definedName>
    <definedName name="ZFRINGE">0.2225</definedName>
    <definedName name="ZMATCH">0.045</definedName>
    <definedName name="ZRAISE">0.04</definedName>
    <definedName name="ZRAISE2">0.04</definedName>
    <definedName name="ZRETIREMENT">0.03</definedName>
    <definedName name="ZUG">#REF!</definedName>
    <definedName name="ZUS">#REF!</definedName>
    <definedName name="zwei">#REF!</definedName>
    <definedName name="zzz">#REF!</definedName>
    <definedName name="ㅁㅁ">#REF!</definedName>
    <definedName name="会计分录序时簿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72" i="347" l="1"/>
  <c r="P478" i="347"/>
  <c r="P456" i="347"/>
  <c r="P420" i="347"/>
  <c r="P413" i="347"/>
  <c r="P411" i="347"/>
  <c r="P409" i="347"/>
  <c r="P407" i="347"/>
  <c r="P404" i="347"/>
  <c r="P390" i="347"/>
  <c r="P385" i="347"/>
  <c r="P374" i="347"/>
  <c r="P373" i="347"/>
  <c r="P368" i="347"/>
  <c r="P361" i="347"/>
  <c r="P358" i="347"/>
  <c r="P354" i="347"/>
  <c r="P352" i="347"/>
  <c r="P349" i="347"/>
  <c r="P348" i="347"/>
  <c r="P340" i="347"/>
  <c r="P339" i="347"/>
  <c r="P338" i="347"/>
  <c r="P332" i="347"/>
  <c r="P330" i="347"/>
  <c r="P323" i="347"/>
  <c r="P314" i="347"/>
  <c r="P305" i="347"/>
  <c r="P294" i="347"/>
  <c r="P284" i="347"/>
  <c r="P267" i="347"/>
  <c r="P204" i="347"/>
  <c r="P77" i="347"/>
  <c r="P27" i="347"/>
  <c r="Y567" i="347"/>
  <c r="Y566" i="347"/>
  <c r="Y565" i="347"/>
  <c r="Y564" i="347"/>
  <c r="Y563" i="347"/>
  <c r="Y562" i="347"/>
  <c r="Y561" i="347"/>
  <c r="Y560" i="347"/>
  <c r="Y559" i="347"/>
  <c r="Y558" i="347"/>
  <c r="Y557" i="347"/>
  <c r="Y556" i="347"/>
  <c r="Y555" i="347"/>
  <c r="Y554" i="347"/>
  <c r="Y553" i="347"/>
  <c r="Y552" i="347"/>
  <c r="Y551" i="347"/>
  <c r="Y550" i="347"/>
  <c r="Y549" i="347"/>
  <c r="Y548" i="347"/>
  <c r="Y547" i="347"/>
  <c r="Y546" i="347"/>
  <c r="Y545" i="347"/>
  <c r="Y544" i="347"/>
  <c r="Y543" i="347"/>
  <c r="Y542" i="347"/>
  <c r="Y541" i="347"/>
  <c r="Y540" i="347"/>
  <c r="Y539" i="347"/>
  <c r="Y538" i="347"/>
  <c r="Y537" i="347"/>
  <c r="Y536" i="347"/>
  <c r="Y535" i="347"/>
  <c r="Y534" i="347"/>
  <c r="Y533" i="347"/>
  <c r="Y532" i="347"/>
  <c r="Y531" i="347"/>
  <c r="Y530" i="347"/>
  <c r="Y529" i="347"/>
  <c r="Y528" i="347"/>
  <c r="Y527" i="347"/>
  <c r="Y526" i="347"/>
  <c r="Y525" i="347"/>
  <c r="C2394" i="328"/>
  <c r="C88" i="328"/>
  <c r="C2388" i="328"/>
  <c r="C2423" i="328"/>
  <c r="C2422" i="328"/>
  <c r="C2421" i="328"/>
  <c r="C2420" i="328"/>
  <c r="C2419" i="328"/>
  <c r="C2418" i="328"/>
  <c r="C2417" i="328"/>
  <c r="C2416" i="328"/>
  <c r="C2415" i="328"/>
  <c r="C2414" i="328"/>
  <c r="C2413" i="328"/>
  <c r="C2412" i="328"/>
  <c r="C2411" i="328"/>
  <c r="C2410" i="328"/>
  <c r="C2409" i="328"/>
  <c r="C2408" i="328"/>
  <c r="C2407" i="328"/>
  <c r="C2406" i="328"/>
  <c r="C2405" i="328"/>
  <c r="C2404" i="328"/>
  <c r="C2403" i="328"/>
  <c r="C2402" i="328"/>
  <c r="C2401" i="328"/>
  <c r="C2400" i="328"/>
  <c r="C2399" i="328"/>
  <c r="C2398" i="328"/>
  <c r="C2397" i="328"/>
  <c r="C2396" i="328"/>
  <c r="C2395" i="328"/>
  <c r="C2393" i="328"/>
  <c r="C2392" i="328"/>
  <c r="C2391" i="328"/>
  <c r="C2390" i="328"/>
  <c r="C2389" i="328"/>
  <c r="E2" i="364"/>
  <c r="D2" i="364"/>
  <c r="C2" i="364"/>
  <c r="B2" i="364"/>
  <c r="F2" i="364"/>
  <c r="C2387" i="328"/>
  <c r="C2386" i="328"/>
  <c r="C2385" i="328"/>
  <c r="C2375" i="328"/>
  <c r="C2376" i="328"/>
  <c r="C2377" i="328"/>
  <c r="C2378" i="328"/>
  <c r="C2379" i="328"/>
  <c r="C2380" i="328"/>
  <c r="C2381" i="328"/>
  <c r="C2382" i="328"/>
  <c r="C2383" i="328"/>
  <c r="C2384" i="328"/>
  <c r="C2374" i="328"/>
  <c r="C2372" i="328"/>
  <c r="C2373" i="328"/>
  <c r="C2370" i="328"/>
  <c r="C2371" i="328"/>
  <c r="C2369" i="328"/>
  <c r="C2368" i="328"/>
  <c r="C2364" i="328"/>
  <c r="C2365" i="328"/>
  <c r="C2366" i="328"/>
  <c r="C2367" i="328"/>
  <c r="O160" i="364"/>
  <c r="L160" i="364"/>
  <c r="K160" i="364"/>
  <c r="J160" i="364"/>
  <c r="I160" i="364"/>
  <c r="H160" i="364"/>
  <c r="G160" i="364"/>
  <c r="M160" i="364" s="1"/>
  <c r="O159" i="364"/>
  <c r="L159" i="364"/>
  <c r="K159" i="364"/>
  <c r="J159" i="364"/>
  <c r="I159" i="364"/>
  <c r="H159" i="364"/>
  <c r="G159" i="364"/>
  <c r="M159" i="364" s="1"/>
  <c r="O158" i="364"/>
  <c r="L158" i="364"/>
  <c r="K158" i="364"/>
  <c r="J158" i="364"/>
  <c r="I158" i="364"/>
  <c r="H158" i="364"/>
  <c r="G158" i="364"/>
  <c r="M158" i="364" s="1"/>
  <c r="O157" i="364"/>
  <c r="L157" i="364"/>
  <c r="K157" i="364"/>
  <c r="J157" i="364"/>
  <c r="I157" i="364"/>
  <c r="H157" i="364"/>
  <c r="G157" i="364"/>
  <c r="M157" i="364" s="1"/>
  <c r="O156" i="364"/>
  <c r="L156" i="364"/>
  <c r="K156" i="364"/>
  <c r="J156" i="364"/>
  <c r="I156" i="364"/>
  <c r="H156" i="364"/>
  <c r="G156" i="364"/>
  <c r="M156" i="364" s="1"/>
  <c r="O155" i="364"/>
  <c r="L155" i="364"/>
  <c r="K155" i="364"/>
  <c r="J155" i="364"/>
  <c r="I155" i="364"/>
  <c r="H155" i="364"/>
  <c r="G155" i="364"/>
  <c r="M155" i="364" s="1"/>
  <c r="O154" i="364"/>
  <c r="L154" i="364"/>
  <c r="K154" i="364"/>
  <c r="J154" i="364"/>
  <c r="I154" i="364"/>
  <c r="H154" i="364"/>
  <c r="G154" i="364"/>
  <c r="M154" i="364" s="1"/>
  <c r="O153" i="364"/>
  <c r="L153" i="364"/>
  <c r="K153" i="364"/>
  <c r="J153" i="364"/>
  <c r="I153" i="364"/>
  <c r="H153" i="364"/>
  <c r="G153" i="364"/>
  <c r="M153" i="364" s="1"/>
  <c r="O152" i="364"/>
  <c r="L152" i="364"/>
  <c r="K152" i="364"/>
  <c r="J152" i="364"/>
  <c r="I152" i="364"/>
  <c r="H152" i="364"/>
  <c r="G152" i="364"/>
  <c r="M152" i="364" s="1"/>
  <c r="O151" i="364"/>
  <c r="L151" i="364"/>
  <c r="K151" i="364"/>
  <c r="J151" i="364"/>
  <c r="I151" i="364"/>
  <c r="H151" i="364"/>
  <c r="G151" i="364"/>
  <c r="M151" i="364" s="1"/>
  <c r="O150" i="364"/>
  <c r="L150" i="364"/>
  <c r="K150" i="364"/>
  <c r="J150" i="364"/>
  <c r="I150" i="364"/>
  <c r="H150" i="364"/>
  <c r="G150" i="364"/>
  <c r="M150" i="364" s="1"/>
  <c r="O149" i="364"/>
  <c r="L149" i="364"/>
  <c r="K149" i="364"/>
  <c r="J149" i="364"/>
  <c r="I149" i="364"/>
  <c r="H149" i="364"/>
  <c r="G149" i="364"/>
  <c r="M149" i="364" s="1"/>
  <c r="O148" i="364"/>
  <c r="L148" i="364"/>
  <c r="K148" i="364"/>
  <c r="J148" i="364"/>
  <c r="I148" i="364"/>
  <c r="H148" i="364"/>
  <c r="G148" i="364"/>
  <c r="M148" i="364" s="1"/>
  <c r="O147" i="364"/>
  <c r="L147" i="364"/>
  <c r="K147" i="364"/>
  <c r="J147" i="364"/>
  <c r="I147" i="364"/>
  <c r="H147" i="364"/>
  <c r="G147" i="364"/>
  <c r="M147" i="364" s="1"/>
  <c r="O146" i="364"/>
  <c r="L146" i="364"/>
  <c r="K146" i="364"/>
  <c r="J146" i="364"/>
  <c r="I146" i="364"/>
  <c r="H146" i="364"/>
  <c r="G146" i="364"/>
  <c r="M146" i="364" s="1"/>
  <c r="O145" i="364"/>
  <c r="L145" i="364"/>
  <c r="K145" i="364"/>
  <c r="J145" i="364"/>
  <c r="I145" i="364"/>
  <c r="H145" i="364"/>
  <c r="G145" i="364"/>
  <c r="M145" i="364" s="1"/>
  <c r="O144" i="364"/>
  <c r="L144" i="364"/>
  <c r="K144" i="364"/>
  <c r="J144" i="364"/>
  <c r="I144" i="364"/>
  <c r="H144" i="364"/>
  <c r="G144" i="364"/>
  <c r="M144" i="364" s="1"/>
  <c r="O143" i="364"/>
  <c r="L143" i="364"/>
  <c r="K143" i="364"/>
  <c r="J143" i="364"/>
  <c r="I143" i="364"/>
  <c r="H143" i="364"/>
  <c r="G143" i="364"/>
  <c r="M143" i="364" s="1"/>
  <c r="O142" i="364"/>
  <c r="L142" i="364"/>
  <c r="K142" i="364"/>
  <c r="J142" i="364"/>
  <c r="I142" i="364"/>
  <c r="H142" i="364"/>
  <c r="G142" i="364"/>
  <c r="M142" i="364" s="1"/>
  <c r="O141" i="364"/>
  <c r="L141" i="364"/>
  <c r="K141" i="364"/>
  <c r="J141" i="364"/>
  <c r="I141" i="364"/>
  <c r="H141" i="364"/>
  <c r="G141" i="364"/>
  <c r="M141" i="364" s="1"/>
  <c r="O140" i="364"/>
  <c r="L140" i="364"/>
  <c r="K140" i="364"/>
  <c r="J140" i="364"/>
  <c r="I140" i="364"/>
  <c r="H140" i="364"/>
  <c r="G140" i="364"/>
  <c r="M140" i="364" s="1"/>
  <c r="O139" i="364"/>
  <c r="L139" i="364"/>
  <c r="K139" i="364"/>
  <c r="J139" i="364"/>
  <c r="I139" i="364"/>
  <c r="H139" i="364"/>
  <c r="G139" i="364"/>
  <c r="M139" i="364" s="1"/>
  <c r="O138" i="364"/>
  <c r="L138" i="364"/>
  <c r="K138" i="364"/>
  <c r="J138" i="364"/>
  <c r="I138" i="364"/>
  <c r="H138" i="364"/>
  <c r="G138" i="364"/>
  <c r="M138" i="364" s="1"/>
  <c r="O137" i="364"/>
  <c r="L137" i="364"/>
  <c r="K137" i="364"/>
  <c r="J137" i="364"/>
  <c r="I137" i="364"/>
  <c r="H137" i="364"/>
  <c r="G137" i="364"/>
  <c r="M137" i="364" s="1"/>
  <c r="O136" i="364"/>
  <c r="L136" i="364"/>
  <c r="K136" i="364"/>
  <c r="J136" i="364"/>
  <c r="I136" i="364"/>
  <c r="H136" i="364"/>
  <c r="G136" i="364"/>
  <c r="M136" i="364" s="1"/>
  <c r="O135" i="364"/>
  <c r="L135" i="364"/>
  <c r="K135" i="364"/>
  <c r="J135" i="364"/>
  <c r="I135" i="364"/>
  <c r="H135" i="364"/>
  <c r="G135" i="364"/>
  <c r="M135" i="364" s="1"/>
  <c r="O134" i="364"/>
  <c r="L134" i="364"/>
  <c r="K134" i="364"/>
  <c r="J134" i="364"/>
  <c r="I134" i="364"/>
  <c r="H134" i="364"/>
  <c r="G134" i="364"/>
  <c r="M134" i="364" s="1"/>
  <c r="O133" i="364"/>
  <c r="L133" i="364"/>
  <c r="K133" i="364"/>
  <c r="J133" i="364"/>
  <c r="I133" i="364"/>
  <c r="H133" i="364"/>
  <c r="G133" i="364"/>
  <c r="M133" i="364" s="1"/>
  <c r="O132" i="364"/>
  <c r="L132" i="364"/>
  <c r="K132" i="364"/>
  <c r="J132" i="364"/>
  <c r="I132" i="364"/>
  <c r="H132" i="364"/>
  <c r="G132" i="364"/>
  <c r="M132" i="364" s="1"/>
  <c r="O131" i="364"/>
  <c r="L131" i="364"/>
  <c r="K131" i="364"/>
  <c r="J131" i="364"/>
  <c r="I131" i="364"/>
  <c r="H131" i="364"/>
  <c r="G131" i="364"/>
  <c r="M131" i="364" s="1"/>
  <c r="O130" i="364"/>
  <c r="L130" i="364"/>
  <c r="K130" i="364"/>
  <c r="J130" i="364"/>
  <c r="I130" i="364"/>
  <c r="H130" i="364"/>
  <c r="G130" i="364"/>
  <c r="M130" i="364" s="1"/>
  <c r="O129" i="364"/>
  <c r="L129" i="364"/>
  <c r="K129" i="364"/>
  <c r="J129" i="364"/>
  <c r="I129" i="364"/>
  <c r="H129" i="364"/>
  <c r="G129" i="364"/>
  <c r="M129" i="364" s="1"/>
  <c r="O128" i="364"/>
  <c r="L128" i="364"/>
  <c r="K128" i="364"/>
  <c r="J128" i="364"/>
  <c r="I128" i="364"/>
  <c r="H128" i="364"/>
  <c r="G128" i="364"/>
  <c r="M128" i="364" s="1"/>
  <c r="O127" i="364"/>
  <c r="L127" i="364"/>
  <c r="K127" i="364"/>
  <c r="J127" i="364"/>
  <c r="I127" i="364"/>
  <c r="H127" i="364"/>
  <c r="G127" i="364"/>
  <c r="M127" i="364" s="1"/>
  <c r="O126" i="364"/>
  <c r="L126" i="364"/>
  <c r="K126" i="364"/>
  <c r="J126" i="364"/>
  <c r="I126" i="364"/>
  <c r="H126" i="364"/>
  <c r="G126" i="364"/>
  <c r="M126" i="364" s="1"/>
  <c r="O125" i="364"/>
  <c r="L125" i="364"/>
  <c r="K125" i="364"/>
  <c r="J125" i="364"/>
  <c r="I125" i="364"/>
  <c r="H125" i="364"/>
  <c r="G125" i="364"/>
  <c r="M125" i="364" s="1"/>
  <c r="O124" i="364"/>
  <c r="L124" i="364"/>
  <c r="K124" i="364"/>
  <c r="J124" i="364"/>
  <c r="I124" i="364"/>
  <c r="H124" i="364"/>
  <c r="G124" i="364"/>
  <c r="M124" i="364" s="1"/>
  <c r="O123" i="364"/>
  <c r="L123" i="364"/>
  <c r="K123" i="364"/>
  <c r="J123" i="364"/>
  <c r="I123" i="364"/>
  <c r="H123" i="364"/>
  <c r="G123" i="364"/>
  <c r="M123" i="364" s="1"/>
  <c r="O122" i="364"/>
  <c r="L122" i="364"/>
  <c r="K122" i="364"/>
  <c r="J122" i="364"/>
  <c r="I122" i="364"/>
  <c r="H122" i="364"/>
  <c r="G122" i="364"/>
  <c r="M122" i="364" s="1"/>
  <c r="O121" i="364"/>
  <c r="L121" i="364"/>
  <c r="K121" i="364"/>
  <c r="J121" i="364"/>
  <c r="I121" i="364"/>
  <c r="H121" i="364"/>
  <c r="G121" i="364"/>
  <c r="M121" i="364" s="1"/>
  <c r="O120" i="364"/>
  <c r="L120" i="364"/>
  <c r="K120" i="364"/>
  <c r="J120" i="364"/>
  <c r="I120" i="364"/>
  <c r="H120" i="364"/>
  <c r="G120" i="364"/>
  <c r="M120" i="364" s="1"/>
  <c r="O119" i="364"/>
  <c r="L119" i="364"/>
  <c r="K119" i="364"/>
  <c r="J119" i="364"/>
  <c r="I119" i="364"/>
  <c r="H119" i="364"/>
  <c r="G119" i="364"/>
  <c r="M119" i="364" s="1"/>
  <c r="O118" i="364"/>
  <c r="L118" i="364"/>
  <c r="K118" i="364"/>
  <c r="J118" i="364"/>
  <c r="I118" i="364"/>
  <c r="H118" i="364"/>
  <c r="G118" i="364"/>
  <c r="M118" i="364" s="1"/>
  <c r="O117" i="364"/>
  <c r="L117" i="364"/>
  <c r="K117" i="364"/>
  <c r="J117" i="364"/>
  <c r="I117" i="364"/>
  <c r="H117" i="364"/>
  <c r="G117" i="364"/>
  <c r="M117" i="364" s="1"/>
  <c r="O116" i="364"/>
  <c r="L116" i="364"/>
  <c r="K116" i="364"/>
  <c r="J116" i="364"/>
  <c r="I116" i="364"/>
  <c r="H116" i="364"/>
  <c r="G116" i="364"/>
  <c r="M116" i="364" s="1"/>
  <c r="O115" i="364"/>
  <c r="L115" i="364"/>
  <c r="K115" i="364"/>
  <c r="J115" i="364"/>
  <c r="I115" i="364"/>
  <c r="H115" i="364"/>
  <c r="G115" i="364"/>
  <c r="M115" i="364" s="1"/>
  <c r="O114" i="364"/>
  <c r="L114" i="364"/>
  <c r="K114" i="364"/>
  <c r="J114" i="364"/>
  <c r="I114" i="364"/>
  <c r="H114" i="364"/>
  <c r="G114" i="364"/>
  <c r="M114" i="364" s="1"/>
  <c r="O113" i="364"/>
  <c r="L113" i="364"/>
  <c r="K113" i="364"/>
  <c r="J113" i="364"/>
  <c r="I113" i="364"/>
  <c r="H113" i="364"/>
  <c r="G113" i="364"/>
  <c r="M113" i="364" s="1"/>
  <c r="O112" i="364"/>
  <c r="L112" i="364"/>
  <c r="K112" i="364"/>
  <c r="J112" i="364"/>
  <c r="I112" i="364"/>
  <c r="H112" i="364"/>
  <c r="G112" i="364"/>
  <c r="M112" i="364" s="1"/>
  <c r="O111" i="364"/>
  <c r="L111" i="364"/>
  <c r="K111" i="364"/>
  <c r="J111" i="364"/>
  <c r="I111" i="364"/>
  <c r="H111" i="364"/>
  <c r="G111" i="364"/>
  <c r="M111" i="364" s="1"/>
  <c r="O110" i="364"/>
  <c r="L110" i="364"/>
  <c r="K110" i="364"/>
  <c r="J110" i="364"/>
  <c r="I110" i="364"/>
  <c r="H110" i="364"/>
  <c r="G110" i="364"/>
  <c r="M110" i="364" s="1"/>
  <c r="O109" i="364"/>
  <c r="L109" i="364"/>
  <c r="K109" i="364"/>
  <c r="J109" i="364"/>
  <c r="I109" i="364"/>
  <c r="H109" i="364"/>
  <c r="G109" i="364"/>
  <c r="M109" i="364" s="1"/>
  <c r="O108" i="364"/>
  <c r="L108" i="364"/>
  <c r="K108" i="364"/>
  <c r="J108" i="364"/>
  <c r="I108" i="364"/>
  <c r="H108" i="364"/>
  <c r="G108" i="364"/>
  <c r="M108" i="364" s="1"/>
  <c r="O107" i="364"/>
  <c r="L107" i="364"/>
  <c r="K107" i="364"/>
  <c r="J107" i="364"/>
  <c r="I107" i="364"/>
  <c r="H107" i="364"/>
  <c r="G107" i="364"/>
  <c r="M107" i="364" s="1"/>
  <c r="O106" i="364"/>
  <c r="L106" i="364"/>
  <c r="K106" i="364"/>
  <c r="J106" i="364"/>
  <c r="I106" i="364"/>
  <c r="H106" i="364"/>
  <c r="G106" i="364"/>
  <c r="M106" i="364" s="1"/>
  <c r="O105" i="364"/>
  <c r="L105" i="364"/>
  <c r="K105" i="364"/>
  <c r="J105" i="364"/>
  <c r="I105" i="364"/>
  <c r="H105" i="364"/>
  <c r="G105" i="364"/>
  <c r="M105" i="364" s="1"/>
  <c r="O104" i="364"/>
  <c r="L104" i="364"/>
  <c r="K104" i="364"/>
  <c r="J104" i="364"/>
  <c r="I104" i="364"/>
  <c r="H104" i="364"/>
  <c r="G104" i="364"/>
  <c r="M104" i="364" s="1"/>
  <c r="O103" i="364"/>
  <c r="L103" i="364"/>
  <c r="K103" i="364"/>
  <c r="J103" i="364"/>
  <c r="I103" i="364"/>
  <c r="H103" i="364"/>
  <c r="G103" i="364"/>
  <c r="M103" i="364" s="1"/>
  <c r="O102" i="364"/>
  <c r="L102" i="364"/>
  <c r="K102" i="364"/>
  <c r="J102" i="364"/>
  <c r="I102" i="364"/>
  <c r="H102" i="364"/>
  <c r="G102" i="364"/>
  <c r="M102" i="364" s="1"/>
  <c r="O101" i="364"/>
  <c r="L101" i="364"/>
  <c r="K101" i="364"/>
  <c r="J101" i="364"/>
  <c r="I101" i="364"/>
  <c r="H101" i="364"/>
  <c r="G101" i="364"/>
  <c r="M101" i="364" s="1"/>
  <c r="O100" i="364"/>
  <c r="L100" i="364"/>
  <c r="K100" i="364"/>
  <c r="J100" i="364"/>
  <c r="I100" i="364"/>
  <c r="H100" i="364"/>
  <c r="G100" i="364"/>
  <c r="M100" i="364" s="1"/>
  <c r="O99" i="364"/>
  <c r="L99" i="364"/>
  <c r="K99" i="364"/>
  <c r="J99" i="364"/>
  <c r="I99" i="364"/>
  <c r="H99" i="364"/>
  <c r="G99" i="364"/>
  <c r="M99" i="364" s="1"/>
  <c r="O98" i="364"/>
  <c r="L98" i="364"/>
  <c r="K98" i="364"/>
  <c r="J98" i="364"/>
  <c r="I98" i="364"/>
  <c r="H98" i="364"/>
  <c r="G98" i="364"/>
  <c r="M98" i="364" s="1"/>
  <c r="O97" i="364"/>
  <c r="L97" i="364"/>
  <c r="K97" i="364"/>
  <c r="J97" i="364"/>
  <c r="I97" i="364"/>
  <c r="H97" i="364"/>
  <c r="G97" i="364"/>
  <c r="M97" i="364" s="1"/>
  <c r="O96" i="364"/>
  <c r="L96" i="364"/>
  <c r="K96" i="364"/>
  <c r="J96" i="364"/>
  <c r="I96" i="364"/>
  <c r="H96" i="364"/>
  <c r="G96" i="364"/>
  <c r="M96" i="364" s="1"/>
  <c r="O95" i="364"/>
  <c r="L95" i="364"/>
  <c r="K95" i="364"/>
  <c r="J95" i="364"/>
  <c r="I95" i="364"/>
  <c r="H95" i="364"/>
  <c r="G95" i="364"/>
  <c r="M95" i="364" s="1"/>
  <c r="O94" i="364"/>
  <c r="L94" i="364"/>
  <c r="K94" i="364"/>
  <c r="J94" i="364"/>
  <c r="I94" i="364"/>
  <c r="H94" i="364"/>
  <c r="G94" i="364"/>
  <c r="M94" i="364" s="1"/>
  <c r="O93" i="364"/>
  <c r="L93" i="364"/>
  <c r="K93" i="364"/>
  <c r="J93" i="364"/>
  <c r="I93" i="364"/>
  <c r="H93" i="364"/>
  <c r="G93" i="364"/>
  <c r="M93" i="364" s="1"/>
  <c r="O92" i="364"/>
  <c r="L92" i="364"/>
  <c r="K92" i="364"/>
  <c r="J92" i="364"/>
  <c r="I92" i="364"/>
  <c r="H92" i="364"/>
  <c r="G92" i="364"/>
  <c r="M92" i="364" s="1"/>
  <c r="O91" i="364"/>
  <c r="L91" i="364"/>
  <c r="K91" i="364"/>
  <c r="J91" i="364"/>
  <c r="I91" i="364"/>
  <c r="H91" i="364"/>
  <c r="G91" i="364"/>
  <c r="M91" i="364" s="1"/>
  <c r="O90" i="364"/>
  <c r="L90" i="364"/>
  <c r="K90" i="364"/>
  <c r="J90" i="364"/>
  <c r="I90" i="364"/>
  <c r="H90" i="364"/>
  <c r="G90" i="364"/>
  <c r="M90" i="364" s="1"/>
  <c r="O89" i="364"/>
  <c r="L89" i="364"/>
  <c r="K89" i="364"/>
  <c r="J89" i="364"/>
  <c r="I89" i="364"/>
  <c r="H89" i="364"/>
  <c r="G89" i="364"/>
  <c r="M89" i="364" s="1"/>
  <c r="O88" i="364"/>
  <c r="L88" i="364"/>
  <c r="K88" i="364"/>
  <c r="J88" i="364"/>
  <c r="I88" i="364"/>
  <c r="H88" i="364"/>
  <c r="G88" i="364"/>
  <c r="M88" i="364" s="1"/>
  <c r="O87" i="364"/>
  <c r="L87" i="364"/>
  <c r="K87" i="364"/>
  <c r="J87" i="364"/>
  <c r="I87" i="364"/>
  <c r="H87" i="364"/>
  <c r="G87" i="364"/>
  <c r="M87" i="364" s="1"/>
  <c r="O86" i="364"/>
  <c r="L86" i="364"/>
  <c r="K86" i="364"/>
  <c r="J86" i="364"/>
  <c r="I86" i="364"/>
  <c r="H86" i="364"/>
  <c r="G86" i="364"/>
  <c r="M86" i="364" s="1"/>
  <c r="O85" i="364"/>
  <c r="L85" i="364"/>
  <c r="K85" i="364"/>
  <c r="J85" i="364"/>
  <c r="I85" i="364"/>
  <c r="H85" i="364"/>
  <c r="G85" i="364"/>
  <c r="M85" i="364" s="1"/>
  <c r="O84" i="364"/>
  <c r="L84" i="364"/>
  <c r="K84" i="364"/>
  <c r="J84" i="364"/>
  <c r="I84" i="364"/>
  <c r="H84" i="364"/>
  <c r="G84" i="364"/>
  <c r="M84" i="364" s="1"/>
  <c r="O83" i="364"/>
  <c r="L83" i="364"/>
  <c r="K83" i="364"/>
  <c r="J83" i="364"/>
  <c r="I83" i="364"/>
  <c r="H83" i="364"/>
  <c r="G83" i="364"/>
  <c r="M83" i="364" s="1"/>
  <c r="O82" i="364"/>
  <c r="L82" i="364"/>
  <c r="K82" i="364"/>
  <c r="J82" i="364"/>
  <c r="I82" i="364"/>
  <c r="H82" i="364"/>
  <c r="G82" i="364"/>
  <c r="M82" i="364" s="1"/>
  <c r="O81" i="364"/>
  <c r="L81" i="364"/>
  <c r="K81" i="364"/>
  <c r="J81" i="364"/>
  <c r="I81" i="364"/>
  <c r="H81" i="364"/>
  <c r="G81" i="364"/>
  <c r="M81" i="364" s="1"/>
  <c r="O80" i="364"/>
  <c r="L80" i="364"/>
  <c r="K80" i="364"/>
  <c r="J80" i="364"/>
  <c r="I80" i="364"/>
  <c r="H80" i="364"/>
  <c r="G80" i="364"/>
  <c r="M80" i="364" s="1"/>
  <c r="O79" i="364"/>
  <c r="L79" i="364"/>
  <c r="K79" i="364"/>
  <c r="J79" i="364"/>
  <c r="I79" i="364"/>
  <c r="H79" i="364"/>
  <c r="G79" i="364"/>
  <c r="M79" i="364" s="1"/>
  <c r="O78" i="364"/>
  <c r="L78" i="364"/>
  <c r="K78" i="364"/>
  <c r="J78" i="364"/>
  <c r="I78" i="364"/>
  <c r="H78" i="364"/>
  <c r="G78" i="364"/>
  <c r="M78" i="364" s="1"/>
  <c r="O77" i="364"/>
  <c r="L77" i="364"/>
  <c r="K77" i="364"/>
  <c r="J77" i="364"/>
  <c r="I77" i="364"/>
  <c r="H77" i="364"/>
  <c r="G77" i="364"/>
  <c r="M77" i="364" s="1"/>
  <c r="O76" i="364"/>
  <c r="L76" i="364"/>
  <c r="K76" i="364"/>
  <c r="J76" i="364"/>
  <c r="I76" i="364"/>
  <c r="H76" i="364"/>
  <c r="G76" i="364"/>
  <c r="M76" i="364" s="1"/>
  <c r="O75" i="364"/>
  <c r="L75" i="364"/>
  <c r="K75" i="364"/>
  <c r="J75" i="364"/>
  <c r="I75" i="364"/>
  <c r="H75" i="364"/>
  <c r="G75" i="364"/>
  <c r="M75" i="364" s="1"/>
  <c r="O74" i="364"/>
  <c r="L74" i="364"/>
  <c r="K74" i="364"/>
  <c r="J74" i="364"/>
  <c r="I74" i="364"/>
  <c r="H74" i="364"/>
  <c r="G74" i="364"/>
  <c r="M74" i="364" s="1"/>
  <c r="O73" i="364"/>
  <c r="L73" i="364"/>
  <c r="K73" i="364"/>
  <c r="J73" i="364"/>
  <c r="I73" i="364"/>
  <c r="H73" i="364"/>
  <c r="G73" i="364"/>
  <c r="M73" i="364" s="1"/>
  <c r="O72" i="364"/>
  <c r="L72" i="364"/>
  <c r="K72" i="364"/>
  <c r="J72" i="364"/>
  <c r="I72" i="364"/>
  <c r="H72" i="364"/>
  <c r="G72" i="364"/>
  <c r="M72" i="364" s="1"/>
  <c r="O71" i="364"/>
  <c r="L71" i="364"/>
  <c r="K71" i="364"/>
  <c r="J71" i="364"/>
  <c r="I71" i="364"/>
  <c r="H71" i="364"/>
  <c r="G71" i="364"/>
  <c r="M71" i="364" s="1"/>
  <c r="O70" i="364"/>
  <c r="L70" i="364"/>
  <c r="K70" i="364"/>
  <c r="J70" i="364"/>
  <c r="I70" i="364"/>
  <c r="H70" i="364"/>
  <c r="G70" i="364"/>
  <c r="M70" i="364" s="1"/>
  <c r="O69" i="364"/>
  <c r="L69" i="364"/>
  <c r="K69" i="364"/>
  <c r="J69" i="364"/>
  <c r="I69" i="364"/>
  <c r="H69" i="364"/>
  <c r="G69" i="364"/>
  <c r="M69" i="364" s="1"/>
  <c r="O68" i="364"/>
  <c r="L68" i="364"/>
  <c r="K68" i="364"/>
  <c r="J68" i="364"/>
  <c r="I68" i="364"/>
  <c r="H68" i="364"/>
  <c r="G68" i="364"/>
  <c r="M68" i="364" s="1"/>
  <c r="O67" i="364"/>
  <c r="L67" i="364"/>
  <c r="K67" i="364"/>
  <c r="J67" i="364"/>
  <c r="I67" i="364"/>
  <c r="H67" i="364"/>
  <c r="G67" i="364"/>
  <c r="M67" i="364" s="1"/>
  <c r="O66" i="364"/>
  <c r="L66" i="364"/>
  <c r="K66" i="364"/>
  <c r="J66" i="364"/>
  <c r="I66" i="364"/>
  <c r="H66" i="364"/>
  <c r="G66" i="364"/>
  <c r="M66" i="364" s="1"/>
  <c r="O65" i="364"/>
  <c r="L65" i="364"/>
  <c r="K65" i="364"/>
  <c r="J65" i="364"/>
  <c r="I65" i="364"/>
  <c r="H65" i="364"/>
  <c r="G65" i="364"/>
  <c r="M65" i="364" s="1"/>
  <c r="O64" i="364"/>
  <c r="L64" i="364"/>
  <c r="K64" i="364"/>
  <c r="J64" i="364"/>
  <c r="I64" i="364"/>
  <c r="H64" i="364"/>
  <c r="G64" i="364"/>
  <c r="M64" i="364" s="1"/>
  <c r="O63" i="364"/>
  <c r="L63" i="364"/>
  <c r="K63" i="364"/>
  <c r="J63" i="364"/>
  <c r="I63" i="364"/>
  <c r="H63" i="364"/>
  <c r="G63" i="364"/>
  <c r="M63" i="364" s="1"/>
  <c r="O62" i="364"/>
  <c r="L62" i="364"/>
  <c r="K62" i="364"/>
  <c r="J62" i="364"/>
  <c r="I62" i="364"/>
  <c r="H62" i="364"/>
  <c r="G62" i="364"/>
  <c r="M62" i="364" s="1"/>
  <c r="O61" i="364"/>
  <c r="L61" i="364"/>
  <c r="K61" i="364"/>
  <c r="J61" i="364"/>
  <c r="I61" i="364"/>
  <c r="H61" i="364"/>
  <c r="G61" i="364"/>
  <c r="M61" i="364" s="1"/>
  <c r="O60" i="364"/>
  <c r="L60" i="364"/>
  <c r="K60" i="364"/>
  <c r="J60" i="364"/>
  <c r="I60" i="364"/>
  <c r="H60" i="364"/>
  <c r="G60" i="364"/>
  <c r="M60" i="364" s="1"/>
  <c r="O59" i="364"/>
  <c r="L59" i="364"/>
  <c r="K59" i="364"/>
  <c r="J59" i="364"/>
  <c r="I59" i="364"/>
  <c r="H59" i="364"/>
  <c r="G59" i="364"/>
  <c r="M59" i="364" s="1"/>
  <c r="O58" i="364"/>
  <c r="L58" i="364"/>
  <c r="K58" i="364"/>
  <c r="J58" i="364"/>
  <c r="I58" i="364"/>
  <c r="H58" i="364"/>
  <c r="G58" i="364"/>
  <c r="M58" i="364" s="1"/>
  <c r="O57" i="364"/>
  <c r="L57" i="364"/>
  <c r="K57" i="364"/>
  <c r="J57" i="364"/>
  <c r="I57" i="364"/>
  <c r="H57" i="364"/>
  <c r="G57" i="364"/>
  <c r="M57" i="364" s="1"/>
  <c r="O56" i="364"/>
  <c r="L56" i="364"/>
  <c r="K56" i="364"/>
  <c r="J56" i="364"/>
  <c r="I56" i="364"/>
  <c r="H56" i="364"/>
  <c r="G56" i="364"/>
  <c r="M56" i="364" s="1"/>
  <c r="O55" i="364"/>
  <c r="L55" i="364"/>
  <c r="K55" i="364"/>
  <c r="J55" i="364"/>
  <c r="I55" i="364"/>
  <c r="H55" i="364"/>
  <c r="G55" i="364"/>
  <c r="M55" i="364" s="1"/>
  <c r="O54" i="364"/>
  <c r="L54" i="364"/>
  <c r="K54" i="364"/>
  <c r="J54" i="364"/>
  <c r="I54" i="364"/>
  <c r="H54" i="364"/>
  <c r="G54" i="364"/>
  <c r="M54" i="364" s="1"/>
  <c r="O53" i="364"/>
  <c r="L53" i="364"/>
  <c r="K53" i="364"/>
  <c r="J53" i="364"/>
  <c r="I53" i="364"/>
  <c r="H53" i="364"/>
  <c r="G53" i="364"/>
  <c r="M53" i="364" s="1"/>
  <c r="O52" i="364"/>
  <c r="L52" i="364"/>
  <c r="K52" i="364"/>
  <c r="J52" i="364"/>
  <c r="I52" i="364"/>
  <c r="H52" i="364"/>
  <c r="G52" i="364"/>
  <c r="M52" i="364" s="1"/>
  <c r="O51" i="364"/>
  <c r="L51" i="364"/>
  <c r="K51" i="364"/>
  <c r="J51" i="364"/>
  <c r="I51" i="364"/>
  <c r="H51" i="364"/>
  <c r="G51" i="364"/>
  <c r="M51" i="364" s="1"/>
  <c r="O50" i="364"/>
  <c r="L50" i="364"/>
  <c r="K50" i="364"/>
  <c r="J50" i="364"/>
  <c r="I50" i="364"/>
  <c r="H50" i="364"/>
  <c r="G50" i="364"/>
  <c r="M50" i="364" s="1"/>
  <c r="O49" i="364"/>
  <c r="L49" i="364"/>
  <c r="K49" i="364"/>
  <c r="J49" i="364"/>
  <c r="I49" i="364"/>
  <c r="H49" i="364"/>
  <c r="G49" i="364"/>
  <c r="M49" i="364" s="1"/>
  <c r="O48" i="364"/>
  <c r="L48" i="364"/>
  <c r="K48" i="364"/>
  <c r="J48" i="364"/>
  <c r="I48" i="364"/>
  <c r="H48" i="364"/>
  <c r="G48" i="364"/>
  <c r="M48" i="364" s="1"/>
  <c r="O47" i="364"/>
  <c r="L47" i="364"/>
  <c r="K47" i="364"/>
  <c r="J47" i="364"/>
  <c r="I47" i="364"/>
  <c r="H47" i="364"/>
  <c r="G47" i="364"/>
  <c r="M47" i="364" s="1"/>
  <c r="O46" i="364"/>
  <c r="L46" i="364"/>
  <c r="K46" i="364"/>
  <c r="J46" i="364"/>
  <c r="I46" i="364"/>
  <c r="H46" i="364"/>
  <c r="G46" i="364"/>
  <c r="M46" i="364" s="1"/>
  <c r="O45" i="364"/>
  <c r="L45" i="364"/>
  <c r="K45" i="364"/>
  <c r="J45" i="364"/>
  <c r="I45" i="364"/>
  <c r="H45" i="364"/>
  <c r="G45" i="364"/>
  <c r="M45" i="364" s="1"/>
  <c r="O44" i="364"/>
  <c r="L44" i="364"/>
  <c r="K44" i="364"/>
  <c r="J44" i="364"/>
  <c r="I44" i="364"/>
  <c r="H44" i="364"/>
  <c r="G44" i="364"/>
  <c r="M44" i="364" s="1"/>
  <c r="O43" i="364"/>
  <c r="L43" i="364"/>
  <c r="K43" i="364"/>
  <c r="J43" i="364"/>
  <c r="I43" i="364"/>
  <c r="H43" i="364"/>
  <c r="G43" i="364"/>
  <c r="M43" i="364" s="1"/>
  <c r="O42" i="364"/>
  <c r="L42" i="364"/>
  <c r="K42" i="364"/>
  <c r="J42" i="364"/>
  <c r="I42" i="364"/>
  <c r="H42" i="364"/>
  <c r="G42" i="364"/>
  <c r="M42" i="364" s="1"/>
  <c r="O41" i="364"/>
  <c r="L41" i="364"/>
  <c r="K41" i="364"/>
  <c r="J41" i="364"/>
  <c r="I41" i="364"/>
  <c r="H41" i="364"/>
  <c r="G41" i="364"/>
  <c r="M41" i="364" s="1"/>
  <c r="O40" i="364"/>
  <c r="L40" i="364"/>
  <c r="K40" i="364"/>
  <c r="J40" i="364"/>
  <c r="I40" i="364"/>
  <c r="H40" i="364"/>
  <c r="G40" i="364"/>
  <c r="M40" i="364" s="1"/>
  <c r="O39" i="364"/>
  <c r="L39" i="364"/>
  <c r="K39" i="364"/>
  <c r="J39" i="364"/>
  <c r="I39" i="364"/>
  <c r="H39" i="364"/>
  <c r="G39" i="364"/>
  <c r="M39" i="364" s="1"/>
  <c r="O38" i="364"/>
  <c r="L38" i="364"/>
  <c r="K38" i="364"/>
  <c r="J38" i="364"/>
  <c r="I38" i="364"/>
  <c r="H38" i="364"/>
  <c r="G38" i="364"/>
  <c r="M38" i="364" s="1"/>
  <c r="O37" i="364"/>
  <c r="L37" i="364"/>
  <c r="K37" i="364"/>
  <c r="J37" i="364"/>
  <c r="I37" i="364"/>
  <c r="H37" i="364"/>
  <c r="G37" i="364"/>
  <c r="M37" i="364" s="1"/>
  <c r="O36" i="364"/>
  <c r="L36" i="364"/>
  <c r="K36" i="364"/>
  <c r="J36" i="364"/>
  <c r="I36" i="364"/>
  <c r="H36" i="364"/>
  <c r="G36" i="364"/>
  <c r="M36" i="364" s="1"/>
  <c r="O35" i="364"/>
  <c r="L35" i="364"/>
  <c r="K35" i="364"/>
  <c r="J35" i="364"/>
  <c r="I35" i="364"/>
  <c r="H35" i="364"/>
  <c r="G35" i="364"/>
  <c r="M35" i="364" s="1"/>
  <c r="O34" i="364"/>
  <c r="L34" i="364"/>
  <c r="K34" i="364"/>
  <c r="J34" i="364"/>
  <c r="I34" i="364"/>
  <c r="H34" i="364"/>
  <c r="G34" i="364"/>
  <c r="M34" i="364" s="1"/>
  <c r="O33" i="364"/>
  <c r="L33" i="364"/>
  <c r="K33" i="364"/>
  <c r="J33" i="364"/>
  <c r="I33" i="364"/>
  <c r="H33" i="364"/>
  <c r="G33" i="364"/>
  <c r="M33" i="364" s="1"/>
  <c r="O32" i="364"/>
  <c r="L32" i="364"/>
  <c r="K32" i="364"/>
  <c r="J32" i="364"/>
  <c r="I32" i="364"/>
  <c r="H32" i="364"/>
  <c r="G32" i="364"/>
  <c r="M32" i="364" s="1"/>
  <c r="O31" i="364"/>
  <c r="L31" i="364"/>
  <c r="K31" i="364"/>
  <c r="J31" i="364"/>
  <c r="I31" i="364"/>
  <c r="H31" i="364"/>
  <c r="G31" i="364"/>
  <c r="M31" i="364" s="1"/>
  <c r="O30" i="364"/>
  <c r="L30" i="364"/>
  <c r="K30" i="364"/>
  <c r="J30" i="364"/>
  <c r="I30" i="364"/>
  <c r="H30" i="364"/>
  <c r="G30" i="364"/>
  <c r="M30" i="364" s="1"/>
  <c r="O29" i="364"/>
  <c r="L29" i="364"/>
  <c r="K29" i="364"/>
  <c r="J29" i="364"/>
  <c r="I29" i="364"/>
  <c r="H29" i="364"/>
  <c r="G29" i="364"/>
  <c r="M29" i="364" s="1"/>
  <c r="O28" i="364"/>
  <c r="L28" i="364"/>
  <c r="K28" i="364"/>
  <c r="J28" i="364"/>
  <c r="I28" i="364"/>
  <c r="H28" i="364"/>
  <c r="G28" i="364"/>
  <c r="M28" i="364" s="1"/>
  <c r="O27" i="364"/>
  <c r="L27" i="364"/>
  <c r="K27" i="364"/>
  <c r="J27" i="364"/>
  <c r="I27" i="364"/>
  <c r="H27" i="364"/>
  <c r="G27" i="364"/>
  <c r="M27" i="364" s="1"/>
  <c r="O26" i="364"/>
  <c r="L26" i="364"/>
  <c r="K26" i="364"/>
  <c r="J26" i="364"/>
  <c r="I26" i="364"/>
  <c r="H26" i="364"/>
  <c r="G26" i="364"/>
  <c r="M26" i="364" s="1"/>
  <c r="O25" i="364"/>
  <c r="L25" i="364"/>
  <c r="K25" i="364"/>
  <c r="J25" i="364"/>
  <c r="I25" i="364"/>
  <c r="H25" i="364"/>
  <c r="G25" i="364"/>
  <c r="M25" i="364" s="1"/>
  <c r="O24" i="364"/>
  <c r="L24" i="364"/>
  <c r="K24" i="364"/>
  <c r="J24" i="364"/>
  <c r="I24" i="364"/>
  <c r="H24" i="364"/>
  <c r="G24" i="364"/>
  <c r="M24" i="364" s="1"/>
  <c r="O23" i="364"/>
  <c r="L23" i="364"/>
  <c r="K23" i="364"/>
  <c r="J23" i="364"/>
  <c r="I23" i="364"/>
  <c r="H23" i="364"/>
  <c r="G23" i="364"/>
  <c r="M23" i="364" s="1"/>
  <c r="O22" i="364"/>
  <c r="L22" i="364"/>
  <c r="K22" i="364"/>
  <c r="J22" i="364"/>
  <c r="I22" i="364"/>
  <c r="H22" i="364"/>
  <c r="G22" i="364"/>
  <c r="M22" i="364" s="1"/>
  <c r="O21" i="364"/>
  <c r="L21" i="364"/>
  <c r="K21" i="364"/>
  <c r="J21" i="364"/>
  <c r="I21" i="364"/>
  <c r="H21" i="364"/>
  <c r="G21" i="364"/>
  <c r="M21" i="364" s="1"/>
  <c r="O20" i="364"/>
  <c r="L20" i="364"/>
  <c r="K20" i="364"/>
  <c r="J20" i="364"/>
  <c r="I20" i="364"/>
  <c r="H20" i="364"/>
  <c r="G20" i="364"/>
  <c r="M20" i="364" s="1"/>
  <c r="O19" i="364"/>
  <c r="L19" i="364"/>
  <c r="K19" i="364"/>
  <c r="J19" i="364"/>
  <c r="I19" i="364"/>
  <c r="H19" i="364"/>
  <c r="G19" i="364"/>
  <c r="M19" i="364" s="1"/>
  <c r="O18" i="364"/>
  <c r="L18" i="364"/>
  <c r="K18" i="364"/>
  <c r="J18" i="364"/>
  <c r="I18" i="364"/>
  <c r="H18" i="364"/>
  <c r="G18" i="364"/>
  <c r="M18" i="364" s="1"/>
  <c r="O17" i="364"/>
  <c r="L17" i="364"/>
  <c r="K17" i="364"/>
  <c r="J17" i="364"/>
  <c r="I17" i="364"/>
  <c r="H17" i="364"/>
  <c r="G17" i="364"/>
  <c r="M17" i="364" s="1"/>
  <c r="O16" i="364"/>
  <c r="L16" i="364"/>
  <c r="K16" i="364"/>
  <c r="J16" i="364"/>
  <c r="I16" i="364"/>
  <c r="H16" i="364"/>
  <c r="G16" i="364"/>
  <c r="M16" i="364" s="1"/>
  <c r="O15" i="364"/>
  <c r="L15" i="364"/>
  <c r="K15" i="364"/>
  <c r="J15" i="364"/>
  <c r="I15" i="364"/>
  <c r="H15" i="364"/>
  <c r="G15" i="364"/>
  <c r="M15" i="364" s="1"/>
  <c r="O14" i="364"/>
  <c r="L14" i="364"/>
  <c r="K14" i="364"/>
  <c r="J14" i="364"/>
  <c r="I14" i="364"/>
  <c r="H14" i="364"/>
  <c r="G14" i="364"/>
  <c r="M14" i="364" s="1"/>
  <c r="O13" i="364"/>
  <c r="L13" i="364"/>
  <c r="K13" i="364"/>
  <c r="J13" i="364"/>
  <c r="I13" i="364"/>
  <c r="H13" i="364"/>
  <c r="G13" i="364"/>
  <c r="M13" i="364" s="1"/>
  <c r="O12" i="364"/>
  <c r="L12" i="364"/>
  <c r="K12" i="364"/>
  <c r="J12" i="364"/>
  <c r="I12" i="364"/>
  <c r="H12" i="364"/>
  <c r="G12" i="364"/>
  <c r="M12" i="364" s="1"/>
  <c r="O11" i="364"/>
  <c r="L11" i="364"/>
  <c r="K11" i="364"/>
  <c r="J11" i="364"/>
  <c r="I11" i="364"/>
  <c r="H11" i="364"/>
  <c r="G11" i="364"/>
  <c r="M11" i="364" s="1"/>
  <c r="O10" i="364"/>
  <c r="L10" i="364"/>
  <c r="K10" i="364"/>
  <c r="J10" i="364"/>
  <c r="I10" i="364"/>
  <c r="H10" i="364"/>
  <c r="G10" i="364"/>
  <c r="M10" i="364" s="1"/>
  <c r="O9" i="364"/>
  <c r="L9" i="364"/>
  <c r="K9" i="364"/>
  <c r="J9" i="364"/>
  <c r="I9" i="364"/>
  <c r="H9" i="364"/>
  <c r="G9" i="364"/>
  <c r="M9" i="364" s="1"/>
  <c r="O8" i="364"/>
  <c r="L8" i="364"/>
  <c r="K8" i="364"/>
  <c r="J8" i="364"/>
  <c r="I8" i="364"/>
  <c r="H8" i="364"/>
  <c r="G8" i="364"/>
  <c r="M8" i="364" s="1"/>
  <c r="O7" i="364"/>
  <c r="L7" i="364"/>
  <c r="K7" i="364"/>
  <c r="J7" i="364"/>
  <c r="I7" i="364"/>
  <c r="H7" i="364"/>
  <c r="G7" i="364"/>
  <c r="M7" i="364" s="1"/>
  <c r="O6" i="364"/>
  <c r="L6" i="364"/>
  <c r="K6" i="364"/>
  <c r="J6" i="364"/>
  <c r="I6" i="364"/>
  <c r="H6" i="364"/>
  <c r="G6" i="364"/>
  <c r="M6" i="364" s="1"/>
  <c r="O5" i="364"/>
  <c r="L5" i="364"/>
  <c r="K5" i="364"/>
  <c r="J5" i="364"/>
  <c r="I5" i="364"/>
  <c r="H5" i="364"/>
  <c r="G5" i="364"/>
  <c r="M5" i="364" s="1"/>
  <c r="A66" i="1"/>
  <c r="A67" i="1" s="1"/>
  <c r="C2363" i="328"/>
  <c r="C2360" i="328"/>
  <c r="C2361" i="328"/>
  <c r="C2362" i="328"/>
  <c r="C2359" i="328"/>
  <c r="C2358" i="328"/>
  <c r="C2356" i="328"/>
  <c r="C2357" i="328"/>
  <c r="C2317" i="328"/>
  <c r="C2318" i="328"/>
  <c r="C2319" i="328"/>
  <c r="C2320" i="328"/>
  <c r="C2321" i="328"/>
  <c r="C2322" i="328"/>
  <c r="C2323" i="328"/>
  <c r="C2324" i="328"/>
  <c r="C2325" i="328"/>
  <c r="C2326" i="328"/>
  <c r="C2327" i="328"/>
  <c r="C2328" i="328"/>
  <c r="C2329" i="328"/>
  <c r="C2330" i="328"/>
  <c r="C2331" i="328"/>
  <c r="C2332" i="328"/>
  <c r="C2333" i="328"/>
  <c r="C2334" i="328"/>
  <c r="C2335" i="328"/>
  <c r="C2336" i="328"/>
  <c r="C2337" i="328"/>
  <c r="C2338" i="328"/>
  <c r="C2339" i="328"/>
  <c r="C2340" i="328"/>
  <c r="C2341" i="328"/>
  <c r="C2342" i="328"/>
  <c r="C2343" i="328"/>
  <c r="C2344" i="328"/>
  <c r="C2345" i="328"/>
  <c r="C2346" i="328"/>
  <c r="C2347" i="328"/>
  <c r="C2348" i="328"/>
  <c r="C2349" i="328"/>
  <c r="C2350" i="328"/>
  <c r="C2351" i="328"/>
  <c r="C2352" i="328"/>
  <c r="C2353" i="328"/>
  <c r="C2354" i="328"/>
  <c r="C2355" i="328"/>
  <c r="C2316" i="328"/>
  <c r="C2315" i="328"/>
  <c r="C2314" i="328"/>
  <c r="C2312" i="328"/>
  <c r="C2313" i="328"/>
  <c r="C2310" i="328"/>
  <c r="C2311" i="328"/>
  <c r="C2309" i="328"/>
  <c r="C2306" i="328"/>
  <c r="C2307" i="328"/>
  <c r="C2308" i="328"/>
  <c r="C2301" i="328"/>
  <c r="C2302" i="328"/>
  <c r="C2303" i="328"/>
  <c r="C2304" i="328"/>
  <c r="C2305" i="328"/>
  <c r="C2300" i="328"/>
  <c r="C2298" i="328"/>
  <c r="C2299" i="328"/>
  <c r="C2295" i="328"/>
  <c r="C2296" i="328"/>
  <c r="C2297" i="328"/>
  <c r="C2293" i="328"/>
  <c r="C2294" i="328"/>
  <c r="C2292" i="328"/>
  <c r="C2274" i="328"/>
  <c r="C2275" i="328"/>
  <c r="C2276" i="328"/>
  <c r="C2277" i="328"/>
  <c r="C2278" i="328"/>
  <c r="C2279" i="328"/>
  <c r="C2280" i="328"/>
  <c r="C2281" i="328"/>
  <c r="C2282" i="328"/>
  <c r="C2283" i="328"/>
  <c r="C2284" i="328"/>
  <c r="C2285" i="328"/>
  <c r="C2286" i="328"/>
  <c r="C2287" i="328"/>
  <c r="C2288" i="328"/>
  <c r="C2289" i="328"/>
  <c r="C2290" i="328"/>
  <c r="C2291" i="328"/>
  <c r="C2273" i="328"/>
  <c r="C2271" i="328"/>
  <c r="C2272" i="328"/>
  <c r="C2270" i="328"/>
  <c r="C2268" i="328"/>
  <c r="C2269" i="328"/>
  <c r="C2267" i="328"/>
  <c r="C2266" i="328"/>
  <c r="C2265" i="328"/>
  <c r="C2264" i="328"/>
  <c r="C2262" i="328"/>
  <c r="C2263" i="328"/>
  <c r="C2261" i="328"/>
  <c r="C2260" i="328"/>
  <c r="C2259" i="328"/>
  <c r="C2257" i="328"/>
  <c r="C2258" i="328"/>
  <c r="C2256" i="328"/>
  <c r="C2255" i="328"/>
  <c r="C2254" i="328"/>
  <c r="C2250" i="328"/>
  <c r="C2251" i="328"/>
  <c r="C2252" i="328"/>
  <c r="C2253" i="328"/>
  <c r="C2247" i="328"/>
  <c r="C2248" i="328"/>
  <c r="C2249" i="328"/>
  <c r="C2245" i="328"/>
  <c r="C2246" i="328"/>
  <c r="C2244" i="328"/>
  <c r="C2243" i="328"/>
  <c r="C2241" i="328"/>
  <c r="C2242" i="328"/>
  <c r="C2240" i="328"/>
  <c r="C2239" i="328"/>
  <c r="C2237" i="328"/>
  <c r="C2238" i="328"/>
  <c r="C2236" i="328"/>
  <c r="C2231" i="328"/>
  <c r="C2232" i="328"/>
  <c r="C2233" i="328"/>
  <c r="C2234" i="328"/>
  <c r="C2235" i="328"/>
  <c r="C2230" i="328"/>
  <c r="C2227" i="328"/>
  <c r="C2228" i="328"/>
  <c r="C2229" i="328"/>
  <c r="C2226" i="328"/>
  <c r="C2224" i="328"/>
  <c r="C2225" i="328"/>
  <c r="C2221" i="328"/>
  <c r="C2222" i="328"/>
  <c r="C2223" i="328"/>
  <c r="C2219" i="328"/>
  <c r="C2220" i="328"/>
  <c r="C2217" i="328"/>
  <c r="C2218" i="328"/>
  <c r="C2211" i="328"/>
  <c r="C2212" i="328"/>
  <c r="C2213" i="328"/>
  <c r="C2214" i="328"/>
  <c r="C2215" i="328"/>
  <c r="C2216" i="328"/>
  <c r="C2208" i="328"/>
  <c r="C2209" i="328"/>
  <c r="C2210" i="328"/>
  <c r="C2200" i="328"/>
  <c r="C2201" i="328"/>
  <c r="C2202" i="328"/>
  <c r="C2203" i="328"/>
  <c r="C2204" i="328"/>
  <c r="C2205" i="328"/>
  <c r="C2206" i="328"/>
  <c r="C2207" i="328"/>
  <c r="C2196" i="328"/>
  <c r="C2197" i="328"/>
  <c r="C2198" i="328"/>
  <c r="C2199" i="328"/>
  <c r="C2195" i="328"/>
  <c r="C2187" i="328"/>
  <c r="C2188" i="328"/>
  <c r="C2189" i="328"/>
  <c r="C2190" i="328"/>
  <c r="C2191" i="328"/>
  <c r="C2192" i="328"/>
  <c r="C2193" i="328"/>
  <c r="C2194" i="328"/>
  <c r="C2178" i="328"/>
  <c r="C2179" i="328"/>
  <c r="C2180" i="328"/>
  <c r="C2181" i="328"/>
  <c r="C2182" i="328"/>
  <c r="C2183" i="328"/>
  <c r="C2184" i="328"/>
  <c r="C2185" i="328"/>
  <c r="C2186" i="328"/>
  <c r="C2171" i="328"/>
  <c r="C2172" i="328"/>
  <c r="C2173" i="328"/>
  <c r="C2174" i="328"/>
  <c r="C2175" i="328"/>
  <c r="C2176" i="328"/>
  <c r="C2177" i="328"/>
  <c r="C2170" i="328"/>
  <c r="C2169" i="328"/>
  <c r="C2168" i="328"/>
  <c r="C2166" i="328"/>
  <c r="C2167" i="328"/>
  <c r="C2165" i="328"/>
  <c r="C2163" i="328"/>
  <c r="C2164" i="328"/>
  <c r="C2162" i="328"/>
  <c r="C2160" i="328"/>
  <c r="C2161" i="328"/>
  <c r="C2159" i="328"/>
  <c r="C2158" i="328"/>
  <c r="C2157" i="328"/>
  <c r="C2156" i="328"/>
  <c r="C2153" i="328"/>
  <c r="C2154" i="328"/>
  <c r="C2155" i="328"/>
  <c r="C2151" i="328"/>
  <c r="C2152" i="328"/>
  <c r="C2149" i="328"/>
  <c r="C2150" i="328"/>
  <c r="C193" i="328"/>
  <c r="C2148" i="328"/>
  <c r="AC567" i="347" l="1"/>
  <c r="AE567" i="347" s="1"/>
  <c r="AA567" i="347"/>
  <c r="AD567" i="347" s="1"/>
  <c r="AF567" i="347" s="1"/>
  <c r="AC566" i="347"/>
  <c r="AE566" i="347" s="1"/>
  <c r="AA566" i="347"/>
  <c r="AD566" i="347" s="1"/>
  <c r="AF566" i="347" s="1"/>
  <c r="AC565" i="347"/>
  <c r="AE565" i="347" s="1"/>
  <c r="AA565" i="347"/>
  <c r="AD565" i="347" s="1"/>
  <c r="AF565" i="347" s="1"/>
  <c r="AC564" i="347"/>
  <c r="AE564" i="347" s="1"/>
  <c r="AA564" i="347"/>
  <c r="AD564" i="347" s="1"/>
  <c r="AF564" i="347" s="1"/>
  <c r="AC563" i="347"/>
  <c r="AE563" i="347" s="1"/>
  <c r="AA563" i="347"/>
  <c r="AD563" i="347" s="1"/>
  <c r="AF563" i="347" s="1"/>
  <c r="AC562" i="347"/>
  <c r="AE562" i="347" s="1"/>
  <c r="AA562" i="347"/>
  <c r="AD562" i="347" s="1"/>
  <c r="AF562" i="347" s="1"/>
  <c r="AC561" i="347"/>
  <c r="AE561" i="347" s="1"/>
  <c r="AA561" i="347"/>
  <c r="AD561" i="347" s="1"/>
  <c r="AF561" i="347" s="1"/>
  <c r="AC560" i="347"/>
  <c r="AE560" i="347" s="1"/>
  <c r="AA560" i="347"/>
  <c r="AD560" i="347" s="1"/>
  <c r="AF560" i="347" s="1"/>
  <c r="AC559" i="347"/>
  <c r="AE559" i="347" s="1"/>
  <c r="AA559" i="347"/>
  <c r="AD559" i="347" s="1"/>
  <c r="AF559" i="347" s="1"/>
  <c r="AC558" i="347"/>
  <c r="AE558" i="347" s="1"/>
  <c r="AA558" i="347"/>
  <c r="AD558" i="347" s="1"/>
  <c r="AF558" i="347" s="1"/>
  <c r="AC557" i="347"/>
  <c r="AE557" i="347" s="1"/>
  <c r="AA557" i="347"/>
  <c r="AD557" i="347" s="1"/>
  <c r="AF557" i="347" s="1"/>
  <c r="AA556" i="347"/>
  <c r="AD556" i="347" s="1"/>
  <c r="AF556" i="347" s="1"/>
  <c r="AC556" i="347"/>
  <c r="AE556" i="347" s="1"/>
  <c r="AC555" i="347"/>
  <c r="AE555" i="347" s="1"/>
  <c r="AA555" i="347"/>
  <c r="AD555" i="347" s="1"/>
  <c r="AF555" i="347" s="1"/>
  <c r="AC554" i="347"/>
  <c r="AE554" i="347" s="1"/>
  <c r="AA554" i="347"/>
  <c r="AD554" i="347" s="1"/>
  <c r="AF554" i="347" s="1"/>
  <c r="AA553" i="347"/>
  <c r="AD553" i="347" s="1"/>
  <c r="AF553" i="347" s="1"/>
  <c r="AC553" i="347"/>
  <c r="AE553" i="347" s="1"/>
  <c r="AC552" i="347"/>
  <c r="AE552" i="347" s="1"/>
  <c r="AA552" i="347"/>
  <c r="AD552" i="347" s="1"/>
  <c r="AF552" i="347" s="1"/>
  <c r="AC551" i="347"/>
  <c r="AE551" i="347" s="1"/>
  <c r="AA551" i="347"/>
  <c r="AD551" i="347" s="1"/>
  <c r="AF551" i="347" s="1"/>
  <c r="AA550" i="347"/>
  <c r="AD550" i="347" s="1"/>
  <c r="AF550" i="347" s="1"/>
  <c r="AC550" i="347"/>
  <c r="AE550" i="347" s="1"/>
  <c r="AC549" i="347"/>
  <c r="AE549" i="347" s="1"/>
  <c r="AA549" i="347"/>
  <c r="AD549" i="347" s="1"/>
  <c r="AF549" i="347" s="1"/>
  <c r="AC548" i="347"/>
  <c r="AE548" i="347" s="1"/>
  <c r="AA548" i="347"/>
  <c r="AD548" i="347" s="1"/>
  <c r="AF548" i="347" s="1"/>
  <c r="AA547" i="347"/>
  <c r="AD547" i="347" s="1"/>
  <c r="AF547" i="347" s="1"/>
  <c r="AC547" i="347"/>
  <c r="AE547" i="347" s="1"/>
  <c r="AA546" i="347"/>
  <c r="AD546" i="347" s="1"/>
  <c r="AF546" i="347" s="1"/>
  <c r="AC546" i="347"/>
  <c r="AE546" i="347" s="1"/>
  <c r="AC545" i="347"/>
  <c r="AE545" i="347" s="1"/>
  <c r="AA545" i="347"/>
  <c r="AD545" i="347" s="1"/>
  <c r="AF545" i="347" s="1"/>
  <c r="AC544" i="347"/>
  <c r="AE544" i="347" s="1"/>
  <c r="AA544" i="347"/>
  <c r="AD544" i="347" s="1"/>
  <c r="AF544" i="347" s="1"/>
  <c r="AC543" i="347"/>
  <c r="AE543" i="347" s="1"/>
  <c r="AA543" i="347"/>
  <c r="AD543" i="347" s="1"/>
  <c r="AF543" i="347" s="1"/>
  <c r="AA542" i="347"/>
  <c r="AD542" i="347" s="1"/>
  <c r="AF542" i="347" s="1"/>
  <c r="AC542" i="347"/>
  <c r="AE542" i="347" s="1"/>
  <c r="AC541" i="347"/>
  <c r="AE541" i="347" s="1"/>
  <c r="AA541" i="347"/>
  <c r="AD541" i="347" s="1"/>
  <c r="AF541" i="347" s="1"/>
  <c r="AC540" i="347"/>
  <c r="AE540" i="347" s="1"/>
  <c r="AA540" i="347"/>
  <c r="AD540" i="347" s="1"/>
  <c r="AF540" i="347" s="1"/>
  <c r="AA539" i="347"/>
  <c r="AD539" i="347" s="1"/>
  <c r="AF539" i="347" s="1"/>
  <c r="AC539" i="347"/>
  <c r="AE539" i="347" s="1"/>
  <c r="AA538" i="347"/>
  <c r="AD538" i="347" s="1"/>
  <c r="AF538" i="347" s="1"/>
  <c r="AC538" i="347"/>
  <c r="AE538" i="347" s="1"/>
  <c r="AC537" i="347"/>
  <c r="AE537" i="347" s="1"/>
  <c r="AA537" i="347"/>
  <c r="AD537" i="347" s="1"/>
  <c r="AF537" i="347" s="1"/>
  <c r="AA536" i="347"/>
  <c r="AD536" i="347" s="1"/>
  <c r="AF536" i="347" s="1"/>
  <c r="AC536" i="347"/>
  <c r="AE536" i="347" s="1"/>
  <c r="AC535" i="347"/>
  <c r="AE535" i="347" s="1"/>
  <c r="AA535" i="347"/>
  <c r="AD535" i="347" s="1"/>
  <c r="AF535" i="347" s="1"/>
  <c r="AA534" i="347"/>
  <c r="AD534" i="347" s="1"/>
  <c r="AF534" i="347" s="1"/>
  <c r="AC534" i="347"/>
  <c r="AE534" i="347" s="1"/>
  <c r="AA533" i="347"/>
  <c r="AD533" i="347" s="1"/>
  <c r="AF533" i="347" s="1"/>
  <c r="AC533" i="347"/>
  <c r="AE533" i="347" s="1"/>
  <c r="AC532" i="347"/>
  <c r="AE532" i="347" s="1"/>
  <c r="AA532" i="347"/>
  <c r="AD532" i="347" s="1"/>
  <c r="AF532" i="347" s="1"/>
  <c r="AC531" i="347"/>
  <c r="AE531" i="347" s="1"/>
  <c r="AA531" i="347"/>
  <c r="AD531" i="347" s="1"/>
  <c r="AF531" i="347" s="1"/>
  <c r="AC530" i="347"/>
  <c r="AE530" i="347" s="1"/>
  <c r="AA530" i="347"/>
  <c r="AD530" i="347" s="1"/>
  <c r="AF530" i="347" s="1"/>
  <c r="AC529" i="347"/>
  <c r="AE529" i="347" s="1"/>
  <c r="AA529" i="347"/>
  <c r="AD529" i="347" s="1"/>
  <c r="AF529" i="347" s="1"/>
  <c r="AC528" i="347"/>
  <c r="AE528" i="347" s="1"/>
  <c r="AA528" i="347"/>
  <c r="AD528" i="347" s="1"/>
  <c r="AF528" i="347" s="1"/>
  <c r="AA527" i="347"/>
  <c r="AD527" i="347" s="1"/>
  <c r="AF527" i="347" s="1"/>
  <c r="AC527" i="347"/>
  <c r="AE527" i="347" s="1"/>
  <c r="AC526" i="347"/>
  <c r="AE526" i="347" s="1"/>
  <c r="AA526" i="347"/>
  <c r="AD526" i="347" s="1"/>
  <c r="AF526" i="347" s="1"/>
  <c r="AA525" i="347"/>
  <c r="AD525" i="347" s="1"/>
  <c r="AF525" i="347" s="1"/>
  <c r="AC525" i="347"/>
  <c r="AE525" i="347" s="1"/>
  <c r="C2147" i="328"/>
  <c r="N465" i="347"/>
  <c r="N463" i="347"/>
  <c r="N461" i="347"/>
  <c r="N459" i="347"/>
  <c r="N457" i="347"/>
  <c r="N456" i="347"/>
  <c r="N455" i="347"/>
  <c r="N453" i="347"/>
  <c r="N451" i="347"/>
  <c r="N449" i="347"/>
  <c r="N447" i="347"/>
  <c r="N443" i="347"/>
  <c r="N439" i="347"/>
  <c r="N435" i="347"/>
  <c r="N433" i="347"/>
  <c r="N431" i="347"/>
  <c r="N429" i="347"/>
  <c r="N427" i="347"/>
  <c r="N425" i="347"/>
  <c r="N423" i="347"/>
  <c r="N421" i="347"/>
  <c r="N419" i="347"/>
  <c r="N417" i="347"/>
  <c r="N416" i="347"/>
  <c r="N411" i="347"/>
  <c r="N409" i="347"/>
  <c r="N407" i="347"/>
  <c r="N403" i="347"/>
  <c r="N401" i="347"/>
  <c r="N399" i="347"/>
  <c r="N397" i="347"/>
  <c r="N395" i="347"/>
  <c r="N393" i="347"/>
  <c r="N391" i="347"/>
  <c r="N389" i="347"/>
  <c r="N387" i="347"/>
  <c r="N385" i="347"/>
  <c r="N383" i="347"/>
  <c r="N381" i="347"/>
  <c r="N379" i="347"/>
  <c r="N377" i="347"/>
  <c r="N375" i="347"/>
  <c r="N371" i="347"/>
  <c r="N369" i="347"/>
  <c r="N367" i="347"/>
  <c r="N363" i="347"/>
  <c r="N361" i="347"/>
  <c r="N359" i="347"/>
  <c r="N357" i="347"/>
  <c r="N355" i="347"/>
  <c r="N353" i="347"/>
  <c r="N351" i="347"/>
  <c r="N347" i="347"/>
  <c r="N344" i="347"/>
  <c r="N343" i="347"/>
  <c r="N341" i="347"/>
  <c r="N339" i="347"/>
  <c r="N337" i="347"/>
  <c r="N335" i="347"/>
  <c r="N331" i="347"/>
  <c r="N329" i="347"/>
  <c r="N327" i="347"/>
  <c r="N325" i="347"/>
  <c r="N323" i="347"/>
  <c r="N321" i="347"/>
  <c r="N319" i="347"/>
  <c r="N315" i="347"/>
  <c r="N313" i="347"/>
  <c r="N311" i="347"/>
  <c r="N307" i="347"/>
  <c r="N305" i="347"/>
  <c r="N303" i="347"/>
  <c r="N301" i="347"/>
  <c r="N299" i="347"/>
  <c r="N297" i="347"/>
  <c r="N295" i="347"/>
  <c r="N291" i="347"/>
  <c r="N290" i="347"/>
  <c r="N289" i="347"/>
  <c r="N287" i="347"/>
  <c r="N285" i="347"/>
  <c r="N283" i="347"/>
  <c r="N281" i="347"/>
  <c r="N279" i="347"/>
  <c r="N277" i="347"/>
  <c r="N275" i="347"/>
  <c r="N273" i="347"/>
  <c r="N271" i="347"/>
  <c r="N267" i="347"/>
  <c r="N265" i="347"/>
  <c r="N263" i="347"/>
  <c r="N261" i="347"/>
  <c r="N259" i="347"/>
  <c r="N257" i="347"/>
  <c r="N255" i="347"/>
  <c r="N253" i="347"/>
  <c r="N251" i="347"/>
  <c r="N250" i="347"/>
  <c r="N249" i="347"/>
  <c r="N247" i="347"/>
  <c r="N245" i="347"/>
  <c r="N241" i="347"/>
  <c r="N239" i="347"/>
  <c r="N238" i="347"/>
  <c r="N237" i="347"/>
  <c r="N235" i="347"/>
  <c r="N233" i="347"/>
  <c r="N231" i="347"/>
  <c r="N230" i="347"/>
  <c r="N227" i="347"/>
  <c r="N226" i="347"/>
  <c r="N225" i="347"/>
  <c r="N224" i="347"/>
  <c r="N223" i="347"/>
  <c r="N221" i="347"/>
  <c r="N219" i="347"/>
  <c r="N217" i="347"/>
  <c r="N215" i="347"/>
  <c r="N213" i="347"/>
  <c r="N211" i="347"/>
  <c r="N210" i="347"/>
  <c r="N209" i="347"/>
  <c r="N207" i="347"/>
  <c r="N206" i="347"/>
  <c r="N205" i="347"/>
  <c r="N203" i="347"/>
  <c r="N202" i="347"/>
  <c r="N201" i="347"/>
  <c r="N199" i="347"/>
  <c r="N197" i="347"/>
  <c r="N195" i="347"/>
  <c r="N191" i="347"/>
  <c r="N190" i="347"/>
  <c r="N189" i="347"/>
  <c r="N187" i="347"/>
  <c r="N185" i="347"/>
  <c r="N184" i="347"/>
  <c r="N183" i="347"/>
  <c r="N182" i="347"/>
  <c r="N181" i="347"/>
  <c r="N179" i="347"/>
  <c r="N177" i="347"/>
  <c r="N175" i="347"/>
  <c r="N174" i="347"/>
  <c r="N173" i="347"/>
  <c r="N171" i="347"/>
  <c r="N167" i="347"/>
  <c r="N165" i="347"/>
  <c r="N163" i="347"/>
  <c r="N162" i="347"/>
  <c r="N161" i="347"/>
  <c r="N159" i="347"/>
  <c r="N157" i="347"/>
  <c r="N155" i="347"/>
  <c r="N153" i="347"/>
  <c r="N152" i="347"/>
  <c r="N151" i="347"/>
  <c r="N149" i="347"/>
  <c r="N147" i="347"/>
  <c r="N146" i="347"/>
  <c r="N145" i="347"/>
  <c r="N143" i="347"/>
  <c r="N139" i="347"/>
  <c r="N137" i="347"/>
  <c r="N135" i="347"/>
  <c r="N133" i="347"/>
  <c r="N131" i="347"/>
  <c r="N129" i="347"/>
  <c r="N128" i="347"/>
  <c r="N127" i="347"/>
  <c r="N123" i="347"/>
  <c r="N121" i="347"/>
  <c r="N119" i="347"/>
  <c r="N117" i="347"/>
  <c r="N115" i="347"/>
  <c r="N114" i="347"/>
  <c r="N113" i="347"/>
  <c r="N112" i="347"/>
  <c r="N111" i="347"/>
  <c r="N110" i="347"/>
  <c r="N109" i="347"/>
  <c r="N107" i="347"/>
  <c r="N105" i="347"/>
  <c r="N103" i="347"/>
  <c r="N101" i="347"/>
  <c r="N98" i="347"/>
  <c r="N97" i="347"/>
  <c r="N95" i="347"/>
  <c r="N93" i="347"/>
  <c r="N91" i="347"/>
  <c r="N90" i="347"/>
  <c r="N89" i="347"/>
  <c r="N88" i="347"/>
  <c r="N87" i="347"/>
  <c r="N86" i="347"/>
  <c r="N85" i="347"/>
  <c r="N83" i="347"/>
  <c r="N81" i="347"/>
  <c r="N80" i="347"/>
  <c r="N79" i="347"/>
  <c r="N78" i="347"/>
  <c r="N77" i="347"/>
  <c r="N75" i="347"/>
  <c r="N73" i="347"/>
  <c r="N71" i="347"/>
  <c r="N70" i="347"/>
  <c r="N69" i="347"/>
  <c r="N67" i="347"/>
  <c r="N65" i="347"/>
  <c r="N63" i="347"/>
  <c r="N62" i="347"/>
  <c r="N61" i="347"/>
  <c r="N59" i="347"/>
  <c r="N58" i="347"/>
  <c r="N57" i="347"/>
  <c r="N55" i="347"/>
  <c r="N54" i="347"/>
  <c r="N53" i="347"/>
  <c r="N51" i="347"/>
  <c r="N49" i="347"/>
  <c r="N47" i="347"/>
  <c r="N45" i="347"/>
  <c r="N43" i="347"/>
  <c r="N42" i="347"/>
  <c r="N41" i="347"/>
  <c r="N40" i="347"/>
  <c r="N39" i="347"/>
  <c r="N37" i="347"/>
  <c r="N34" i="347"/>
  <c r="N33" i="347"/>
  <c r="N31" i="347"/>
  <c r="N30" i="347"/>
  <c r="N29" i="347"/>
  <c r="N27" i="347"/>
  <c r="N25" i="347"/>
  <c r="N24" i="347"/>
  <c r="N23" i="347"/>
  <c r="N22" i="347"/>
  <c r="N21" i="347"/>
  <c r="N17" i="347"/>
  <c r="N15" i="347"/>
  <c r="N14" i="347"/>
  <c r="N13" i="347"/>
  <c r="N11" i="347"/>
  <c r="N9" i="347"/>
  <c r="N7" i="347"/>
  <c r="N6" i="347"/>
  <c r="N243" i="347"/>
  <c r="N458" i="347"/>
  <c r="N450" i="347"/>
  <c r="N441" i="347"/>
  <c r="N432" i="347"/>
  <c r="N426" i="347"/>
  <c r="N418" i="347"/>
  <c r="N410" i="347"/>
  <c r="N402" i="347"/>
  <c r="N400" i="347"/>
  <c r="N394" i="347"/>
  <c r="N376" i="347"/>
  <c r="N370" i="347"/>
  <c r="N360" i="347"/>
  <c r="N354" i="347"/>
  <c r="N352" i="347"/>
  <c r="N346" i="347"/>
  <c r="N345" i="347"/>
  <c r="N336" i="347"/>
  <c r="N330" i="347"/>
  <c r="N328" i="347"/>
  <c r="N314" i="347"/>
  <c r="N306" i="347"/>
  <c r="N304" i="347"/>
  <c r="N296" i="347"/>
  <c r="N288" i="347"/>
  <c r="N280" i="347"/>
  <c r="N274" i="347"/>
  <c r="N256" i="347"/>
  <c r="N248" i="347"/>
  <c r="N242" i="347"/>
  <c r="N240" i="347"/>
  <c r="N234" i="347"/>
  <c r="N232" i="347"/>
  <c r="N222" i="347"/>
  <c r="N218" i="347"/>
  <c r="N216" i="347"/>
  <c r="N214" i="347"/>
  <c r="N208" i="347"/>
  <c r="N200" i="347"/>
  <c r="N198" i="347"/>
  <c r="N194" i="347"/>
  <c r="N193" i="347"/>
  <c r="N192" i="347"/>
  <c r="N186" i="347"/>
  <c r="N178" i="347"/>
  <c r="N176" i="347"/>
  <c r="N170" i="347"/>
  <c r="N169" i="347"/>
  <c r="N168" i="347"/>
  <c r="N166" i="347"/>
  <c r="N160" i="347"/>
  <c r="N154" i="347"/>
  <c r="N150" i="347"/>
  <c r="N144" i="347"/>
  <c r="N142" i="347"/>
  <c r="N138" i="347"/>
  <c r="N136" i="347"/>
  <c r="N130" i="347"/>
  <c r="N122" i="347"/>
  <c r="N120" i="347"/>
  <c r="N118" i="347"/>
  <c r="N106" i="347"/>
  <c r="N104" i="347"/>
  <c r="N96" i="347"/>
  <c r="N94" i="347"/>
  <c r="N82" i="347"/>
  <c r="N74" i="347"/>
  <c r="N72" i="347"/>
  <c r="N66" i="347"/>
  <c r="N64" i="347"/>
  <c r="N56" i="347"/>
  <c r="N50" i="347"/>
  <c r="N48" i="347"/>
  <c r="N35" i="347"/>
  <c r="N32" i="347"/>
  <c r="N26" i="347"/>
  <c r="N18" i="347"/>
  <c r="N16" i="347"/>
  <c r="N10" i="347"/>
  <c r="N8" i="347"/>
  <c r="N464" i="347"/>
  <c r="N448" i="347"/>
  <c r="N445" i="347"/>
  <c r="N440" i="347"/>
  <c r="N437" i="347"/>
  <c r="N428" i="347"/>
  <c r="N424" i="347"/>
  <c r="N413" i="347"/>
  <c r="N408" i="347"/>
  <c r="N405" i="347"/>
  <c r="N392" i="347"/>
  <c r="N384" i="347"/>
  <c r="N373" i="347"/>
  <c r="N368" i="347"/>
  <c r="N365" i="347"/>
  <c r="N349" i="347"/>
  <c r="N348" i="347"/>
  <c r="N340" i="347"/>
  <c r="N333" i="347"/>
  <c r="N317" i="347"/>
  <c r="N312" i="347"/>
  <c r="N309" i="347"/>
  <c r="N308" i="347"/>
  <c r="N300" i="347"/>
  <c r="N293" i="347"/>
  <c r="N272" i="347"/>
  <c r="N269" i="347"/>
  <c r="N264" i="347"/>
  <c r="N236" i="347"/>
  <c r="N229" i="347"/>
  <c r="N228" i="347"/>
  <c r="N196" i="347"/>
  <c r="N188" i="347"/>
  <c r="N164" i="347"/>
  <c r="N141" i="347"/>
  <c r="N125" i="347"/>
  <c r="N92" i="347"/>
  <c r="N84" i="347"/>
  <c r="N36" i="347"/>
  <c r="N20" i="347"/>
  <c r="N12" i="347"/>
  <c r="Y463" i="347"/>
  <c r="AA463" i="347" s="1"/>
  <c r="Y462" i="347"/>
  <c r="Y459" i="347"/>
  <c r="AA459" i="347" s="1"/>
  <c r="Y458" i="347"/>
  <c r="Y457" i="347"/>
  <c r="AA457" i="347" s="1"/>
  <c r="Y456" i="347"/>
  <c r="Y455" i="347"/>
  <c r="Y454" i="347"/>
  <c r="AA454" i="347" s="1"/>
  <c r="Y452" i="347"/>
  <c r="Y450" i="347"/>
  <c r="Y449" i="347"/>
  <c r="Y448" i="347"/>
  <c r="Y447" i="347"/>
  <c r="AA447" i="347" s="1"/>
  <c r="Y446" i="347"/>
  <c r="Y442" i="347"/>
  <c r="Y441" i="347"/>
  <c r="Y440" i="347"/>
  <c r="Y439" i="347"/>
  <c r="AA439" i="347" s="1"/>
  <c r="Y438" i="347"/>
  <c r="AA438" i="347" s="1"/>
  <c r="Y436" i="347"/>
  <c r="Y435" i="347"/>
  <c r="AA435" i="347" s="1"/>
  <c r="Y432" i="347"/>
  <c r="Y431" i="347"/>
  <c r="AA431" i="347" s="1"/>
  <c r="Y430" i="347"/>
  <c r="Y427" i="347"/>
  <c r="AA427" i="347" s="1"/>
  <c r="Y425" i="347"/>
  <c r="Y424" i="347"/>
  <c r="Y423" i="347"/>
  <c r="AA423" i="347" s="1"/>
  <c r="Y422" i="347"/>
  <c r="Y420" i="347"/>
  <c r="Y419" i="347"/>
  <c r="AA419" i="347" s="1"/>
  <c r="Y418" i="347"/>
  <c r="Y417" i="347"/>
  <c r="Y415" i="347"/>
  <c r="AA415" i="347" s="1"/>
  <c r="Y414" i="347"/>
  <c r="AA414" i="347" s="1"/>
  <c r="Y411" i="347"/>
  <c r="Y409" i="347"/>
  <c r="Y408" i="347"/>
  <c r="Y407" i="347"/>
  <c r="AA407" i="347" s="1"/>
  <c r="Y406" i="347"/>
  <c r="AA406" i="347" s="1"/>
  <c r="Y404" i="347"/>
  <c r="Y403" i="347"/>
  <c r="Y402" i="347"/>
  <c r="Y401" i="347"/>
  <c r="Y400" i="347"/>
  <c r="Y399" i="347"/>
  <c r="AA399" i="347" s="1"/>
  <c r="Y398" i="347"/>
  <c r="AA398" i="347" s="1"/>
  <c r="Y395" i="347"/>
  <c r="AA395" i="347" s="1"/>
  <c r="Y394" i="347"/>
  <c r="Y393" i="347"/>
  <c r="Y392" i="347"/>
  <c r="Y391" i="347"/>
  <c r="AA391" i="347" s="1"/>
  <c r="Y390" i="347"/>
  <c r="AA390" i="347" s="1"/>
  <c r="Y388" i="347"/>
  <c r="Y384" i="347"/>
  <c r="Y383" i="347"/>
  <c r="AA383" i="347" s="1"/>
  <c r="Y382" i="347"/>
  <c r="AA382" i="347" s="1"/>
  <c r="Y378" i="347"/>
  <c r="Y377" i="347"/>
  <c r="Y376" i="347"/>
  <c r="Y375" i="347"/>
  <c r="AA375" i="347" s="1"/>
  <c r="Y372" i="347"/>
  <c r="Y371" i="347"/>
  <c r="Y370" i="347"/>
  <c r="AA370" i="347" s="1"/>
  <c r="Y369" i="347"/>
  <c r="Y368" i="347"/>
  <c r="Y367" i="347"/>
  <c r="Y366" i="347"/>
  <c r="Y363" i="347"/>
  <c r="AA363" i="347" s="1"/>
  <c r="Y362" i="347"/>
  <c r="Y361" i="347"/>
  <c r="AA361" i="347" s="1"/>
  <c r="Y360" i="347"/>
  <c r="Y359" i="347"/>
  <c r="AA359" i="347" s="1"/>
  <c r="Y358" i="347"/>
  <c r="Y356" i="347"/>
  <c r="Y355" i="347"/>
  <c r="AA355" i="347" s="1"/>
  <c r="Y353" i="347"/>
  <c r="Y351" i="347"/>
  <c r="AA351" i="347" s="1"/>
  <c r="Y347" i="347"/>
  <c r="Y346" i="347"/>
  <c r="Y345" i="347"/>
  <c r="Y344" i="347"/>
  <c r="Y343" i="347"/>
  <c r="AA343" i="347" s="1"/>
  <c r="Y342" i="347"/>
  <c r="AA342" i="347" s="1"/>
  <c r="Y340" i="347"/>
  <c r="Y339" i="347"/>
  <c r="Y337" i="347"/>
  <c r="Y335" i="347"/>
  <c r="AA335" i="347" s="1"/>
  <c r="Y334" i="347"/>
  <c r="AA334" i="347" s="1"/>
  <c r="Y332" i="347"/>
  <c r="Y331" i="347"/>
  <c r="AA331" i="347" s="1"/>
  <c r="Y329" i="347"/>
  <c r="Y328" i="347"/>
  <c r="Y327" i="347"/>
  <c r="AA327" i="347" s="1"/>
  <c r="Y326" i="347"/>
  <c r="AA326" i="347" s="1"/>
  <c r="Y324" i="347"/>
  <c r="Y322" i="347"/>
  <c r="Y320" i="347"/>
  <c r="Y319" i="347"/>
  <c r="AA319" i="347" s="1"/>
  <c r="Y316" i="347"/>
  <c r="Y314" i="347"/>
  <c r="Y313" i="347"/>
  <c r="Y312" i="347"/>
  <c r="Y311" i="347"/>
  <c r="AA311" i="347" s="1"/>
  <c r="Y310" i="347"/>
  <c r="AA310" i="347" s="1"/>
  <c r="Y308" i="347"/>
  <c r="Y307" i="347"/>
  <c r="Y306" i="347"/>
  <c r="AA306" i="347" s="1"/>
  <c r="Y304" i="347"/>
  <c r="Y303" i="347"/>
  <c r="Y302" i="347"/>
  <c r="Y300" i="347"/>
  <c r="Y299" i="347"/>
  <c r="AA299" i="347" s="1"/>
  <c r="Y298" i="347"/>
  <c r="Y297" i="347"/>
  <c r="Y296" i="347"/>
  <c r="Y295" i="347"/>
  <c r="AA295" i="347" s="1"/>
  <c r="Y294" i="347"/>
  <c r="Y292" i="347"/>
  <c r="Y291" i="347"/>
  <c r="AA291" i="347" s="1"/>
  <c r="Y289" i="347"/>
  <c r="Y287" i="347"/>
  <c r="AA287" i="347" s="1"/>
  <c r="Y286" i="347"/>
  <c r="AA286" i="347" s="1"/>
  <c r="Y284" i="347"/>
  <c r="Y281" i="347"/>
  <c r="Y280" i="347"/>
  <c r="Y279" i="347"/>
  <c r="AA279" i="347" s="1"/>
  <c r="Y278" i="347"/>
  <c r="AA278" i="347" s="1"/>
  <c r="Y276" i="347"/>
  <c r="Y275" i="347"/>
  <c r="Y274" i="347"/>
  <c r="Y272" i="347"/>
  <c r="Y271" i="347"/>
  <c r="AA271" i="347" s="1"/>
  <c r="Y270" i="347"/>
  <c r="AA270" i="347" s="1"/>
  <c r="Y268" i="347"/>
  <c r="Y267" i="347"/>
  <c r="AA267" i="347" s="1"/>
  <c r="Y266" i="347"/>
  <c r="Y265" i="347"/>
  <c r="Y264" i="347"/>
  <c r="Y263" i="347"/>
  <c r="AA263" i="347" s="1"/>
  <c r="Y262" i="347"/>
  <c r="AA262" i="347" s="1"/>
  <c r="Y260" i="347"/>
  <c r="Y259" i="347"/>
  <c r="AA259" i="347" s="1"/>
  <c r="Y258" i="347"/>
  <c r="Y257" i="347"/>
  <c r="Y256" i="347"/>
  <c r="Y255" i="347"/>
  <c r="AA255" i="347" s="1"/>
  <c r="Y254" i="347"/>
  <c r="AA254" i="347" s="1"/>
  <c r="Y252" i="347"/>
  <c r="Y250" i="347"/>
  <c r="Y249" i="347"/>
  <c r="Y248" i="347"/>
  <c r="Y247" i="347"/>
  <c r="AA247" i="347" s="1"/>
  <c r="Y246" i="347"/>
  <c r="AA246" i="347" s="1"/>
  <c r="Y244" i="347"/>
  <c r="Y243" i="347"/>
  <c r="Y242" i="347"/>
  <c r="Y240" i="347"/>
  <c r="Y239" i="347"/>
  <c r="Y238" i="347"/>
  <c r="Y236" i="347"/>
  <c r="Y235" i="347"/>
  <c r="AA235" i="347" s="1"/>
  <c r="Y233" i="347"/>
  <c r="Y232" i="347"/>
  <c r="Y231" i="347"/>
  <c r="AA231" i="347" s="1"/>
  <c r="Y230" i="347"/>
  <c r="Y228" i="347"/>
  <c r="Y227" i="347"/>
  <c r="AA227" i="347" s="1"/>
  <c r="Y226" i="347"/>
  <c r="Y225" i="347"/>
  <c r="Y223" i="347"/>
  <c r="AA223" i="347" s="1"/>
  <c r="Y222" i="347"/>
  <c r="AA222" i="347" s="1"/>
  <c r="Y220" i="347"/>
  <c r="Y218" i="347"/>
  <c r="Y216" i="347"/>
  <c r="Y215" i="347"/>
  <c r="AA215" i="347" s="1"/>
  <c r="Y212" i="347"/>
  <c r="Y210" i="347"/>
  <c r="Y207" i="347"/>
  <c r="AA207" i="347" s="1"/>
  <c r="Y206" i="347"/>
  <c r="AA206" i="347" s="1"/>
  <c r="Y204" i="347"/>
  <c r="Y202" i="347"/>
  <c r="Y201" i="347"/>
  <c r="Y200" i="347"/>
  <c r="Y199" i="347"/>
  <c r="AA199" i="347" s="1"/>
  <c r="Y198" i="347"/>
  <c r="AA198" i="347" s="1"/>
  <c r="Y194" i="347"/>
  <c r="Y191" i="347"/>
  <c r="AA191" i="347" s="1"/>
  <c r="Y190" i="347"/>
  <c r="AA190" i="347" s="1"/>
  <c r="Y188" i="347"/>
  <c r="Y187" i="347"/>
  <c r="AA187" i="347" s="1"/>
  <c r="Y185" i="347"/>
  <c r="Y184" i="347"/>
  <c r="Y183" i="347"/>
  <c r="AA183" i="347" s="1"/>
  <c r="Y182" i="347"/>
  <c r="AA182" i="347" s="1"/>
  <c r="Y179" i="347"/>
  <c r="Y178" i="347"/>
  <c r="AA178" i="347" s="1"/>
  <c r="Y177" i="347"/>
  <c r="Y176" i="347"/>
  <c r="Y175" i="347"/>
  <c r="Y174" i="347"/>
  <c r="Y172" i="347"/>
  <c r="Y171" i="347"/>
  <c r="AA171" i="347" s="1"/>
  <c r="Y169" i="347"/>
  <c r="AA169" i="347" s="1"/>
  <c r="Y168" i="347"/>
  <c r="Y167" i="347"/>
  <c r="AA167" i="347" s="1"/>
  <c r="Y166" i="347"/>
  <c r="Y163" i="347"/>
  <c r="AA163" i="347" s="1"/>
  <c r="Y161" i="347"/>
  <c r="Y159" i="347"/>
  <c r="AA159" i="347" s="1"/>
  <c r="Y158" i="347"/>
  <c r="AA158" i="347" s="1"/>
  <c r="Y156" i="347"/>
  <c r="Y155" i="347"/>
  <c r="Y154" i="347"/>
  <c r="Y153" i="347"/>
  <c r="Y152" i="347"/>
  <c r="Y151" i="347"/>
  <c r="AA151" i="347" s="1"/>
  <c r="Y150" i="347"/>
  <c r="AA150" i="347" s="1"/>
  <c r="Y147" i="347"/>
  <c r="Y145" i="347"/>
  <c r="Y144" i="347"/>
  <c r="AA144" i="347" s="1"/>
  <c r="Y143" i="347"/>
  <c r="AA143" i="347" s="1"/>
  <c r="Y142" i="347"/>
  <c r="AA142" i="347" s="1"/>
  <c r="Y140" i="347"/>
  <c r="Y137" i="347"/>
  <c r="Y135" i="347"/>
  <c r="AA135" i="347" s="1"/>
  <c r="Y134" i="347"/>
  <c r="AA134" i="347" s="1"/>
  <c r="Y130" i="347"/>
  <c r="AA130" i="347" s="1"/>
  <c r="Y129" i="347"/>
  <c r="Y128" i="347"/>
  <c r="Y127" i="347"/>
  <c r="AA127" i="347" s="1"/>
  <c r="Y126" i="347"/>
  <c r="AA126" i="347" s="1"/>
  <c r="Y124" i="347"/>
  <c r="Y123" i="347"/>
  <c r="AA123" i="347" s="1"/>
  <c r="Y122" i="347"/>
  <c r="Y121" i="347"/>
  <c r="Y120" i="347"/>
  <c r="Y119" i="347"/>
  <c r="AA119" i="347" s="1"/>
  <c r="Y118" i="347"/>
  <c r="AA118" i="347" s="1"/>
  <c r="Y115" i="347"/>
  <c r="Y114" i="347"/>
  <c r="AA114" i="347" s="1"/>
  <c r="Y113" i="347"/>
  <c r="AA113" i="347" s="1"/>
  <c r="Y112" i="347"/>
  <c r="Y111" i="347"/>
  <c r="Y110" i="347"/>
  <c r="Y108" i="347"/>
  <c r="Y107" i="347"/>
  <c r="AA107" i="347" s="1"/>
  <c r="Y106" i="347"/>
  <c r="Y105" i="347"/>
  <c r="Y104" i="347"/>
  <c r="Y103" i="347"/>
  <c r="AA103" i="347" s="1"/>
  <c r="Y102" i="347"/>
  <c r="Y100" i="347"/>
  <c r="Y99" i="347"/>
  <c r="AA99" i="347" s="1"/>
  <c r="Y97" i="347"/>
  <c r="Y96" i="347"/>
  <c r="Y95" i="347"/>
  <c r="AA95" i="347" s="1"/>
  <c r="Y94" i="347"/>
  <c r="AA94" i="347" s="1"/>
  <c r="Y92" i="347"/>
  <c r="Y91" i="347"/>
  <c r="Y90" i="347"/>
  <c r="AA90" i="347" s="1"/>
  <c r="Y89" i="347"/>
  <c r="AA89" i="347" s="1"/>
  <c r="Y88" i="347"/>
  <c r="Y87" i="347"/>
  <c r="AA87" i="347" s="1"/>
  <c r="Y86" i="347"/>
  <c r="AA86" i="347" s="1"/>
  <c r="Y84" i="347"/>
  <c r="Y82" i="347"/>
  <c r="Y81" i="347"/>
  <c r="Y80" i="347"/>
  <c r="Y79" i="347"/>
  <c r="AA79" i="347" s="1"/>
  <c r="Y78" i="347"/>
  <c r="AA78" i="347" s="1"/>
  <c r="Y76" i="347"/>
  <c r="Y73" i="347"/>
  <c r="Y72" i="347"/>
  <c r="AA72" i="347" s="1"/>
  <c r="Y71" i="347"/>
  <c r="AA71" i="347" s="1"/>
  <c r="Y70" i="347"/>
  <c r="AA70" i="347" s="1"/>
  <c r="Y68" i="347"/>
  <c r="Y67" i="347"/>
  <c r="AA67" i="347" s="1"/>
  <c r="Y66" i="347"/>
  <c r="Y64" i="347"/>
  <c r="Y63" i="347"/>
  <c r="AA63" i="347" s="1"/>
  <c r="Y62" i="347"/>
  <c r="AA62" i="347" s="1"/>
  <c r="Y60" i="347"/>
  <c r="Y59" i="347"/>
  <c r="AA59" i="347" s="1"/>
  <c r="Y58" i="347"/>
  <c r="AA58" i="347" s="1"/>
  <c r="Y57" i="347"/>
  <c r="AA57" i="347" s="1"/>
  <c r="Y56" i="347"/>
  <c r="Y55" i="347"/>
  <c r="AA55" i="347" s="1"/>
  <c r="Y54" i="347"/>
  <c r="AA54" i="347" s="1"/>
  <c r="Y52" i="347"/>
  <c r="Y51" i="347"/>
  <c r="Y50" i="347"/>
  <c r="Y49" i="347"/>
  <c r="Y48" i="347"/>
  <c r="Y47" i="347"/>
  <c r="Y46" i="347"/>
  <c r="Y44" i="347"/>
  <c r="Y43" i="347"/>
  <c r="AA43" i="347" s="1"/>
  <c r="Y42" i="347"/>
  <c r="Y41" i="347"/>
  <c r="AA41" i="347" s="1"/>
  <c r="Y40" i="347"/>
  <c r="AA40" i="347" s="1"/>
  <c r="Y39" i="347"/>
  <c r="AA39" i="347" s="1"/>
  <c r="Y38" i="347"/>
  <c r="Y36" i="347"/>
  <c r="Y35" i="347"/>
  <c r="Y34" i="347"/>
  <c r="Y33" i="347"/>
  <c r="Y32" i="347"/>
  <c r="Y31" i="347"/>
  <c r="AA31" i="347" s="1"/>
  <c r="Y30" i="347"/>
  <c r="AA30" i="347" s="1"/>
  <c r="Y28" i="347"/>
  <c r="Y27" i="347"/>
  <c r="Y23" i="347"/>
  <c r="AA23" i="347" s="1"/>
  <c r="Y22" i="347"/>
  <c r="AA22" i="347" s="1"/>
  <c r="Y20" i="347"/>
  <c r="Y18" i="347"/>
  <c r="Y17" i="347"/>
  <c r="Y16" i="347"/>
  <c r="Y15" i="347"/>
  <c r="AA15" i="347" s="1"/>
  <c r="Y14" i="347"/>
  <c r="AA14" i="347" s="1"/>
  <c r="Y12" i="347"/>
  <c r="Y11" i="347"/>
  <c r="AA11" i="347" s="1"/>
  <c r="Y9" i="347"/>
  <c r="Y8" i="347"/>
  <c r="Y7" i="347"/>
  <c r="AA7" i="347" s="1"/>
  <c r="Y6" i="347"/>
  <c r="Y568" i="347"/>
  <c r="AA568" i="347" s="1"/>
  <c r="J524" i="347"/>
  <c r="J523" i="347"/>
  <c r="J522" i="347"/>
  <c r="J520" i="347"/>
  <c r="J519" i="347"/>
  <c r="J518" i="347"/>
  <c r="J517" i="347"/>
  <c r="J516" i="347"/>
  <c r="J515" i="347"/>
  <c r="J514" i="347"/>
  <c r="J512" i="347"/>
  <c r="J511" i="347"/>
  <c r="J510" i="347"/>
  <c r="J509" i="347"/>
  <c r="J508" i="347"/>
  <c r="J507" i="347"/>
  <c r="J506" i="347"/>
  <c r="J503" i="347"/>
  <c r="J502" i="347"/>
  <c r="J501" i="347"/>
  <c r="J500" i="347"/>
  <c r="J499" i="347"/>
  <c r="J498" i="347"/>
  <c r="J495" i="347"/>
  <c r="J494" i="347"/>
  <c r="J493" i="347"/>
  <c r="J492" i="347"/>
  <c r="J491" i="347"/>
  <c r="J490" i="347"/>
  <c r="J488" i="347"/>
  <c r="J487" i="347"/>
  <c r="J486" i="347"/>
  <c r="J485" i="347"/>
  <c r="J484" i="347"/>
  <c r="J483" i="347"/>
  <c r="J482" i="347"/>
  <c r="J479" i="347"/>
  <c r="J478" i="347"/>
  <c r="J477" i="347"/>
  <c r="J476" i="347"/>
  <c r="J475" i="347"/>
  <c r="J474" i="347"/>
  <c r="J472" i="347"/>
  <c r="J471" i="347"/>
  <c r="J470" i="347"/>
  <c r="J469" i="347"/>
  <c r="J468" i="347"/>
  <c r="J467" i="347"/>
  <c r="J466" i="347"/>
  <c r="J465" i="347"/>
  <c r="J464" i="347"/>
  <c r="J460" i="347"/>
  <c r="V459" i="347"/>
  <c r="J457" i="347"/>
  <c r="J456" i="347"/>
  <c r="J455" i="347"/>
  <c r="J454" i="347"/>
  <c r="V451" i="347"/>
  <c r="J449" i="347"/>
  <c r="J448" i="347"/>
  <c r="J447" i="347"/>
  <c r="V443" i="347"/>
  <c r="J442" i="347"/>
  <c r="J441" i="347"/>
  <c r="J440" i="347"/>
  <c r="J439" i="347"/>
  <c r="J438" i="347"/>
  <c r="J436" i="347"/>
  <c r="V435" i="347"/>
  <c r="J433" i="347"/>
  <c r="J430" i="347"/>
  <c r="K430" i="347" s="1"/>
  <c r="V427" i="347"/>
  <c r="J426" i="347"/>
  <c r="J425" i="347"/>
  <c r="J424" i="347"/>
  <c r="J423" i="347"/>
  <c r="J419" i="347"/>
  <c r="J417" i="347"/>
  <c r="J414" i="347"/>
  <c r="J412" i="347"/>
  <c r="J411" i="347"/>
  <c r="J410" i="347"/>
  <c r="J409" i="347"/>
  <c r="V403" i="347"/>
  <c r="J402" i="347"/>
  <c r="J401" i="347"/>
  <c r="J399" i="347"/>
  <c r="J396" i="347"/>
  <c r="J395" i="347"/>
  <c r="J393" i="347"/>
  <c r="J392" i="347"/>
  <c r="J391" i="347"/>
  <c r="J390" i="347"/>
  <c r="J387" i="347"/>
  <c r="J386" i="347"/>
  <c r="J385" i="347"/>
  <c r="J384" i="347"/>
  <c r="J382" i="347"/>
  <c r="K382" i="347" s="1"/>
  <c r="J380" i="347"/>
  <c r="J379" i="347"/>
  <c r="J377" i="347"/>
  <c r="J375" i="347"/>
  <c r="J374" i="347"/>
  <c r="K374" i="347" s="1"/>
  <c r="J371" i="347"/>
  <c r="J369" i="347"/>
  <c r="J368" i="347"/>
  <c r="J366" i="347"/>
  <c r="V365" i="347"/>
  <c r="J364" i="347"/>
  <c r="J363" i="347"/>
  <c r="J362" i="347"/>
  <c r="J361" i="347"/>
  <c r="J358" i="347"/>
  <c r="V357" i="347"/>
  <c r="J355" i="347"/>
  <c r="J354" i="347"/>
  <c r="J353" i="347"/>
  <c r="J351" i="347"/>
  <c r="J350" i="347"/>
  <c r="K350" i="347" s="1"/>
  <c r="V349" i="347"/>
  <c r="J348" i="347"/>
  <c r="J347" i="347"/>
  <c r="J345" i="347"/>
  <c r="J342" i="347"/>
  <c r="V341" i="347"/>
  <c r="V339" i="347"/>
  <c r="J337" i="347"/>
  <c r="J336" i="347"/>
  <c r="J334" i="347"/>
  <c r="J333" i="347"/>
  <c r="J332" i="347"/>
  <c r="J331" i="347"/>
  <c r="J330" i="347"/>
  <c r="J329" i="347"/>
  <c r="J327" i="347"/>
  <c r="J326" i="347"/>
  <c r="K326" i="347" s="1"/>
  <c r="J325" i="347"/>
  <c r="V323" i="347"/>
  <c r="J321" i="347"/>
  <c r="J320" i="347"/>
  <c r="J319" i="347"/>
  <c r="J318" i="347"/>
  <c r="J317" i="347"/>
  <c r="J315" i="347"/>
  <c r="J314" i="347"/>
  <c r="J313" i="347"/>
  <c r="J312" i="347"/>
  <c r="J310" i="347"/>
  <c r="K310" i="347" s="1"/>
  <c r="J309" i="347"/>
  <c r="J307" i="347"/>
  <c r="J306" i="347"/>
  <c r="J305" i="347"/>
  <c r="J304" i="347"/>
  <c r="J303" i="347"/>
  <c r="J302" i="347"/>
  <c r="J301" i="347"/>
  <c r="J300" i="347"/>
  <c r="J299" i="347"/>
  <c r="J298" i="347"/>
  <c r="J297" i="347"/>
  <c r="J296" i="347"/>
  <c r="J295" i="347"/>
  <c r="J294" i="347"/>
  <c r="J293" i="347"/>
  <c r="J291" i="347"/>
  <c r="J289" i="347"/>
  <c r="J286" i="347"/>
  <c r="V285" i="347"/>
  <c r="J284" i="347"/>
  <c r="J283" i="347"/>
  <c r="J282" i="347"/>
  <c r="J281" i="347"/>
  <c r="J280" i="347"/>
  <c r="J279" i="347"/>
  <c r="J278" i="347"/>
  <c r="V277" i="347"/>
  <c r="V275" i="347"/>
  <c r="J273" i="347"/>
  <c r="J272" i="347"/>
  <c r="J271" i="347"/>
  <c r="J270" i="347"/>
  <c r="J269" i="347"/>
  <c r="J268" i="347"/>
  <c r="J267" i="347"/>
  <c r="J266" i="347"/>
  <c r="J265" i="347"/>
  <c r="J262" i="347"/>
  <c r="J261" i="347"/>
  <c r="J259" i="347"/>
  <c r="J257" i="347"/>
  <c r="J254" i="347"/>
  <c r="K254" i="347" s="1"/>
  <c r="J253" i="347"/>
  <c r="J251" i="347"/>
  <c r="J250" i="347"/>
  <c r="J249" i="347"/>
  <c r="J246" i="347"/>
  <c r="K246" i="347" s="1"/>
  <c r="J245" i="347"/>
  <c r="J244" i="347"/>
  <c r="J243" i="347"/>
  <c r="J241" i="347"/>
  <c r="J240" i="347"/>
  <c r="J238" i="347"/>
  <c r="J237" i="347"/>
  <c r="J235" i="347"/>
  <c r="J233" i="347"/>
  <c r="J232" i="347"/>
  <c r="J230" i="347"/>
  <c r="V229" i="347"/>
  <c r="J228" i="347"/>
  <c r="J227" i="347"/>
  <c r="J225" i="347"/>
  <c r="J224" i="347"/>
  <c r="J221" i="347"/>
  <c r="J219" i="347"/>
  <c r="J217" i="347"/>
  <c r="J216" i="347"/>
  <c r="J215" i="347"/>
  <c r="J213" i="347"/>
  <c r="J211" i="347"/>
  <c r="J209" i="347"/>
  <c r="J208" i="347"/>
  <c r="J207" i="347"/>
  <c r="J205" i="347"/>
  <c r="J203" i="347"/>
  <c r="J201" i="347"/>
  <c r="J200" i="347"/>
  <c r="V197" i="347"/>
  <c r="V195" i="347"/>
  <c r="J193" i="347"/>
  <c r="J192" i="347"/>
  <c r="J191" i="347"/>
  <c r="J189" i="347"/>
  <c r="J187" i="347"/>
  <c r="J185" i="347"/>
  <c r="J184" i="347"/>
  <c r="J181" i="347"/>
  <c r="J179" i="347"/>
  <c r="J178" i="347"/>
  <c r="J177" i="347"/>
  <c r="J176" i="347"/>
  <c r="J175" i="347"/>
  <c r="J173" i="347"/>
  <c r="J171" i="347"/>
  <c r="J170" i="347"/>
  <c r="J169" i="347"/>
  <c r="J168" i="347"/>
  <c r="J165" i="347"/>
  <c r="J163" i="347"/>
  <c r="J161" i="347"/>
  <c r="J160" i="347"/>
  <c r="J157" i="347"/>
  <c r="J155" i="347"/>
  <c r="J153" i="347"/>
  <c r="J152" i="347"/>
  <c r="J151" i="347"/>
  <c r="J149" i="347"/>
  <c r="J147" i="347"/>
  <c r="J145" i="347"/>
  <c r="J144" i="347"/>
  <c r="J141" i="347"/>
  <c r="J139" i="347"/>
  <c r="J138" i="347"/>
  <c r="J137" i="347"/>
  <c r="J136" i="347"/>
  <c r="J133" i="347"/>
  <c r="J131" i="347"/>
  <c r="J129" i="347"/>
  <c r="J128" i="347"/>
  <c r="J127" i="347"/>
  <c r="J125" i="347"/>
  <c r="J123" i="347"/>
  <c r="J121" i="347"/>
  <c r="J120" i="347"/>
  <c r="J119" i="347"/>
  <c r="J117" i="347"/>
  <c r="J115" i="347"/>
  <c r="J114" i="347"/>
  <c r="J113" i="347"/>
  <c r="J112" i="347"/>
  <c r="J109" i="347"/>
  <c r="J107" i="347"/>
  <c r="J106" i="347"/>
  <c r="J105" i="347"/>
  <c r="J104" i="347"/>
  <c r="J101" i="347"/>
  <c r="J99" i="347"/>
  <c r="J98" i="347"/>
  <c r="J97" i="347"/>
  <c r="J96" i="347"/>
  <c r="J93" i="347"/>
  <c r="J91" i="347"/>
  <c r="J89" i="347"/>
  <c r="J88" i="347"/>
  <c r="J85" i="347"/>
  <c r="J83" i="347"/>
  <c r="J81" i="347"/>
  <c r="J80" i="347"/>
  <c r="J77" i="347"/>
  <c r="J75" i="347"/>
  <c r="J73" i="347"/>
  <c r="J72" i="347"/>
  <c r="J69" i="347"/>
  <c r="J67" i="347"/>
  <c r="J65" i="347"/>
  <c r="J64" i="347"/>
  <c r="J61" i="347"/>
  <c r="J59" i="347"/>
  <c r="J58" i="347"/>
  <c r="J57" i="347"/>
  <c r="J56" i="347"/>
  <c r="J53" i="347"/>
  <c r="J51" i="347"/>
  <c r="J49" i="347"/>
  <c r="J48" i="347"/>
  <c r="J45" i="347"/>
  <c r="J42" i="347"/>
  <c r="J40" i="347"/>
  <c r="J37" i="347"/>
  <c r="J35" i="347"/>
  <c r="J33" i="347"/>
  <c r="J32" i="347"/>
  <c r="J29" i="347"/>
  <c r="J27" i="347"/>
  <c r="J25" i="347"/>
  <c r="J24" i="347"/>
  <c r="J21" i="347"/>
  <c r="J18" i="347"/>
  <c r="J16" i="347"/>
  <c r="J13" i="347"/>
  <c r="J9" i="347"/>
  <c r="J8" i="347"/>
  <c r="Y461" i="347"/>
  <c r="Y460" i="347"/>
  <c r="Y453" i="347"/>
  <c r="Y451" i="347"/>
  <c r="Y445" i="347"/>
  <c r="Y444" i="347"/>
  <c r="Y443" i="347"/>
  <c r="AA443" i="347" s="1"/>
  <c r="Y437" i="347"/>
  <c r="Y434" i="347"/>
  <c r="Y429" i="347"/>
  <c r="Y428" i="347"/>
  <c r="Y426" i="347"/>
  <c r="Y421" i="347"/>
  <c r="Y413" i="347"/>
  <c r="Y412" i="347"/>
  <c r="Y410" i="347"/>
  <c r="Y405" i="347"/>
  <c r="Y397" i="347"/>
  <c r="Y396" i="347"/>
  <c r="Y389" i="347"/>
  <c r="Y387" i="347"/>
  <c r="AA387" i="347" s="1"/>
  <c r="Y386" i="347"/>
  <c r="Y381" i="347"/>
  <c r="Y380" i="347"/>
  <c r="Y379" i="347"/>
  <c r="AA379" i="347" s="1"/>
  <c r="Y373" i="347"/>
  <c r="Y365" i="347"/>
  <c r="Y364" i="347"/>
  <c r="Y357" i="347"/>
  <c r="Y354" i="347"/>
  <c r="Y349" i="347"/>
  <c r="Y348" i="347"/>
  <c r="Y341" i="347"/>
  <c r="Y338" i="347"/>
  <c r="Y336" i="347"/>
  <c r="Y333" i="347"/>
  <c r="Y330" i="347"/>
  <c r="Y325" i="347"/>
  <c r="Y323" i="347"/>
  <c r="AA323" i="347" s="1"/>
  <c r="Y318" i="347"/>
  <c r="AA318" i="347" s="1"/>
  <c r="Y317" i="347"/>
  <c r="Y315" i="347"/>
  <c r="AA315" i="347" s="1"/>
  <c r="Y309" i="347"/>
  <c r="Y301" i="347"/>
  <c r="Y293" i="347"/>
  <c r="Y290" i="347"/>
  <c r="Y285" i="347"/>
  <c r="Y283" i="347"/>
  <c r="Y282" i="347"/>
  <c r="Y277" i="347"/>
  <c r="Y269" i="347"/>
  <c r="Y261" i="347"/>
  <c r="Y253" i="347"/>
  <c r="Y251" i="347"/>
  <c r="AA251" i="347" s="1"/>
  <c r="Y245" i="347"/>
  <c r="Y237" i="347"/>
  <c r="Y234" i="347"/>
  <c r="Y229" i="347"/>
  <c r="Y221" i="347"/>
  <c r="Y219" i="347"/>
  <c r="Y214" i="347"/>
  <c r="AA214" i="347" s="1"/>
  <c r="Y213" i="347"/>
  <c r="Y211" i="347"/>
  <c r="AA211" i="347" s="1"/>
  <c r="Y208" i="347"/>
  <c r="Y205" i="347"/>
  <c r="Y203" i="347"/>
  <c r="AA203" i="347" s="1"/>
  <c r="Y197" i="347"/>
  <c r="Y196" i="347"/>
  <c r="Y195" i="347"/>
  <c r="AA195" i="347" s="1"/>
  <c r="Y192" i="347"/>
  <c r="Y189" i="347"/>
  <c r="Y186" i="347"/>
  <c r="Y181" i="347"/>
  <c r="Y180" i="347"/>
  <c r="Y173" i="347"/>
  <c r="Y170" i="347"/>
  <c r="Y165" i="347"/>
  <c r="Y164" i="347"/>
  <c r="Y162" i="347"/>
  <c r="Y157" i="347"/>
  <c r="Y149" i="347"/>
  <c r="Y148" i="347"/>
  <c r="Y146" i="347"/>
  <c r="Y141" i="347"/>
  <c r="Y139" i="347"/>
  <c r="AA139" i="347" s="1"/>
  <c r="Y138" i="347"/>
  <c r="Y133" i="347"/>
  <c r="Y132" i="347"/>
  <c r="Y131" i="347"/>
  <c r="AA131" i="347" s="1"/>
  <c r="Y125" i="347"/>
  <c r="Y117" i="347"/>
  <c r="Y116" i="347"/>
  <c r="Y109" i="347"/>
  <c r="Y101" i="347"/>
  <c r="Y98" i="347"/>
  <c r="AA98" i="347" s="1"/>
  <c r="Y93" i="347"/>
  <c r="Y85" i="347"/>
  <c r="AA85" i="347" s="1"/>
  <c r="Y83" i="347"/>
  <c r="Y77" i="347"/>
  <c r="Y75" i="347"/>
  <c r="AA75" i="347" s="1"/>
  <c r="Y74" i="347"/>
  <c r="Y69" i="347"/>
  <c r="AA69" i="347" s="1"/>
  <c r="Y61" i="347"/>
  <c r="Y53" i="347"/>
  <c r="Y45" i="347"/>
  <c r="Y37" i="347"/>
  <c r="Y29" i="347"/>
  <c r="Y26" i="347"/>
  <c r="AA26" i="347" s="1"/>
  <c r="Y21" i="347"/>
  <c r="Y19" i="347"/>
  <c r="Y13" i="347"/>
  <c r="Y10" i="347"/>
  <c r="AA10" i="347" s="1"/>
  <c r="V440" i="347"/>
  <c r="N462" i="347"/>
  <c r="N460" i="347"/>
  <c r="N454" i="347"/>
  <c r="N452" i="347"/>
  <c r="N446" i="347"/>
  <c r="N444" i="347"/>
  <c r="N442" i="347"/>
  <c r="N438" i="347"/>
  <c r="N436" i="347"/>
  <c r="N434" i="347"/>
  <c r="N430" i="347"/>
  <c r="N422" i="347"/>
  <c r="N420" i="347"/>
  <c r="N415" i="347"/>
  <c r="N414" i="347"/>
  <c r="N412" i="347"/>
  <c r="N406" i="347"/>
  <c r="N404" i="347"/>
  <c r="N398" i="347"/>
  <c r="N396" i="347"/>
  <c r="N390" i="347"/>
  <c r="N388" i="347"/>
  <c r="N386" i="347"/>
  <c r="N382" i="347"/>
  <c r="N380" i="347"/>
  <c r="N378" i="347"/>
  <c r="N374" i="347"/>
  <c r="N372" i="347"/>
  <c r="N366" i="347"/>
  <c r="N364" i="347"/>
  <c r="N362" i="347"/>
  <c r="N358" i="347"/>
  <c r="N356" i="347"/>
  <c r="N350" i="347"/>
  <c r="N342" i="347"/>
  <c r="N338" i="347"/>
  <c r="N334" i="347"/>
  <c r="N332" i="347"/>
  <c r="N326" i="347"/>
  <c r="N324" i="347"/>
  <c r="N322" i="347"/>
  <c r="N320" i="347"/>
  <c r="N318" i="347"/>
  <c r="N316" i="347"/>
  <c r="N310" i="347"/>
  <c r="N302" i="347"/>
  <c r="N298" i="347"/>
  <c r="N294" i="347"/>
  <c r="N292" i="347"/>
  <c r="N286" i="347"/>
  <c r="N284" i="347"/>
  <c r="N282" i="347"/>
  <c r="N278" i="347"/>
  <c r="N276" i="347"/>
  <c r="N270" i="347"/>
  <c r="N268" i="347"/>
  <c r="N266" i="347"/>
  <c r="N262" i="347"/>
  <c r="N260" i="347"/>
  <c r="N258" i="347"/>
  <c r="N254" i="347"/>
  <c r="N252" i="347"/>
  <c r="N246" i="347"/>
  <c r="N244" i="347"/>
  <c r="N220" i="347"/>
  <c r="N212" i="347"/>
  <c r="N204" i="347"/>
  <c r="N180" i="347"/>
  <c r="N172" i="347"/>
  <c r="N158" i="347"/>
  <c r="N156" i="347"/>
  <c r="N148" i="347"/>
  <c r="N140" i="347"/>
  <c r="N134" i="347"/>
  <c r="N132" i="347"/>
  <c r="N126" i="347"/>
  <c r="N124" i="347"/>
  <c r="N116" i="347"/>
  <c r="N108" i="347"/>
  <c r="N102" i="347"/>
  <c r="N100" i="347"/>
  <c r="N99" i="347"/>
  <c r="N76" i="347"/>
  <c r="N68" i="347"/>
  <c r="N60" i="347"/>
  <c r="N52" i="347"/>
  <c r="N46" i="347"/>
  <c r="N44" i="347"/>
  <c r="N38" i="347"/>
  <c r="N28" i="347"/>
  <c r="N19" i="347"/>
  <c r="J504" i="347"/>
  <c r="J432" i="347"/>
  <c r="J416" i="347"/>
  <c r="J408" i="347"/>
  <c r="J400" i="347"/>
  <c r="J376" i="347"/>
  <c r="J360" i="347"/>
  <c r="J352" i="347"/>
  <c r="J344" i="347"/>
  <c r="J288" i="347"/>
  <c r="J256" i="347"/>
  <c r="B524" i="347"/>
  <c r="B523" i="347"/>
  <c r="B522" i="347"/>
  <c r="B521" i="347"/>
  <c r="B520" i="347"/>
  <c r="B519" i="347"/>
  <c r="B518" i="347"/>
  <c r="B517" i="347"/>
  <c r="B516" i="347"/>
  <c r="B515" i="347"/>
  <c r="B514" i="347"/>
  <c r="B513" i="347"/>
  <c r="B512" i="347"/>
  <c r="B511" i="347"/>
  <c r="B510" i="347"/>
  <c r="B509" i="347"/>
  <c r="B508" i="347"/>
  <c r="B507" i="347"/>
  <c r="B506" i="347"/>
  <c r="B505" i="347"/>
  <c r="B504" i="347"/>
  <c r="B503" i="347"/>
  <c r="B502" i="347"/>
  <c r="B501" i="347"/>
  <c r="B500" i="347"/>
  <c r="B499" i="347"/>
  <c r="B498" i="347"/>
  <c r="B497" i="347"/>
  <c r="B496" i="347"/>
  <c r="B495" i="347"/>
  <c r="B494" i="347"/>
  <c r="B493" i="347"/>
  <c r="B492" i="347"/>
  <c r="B491" i="347"/>
  <c r="B490" i="347"/>
  <c r="B489" i="347"/>
  <c r="B488" i="347"/>
  <c r="B487" i="347"/>
  <c r="B486" i="347"/>
  <c r="B485" i="347"/>
  <c r="B484" i="347"/>
  <c r="B483" i="347"/>
  <c r="B482" i="347"/>
  <c r="B481" i="347"/>
  <c r="B480" i="347"/>
  <c r="B479" i="347"/>
  <c r="B478" i="347"/>
  <c r="B477" i="347"/>
  <c r="B476" i="347"/>
  <c r="B475" i="347"/>
  <c r="B474" i="347"/>
  <c r="B473" i="347"/>
  <c r="B472" i="347"/>
  <c r="B471" i="347"/>
  <c r="B470" i="347"/>
  <c r="B469" i="347"/>
  <c r="B468" i="347"/>
  <c r="B467" i="347"/>
  <c r="B466" i="347"/>
  <c r="B465" i="347"/>
  <c r="B464" i="347"/>
  <c r="B463" i="347"/>
  <c r="B462" i="347"/>
  <c r="B461" i="347"/>
  <c r="B460" i="347"/>
  <c r="B459" i="347"/>
  <c r="B458" i="347"/>
  <c r="B457" i="347"/>
  <c r="B456" i="347"/>
  <c r="B455" i="347"/>
  <c r="B454" i="347"/>
  <c r="B453" i="347"/>
  <c r="B452" i="347"/>
  <c r="B451" i="347"/>
  <c r="B450" i="347"/>
  <c r="B449" i="347"/>
  <c r="B448" i="347"/>
  <c r="B447" i="347"/>
  <c r="B446" i="347"/>
  <c r="B445" i="347"/>
  <c r="B444" i="347"/>
  <c r="B443" i="347"/>
  <c r="B442" i="347"/>
  <c r="B441" i="347"/>
  <c r="B440" i="347"/>
  <c r="B439" i="347"/>
  <c r="B438" i="347"/>
  <c r="B437" i="347"/>
  <c r="B436" i="347"/>
  <c r="B435" i="347"/>
  <c r="B434" i="347"/>
  <c r="B433" i="347"/>
  <c r="B432" i="347"/>
  <c r="B431" i="347"/>
  <c r="B430" i="347"/>
  <c r="B429" i="347"/>
  <c r="B428" i="347"/>
  <c r="B427" i="347"/>
  <c r="B426" i="347"/>
  <c r="B425" i="347"/>
  <c r="B424" i="347"/>
  <c r="B423" i="347"/>
  <c r="B422" i="347"/>
  <c r="B421" i="347"/>
  <c r="B420" i="347"/>
  <c r="B419" i="347"/>
  <c r="B418" i="347"/>
  <c r="B417" i="347"/>
  <c r="B416" i="347"/>
  <c r="B415" i="347"/>
  <c r="B414" i="347"/>
  <c r="B413" i="347"/>
  <c r="B412" i="347"/>
  <c r="B411" i="347"/>
  <c r="B410" i="347"/>
  <c r="B409" i="347"/>
  <c r="B408" i="347"/>
  <c r="B407" i="347"/>
  <c r="B406" i="347"/>
  <c r="B405" i="347"/>
  <c r="B404" i="347"/>
  <c r="B403" i="347"/>
  <c r="B402" i="347"/>
  <c r="B401" i="347"/>
  <c r="B400" i="347"/>
  <c r="B399" i="347"/>
  <c r="B398" i="347"/>
  <c r="B397" i="347"/>
  <c r="B396" i="347"/>
  <c r="B395" i="347"/>
  <c r="B394" i="347"/>
  <c r="B393" i="347"/>
  <c r="B392" i="347"/>
  <c r="B391" i="347"/>
  <c r="B390" i="347"/>
  <c r="B389" i="347"/>
  <c r="B388" i="347"/>
  <c r="B387" i="347"/>
  <c r="B386" i="347"/>
  <c r="B385" i="347"/>
  <c r="B384" i="347"/>
  <c r="B383" i="347"/>
  <c r="B382" i="347"/>
  <c r="B381" i="347"/>
  <c r="B380" i="347"/>
  <c r="B379" i="347"/>
  <c r="B378" i="347"/>
  <c r="B377" i="347"/>
  <c r="B376" i="347"/>
  <c r="B375" i="347"/>
  <c r="B374" i="347"/>
  <c r="B373" i="347"/>
  <c r="B372" i="347"/>
  <c r="B371" i="347"/>
  <c r="B370" i="347"/>
  <c r="B369" i="347"/>
  <c r="B368" i="347"/>
  <c r="B367" i="347"/>
  <c r="B366" i="347"/>
  <c r="B365" i="347"/>
  <c r="B364" i="347"/>
  <c r="B363" i="347"/>
  <c r="B362" i="347"/>
  <c r="B361" i="347"/>
  <c r="B360" i="347"/>
  <c r="B359" i="347"/>
  <c r="B358" i="347"/>
  <c r="B357" i="347"/>
  <c r="B356" i="347"/>
  <c r="B355" i="347"/>
  <c r="B354" i="347"/>
  <c r="B353" i="347"/>
  <c r="B352" i="347"/>
  <c r="B351" i="347"/>
  <c r="B350" i="347"/>
  <c r="B349" i="347"/>
  <c r="B348" i="347"/>
  <c r="B347" i="347"/>
  <c r="B346" i="347"/>
  <c r="B345" i="347"/>
  <c r="B344" i="347"/>
  <c r="B343" i="347"/>
  <c r="B342" i="347"/>
  <c r="B341" i="347"/>
  <c r="B340" i="347"/>
  <c r="B339" i="347"/>
  <c r="B338" i="347"/>
  <c r="B337" i="347"/>
  <c r="B336" i="347"/>
  <c r="B335" i="347"/>
  <c r="B334" i="347"/>
  <c r="B333" i="347"/>
  <c r="B332" i="347"/>
  <c r="B331" i="347"/>
  <c r="B330" i="347"/>
  <c r="B329" i="347"/>
  <c r="B328" i="347"/>
  <c r="B327" i="347"/>
  <c r="B326" i="347"/>
  <c r="B325" i="347"/>
  <c r="B324" i="347"/>
  <c r="B323" i="347"/>
  <c r="B322" i="347"/>
  <c r="B321" i="347"/>
  <c r="B320" i="347"/>
  <c r="B319" i="347"/>
  <c r="B318" i="347"/>
  <c r="B317" i="347"/>
  <c r="B316" i="347"/>
  <c r="B315" i="347"/>
  <c r="B314" i="347"/>
  <c r="B313" i="347"/>
  <c r="B312" i="347"/>
  <c r="B311" i="347"/>
  <c r="B310" i="347"/>
  <c r="B309" i="347"/>
  <c r="B308" i="347"/>
  <c r="B307" i="347"/>
  <c r="B306" i="347"/>
  <c r="B305" i="347"/>
  <c r="B304" i="347"/>
  <c r="B303" i="347"/>
  <c r="B302" i="347"/>
  <c r="B301" i="347"/>
  <c r="B300" i="347"/>
  <c r="B299" i="347"/>
  <c r="B298" i="347"/>
  <c r="B297" i="347"/>
  <c r="B296" i="347"/>
  <c r="B295" i="347"/>
  <c r="B294" i="347"/>
  <c r="B293" i="347"/>
  <c r="B292" i="347"/>
  <c r="B291" i="347"/>
  <c r="B290" i="347"/>
  <c r="B289" i="347"/>
  <c r="B288" i="347"/>
  <c r="B287" i="347"/>
  <c r="B286" i="347"/>
  <c r="B285" i="347"/>
  <c r="B284" i="347"/>
  <c r="B283" i="347"/>
  <c r="B282" i="347"/>
  <c r="B281" i="347"/>
  <c r="B280" i="347"/>
  <c r="B279" i="347"/>
  <c r="B278" i="347"/>
  <c r="B277" i="347"/>
  <c r="B276" i="347"/>
  <c r="B275" i="347"/>
  <c r="B274" i="347"/>
  <c r="B273" i="347"/>
  <c r="B272" i="347"/>
  <c r="B271" i="347"/>
  <c r="B270" i="347"/>
  <c r="B269" i="347"/>
  <c r="B268" i="347"/>
  <c r="B267" i="347"/>
  <c r="B266" i="347"/>
  <c r="B265" i="347"/>
  <c r="B264" i="347"/>
  <c r="B263" i="347"/>
  <c r="B262" i="347"/>
  <c r="B261" i="347"/>
  <c r="B260" i="347"/>
  <c r="B259" i="347"/>
  <c r="B258" i="347"/>
  <c r="B257" i="347"/>
  <c r="B256" i="347"/>
  <c r="B255" i="347"/>
  <c r="B254" i="347"/>
  <c r="B253" i="347"/>
  <c r="B252" i="347"/>
  <c r="B251" i="347"/>
  <c r="B250" i="347"/>
  <c r="B249" i="347"/>
  <c r="B248" i="347"/>
  <c r="B247" i="347"/>
  <c r="B246" i="347"/>
  <c r="B245" i="347"/>
  <c r="B244" i="347"/>
  <c r="B243" i="347"/>
  <c r="B242" i="347"/>
  <c r="B241" i="347"/>
  <c r="B240" i="347"/>
  <c r="B239" i="347"/>
  <c r="B238" i="347"/>
  <c r="B237" i="347"/>
  <c r="B236" i="347"/>
  <c r="B235" i="347"/>
  <c r="B234" i="347"/>
  <c r="B233" i="347"/>
  <c r="B232" i="347"/>
  <c r="B231" i="347"/>
  <c r="B230" i="347"/>
  <c r="B229" i="347"/>
  <c r="B228" i="347"/>
  <c r="B227" i="347"/>
  <c r="B226" i="347"/>
  <c r="B225" i="347"/>
  <c r="B224" i="347"/>
  <c r="B223" i="347"/>
  <c r="B222" i="347"/>
  <c r="B221" i="347"/>
  <c r="B220" i="347"/>
  <c r="B219" i="347"/>
  <c r="B218" i="347"/>
  <c r="B217" i="347"/>
  <c r="B216" i="347"/>
  <c r="B215" i="347"/>
  <c r="B214" i="347"/>
  <c r="B213" i="347"/>
  <c r="B212" i="347"/>
  <c r="B211" i="347"/>
  <c r="B210" i="347"/>
  <c r="B209" i="347"/>
  <c r="B208" i="347"/>
  <c r="B207" i="347"/>
  <c r="B206" i="347"/>
  <c r="B205" i="347"/>
  <c r="B204" i="347"/>
  <c r="B203" i="347"/>
  <c r="B202" i="347"/>
  <c r="B201" i="347"/>
  <c r="B200" i="347"/>
  <c r="B199" i="347"/>
  <c r="B198" i="347"/>
  <c r="B197" i="347"/>
  <c r="B196" i="347"/>
  <c r="B195" i="347"/>
  <c r="B194" i="347"/>
  <c r="B193" i="347"/>
  <c r="B192" i="347"/>
  <c r="B191" i="347"/>
  <c r="B190" i="347"/>
  <c r="B189" i="347"/>
  <c r="B188" i="347"/>
  <c r="B187" i="347"/>
  <c r="B186" i="347"/>
  <c r="B185" i="347"/>
  <c r="B184" i="347"/>
  <c r="B183" i="347"/>
  <c r="B182" i="347"/>
  <c r="B181" i="347"/>
  <c r="B180" i="347"/>
  <c r="B179" i="347"/>
  <c r="B178" i="347"/>
  <c r="B177" i="347"/>
  <c r="B176" i="347"/>
  <c r="B175" i="347"/>
  <c r="B174" i="347"/>
  <c r="B173" i="347"/>
  <c r="B172" i="347"/>
  <c r="B171" i="347"/>
  <c r="B170" i="347"/>
  <c r="B169" i="347"/>
  <c r="B168" i="347"/>
  <c r="B167" i="347"/>
  <c r="B166" i="347"/>
  <c r="B165" i="347"/>
  <c r="B164" i="347"/>
  <c r="B163" i="347"/>
  <c r="B162" i="347"/>
  <c r="B161" i="347"/>
  <c r="B160" i="347"/>
  <c r="B159" i="347"/>
  <c r="B158" i="347"/>
  <c r="B157" i="347"/>
  <c r="B156" i="347"/>
  <c r="B155" i="347"/>
  <c r="B154" i="347"/>
  <c r="B153" i="347"/>
  <c r="B152" i="347"/>
  <c r="B151" i="347"/>
  <c r="B150" i="347"/>
  <c r="B149" i="347"/>
  <c r="B148" i="347"/>
  <c r="B147" i="347"/>
  <c r="B146" i="347"/>
  <c r="B145" i="347"/>
  <c r="B144" i="347"/>
  <c r="B143" i="347"/>
  <c r="B142" i="347"/>
  <c r="B141" i="347"/>
  <c r="B140" i="347"/>
  <c r="B139" i="347"/>
  <c r="B138" i="347"/>
  <c r="B137" i="347"/>
  <c r="B136" i="347"/>
  <c r="B135" i="347"/>
  <c r="B134" i="347"/>
  <c r="B133" i="347"/>
  <c r="B132" i="347"/>
  <c r="B131" i="347"/>
  <c r="B130" i="347"/>
  <c r="B129" i="347"/>
  <c r="B128" i="347"/>
  <c r="B127" i="347"/>
  <c r="B126" i="347"/>
  <c r="B125" i="347"/>
  <c r="B124" i="347"/>
  <c r="B123" i="347"/>
  <c r="B122" i="347"/>
  <c r="B121" i="347"/>
  <c r="B120" i="347"/>
  <c r="B119" i="347"/>
  <c r="B118" i="347"/>
  <c r="B117" i="347"/>
  <c r="B116" i="347"/>
  <c r="B115" i="347"/>
  <c r="B114" i="347"/>
  <c r="B113" i="347"/>
  <c r="B112" i="347"/>
  <c r="B111" i="347"/>
  <c r="B110" i="347"/>
  <c r="B109" i="347"/>
  <c r="B108" i="347"/>
  <c r="B107" i="347"/>
  <c r="B106" i="347"/>
  <c r="B105" i="347"/>
  <c r="B104" i="347"/>
  <c r="B103" i="347"/>
  <c r="B102" i="347"/>
  <c r="B101" i="347"/>
  <c r="B100" i="347"/>
  <c r="B99" i="347"/>
  <c r="B98" i="347"/>
  <c r="B97" i="347"/>
  <c r="B96" i="347"/>
  <c r="B95" i="347"/>
  <c r="B94" i="347"/>
  <c r="B93" i="347"/>
  <c r="B92" i="347"/>
  <c r="B91" i="347"/>
  <c r="B90" i="347"/>
  <c r="B89" i="347"/>
  <c r="B88" i="347"/>
  <c r="B87" i="347"/>
  <c r="B86" i="347"/>
  <c r="B85" i="347"/>
  <c r="B84" i="347"/>
  <c r="B83" i="347"/>
  <c r="B82" i="347"/>
  <c r="B81" i="347"/>
  <c r="B80" i="347"/>
  <c r="B79" i="347"/>
  <c r="B78" i="347"/>
  <c r="B77" i="347"/>
  <c r="B76" i="347"/>
  <c r="B75" i="347"/>
  <c r="B74" i="347"/>
  <c r="B73" i="347"/>
  <c r="B72" i="347"/>
  <c r="B71" i="347"/>
  <c r="B70" i="347"/>
  <c r="B69" i="347"/>
  <c r="B68" i="347"/>
  <c r="B67" i="347"/>
  <c r="B66" i="347"/>
  <c r="B65" i="347"/>
  <c r="B64" i="347"/>
  <c r="B63" i="347"/>
  <c r="B62" i="347"/>
  <c r="B61" i="347"/>
  <c r="B60" i="347"/>
  <c r="B59" i="347"/>
  <c r="B58" i="347"/>
  <c r="B57" i="347"/>
  <c r="B56" i="347"/>
  <c r="B55" i="347"/>
  <c r="B54" i="347"/>
  <c r="B53" i="347"/>
  <c r="B52" i="347"/>
  <c r="B51" i="347"/>
  <c r="B50" i="347"/>
  <c r="B49" i="347"/>
  <c r="B48" i="347"/>
  <c r="B47" i="347"/>
  <c r="B46" i="347"/>
  <c r="B45" i="347"/>
  <c r="B44" i="347"/>
  <c r="B43" i="347"/>
  <c r="B42" i="347"/>
  <c r="B41" i="347"/>
  <c r="B40" i="347"/>
  <c r="B39" i="347"/>
  <c r="B38" i="347"/>
  <c r="B37" i="347"/>
  <c r="B36" i="347"/>
  <c r="B35" i="347"/>
  <c r="B34" i="347"/>
  <c r="B33" i="347"/>
  <c r="B32" i="347"/>
  <c r="B31" i="347"/>
  <c r="B30" i="347"/>
  <c r="B29" i="347"/>
  <c r="B28" i="347"/>
  <c r="B27" i="347"/>
  <c r="B26" i="347"/>
  <c r="B25" i="347"/>
  <c r="B24" i="347"/>
  <c r="B23" i="347"/>
  <c r="B22" i="347"/>
  <c r="B21" i="347"/>
  <c r="B20" i="347"/>
  <c r="B19" i="347"/>
  <c r="B18" i="347"/>
  <c r="B17" i="347"/>
  <c r="B16" i="347"/>
  <c r="B15" i="347"/>
  <c r="B14" i="347"/>
  <c r="B13" i="347"/>
  <c r="B12" i="347"/>
  <c r="B11" i="347"/>
  <c r="B10" i="347"/>
  <c r="B9" i="347"/>
  <c r="B8" i="347"/>
  <c r="B7" i="347"/>
  <c r="B6" i="347"/>
  <c r="V10" i="347" l="1"/>
  <c r="V26" i="347"/>
  <c r="V34" i="347"/>
  <c r="V50" i="347"/>
  <c r="V66" i="347"/>
  <c r="V74" i="347"/>
  <c r="V82" i="347"/>
  <c r="V90" i="347"/>
  <c r="V122" i="347"/>
  <c r="V130" i="347"/>
  <c r="V146" i="347"/>
  <c r="V154" i="347"/>
  <c r="V162" i="347"/>
  <c r="V186" i="347"/>
  <c r="V194" i="347"/>
  <c r="V202" i="347"/>
  <c r="V210" i="347"/>
  <c r="V218" i="347"/>
  <c r="V226" i="347"/>
  <c r="V234" i="347"/>
  <c r="V242" i="347"/>
  <c r="V258" i="347"/>
  <c r="V274" i="347"/>
  <c r="V290" i="347"/>
  <c r="V322" i="347"/>
  <c r="V338" i="347"/>
  <c r="V346" i="347"/>
  <c r="V370" i="347"/>
  <c r="V378" i="347"/>
  <c r="V394" i="347"/>
  <c r="V418" i="347"/>
  <c r="V434" i="347"/>
  <c r="V450" i="347"/>
  <c r="V458" i="347"/>
  <c r="V12" i="347"/>
  <c r="V20" i="347"/>
  <c r="V28" i="347"/>
  <c r="V36" i="347"/>
  <c r="V44" i="347"/>
  <c r="V52" i="347"/>
  <c r="V60" i="347"/>
  <c r="V68" i="347"/>
  <c r="V76" i="347"/>
  <c r="V84" i="347"/>
  <c r="V92" i="347"/>
  <c r="V100" i="347"/>
  <c r="V108" i="347"/>
  <c r="V116" i="347"/>
  <c r="V124" i="347"/>
  <c r="V132" i="347"/>
  <c r="V140" i="347"/>
  <c r="V148" i="347"/>
  <c r="V156" i="347"/>
  <c r="V164" i="347"/>
  <c r="V172" i="347"/>
  <c r="V180" i="347"/>
  <c r="V188" i="347"/>
  <c r="V196" i="347"/>
  <c r="V204" i="347"/>
  <c r="V212" i="347"/>
  <c r="V220" i="347"/>
  <c r="V236" i="347"/>
  <c r="V252" i="347"/>
  <c r="V260" i="347"/>
  <c r="V276" i="347"/>
  <c r="V292" i="347"/>
  <c r="V308" i="347"/>
  <c r="V316" i="347"/>
  <c r="V324" i="347"/>
  <c r="V340" i="347"/>
  <c r="V356" i="347"/>
  <c r="V372" i="347"/>
  <c r="V388" i="347"/>
  <c r="V404" i="347"/>
  <c r="V420" i="347"/>
  <c r="V428" i="347"/>
  <c r="V444" i="347"/>
  <c r="V452" i="347"/>
  <c r="V259" i="347"/>
  <c r="V464" i="347"/>
  <c r="K42" i="347"/>
  <c r="K98" i="347"/>
  <c r="K106" i="347"/>
  <c r="K170" i="347"/>
  <c r="K402" i="347"/>
  <c r="K13" i="347"/>
  <c r="K21" i="347"/>
  <c r="K45" i="347"/>
  <c r="K329" i="347"/>
  <c r="K337" i="347"/>
  <c r="K295" i="347"/>
  <c r="K327" i="347"/>
  <c r="K352" i="347"/>
  <c r="K8" i="347"/>
  <c r="K104" i="347"/>
  <c r="K136" i="347"/>
  <c r="K144" i="347"/>
  <c r="K200" i="347"/>
  <c r="K320" i="347"/>
  <c r="K336" i="347"/>
  <c r="K440" i="347"/>
  <c r="K456" i="347"/>
  <c r="V170" i="347"/>
  <c r="V386" i="347"/>
  <c r="Y464" i="347"/>
  <c r="AC464" i="347" s="1"/>
  <c r="AE464" i="347" s="1"/>
  <c r="V400" i="347"/>
  <c r="V248" i="347"/>
  <c r="V264" i="347"/>
  <c r="V328" i="347"/>
  <c r="K268" i="347"/>
  <c r="K436" i="347"/>
  <c r="J452" i="347"/>
  <c r="K452" i="347" s="1"/>
  <c r="V228" i="347"/>
  <c r="V332" i="347"/>
  <c r="V396" i="347"/>
  <c r="V135" i="347"/>
  <c r="V143" i="347"/>
  <c r="V113" i="347"/>
  <c r="V211" i="347"/>
  <c r="J328" i="347"/>
  <c r="V456" i="347"/>
  <c r="V159" i="347"/>
  <c r="V167" i="347"/>
  <c r="V183" i="347"/>
  <c r="V199" i="347"/>
  <c r="V223" i="347"/>
  <c r="V231" i="347"/>
  <c r="V239" i="347"/>
  <c r="V247" i="347"/>
  <c r="V255" i="347"/>
  <c r="V263" i="347"/>
  <c r="V287" i="347"/>
  <c r="V311" i="347"/>
  <c r="V335" i="347"/>
  <c r="V343" i="347"/>
  <c r="V359" i="347"/>
  <c r="V367" i="347"/>
  <c r="V383" i="347"/>
  <c r="V407" i="347"/>
  <c r="V415" i="347"/>
  <c r="V431" i="347"/>
  <c r="V463" i="347"/>
  <c r="J308" i="347"/>
  <c r="K308" i="347" s="1"/>
  <c r="J443" i="347"/>
  <c r="K443" i="347" s="1"/>
  <c r="V380" i="347"/>
  <c r="J116" i="347"/>
  <c r="K116" i="347" s="1"/>
  <c r="J248" i="347"/>
  <c r="K248" i="347" s="1"/>
  <c r="J212" i="347"/>
  <c r="K212" i="347" s="1"/>
  <c r="J404" i="347"/>
  <c r="K404" i="347" s="1"/>
  <c r="V244" i="347"/>
  <c r="V436" i="347"/>
  <c r="J378" i="347"/>
  <c r="K378" i="347" s="1"/>
  <c r="V373" i="347"/>
  <c r="V381" i="347"/>
  <c r="V389" i="347"/>
  <c r="V397" i="347"/>
  <c r="V405" i="347"/>
  <c r="V413" i="347"/>
  <c r="V421" i="347"/>
  <c r="V429" i="347"/>
  <c r="V437" i="347"/>
  <c r="V445" i="347"/>
  <c r="V453" i="347"/>
  <c r="V461" i="347"/>
  <c r="V216" i="347"/>
  <c r="K139" i="347"/>
  <c r="J407" i="347"/>
  <c r="K407" i="347" s="1"/>
  <c r="V185" i="347"/>
  <c r="V314" i="347"/>
  <c r="V401" i="347"/>
  <c r="J311" i="347"/>
  <c r="K311" i="347" s="1"/>
  <c r="V319" i="347"/>
  <c r="V423" i="347"/>
  <c r="V286" i="347"/>
  <c r="V350" i="347"/>
  <c r="V374" i="347"/>
  <c r="V271" i="347"/>
  <c r="J159" i="347"/>
  <c r="K159" i="347" s="1"/>
  <c r="K53" i="347"/>
  <c r="K69" i="347"/>
  <c r="K93" i="347"/>
  <c r="K173" i="347"/>
  <c r="K221" i="347"/>
  <c r="K301" i="347"/>
  <c r="K317" i="347"/>
  <c r="J343" i="347"/>
  <c r="K343" i="347" s="1"/>
  <c r="J223" i="347"/>
  <c r="K223" i="347" s="1"/>
  <c r="V127" i="347"/>
  <c r="V257" i="347"/>
  <c r="V137" i="347"/>
  <c r="Q62" i="347"/>
  <c r="AD62" i="347" s="1"/>
  <c r="AF62" i="347" s="1"/>
  <c r="O332" i="347"/>
  <c r="Q85" i="347"/>
  <c r="AD85" i="347" s="1"/>
  <c r="AF85" i="347" s="1"/>
  <c r="Q30" i="347"/>
  <c r="AD30" i="347" s="1"/>
  <c r="AF30" i="347" s="1"/>
  <c r="O502" i="347"/>
  <c r="Q37" i="347"/>
  <c r="Q243" i="347"/>
  <c r="Q118" i="347"/>
  <c r="AD118" i="347" s="1"/>
  <c r="AF118" i="347" s="1"/>
  <c r="O253" i="347"/>
  <c r="O61" i="347"/>
  <c r="Q54" i="347"/>
  <c r="AD54" i="347" s="1"/>
  <c r="AF54" i="347" s="1"/>
  <c r="J50" i="347"/>
  <c r="K50" i="347" s="1"/>
  <c r="J264" i="347"/>
  <c r="K264" i="347" s="1"/>
  <c r="J418" i="347"/>
  <c r="K418" i="347" s="1"/>
  <c r="V310" i="347"/>
  <c r="J90" i="347"/>
  <c r="K90" i="347" s="1"/>
  <c r="J146" i="347"/>
  <c r="K146" i="347" s="1"/>
  <c r="J186" i="347"/>
  <c r="K186" i="347" s="1"/>
  <c r="V184" i="347"/>
  <c r="V442" i="347"/>
  <c r="Y350" i="347"/>
  <c r="AA350" i="347" s="1"/>
  <c r="V24" i="347"/>
  <c r="V136" i="347"/>
  <c r="V144" i="347"/>
  <c r="V160" i="347"/>
  <c r="V192" i="347"/>
  <c r="V208" i="347"/>
  <c r="V224" i="347"/>
  <c r="V256" i="347"/>
  <c r="V272" i="347"/>
  <c r="V288" i="347"/>
  <c r="V320" i="347"/>
  <c r="V336" i="347"/>
  <c r="V352" i="347"/>
  <c r="V384" i="347"/>
  <c r="V416" i="347"/>
  <c r="V448" i="347"/>
  <c r="J274" i="347"/>
  <c r="K274" i="347" s="1"/>
  <c r="J322" i="347"/>
  <c r="K322" i="347" s="1"/>
  <c r="V270" i="347"/>
  <c r="J370" i="347"/>
  <c r="K370" i="347" s="1"/>
  <c r="V98" i="347"/>
  <c r="V414" i="347"/>
  <c r="Y374" i="347"/>
  <c r="V214" i="347"/>
  <c r="V222" i="347"/>
  <c r="V358" i="347"/>
  <c r="V382" i="347"/>
  <c r="V398" i="347"/>
  <c r="V406" i="347"/>
  <c r="V422" i="347"/>
  <c r="V438" i="347"/>
  <c r="V446" i="347"/>
  <c r="V462" i="347"/>
  <c r="J34" i="347"/>
  <c r="K34" i="347" s="1"/>
  <c r="J458" i="347"/>
  <c r="K458" i="347" s="1"/>
  <c r="V354" i="347"/>
  <c r="V294" i="347"/>
  <c r="Q110" i="347"/>
  <c r="Q141" i="347"/>
  <c r="Q86" i="347"/>
  <c r="AD86" i="347" s="1"/>
  <c r="AF86" i="347" s="1"/>
  <c r="Q333" i="347"/>
  <c r="Q133" i="347"/>
  <c r="Q165" i="347"/>
  <c r="Q285" i="347"/>
  <c r="Q211" i="347"/>
  <c r="AD211" i="347" s="1"/>
  <c r="AF211" i="347" s="1"/>
  <c r="O286" i="347"/>
  <c r="Q212" i="347"/>
  <c r="Q296" i="347"/>
  <c r="Q382" i="347"/>
  <c r="AD382" i="347" s="1"/>
  <c r="AF382" i="347" s="1"/>
  <c r="Q244" i="347"/>
  <c r="O45" i="347"/>
  <c r="O69" i="347"/>
  <c r="Q94" i="347"/>
  <c r="AD94" i="347" s="1"/>
  <c r="AF94" i="347" s="1"/>
  <c r="Q142" i="347"/>
  <c r="AD142" i="347" s="1"/>
  <c r="AF142" i="347" s="1"/>
  <c r="Q166" i="347"/>
  <c r="O192" i="347"/>
  <c r="Q221" i="347"/>
  <c r="Q21" i="347"/>
  <c r="Q46" i="347"/>
  <c r="Q70" i="347"/>
  <c r="AD70" i="347" s="1"/>
  <c r="AF70" i="347" s="1"/>
  <c r="Q101" i="347"/>
  <c r="Q125" i="347"/>
  <c r="Q194" i="347"/>
  <c r="Q397" i="347"/>
  <c r="Q77" i="347"/>
  <c r="Q102" i="347"/>
  <c r="Q126" i="347"/>
  <c r="AD126" i="347" s="1"/>
  <c r="AF126" i="347" s="1"/>
  <c r="Q150" i="347"/>
  <c r="AD150" i="347" s="1"/>
  <c r="AF150" i="347" s="1"/>
  <c r="Q174" i="347"/>
  <c r="Q232" i="347"/>
  <c r="Q266" i="347"/>
  <c r="Q307" i="347"/>
  <c r="O358" i="347"/>
  <c r="Q398" i="347"/>
  <c r="AD398" i="347" s="1"/>
  <c r="AF398" i="347" s="1"/>
  <c r="O517" i="347"/>
  <c r="O509" i="347"/>
  <c r="O501" i="347"/>
  <c r="O493" i="347"/>
  <c r="O485" i="347"/>
  <c r="O477" i="347"/>
  <c r="O469" i="347"/>
  <c r="Q461" i="347"/>
  <c r="Q453" i="347"/>
  <c r="Q445" i="347"/>
  <c r="Q437" i="347"/>
  <c r="Q429" i="347"/>
  <c r="O516" i="347"/>
  <c r="O508" i="347"/>
  <c r="O492" i="347"/>
  <c r="O484" i="347"/>
  <c r="O476" i="347"/>
  <c r="O468" i="347"/>
  <c r="Q460" i="347"/>
  <c r="Q452" i="347"/>
  <c r="Q444" i="347"/>
  <c r="Q436" i="347"/>
  <c r="Q428" i="347"/>
  <c r="Q420" i="347"/>
  <c r="Q412" i="347"/>
  <c r="Q404" i="347"/>
  <c r="Q396" i="347"/>
  <c r="Q388" i="347"/>
  <c r="Q380" i="347"/>
  <c r="Q372" i="347"/>
  <c r="Q364" i="347"/>
  <c r="O523" i="347"/>
  <c r="O515" i="347"/>
  <c r="O507" i="347"/>
  <c r="O475" i="347"/>
  <c r="O467" i="347"/>
  <c r="Q451" i="347"/>
  <c r="Q443" i="347"/>
  <c r="AD443" i="347" s="1"/>
  <c r="AF443" i="347" s="1"/>
  <c r="Q435" i="347"/>
  <c r="AD435" i="347" s="1"/>
  <c r="AF435" i="347" s="1"/>
  <c r="Q427" i="347"/>
  <c r="AD427" i="347" s="1"/>
  <c r="AF427" i="347" s="1"/>
  <c r="Q419" i="347"/>
  <c r="AD419" i="347" s="1"/>
  <c r="AF419" i="347" s="1"/>
  <c r="Q411" i="347"/>
  <c r="O522" i="347"/>
  <c r="O514" i="347"/>
  <c r="O506" i="347"/>
  <c r="O498" i="347"/>
  <c r="O482" i="347"/>
  <c r="O474" i="347"/>
  <c r="Q458" i="347"/>
  <c r="Q450" i="347"/>
  <c r="O442" i="347"/>
  <c r="O426" i="347"/>
  <c r="O410" i="347"/>
  <c r="Q394" i="347"/>
  <c r="Q386" i="347"/>
  <c r="Q370" i="347"/>
  <c r="AD370" i="347" s="1"/>
  <c r="AF370" i="347" s="1"/>
  <c r="O362" i="347"/>
  <c r="Q354" i="347"/>
  <c r="Q338" i="347"/>
  <c r="Q322" i="347"/>
  <c r="O314" i="347"/>
  <c r="Q465" i="347"/>
  <c r="O457" i="347"/>
  <c r="Q449" i="347"/>
  <c r="O441" i="347"/>
  <c r="O433" i="347"/>
  <c r="O425" i="347"/>
  <c r="Q417" i="347"/>
  <c r="Q409" i="347"/>
  <c r="O393" i="347"/>
  <c r="Q385" i="347"/>
  <c r="O377" i="347"/>
  <c r="O369" i="347"/>
  <c r="Q361" i="347"/>
  <c r="AD361" i="347" s="1"/>
  <c r="AF361" i="347" s="1"/>
  <c r="O353" i="347"/>
  <c r="Q345" i="347"/>
  <c r="Q337" i="347"/>
  <c r="Q329" i="347"/>
  <c r="Q313" i="347"/>
  <c r="O305" i="347"/>
  <c r="O297" i="347"/>
  <c r="Q289" i="347"/>
  <c r="Q281" i="347"/>
  <c r="Q273" i="347"/>
  <c r="Q265" i="347"/>
  <c r="O249" i="347"/>
  <c r="Q241" i="347"/>
  <c r="O233" i="347"/>
  <c r="Q225" i="347"/>
  <c r="O217" i="347"/>
  <c r="Q209" i="347"/>
  <c r="Q201" i="347"/>
  <c r="Q193" i="347"/>
  <c r="O185" i="347"/>
  <c r="O177" i="347"/>
  <c r="O169" i="347"/>
  <c r="O520" i="347"/>
  <c r="O504" i="347"/>
  <c r="O488" i="347"/>
  <c r="O472" i="347"/>
  <c r="Q464" i="347"/>
  <c r="O456" i="347"/>
  <c r="O448" i="347"/>
  <c r="Q440" i="347"/>
  <c r="O432" i="347"/>
  <c r="O424" i="347"/>
  <c r="Q416" i="347"/>
  <c r="O408" i="347"/>
  <c r="Q400" i="347"/>
  <c r="Q384" i="347"/>
  <c r="O376" i="347"/>
  <c r="O360" i="347"/>
  <c r="Q352" i="347"/>
  <c r="Q344" i="347"/>
  <c r="O519" i="347"/>
  <c r="O511" i="347"/>
  <c r="O503" i="347"/>
  <c r="O495" i="347"/>
  <c r="O487" i="347"/>
  <c r="O471" i="347"/>
  <c r="Q463" i="347"/>
  <c r="AD463" i="347" s="1"/>
  <c r="AF463" i="347" s="1"/>
  <c r="Q447" i="347"/>
  <c r="AD447" i="347" s="1"/>
  <c r="AF447" i="347" s="1"/>
  <c r="O439" i="347"/>
  <c r="Q431" i="347"/>
  <c r="AD431" i="347" s="1"/>
  <c r="AF431" i="347" s="1"/>
  <c r="O423" i="347"/>
  <c r="Q415" i="347"/>
  <c r="AD415" i="347" s="1"/>
  <c r="AF415" i="347" s="1"/>
  <c r="Q407" i="347"/>
  <c r="AD407" i="347" s="1"/>
  <c r="AF407" i="347" s="1"/>
  <c r="Q399" i="347"/>
  <c r="AD399" i="347" s="1"/>
  <c r="AF399" i="347" s="1"/>
  <c r="Q391" i="347"/>
  <c r="AD391" i="347" s="1"/>
  <c r="AF391" i="347" s="1"/>
  <c r="Q367" i="347"/>
  <c r="Q359" i="347"/>
  <c r="AD359" i="347" s="1"/>
  <c r="AF359" i="347" s="1"/>
  <c r="O351" i="347"/>
  <c r="Q335" i="347"/>
  <c r="AD335" i="347" s="1"/>
  <c r="AF335" i="347" s="1"/>
  <c r="Q327" i="347"/>
  <c r="AD327" i="347" s="1"/>
  <c r="AF327" i="347" s="1"/>
  <c r="Q319" i="347"/>
  <c r="AD319" i="347" s="1"/>
  <c r="AF319" i="347" s="1"/>
  <c r="Q311" i="347"/>
  <c r="AD311" i="347" s="1"/>
  <c r="AF311" i="347" s="1"/>
  <c r="O303" i="347"/>
  <c r="O295" i="347"/>
  <c r="Q287" i="347"/>
  <c r="AD287" i="347" s="1"/>
  <c r="AF287" i="347" s="1"/>
  <c r="O271" i="347"/>
  <c r="Q263" i="347"/>
  <c r="AD263" i="347" s="1"/>
  <c r="AF263" i="347" s="1"/>
  <c r="Q247" i="347"/>
  <c r="AD247" i="347" s="1"/>
  <c r="AF247" i="347" s="1"/>
  <c r="Q239" i="347"/>
  <c r="Q231" i="347"/>
  <c r="AD231" i="347" s="1"/>
  <c r="AF231" i="347" s="1"/>
  <c r="Q223" i="347"/>
  <c r="AD223" i="347" s="1"/>
  <c r="AF223" i="347" s="1"/>
  <c r="Q215" i="347"/>
  <c r="AD215" i="347" s="1"/>
  <c r="AF215" i="347" s="1"/>
  <c r="O486" i="347"/>
  <c r="Q422" i="347"/>
  <c r="O395" i="347"/>
  <c r="O379" i="347"/>
  <c r="Q357" i="347"/>
  <c r="O342" i="347"/>
  <c r="Q331" i="347"/>
  <c r="AD331" i="347" s="1"/>
  <c r="AF331" i="347" s="1"/>
  <c r="Q317" i="347"/>
  <c r="Q306" i="347"/>
  <c r="AD306" i="347" s="1"/>
  <c r="AF306" i="347" s="1"/>
  <c r="O294" i="347"/>
  <c r="Q284" i="347"/>
  <c r="Q274" i="347"/>
  <c r="O262" i="347"/>
  <c r="Q252" i="347"/>
  <c r="Q242" i="347"/>
  <c r="O230" i="347"/>
  <c r="Q220" i="347"/>
  <c r="Q200" i="347"/>
  <c r="O191" i="347"/>
  <c r="Q173" i="347"/>
  <c r="Q164" i="347"/>
  <c r="Q156" i="347"/>
  <c r="Q148" i="347"/>
  <c r="Q140" i="347"/>
  <c r="Q132" i="347"/>
  <c r="Q124" i="347"/>
  <c r="Q116" i="347"/>
  <c r="Q108" i="347"/>
  <c r="Q100" i="347"/>
  <c r="Q92" i="347"/>
  <c r="Q76" i="347"/>
  <c r="Q60" i="347"/>
  <c r="Q52" i="347"/>
  <c r="Q44" i="347"/>
  <c r="Q36" i="347"/>
  <c r="Q28" i="347"/>
  <c r="Q20" i="347"/>
  <c r="Q12" i="347"/>
  <c r="Q421" i="347"/>
  <c r="Q356" i="347"/>
  <c r="Q341" i="347"/>
  <c r="Q328" i="347"/>
  <c r="Q316" i="347"/>
  <c r="Q304" i="347"/>
  <c r="O293" i="347"/>
  <c r="O272" i="347"/>
  <c r="Q261" i="347"/>
  <c r="Q251" i="347"/>
  <c r="AD251" i="347" s="1"/>
  <c r="AF251" i="347" s="1"/>
  <c r="Q229" i="347"/>
  <c r="Q219" i="347"/>
  <c r="Q199" i="347"/>
  <c r="AD199" i="347" s="1"/>
  <c r="AF199" i="347" s="1"/>
  <c r="Q190" i="347"/>
  <c r="AD190" i="347" s="1"/>
  <c r="AF190" i="347" s="1"/>
  <c r="Q181" i="347"/>
  <c r="Q172" i="347"/>
  <c r="Q163" i="347"/>
  <c r="AD163" i="347" s="1"/>
  <c r="AF163" i="347" s="1"/>
  <c r="Q147" i="347"/>
  <c r="Q139" i="347"/>
  <c r="AD139" i="347" s="1"/>
  <c r="AF139" i="347" s="1"/>
  <c r="Q115" i="347"/>
  <c r="Q107" i="347"/>
  <c r="AD107" i="347" s="1"/>
  <c r="AF107" i="347" s="1"/>
  <c r="Q99" i="347"/>
  <c r="AD99" i="347" s="1"/>
  <c r="AF99" i="347" s="1"/>
  <c r="Q83" i="347"/>
  <c r="Q75" i="347"/>
  <c r="AD75" i="347" s="1"/>
  <c r="AF75" i="347" s="1"/>
  <c r="Q67" i="347"/>
  <c r="AD67" i="347" s="1"/>
  <c r="AF67" i="347" s="1"/>
  <c r="Q43" i="347"/>
  <c r="AD43" i="347" s="1"/>
  <c r="AF43" i="347" s="1"/>
  <c r="Q35" i="347"/>
  <c r="Q27" i="347"/>
  <c r="Q19" i="347"/>
  <c r="Q11" i="347"/>
  <c r="AD11" i="347" s="1"/>
  <c r="AF11" i="347" s="1"/>
  <c r="O470" i="347"/>
  <c r="O414" i="347"/>
  <c r="O390" i="347"/>
  <c r="Q373" i="347"/>
  <c r="Q355" i="347"/>
  <c r="AD355" i="347" s="1"/>
  <c r="AF355" i="347" s="1"/>
  <c r="Q340" i="347"/>
  <c r="O326" i="347"/>
  <c r="O315" i="347"/>
  <c r="O302" i="347"/>
  <c r="Q292" i="347"/>
  <c r="Q282" i="347"/>
  <c r="O270" i="347"/>
  <c r="Q260" i="347"/>
  <c r="Q250" i="347"/>
  <c r="Q228" i="347"/>
  <c r="Q218" i="347"/>
  <c r="Q207" i="347"/>
  <c r="AD207" i="347" s="1"/>
  <c r="AF207" i="347" s="1"/>
  <c r="Q198" i="347"/>
  <c r="AD198" i="347" s="1"/>
  <c r="AF198" i="347" s="1"/>
  <c r="Q180" i="347"/>
  <c r="O171" i="347"/>
  <c r="Q162" i="347"/>
  <c r="O114" i="347"/>
  <c r="O106" i="347"/>
  <c r="Q98" i="347"/>
  <c r="AD98" i="347" s="1"/>
  <c r="AF98" i="347" s="1"/>
  <c r="Q90" i="347"/>
  <c r="AD90" i="347" s="1"/>
  <c r="AF90" i="347" s="1"/>
  <c r="Q82" i="347"/>
  <c r="Q74" i="347"/>
  <c r="Q66" i="347"/>
  <c r="Q58" i="347"/>
  <c r="AD58" i="347" s="1"/>
  <c r="AF58" i="347" s="1"/>
  <c r="Q50" i="347"/>
  <c r="Q42" i="347"/>
  <c r="Q34" i="347"/>
  <c r="Q26" i="347"/>
  <c r="AD26" i="347" s="1"/>
  <c r="AF26" i="347" s="1"/>
  <c r="Q10" i="347"/>
  <c r="AD10" i="347" s="1"/>
  <c r="AF10" i="347" s="1"/>
  <c r="Q462" i="347"/>
  <c r="Q413" i="347"/>
  <c r="Q389" i="347"/>
  <c r="Q371" i="347"/>
  <c r="Q350" i="347"/>
  <c r="Q339" i="347"/>
  <c r="Q325" i="347"/>
  <c r="O312" i="347"/>
  <c r="Q301" i="347"/>
  <c r="Q291" i="347"/>
  <c r="AD291" i="347" s="1"/>
  <c r="AF291" i="347" s="1"/>
  <c r="O280" i="347"/>
  <c r="O259" i="347"/>
  <c r="Q237" i="347"/>
  <c r="Q227" i="347"/>
  <c r="AD227" i="347" s="1"/>
  <c r="AF227" i="347" s="1"/>
  <c r="O216" i="347"/>
  <c r="Q206" i="347"/>
  <c r="AD206" i="347" s="1"/>
  <c r="AF206" i="347" s="1"/>
  <c r="Q197" i="347"/>
  <c r="O179" i="347"/>
  <c r="Q170" i="347"/>
  <c r="O161" i="347"/>
  <c r="O153" i="347"/>
  <c r="Q145" i="347"/>
  <c r="Q137" i="347"/>
  <c r="Q129" i="347"/>
  <c r="O121" i="347"/>
  <c r="O113" i="347"/>
  <c r="O105" i="347"/>
  <c r="Q97" i="347"/>
  <c r="Q81" i="347"/>
  <c r="Q65" i="347"/>
  <c r="Q57" i="347"/>
  <c r="AD57" i="347" s="1"/>
  <c r="AF57" i="347" s="1"/>
  <c r="Q25" i="347"/>
  <c r="Q17" i="347"/>
  <c r="Q9" i="347"/>
  <c r="O518" i="347"/>
  <c r="O454" i="347"/>
  <c r="Q406" i="347"/>
  <c r="AD406" i="347" s="1"/>
  <c r="AF406" i="347" s="1"/>
  <c r="Q387" i="347"/>
  <c r="AD387" i="347" s="1"/>
  <c r="AF387" i="347" s="1"/>
  <c r="Q366" i="347"/>
  <c r="Q349" i="347"/>
  <c r="Q336" i="347"/>
  <c r="Q324" i="347"/>
  <c r="O310" i="347"/>
  <c r="Q290" i="347"/>
  <c r="O278" i="347"/>
  <c r="Q268" i="347"/>
  <c r="Q258" i="347"/>
  <c r="Q246" i="347"/>
  <c r="AD246" i="347" s="1"/>
  <c r="AF246" i="347" s="1"/>
  <c r="Q236" i="347"/>
  <c r="Q226" i="347"/>
  <c r="Q214" i="347"/>
  <c r="AD214" i="347" s="1"/>
  <c r="AF214" i="347" s="1"/>
  <c r="O187" i="347"/>
  <c r="Q178" i="347"/>
  <c r="AD178" i="347" s="1"/>
  <c r="AF178" i="347" s="1"/>
  <c r="O168" i="347"/>
  <c r="O160" i="347"/>
  <c r="O152" i="347"/>
  <c r="O144" i="347"/>
  <c r="Q136" i="347"/>
  <c r="O128" i="347"/>
  <c r="O120" i="347"/>
  <c r="O112" i="347"/>
  <c r="O104" i="347"/>
  <c r="Q96" i="347"/>
  <c r="O88" i="347"/>
  <c r="O80" i="347"/>
  <c r="Q72" i="347"/>
  <c r="AD72" i="347" s="1"/>
  <c r="AF72" i="347" s="1"/>
  <c r="O64" i="347"/>
  <c r="O56" i="347"/>
  <c r="Q48" i="347"/>
  <c r="O40" i="347"/>
  <c r="O32" i="347"/>
  <c r="Q24" i="347"/>
  <c r="Q16" i="347"/>
  <c r="Q8" i="347"/>
  <c r="O510" i="347"/>
  <c r="Q446" i="347"/>
  <c r="Q405" i="347"/>
  <c r="Q365" i="347"/>
  <c r="Q348" i="347"/>
  <c r="Q334" i="347"/>
  <c r="AD334" i="347" s="1"/>
  <c r="AF334" i="347" s="1"/>
  <c r="Q323" i="347"/>
  <c r="AD323" i="347" s="1"/>
  <c r="AF323" i="347" s="1"/>
  <c r="O309" i="347"/>
  <c r="Q299" i="347"/>
  <c r="AD299" i="347" s="1"/>
  <c r="AF299" i="347" s="1"/>
  <c r="O288" i="347"/>
  <c r="Q277" i="347"/>
  <c r="O267" i="347"/>
  <c r="Q256" i="347"/>
  <c r="Q245" i="347"/>
  <c r="Q235" i="347"/>
  <c r="AD235" i="347" s="1"/>
  <c r="AF235" i="347" s="1"/>
  <c r="O224" i="347"/>
  <c r="Q213" i="347"/>
  <c r="Q204" i="347"/>
  <c r="Q195" i="347"/>
  <c r="AD195" i="347" s="1"/>
  <c r="AF195" i="347" s="1"/>
  <c r="Q186" i="347"/>
  <c r="O176" i="347"/>
  <c r="Q151" i="347"/>
  <c r="AD151" i="347" s="1"/>
  <c r="AF151" i="347" s="1"/>
  <c r="Q143" i="347"/>
  <c r="AD143" i="347" s="1"/>
  <c r="AF143" i="347" s="1"/>
  <c r="Q135" i="347"/>
  <c r="AD135" i="347" s="1"/>
  <c r="AF135" i="347" s="1"/>
  <c r="O127" i="347"/>
  <c r="Q119" i="347"/>
  <c r="AD119" i="347" s="1"/>
  <c r="AF119" i="347" s="1"/>
  <c r="Q103" i="347"/>
  <c r="AD103" i="347" s="1"/>
  <c r="AF103" i="347" s="1"/>
  <c r="Q95" i="347"/>
  <c r="AD95" i="347" s="1"/>
  <c r="AF95" i="347" s="1"/>
  <c r="Q87" i="347"/>
  <c r="AD87" i="347" s="1"/>
  <c r="AF87" i="347" s="1"/>
  <c r="Q79" i="347"/>
  <c r="AD79" i="347" s="1"/>
  <c r="AF79" i="347" s="1"/>
  <c r="Q71" i="347"/>
  <c r="AD71" i="347" s="1"/>
  <c r="AF71" i="347" s="1"/>
  <c r="Q55" i="347"/>
  <c r="AD55" i="347" s="1"/>
  <c r="AF55" i="347" s="1"/>
  <c r="Q47" i="347"/>
  <c r="Q39" i="347"/>
  <c r="AD39" i="347" s="1"/>
  <c r="AF39" i="347" s="1"/>
  <c r="Q31" i="347"/>
  <c r="AD31" i="347" s="1"/>
  <c r="AF31" i="347" s="1"/>
  <c r="Q23" i="347"/>
  <c r="AD23" i="347" s="1"/>
  <c r="AF23" i="347" s="1"/>
  <c r="Q7" i="347"/>
  <c r="AD7" i="347" s="1"/>
  <c r="AF7" i="347" s="1"/>
  <c r="Q29" i="347"/>
  <c r="Q53" i="347"/>
  <c r="Q78" i="347"/>
  <c r="AD78" i="347" s="1"/>
  <c r="AF78" i="347" s="1"/>
  <c r="Q109" i="347"/>
  <c r="Q175" i="347"/>
  <c r="Q308" i="347"/>
  <c r="Q363" i="347"/>
  <c r="AD363" i="347" s="1"/>
  <c r="AF363" i="347" s="1"/>
  <c r="Q430" i="347"/>
  <c r="Q93" i="347"/>
  <c r="Q222" i="347"/>
  <c r="AD222" i="347" s="1"/>
  <c r="AF222" i="347" s="1"/>
  <c r="Q254" i="347"/>
  <c r="AD254" i="347" s="1"/>
  <c r="AF254" i="347" s="1"/>
  <c r="O184" i="347"/>
  <c r="Q157" i="347"/>
  <c r="Q276" i="347"/>
  <c r="Q318" i="347"/>
  <c r="AD318" i="347" s="1"/>
  <c r="AF318" i="347" s="1"/>
  <c r="Q438" i="347"/>
  <c r="AD438" i="347" s="1"/>
  <c r="AF438" i="347" s="1"/>
  <c r="O494" i="347"/>
  <c r="O243" i="347"/>
  <c r="O499" i="347"/>
  <c r="O85" i="347"/>
  <c r="O165" i="347"/>
  <c r="J12" i="347"/>
  <c r="K12" i="347" s="1"/>
  <c r="J428" i="347"/>
  <c r="K428" i="347" s="1"/>
  <c r="J446" i="347"/>
  <c r="K446" i="347" s="1"/>
  <c r="V56" i="347"/>
  <c r="V238" i="347"/>
  <c r="V280" i="347"/>
  <c r="V302" i="347"/>
  <c r="V344" i="347"/>
  <c r="V366" i="347"/>
  <c r="V390" i="347"/>
  <c r="V408" i="347"/>
  <c r="V430" i="347"/>
  <c r="Y160" i="347"/>
  <c r="AA160" i="347" s="1"/>
  <c r="Y224" i="347"/>
  <c r="AA224" i="347" s="1"/>
  <c r="Y288" i="347"/>
  <c r="AC288" i="347" s="1"/>
  <c r="AE288" i="347" s="1"/>
  <c r="Y352" i="347"/>
  <c r="AC352" i="347" s="1"/>
  <c r="AE352" i="347" s="1"/>
  <c r="Y416" i="347"/>
  <c r="J20" i="347"/>
  <c r="K20" i="347" s="1"/>
  <c r="J68" i="347"/>
  <c r="K68" i="347" s="1"/>
  <c r="J148" i="347"/>
  <c r="K148" i="347" s="1"/>
  <c r="J172" i="347"/>
  <c r="J204" i="347"/>
  <c r="K204" i="347" s="1"/>
  <c r="J276" i="347"/>
  <c r="K276" i="347" s="1"/>
  <c r="J316" i="347"/>
  <c r="K316" i="347" s="1"/>
  <c r="J398" i="347"/>
  <c r="K398" i="347" s="1"/>
  <c r="J462" i="347"/>
  <c r="K462" i="347" s="1"/>
  <c r="V58" i="347"/>
  <c r="V240" i="347"/>
  <c r="V262" i="347"/>
  <c r="V284" i="347"/>
  <c r="V304" i="347"/>
  <c r="V326" i="347"/>
  <c r="V348" i="347"/>
  <c r="V368" i="347"/>
  <c r="V392" i="347"/>
  <c r="V412" i="347"/>
  <c r="V432" i="347"/>
  <c r="V454" i="347"/>
  <c r="J156" i="347"/>
  <c r="K156" i="347" s="1"/>
  <c r="J210" i="347"/>
  <c r="K210" i="347" s="1"/>
  <c r="J234" i="347"/>
  <c r="K234" i="347" s="1"/>
  <c r="J260" i="347"/>
  <c r="K260" i="347" s="1"/>
  <c r="J338" i="347"/>
  <c r="K338" i="347" s="1"/>
  <c r="J356" i="347"/>
  <c r="K356" i="347" s="1"/>
  <c r="J372" i="347"/>
  <c r="K372" i="347" s="1"/>
  <c r="J450" i="347"/>
  <c r="V104" i="347"/>
  <c r="V178" i="347"/>
  <c r="V246" i="347"/>
  <c r="V268" i="347"/>
  <c r="V312" i="347"/>
  <c r="V330" i="347"/>
  <c r="V376" i="347"/>
  <c r="Y24" i="347"/>
  <c r="AC24" i="347" s="1"/>
  <c r="AE24" i="347" s="1"/>
  <c r="Y136" i="347"/>
  <c r="AC136" i="347" s="1"/>
  <c r="AE136" i="347" s="1"/>
  <c r="J36" i="347"/>
  <c r="K36" i="347" s="1"/>
  <c r="J92" i="347"/>
  <c r="K92" i="347" s="1"/>
  <c r="J132" i="347"/>
  <c r="K132" i="347" s="1"/>
  <c r="J188" i="347"/>
  <c r="K188" i="347" s="1"/>
  <c r="J242" i="347"/>
  <c r="K242" i="347" s="1"/>
  <c r="J406" i="347"/>
  <c r="K406" i="347" s="1"/>
  <c r="J422" i="347"/>
  <c r="K422" i="347" s="1"/>
  <c r="V230" i="347"/>
  <c r="V254" i="347"/>
  <c r="V296" i="347"/>
  <c r="V334" i="347"/>
  <c r="J44" i="347"/>
  <c r="K44" i="347" s="1"/>
  <c r="J162" i="347"/>
  <c r="K162" i="347" s="1"/>
  <c r="J218" i="347"/>
  <c r="K218" i="347" s="1"/>
  <c r="J290" i="347"/>
  <c r="K290" i="347" s="1"/>
  <c r="V232" i="347"/>
  <c r="V298" i="347"/>
  <c r="V318" i="347"/>
  <c r="V360" i="347"/>
  <c r="V402" i="347"/>
  <c r="V32" i="347"/>
  <c r="V48" i="347"/>
  <c r="J194" i="347"/>
  <c r="K194" i="347" s="1"/>
  <c r="J292" i="347"/>
  <c r="K292" i="347" s="1"/>
  <c r="V42" i="347"/>
  <c r="V278" i="347"/>
  <c r="V300" i="347"/>
  <c r="V342" i="347"/>
  <c r="V364" i="347"/>
  <c r="V424" i="347"/>
  <c r="Q184" i="347"/>
  <c r="Q192" i="347"/>
  <c r="Q320" i="347"/>
  <c r="O330" i="347"/>
  <c r="Q402" i="347"/>
  <c r="Q330" i="347"/>
  <c r="J26" i="347"/>
  <c r="K26" i="347" s="1"/>
  <c r="J66" i="347"/>
  <c r="K66" i="347" s="1"/>
  <c r="J122" i="347"/>
  <c r="K122" i="347" s="1"/>
  <c r="J258" i="347"/>
  <c r="K258" i="347" s="1"/>
  <c r="J394" i="347"/>
  <c r="J434" i="347"/>
  <c r="K434" i="347" s="1"/>
  <c r="V106" i="347"/>
  <c r="V138" i="347"/>
  <c r="V250" i="347"/>
  <c r="V266" i="347"/>
  <c r="V282" i="347"/>
  <c r="J10" i="347"/>
  <c r="K10" i="347" s="1"/>
  <c r="J74" i="347"/>
  <c r="J130" i="347"/>
  <c r="K130" i="347" s="1"/>
  <c r="J154" i="347"/>
  <c r="K154" i="347" s="1"/>
  <c r="V114" i="347"/>
  <c r="V410" i="347"/>
  <c r="V426" i="347"/>
  <c r="J202" i="347"/>
  <c r="K202" i="347" s="1"/>
  <c r="J346" i="347"/>
  <c r="K346" i="347" s="1"/>
  <c r="V18" i="347"/>
  <c r="V306" i="347"/>
  <c r="J82" i="347"/>
  <c r="K82" i="347" s="1"/>
  <c r="J226" i="347"/>
  <c r="K226" i="347" s="1"/>
  <c r="V362" i="347"/>
  <c r="J60" i="347"/>
  <c r="K60" i="347" s="1"/>
  <c r="J108" i="347"/>
  <c r="K108" i="347" s="1"/>
  <c r="J76" i="347"/>
  <c r="J196" i="347"/>
  <c r="J420" i="347"/>
  <c r="K420" i="347" s="1"/>
  <c r="J444" i="347"/>
  <c r="K444" i="347" s="1"/>
  <c r="V73" i="347"/>
  <c r="V460" i="347"/>
  <c r="J100" i="347"/>
  <c r="J140" i="347"/>
  <c r="J252" i="347"/>
  <c r="K252" i="347" s="1"/>
  <c r="J324" i="347"/>
  <c r="J28" i="347"/>
  <c r="K28" i="347" s="1"/>
  <c r="J52" i="347"/>
  <c r="J124" i="347"/>
  <c r="K124" i="347" s="1"/>
  <c r="J180" i="347"/>
  <c r="K180" i="347" s="1"/>
  <c r="J220" i="347"/>
  <c r="K220" i="347" s="1"/>
  <c r="J236" i="347"/>
  <c r="K236" i="347" s="1"/>
  <c r="J285" i="347"/>
  <c r="K285" i="347" s="1"/>
  <c r="J340" i="347"/>
  <c r="K340" i="347" s="1"/>
  <c r="J388" i="347"/>
  <c r="K388" i="347" s="1"/>
  <c r="J84" i="347"/>
  <c r="K84" i="347" s="1"/>
  <c r="J164" i="347"/>
  <c r="K164" i="347" s="1"/>
  <c r="J167" i="347"/>
  <c r="J231" i="347"/>
  <c r="J255" i="347"/>
  <c r="K255" i="347" s="1"/>
  <c r="J275" i="347"/>
  <c r="K275" i="347" s="1"/>
  <c r="J367" i="347"/>
  <c r="K367" i="347" s="1"/>
  <c r="J403" i="347"/>
  <c r="J431" i="347"/>
  <c r="V40" i="347"/>
  <c r="V187" i="347"/>
  <c r="V207" i="347"/>
  <c r="V219" i="347"/>
  <c r="V419" i="347"/>
  <c r="V455" i="347"/>
  <c r="J143" i="347"/>
  <c r="J287" i="347"/>
  <c r="J339" i="347"/>
  <c r="J359" i="347"/>
  <c r="J459" i="347"/>
  <c r="V119" i="347"/>
  <c r="V191" i="347"/>
  <c r="V279" i="347"/>
  <c r="V291" i="347"/>
  <c r="V303" i="347"/>
  <c r="V327" i="347"/>
  <c r="V351" i="347"/>
  <c r="V375" i="347"/>
  <c r="V387" i="347"/>
  <c r="V399" i="347"/>
  <c r="J183" i="347"/>
  <c r="K183" i="347" s="1"/>
  <c r="J195" i="347"/>
  <c r="J247" i="347"/>
  <c r="K247" i="347" s="1"/>
  <c r="J415" i="347"/>
  <c r="K415" i="347" s="1"/>
  <c r="J451" i="347"/>
  <c r="V88" i="347"/>
  <c r="V175" i="347"/>
  <c r="V447" i="347"/>
  <c r="V151" i="347"/>
  <c r="J135" i="347"/>
  <c r="J199" i="347"/>
  <c r="J435" i="347"/>
  <c r="J463" i="347"/>
  <c r="V295" i="347"/>
  <c r="V355" i="347"/>
  <c r="V391" i="347"/>
  <c r="V25" i="347"/>
  <c r="V65" i="347"/>
  <c r="V193" i="347"/>
  <c r="V209" i="347"/>
  <c r="V217" i="347"/>
  <c r="V241" i="347"/>
  <c r="V273" i="347"/>
  <c r="V305" i="347"/>
  <c r="V321" i="347"/>
  <c r="V385" i="347"/>
  <c r="V433" i="347"/>
  <c r="V465" i="347"/>
  <c r="J239" i="347"/>
  <c r="J323" i="347"/>
  <c r="K323" i="347" s="1"/>
  <c r="J335" i="347"/>
  <c r="K335" i="347" s="1"/>
  <c r="J427" i="347"/>
  <c r="K427" i="347" s="1"/>
  <c r="V215" i="347"/>
  <c r="V227" i="347"/>
  <c r="V439" i="347"/>
  <c r="J263" i="347"/>
  <c r="K263" i="347" s="1"/>
  <c r="J383" i="347"/>
  <c r="K383" i="347" s="1"/>
  <c r="V72" i="347"/>
  <c r="K193" i="347"/>
  <c r="K319" i="347"/>
  <c r="K423" i="347"/>
  <c r="K89" i="347"/>
  <c r="K145" i="347"/>
  <c r="K25" i="347"/>
  <c r="K361" i="347"/>
  <c r="K225" i="347"/>
  <c r="K175" i="347"/>
  <c r="K97" i="347"/>
  <c r="K447" i="347"/>
  <c r="K465" i="347"/>
  <c r="V201" i="347"/>
  <c r="V369" i="347"/>
  <c r="V23" i="347"/>
  <c r="V31" i="347"/>
  <c r="V39" i="347"/>
  <c r="V47" i="347"/>
  <c r="V55" i="347"/>
  <c r="V63" i="347"/>
  <c r="V71" i="347"/>
  <c r="V79" i="347"/>
  <c r="V87" i="347"/>
  <c r="V95" i="347"/>
  <c r="V103" i="347"/>
  <c r="V111" i="347"/>
  <c r="V337" i="347"/>
  <c r="V449" i="347"/>
  <c r="Y25" i="347"/>
  <c r="AA25" i="347" s="1"/>
  <c r="Y65" i="347"/>
  <c r="AC65" i="347" s="1"/>
  <c r="AE65" i="347" s="1"/>
  <c r="Y193" i="347"/>
  <c r="AC193" i="347" s="1"/>
  <c r="AE193" i="347" s="1"/>
  <c r="Y209" i="347"/>
  <c r="AA209" i="347" s="1"/>
  <c r="Y217" i="347"/>
  <c r="AC217" i="347" s="1"/>
  <c r="AE217" i="347" s="1"/>
  <c r="Y241" i="347"/>
  <c r="AC241" i="347" s="1"/>
  <c r="AE241" i="347" s="1"/>
  <c r="Y273" i="347"/>
  <c r="AC273" i="347" s="1"/>
  <c r="AE273" i="347" s="1"/>
  <c r="Y305" i="347"/>
  <c r="AC305" i="347" s="1"/>
  <c r="AE305" i="347" s="1"/>
  <c r="Y321" i="347"/>
  <c r="AC321" i="347" s="1"/>
  <c r="AE321" i="347" s="1"/>
  <c r="Y385" i="347"/>
  <c r="AC385" i="347" s="1"/>
  <c r="AE385" i="347" s="1"/>
  <c r="Y433" i="347"/>
  <c r="AC433" i="347" s="1"/>
  <c r="AE433" i="347" s="1"/>
  <c r="Y465" i="347"/>
  <c r="AA465" i="347" s="1"/>
  <c r="V17" i="347"/>
  <c r="V41" i="347"/>
  <c r="V49" i="347"/>
  <c r="V57" i="347"/>
  <c r="V81" i="347"/>
  <c r="V89" i="347"/>
  <c r="V97" i="347"/>
  <c r="V105" i="347"/>
  <c r="V121" i="347"/>
  <c r="V129" i="347"/>
  <c r="V145" i="347"/>
  <c r="V153" i="347"/>
  <c r="V161" i="347"/>
  <c r="V169" i="347"/>
  <c r="V177" i="347"/>
  <c r="V225" i="347"/>
  <c r="V233" i="347"/>
  <c r="V249" i="347"/>
  <c r="V265" i="347"/>
  <c r="V281" i="347"/>
  <c r="V289" i="347"/>
  <c r="V297" i="347"/>
  <c r="V313" i="347"/>
  <c r="V329" i="347"/>
  <c r="V345" i="347"/>
  <c r="V353" i="347"/>
  <c r="V361" i="347"/>
  <c r="V377" i="347"/>
  <c r="V393" i="347"/>
  <c r="V409" i="347"/>
  <c r="V417" i="347"/>
  <c r="V425" i="347"/>
  <c r="V441" i="347"/>
  <c r="V457" i="347"/>
  <c r="V11" i="347"/>
  <c r="V19" i="347"/>
  <c r="V27" i="347"/>
  <c r="V35" i="347"/>
  <c r="V43" i="347"/>
  <c r="V51" i="347"/>
  <c r="V59" i="347"/>
  <c r="V67" i="347"/>
  <c r="V75" i="347"/>
  <c r="V83" i="347"/>
  <c r="V91" i="347"/>
  <c r="V99" i="347"/>
  <c r="V107" i="347"/>
  <c r="V115" i="347"/>
  <c r="V123" i="347"/>
  <c r="V131" i="347"/>
  <c r="V139" i="347"/>
  <c r="V147" i="347"/>
  <c r="V155" i="347"/>
  <c r="V163" i="347"/>
  <c r="V171" i="347"/>
  <c r="V179" i="347"/>
  <c r="V203" i="347"/>
  <c r="V235" i="347"/>
  <c r="V243" i="347"/>
  <c r="V251" i="347"/>
  <c r="V267" i="347"/>
  <c r="V283" i="347"/>
  <c r="V299" i="347"/>
  <c r="V307" i="347"/>
  <c r="V315" i="347"/>
  <c r="V331" i="347"/>
  <c r="V347" i="347"/>
  <c r="V363" i="347"/>
  <c r="V371" i="347"/>
  <c r="V379" i="347"/>
  <c r="V395" i="347"/>
  <c r="V411" i="347"/>
  <c r="J11" i="347"/>
  <c r="K11" i="347" s="1"/>
  <c r="J41" i="347"/>
  <c r="O41" i="347" s="1"/>
  <c r="J349" i="347"/>
  <c r="K349" i="347" s="1"/>
  <c r="J357" i="347"/>
  <c r="J365" i="347"/>
  <c r="K365" i="347" s="1"/>
  <c r="J373" i="347"/>
  <c r="J381" i="347"/>
  <c r="K381" i="347" s="1"/>
  <c r="J389" i="347"/>
  <c r="K389" i="347" s="1"/>
  <c r="J397" i="347"/>
  <c r="K397" i="347" s="1"/>
  <c r="J405" i="347"/>
  <c r="K405" i="347" s="1"/>
  <c r="J413" i="347"/>
  <c r="K413" i="347" s="1"/>
  <c r="J421" i="347"/>
  <c r="K421" i="347" s="1"/>
  <c r="J429" i="347"/>
  <c r="J437" i="347"/>
  <c r="K437" i="347" s="1"/>
  <c r="J445" i="347"/>
  <c r="K445" i="347" s="1"/>
  <c r="J453" i="347"/>
  <c r="J461" i="347"/>
  <c r="K461" i="347" s="1"/>
  <c r="K77" i="347"/>
  <c r="V189" i="347"/>
  <c r="V9" i="347"/>
  <c r="V33" i="347"/>
  <c r="J17" i="347"/>
  <c r="J43" i="347"/>
  <c r="K43" i="347" s="1"/>
  <c r="V165" i="347"/>
  <c r="V13" i="347"/>
  <c r="J19" i="347"/>
  <c r="O19" i="347" s="1"/>
  <c r="V69" i="347"/>
  <c r="K237" i="347"/>
  <c r="K253" i="347"/>
  <c r="K269" i="347"/>
  <c r="J197" i="347"/>
  <c r="K197" i="347" s="1"/>
  <c r="J229" i="347"/>
  <c r="J277" i="347"/>
  <c r="J341" i="347"/>
  <c r="K341" i="347" s="1"/>
  <c r="K85" i="347"/>
  <c r="V53" i="347"/>
  <c r="V125" i="347"/>
  <c r="V237" i="347"/>
  <c r="V245" i="347"/>
  <c r="V253" i="347"/>
  <c r="V261" i="347"/>
  <c r="V269" i="347"/>
  <c r="V293" i="347"/>
  <c r="V301" i="347"/>
  <c r="V309" i="347"/>
  <c r="V317" i="347"/>
  <c r="V325" i="347"/>
  <c r="V333" i="347"/>
  <c r="K169" i="347"/>
  <c r="V37" i="347"/>
  <c r="V109" i="347"/>
  <c r="V141" i="347"/>
  <c r="V181" i="347"/>
  <c r="V221" i="347"/>
  <c r="V21" i="347"/>
  <c r="V93" i="347"/>
  <c r="V157" i="347"/>
  <c r="V213" i="347"/>
  <c r="V77" i="347"/>
  <c r="V205" i="347"/>
  <c r="K304" i="347"/>
  <c r="V61" i="347"/>
  <c r="V117" i="347"/>
  <c r="V133" i="347"/>
  <c r="V173" i="347"/>
  <c r="V45" i="347"/>
  <c r="V101" i="347"/>
  <c r="V29" i="347"/>
  <c r="V85" i="347"/>
  <c r="V149" i="347"/>
  <c r="K181" i="347"/>
  <c r="K213" i="347"/>
  <c r="K245" i="347"/>
  <c r="K309" i="347"/>
  <c r="K281" i="347"/>
  <c r="K205" i="347"/>
  <c r="O89" i="347"/>
  <c r="K57" i="347"/>
  <c r="K233" i="347"/>
  <c r="K333" i="347"/>
  <c r="K399" i="347"/>
  <c r="K241" i="347"/>
  <c r="K165" i="347"/>
  <c r="K261" i="347"/>
  <c r="AC13" i="347"/>
  <c r="AE13" i="347" s="1"/>
  <c r="AA13" i="347"/>
  <c r="AC21" i="347"/>
  <c r="AE21" i="347" s="1"/>
  <c r="AA21" i="347"/>
  <c r="AC29" i="347"/>
  <c r="AE29" i="347" s="1"/>
  <c r="AA29" i="347"/>
  <c r="AC37" i="347"/>
  <c r="AE37" i="347" s="1"/>
  <c r="AA37" i="347"/>
  <c r="AC45" i="347"/>
  <c r="AE45" i="347" s="1"/>
  <c r="AA45" i="347"/>
  <c r="AC53" i="347"/>
  <c r="AE53" i="347" s="1"/>
  <c r="AA53" i="347"/>
  <c r="AC61" i="347"/>
  <c r="AE61" i="347" s="1"/>
  <c r="AA61" i="347"/>
  <c r="AC69" i="347"/>
  <c r="AE69" i="347" s="1"/>
  <c r="AC77" i="347"/>
  <c r="AE77" i="347" s="1"/>
  <c r="AA77" i="347"/>
  <c r="AC85" i="347"/>
  <c r="AE85" i="347" s="1"/>
  <c r="AC93" i="347"/>
  <c r="AE93" i="347" s="1"/>
  <c r="AA93" i="347"/>
  <c r="AC101" i="347"/>
  <c r="AE101" i="347" s="1"/>
  <c r="AA101" i="347"/>
  <c r="AC109" i="347"/>
  <c r="AE109" i="347" s="1"/>
  <c r="AA109" i="347"/>
  <c r="AC117" i="347"/>
  <c r="AE117" i="347" s="1"/>
  <c r="AA117" i="347"/>
  <c r="AC125" i="347"/>
  <c r="AE125" i="347" s="1"/>
  <c r="AA125" i="347"/>
  <c r="AC133" i="347"/>
  <c r="AE133" i="347" s="1"/>
  <c r="AA133" i="347"/>
  <c r="AC141" i="347"/>
  <c r="AE141" i="347" s="1"/>
  <c r="AA141" i="347"/>
  <c r="AC149" i="347"/>
  <c r="AE149" i="347" s="1"/>
  <c r="AA149" i="347"/>
  <c r="AC157" i="347"/>
  <c r="AE157" i="347" s="1"/>
  <c r="AA157" i="347"/>
  <c r="AC165" i="347"/>
  <c r="AE165" i="347" s="1"/>
  <c r="AA165" i="347"/>
  <c r="AC173" i="347"/>
  <c r="AE173" i="347" s="1"/>
  <c r="AA173" i="347"/>
  <c r="AC181" i="347"/>
  <c r="AE181" i="347" s="1"/>
  <c r="AA181" i="347"/>
  <c r="AC189" i="347"/>
  <c r="AE189" i="347" s="1"/>
  <c r="AA189" i="347"/>
  <c r="AC197" i="347"/>
  <c r="AE197" i="347" s="1"/>
  <c r="AA197" i="347"/>
  <c r="AC205" i="347"/>
  <c r="AE205" i="347" s="1"/>
  <c r="AA205" i="347"/>
  <c r="AC213" i="347"/>
  <c r="AE213" i="347" s="1"/>
  <c r="AA213" i="347"/>
  <c r="AC221" i="347"/>
  <c r="AE221" i="347" s="1"/>
  <c r="AA221" i="347"/>
  <c r="AC229" i="347"/>
  <c r="AE229" i="347" s="1"/>
  <c r="AA229" i="347"/>
  <c r="AC237" i="347"/>
  <c r="AE237" i="347" s="1"/>
  <c r="AA237" i="347"/>
  <c r="AC245" i="347"/>
  <c r="AE245" i="347" s="1"/>
  <c r="AA245" i="347"/>
  <c r="AC253" i="347"/>
  <c r="AE253" i="347" s="1"/>
  <c r="AA253" i="347"/>
  <c r="AC261" i="347"/>
  <c r="AE261" i="347" s="1"/>
  <c r="AA261" i="347"/>
  <c r="AA269" i="347"/>
  <c r="AC269" i="347"/>
  <c r="AE269" i="347" s="1"/>
  <c r="AC277" i="347"/>
  <c r="AE277" i="347" s="1"/>
  <c r="AA277" i="347"/>
  <c r="AC285" i="347"/>
  <c r="AE285" i="347" s="1"/>
  <c r="AA285" i="347"/>
  <c r="AC293" i="347"/>
  <c r="AE293" i="347" s="1"/>
  <c r="AA293" i="347"/>
  <c r="AC301" i="347"/>
  <c r="AE301" i="347" s="1"/>
  <c r="AA301" i="347"/>
  <c r="AC309" i="347"/>
  <c r="AE309" i="347" s="1"/>
  <c r="AA309" i="347"/>
  <c r="AC317" i="347"/>
  <c r="AE317" i="347" s="1"/>
  <c r="AA317" i="347"/>
  <c r="AC325" i="347"/>
  <c r="AE325" i="347" s="1"/>
  <c r="AA325" i="347"/>
  <c r="AC333" i="347"/>
  <c r="AE333" i="347" s="1"/>
  <c r="AA333" i="347"/>
  <c r="AC341" i="347"/>
  <c r="AE341" i="347" s="1"/>
  <c r="AA341" i="347"/>
  <c r="AC349" i="347"/>
  <c r="AE349" i="347" s="1"/>
  <c r="AA349" i="347"/>
  <c r="AC357" i="347"/>
  <c r="AE357" i="347" s="1"/>
  <c r="AA357" i="347"/>
  <c r="AC365" i="347"/>
  <c r="AE365" i="347" s="1"/>
  <c r="AA365" i="347"/>
  <c r="AC373" i="347"/>
  <c r="AE373" i="347" s="1"/>
  <c r="AA373" i="347"/>
  <c r="AC381" i="347"/>
  <c r="AE381" i="347" s="1"/>
  <c r="AA381" i="347"/>
  <c r="AC389" i="347"/>
  <c r="AE389" i="347" s="1"/>
  <c r="AA389" i="347"/>
  <c r="AC397" i="347"/>
  <c r="AE397" i="347" s="1"/>
  <c r="AA397" i="347"/>
  <c r="AC405" i="347"/>
  <c r="AE405" i="347" s="1"/>
  <c r="AA405" i="347"/>
  <c r="AC413" i="347"/>
  <c r="AE413" i="347" s="1"/>
  <c r="AA413" i="347"/>
  <c r="AC421" i="347"/>
  <c r="AE421" i="347" s="1"/>
  <c r="AA421" i="347"/>
  <c r="AC429" i="347"/>
  <c r="AE429" i="347" s="1"/>
  <c r="AA429" i="347"/>
  <c r="AC437" i="347"/>
  <c r="AE437" i="347" s="1"/>
  <c r="AA437" i="347"/>
  <c r="AC445" i="347"/>
  <c r="AE445" i="347" s="1"/>
  <c r="AA445" i="347"/>
  <c r="AC453" i="347"/>
  <c r="AE453" i="347" s="1"/>
  <c r="AA453" i="347"/>
  <c r="AC461" i="347"/>
  <c r="AE461" i="347" s="1"/>
  <c r="AA461" i="347"/>
  <c r="AC6" i="347"/>
  <c r="AE6" i="347" s="1"/>
  <c r="AA6" i="347"/>
  <c r="AC14" i="347"/>
  <c r="AE14" i="347" s="1"/>
  <c r="AC111" i="347"/>
  <c r="AE111" i="347" s="1"/>
  <c r="AC8" i="347"/>
  <c r="AE8" i="347" s="1"/>
  <c r="AC16" i="347"/>
  <c r="AE16" i="347" s="1"/>
  <c r="AC32" i="347"/>
  <c r="AE32" i="347" s="1"/>
  <c r="AC40" i="347"/>
  <c r="AE40" i="347" s="1"/>
  <c r="AC48" i="347"/>
  <c r="AE48" i="347" s="1"/>
  <c r="AC56" i="347"/>
  <c r="AE56" i="347" s="1"/>
  <c r="AA56" i="347"/>
  <c r="AC64" i="347"/>
  <c r="AE64" i="347" s="1"/>
  <c r="AA64" i="347"/>
  <c r="AC72" i="347"/>
  <c r="AE72" i="347" s="1"/>
  <c r="AC80" i="347"/>
  <c r="AE80" i="347" s="1"/>
  <c r="AC88" i="347"/>
  <c r="AE88" i="347" s="1"/>
  <c r="AA88" i="347"/>
  <c r="AC96" i="347"/>
  <c r="AE96" i="347" s="1"/>
  <c r="AC104" i="347"/>
  <c r="AE104" i="347" s="1"/>
  <c r="AC112" i="347"/>
  <c r="AE112" i="347" s="1"/>
  <c r="AC120" i="347"/>
  <c r="AE120" i="347" s="1"/>
  <c r="AA120" i="347"/>
  <c r="AC128" i="347"/>
  <c r="AE128" i="347" s="1"/>
  <c r="AA128" i="347"/>
  <c r="AC144" i="347"/>
  <c r="AE144" i="347" s="1"/>
  <c r="AC152" i="347"/>
  <c r="AE152" i="347" s="1"/>
  <c r="AA152" i="347"/>
  <c r="AC168" i="347"/>
  <c r="AE168" i="347" s="1"/>
  <c r="AA168" i="347"/>
  <c r="AC176" i="347"/>
  <c r="AE176" i="347" s="1"/>
  <c r="AA176" i="347"/>
  <c r="AC184" i="347"/>
  <c r="AE184" i="347" s="1"/>
  <c r="AA184" i="347"/>
  <c r="AC192" i="347"/>
  <c r="AE192" i="347" s="1"/>
  <c r="AA192" i="347"/>
  <c r="AC200" i="347"/>
  <c r="AE200" i="347" s="1"/>
  <c r="AA200" i="347"/>
  <c r="AC208" i="347"/>
  <c r="AE208" i="347" s="1"/>
  <c r="AA208" i="347"/>
  <c r="AC216" i="347"/>
  <c r="AE216" i="347" s="1"/>
  <c r="AA216" i="347"/>
  <c r="AC232" i="347"/>
  <c r="AE232" i="347" s="1"/>
  <c r="AA232" i="347"/>
  <c r="AC240" i="347"/>
  <c r="AE240" i="347" s="1"/>
  <c r="AA240" i="347"/>
  <c r="AC248" i="347"/>
  <c r="AE248" i="347" s="1"/>
  <c r="AA248" i="347"/>
  <c r="AC256" i="347"/>
  <c r="AE256" i="347" s="1"/>
  <c r="AA256" i="347"/>
  <c r="AC264" i="347"/>
  <c r="AE264" i="347" s="1"/>
  <c r="AA264" i="347"/>
  <c r="AC272" i="347"/>
  <c r="AE272" i="347" s="1"/>
  <c r="AA272" i="347"/>
  <c r="AC280" i="347"/>
  <c r="AE280" i="347" s="1"/>
  <c r="AA280" i="347"/>
  <c r="AC296" i="347"/>
  <c r="AE296" i="347" s="1"/>
  <c r="AA296" i="347"/>
  <c r="AC304" i="347"/>
  <c r="AE304" i="347" s="1"/>
  <c r="AA304" i="347"/>
  <c r="AC312" i="347"/>
  <c r="AE312" i="347" s="1"/>
  <c r="AA312" i="347"/>
  <c r="AC320" i="347"/>
  <c r="AE320" i="347" s="1"/>
  <c r="AA320" i="347"/>
  <c r="AC328" i="347"/>
  <c r="AE328" i="347" s="1"/>
  <c r="AA328" i="347"/>
  <c r="AC336" i="347"/>
  <c r="AE336" i="347" s="1"/>
  <c r="AA336" i="347"/>
  <c r="AC344" i="347"/>
  <c r="AE344" i="347" s="1"/>
  <c r="AA344" i="347"/>
  <c r="AC360" i="347"/>
  <c r="AE360" i="347" s="1"/>
  <c r="AA360" i="347"/>
  <c r="AC368" i="347"/>
  <c r="AE368" i="347" s="1"/>
  <c r="AA368" i="347"/>
  <c r="AC376" i="347"/>
  <c r="AE376" i="347" s="1"/>
  <c r="AA376" i="347"/>
  <c r="AC384" i="347"/>
  <c r="AE384" i="347" s="1"/>
  <c r="AA384" i="347"/>
  <c r="AC392" i="347"/>
  <c r="AE392" i="347" s="1"/>
  <c r="AA392" i="347"/>
  <c r="AC400" i="347"/>
  <c r="AE400" i="347" s="1"/>
  <c r="AA400" i="347"/>
  <c r="AC408" i="347"/>
  <c r="AE408" i="347" s="1"/>
  <c r="AA408" i="347"/>
  <c r="AC424" i="347"/>
  <c r="AE424" i="347" s="1"/>
  <c r="AA424" i="347"/>
  <c r="AC432" i="347"/>
  <c r="AE432" i="347" s="1"/>
  <c r="AA432" i="347"/>
  <c r="AC440" i="347"/>
  <c r="AE440" i="347" s="1"/>
  <c r="AA440" i="347"/>
  <c r="AC448" i="347"/>
  <c r="AE448" i="347" s="1"/>
  <c r="AA448" i="347"/>
  <c r="AC456" i="347"/>
  <c r="AE456" i="347" s="1"/>
  <c r="AA456" i="347"/>
  <c r="AA16" i="347"/>
  <c r="AA104" i="347"/>
  <c r="AC9" i="347"/>
  <c r="AE9" i="347" s="1"/>
  <c r="AA9" i="347"/>
  <c r="AC17" i="347"/>
  <c r="AE17" i="347" s="1"/>
  <c r="AC33" i="347"/>
  <c r="AE33" i="347" s="1"/>
  <c r="AA33" i="347"/>
  <c r="AC41" i="347"/>
  <c r="AE41" i="347" s="1"/>
  <c r="AC49" i="347"/>
  <c r="AE49" i="347" s="1"/>
  <c r="AC57" i="347"/>
  <c r="AE57" i="347" s="1"/>
  <c r="AC73" i="347"/>
  <c r="AE73" i="347" s="1"/>
  <c r="AA73" i="347"/>
  <c r="AC81" i="347"/>
  <c r="AE81" i="347" s="1"/>
  <c r="AC89" i="347"/>
  <c r="AE89" i="347" s="1"/>
  <c r="AC97" i="347"/>
  <c r="AE97" i="347" s="1"/>
  <c r="AA97" i="347"/>
  <c r="AC105" i="347"/>
  <c r="AE105" i="347" s="1"/>
  <c r="AC113" i="347"/>
  <c r="AE113" i="347" s="1"/>
  <c r="AC121" i="347"/>
  <c r="AE121" i="347" s="1"/>
  <c r="AA129" i="347"/>
  <c r="AC129" i="347"/>
  <c r="AE129" i="347" s="1"/>
  <c r="AC137" i="347"/>
  <c r="AE137" i="347" s="1"/>
  <c r="AA137" i="347"/>
  <c r="AC145" i="347"/>
  <c r="AE145" i="347" s="1"/>
  <c r="AA145" i="347"/>
  <c r="AC153" i="347"/>
  <c r="AE153" i="347" s="1"/>
  <c r="AA153" i="347"/>
  <c r="AC161" i="347"/>
  <c r="AE161" i="347" s="1"/>
  <c r="AA161" i="347"/>
  <c r="AC169" i="347"/>
  <c r="AE169" i="347" s="1"/>
  <c r="AC177" i="347"/>
  <c r="AE177" i="347" s="1"/>
  <c r="AA177" i="347"/>
  <c r="AC185" i="347"/>
  <c r="AE185" i="347" s="1"/>
  <c r="AA185" i="347"/>
  <c r="AC201" i="347"/>
  <c r="AE201" i="347" s="1"/>
  <c r="AA201" i="347"/>
  <c r="AC225" i="347"/>
  <c r="AE225" i="347" s="1"/>
  <c r="AA225" i="347"/>
  <c r="AC233" i="347"/>
  <c r="AE233" i="347" s="1"/>
  <c r="AC249" i="347"/>
  <c r="AE249" i="347" s="1"/>
  <c r="AA249" i="347"/>
  <c r="AC257" i="347"/>
  <c r="AE257" i="347" s="1"/>
  <c r="AA257" i="347"/>
  <c r="AC265" i="347"/>
  <c r="AE265" i="347" s="1"/>
  <c r="AA265" i="347"/>
  <c r="AC281" i="347"/>
  <c r="AE281" i="347" s="1"/>
  <c r="AA281" i="347"/>
  <c r="AC289" i="347"/>
  <c r="AE289" i="347" s="1"/>
  <c r="AA289" i="347"/>
  <c r="AC297" i="347"/>
  <c r="AE297" i="347" s="1"/>
  <c r="AC313" i="347"/>
  <c r="AE313" i="347" s="1"/>
  <c r="AA313" i="347"/>
  <c r="AC329" i="347"/>
  <c r="AE329" i="347" s="1"/>
  <c r="AA329" i="347"/>
  <c r="AC337" i="347"/>
  <c r="AE337" i="347" s="1"/>
  <c r="AA337" i="347"/>
  <c r="AC345" i="347"/>
  <c r="AE345" i="347" s="1"/>
  <c r="AA345" i="347"/>
  <c r="AC353" i="347"/>
  <c r="AE353" i="347" s="1"/>
  <c r="AA353" i="347"/>
  <c r="AC361" i="347"/>
  <c r="AE361" i="347" s="1"/>
  <c r="AC369" i="347"/>
  <c r="AE369" i="347" s="1"/>
  <c r="AA369" i="347"/>
  <c r="AC377" i="347"/>
  <c r="AE377" i="347" s="1"/>
  <c r="AA377" i="347"/>
  <c r="AC393" i="347"/>
  <c r="AE393" i="347" s="1"/>
  <c r="AA393" i="347"/>
  <c r="AC401" i="347"/>
  <c r="AE401" i="347" s="1"/>
  <c r="AA401" i="347"/>
  <c r="AC409" i="347"/>
  <c r="AE409" i="347" s="1"/>
  <c r="AA409" i="347"/>
  <c r="AC417" i="347"/>
  <c r="AE417" i="347" s="1"/>
  <c r="AA417" i="347"/>
  <c r="AC425" i="347"/>
  <c r="AE425" i="347" s="1"/>
  <c r="AC441" i="347"/>
  <c r="AE441" i="347" s="1"/>
  <c r="AA441" i="347"/>
  <c r="AC449" i="347"/>
  <c r="AE449" i="347" s="1"/>
  <c r="AA449" i="347"/>
  <c r="AC457" i="347"/>
  <c r="AE457" i="347" s="1"/>
  <c r="AA17" i="347"/>
  <c r="AA32" i="347"/>
  <c r="AA48" i="347"/>
  <c r="AA105" i="347"/>
  <c r="AA121" i="347"/>
  <c r="AA233" i="347"/>
  <c r="AC10" i="347"/>
  <c r="AE10" i="347" s="1"/>
  <c r="AA18" i="347"/>
  <c r="AC18" i="347"/>
  <c r="AE18" i="347" s="1"/>
  <c r="AC26" i="347"/>
  <c r="AE26" i="347" s="1"/>
  <c r="AC34" i="347"/>
  <c r="AE34" i="347" s="1"/>
  <c r="AC42" i="347"/>
  <c r="AE42" i="347" s="1"/>
  <c r="AA42" i="347"/>
  <c r="AC50" i="347"/>
  <c r="AE50" i="347" s="1"/>
  <c r="AC58" i="347"/>
  <c r="AE58" i="347" s="1"/>
  <c r="AC66" i="347"/>
  <c r="AE66" i="347" s="1"/>
  <c r="AC74" i="347"/>
  <c r="AE74" i="347" s="1"/>
  <c r="AA74" i="347"/>
  <c r="AC82" i="347"/>
  <c r="AE82" i="347" s="1"/>
  <c r="AA82" i="347"/>
  <c r="AC90" i="347"/>
  <c r="AE90" i="347" s="1"/>
  <c r="AC98" i="347"/>
  <c r="AE98" i="347" s="1"/>
  <c r="AC106" i="347"/>
  <c r="AE106" i="347" s="1"/>
  <c r="AA106" i="347"/>
  <c r="AC114" i="347"/>
  <c r="AE114" i="347" s="1"/>
  <c r="AC122" i="347"/>
  <c r="AE122" i="347" s="1"/>
  <c r="AC130" i="347"/>
  <c r="AE130" i="347" s="1"/>
  <c r="AC138" i="347"/>
  <c r="AE138" i="347" s="1"/>
  <c r="AA138" i="347"/>
  <c r="AC146" i="347"/>
  <c r="AE146" i="347" s="1"/>
  <c r="AA146" i="347"/>
  <c r="AC154" i="347"/>
  <c r="AE154" i="347" s="1"/>
  <c r="AA154" i="347"/>
  <c r="AC162" i="347"/>
  <c r="AE162" i="347" s="1"/>
  <c r="AA162" i="347"/>
  <c r="AC170" i="347"/>
  <c r="AE170" i="347" s="1"/>
  <c r="AA170" i="347"/>
  <c r="AC178" i="347"/>
  <c r="AE178" i="347" s="1"/>
  <c r="AC186" i="347"/>
  <c r="AE186" i="347" s="1"/>
  <c r="AA186" i="347"/>
  <c r="AC194" i="347"/>
  <c r="AE194" i="347" s="1"/>
  <c r="AA194" i="347"/>
  <c r="AC202" i="347"/>
  <c r="AE202" i="347" s="1"/>
  <c r="AA202" i="347"/>
  <c r="AC210" i="347"/>
  <c r="AE210" i="347" s="1"/>
  <c r="AA210" i="347"/>
  <c r="AC218" i="347"/>
  <c r="AE218" i="347" s="1"/>
  <c r="AA218" i="347"/>
  <c r="AC226" i="347"/>
  <c r="AE226" i="347" s="1"/>
  <c r="AA226" i="347"/>
  <c r="AC234" i="347"/>
  <c r="AE234" i="347" s="1"/>
  <c r="AA234" i="347"/>
  <c r="AC242" i="347"/>
  <c r="AE242" i="347" s="1"/>
  <c r="AC250" i="347"/>
  <c r="AE250" i="347" s="1"/>
  <c r="AA250" i="347"/>
  <c r="AC258" i="347"/>
  <c r="AE258" i="347" s="1"/>
  <c r="AA258" i="347"/>
  <c r="AC266" i="347"/>
  <c r="AE266" i="347" s="1"/>
  <c r="AA266" i="347"/>
  <c r="AC274" i="347"/>
  <c r="AE274" i="347" s="1"/>
  <c r="AA274" i="347"/>
  <c r="AC282" i="347"/>
  <c r="AE282" i="347" s="1"/>
  <c r="AA282" i="347"/>
  <c r="AC290" i="347"/>
  <c r="AE290" i="347" s="1"/>
  <c r="AA290" i="347"/>
  <c r="AC298" i="347"/>
  <c r="AE298" i="347" s="1"/>
  <c r="AA298" i="347"/>
  <c r="AC306" i="347"/>
  <c r="AE306" i="347" s="1"/>
  <c r="AC314" i="347"/>
  <c r="AE314" i="347" s="1"/>
  <c r="AA314" i="347"/>
  <c r="AC322" i="347"/>
  <c r="AE322" i="347" s="1"/>
  <c r="AA322" i="347"/>
  <c r="AC330" i="347"/>
  <c r="AE330" i="347" s="1"/>
  <c r="AA330" i="347"/>
  <c r="AC338" i="347"/>
  <c r="AE338" i="347" s="1"/>
  <c r="AA338" i="347"/>
  <c r="AC346" i="347"/>
  <c r="AE346" i="347" s="1"/>
  <c r="AA346" i="347"/>
  <c r="AC354" i="347"/>
  <c r="AE354" i="347" s="1"/>
  <c r="AA354" i="347"/>
  <c r="AC362" i="347"/>
  <c r="AE362" i="347" s="1"/>
  <c r="AA362" i="347"/>
  <c r="AC370" i="347"/>
  <c r="AE370" i="347" s="1"/>
  <c r="AC378" i="347"/>
  <c r="AE378" i="347" s="1"/>
  <c r="AA378" i="347"/>
  <c r="AC386" i="347"/>
  <c r="AE386" i="347" s="1"/>
  <c r="AA386" i="347"/>
  <c r="AA394" i="347"/>
  <c r="AC394" i="347"/>
  <c r="AE394" i="347" s="1"/>
  <c r="AC402" i="347"/>
  <c r="AE402" i="347" s="1"/>
  <c r="AA402" i="347"/>
  <c r="AC410" i="347"/>
  <c r="AE410" i="347" s="1"/>
  <c r="AA410" i="347"/>
  <c r="AC418" i="347"/>
  <c r="AE418" i="347" s="1"/>
  <c r="AA418" i="347"/>
  <c r="AC426" i="347"/>
  <c r="AE426" i="347" s="1"/>
  <c r="AA426" i="347"/>
  <c r="AC434" i="347"/>
  <c r="AE434" i="347" s="1"/>
  <c r="AA434" i="347"/>
  <c r="AC442" i="347"/>
  <c r="AE442" i="347" s="1"/>
  <c r="AA442" i="347"/>
  <c r="AC450" i="347"/>
  <c r="AE450" i="347" s="1"/>
  <c r="AA450" i="347"/>
  <c r="AC458" i="347"/>
  <c r="AE458" i="347" s="1"/>
  <c r="AA458" i="347"/>
  <c r="AA34" i="347"/>
  <c r="AA49" i="347"/>
  <c r="AA122" i="347"/>
  <c r="AC11" i="347"/>
  <c r="AE11" i="347" s="1"/>
  <c r="AC19" i="347"/>
  <c r="AE19" i="347" s="1"/>
  <c r="AA19" i="347"/>
  <c r="AC27" i="347"/>
  <c r="AE27" i="347" s="1"/>
  <c r="AA27" i="347"/>
  <c r="AC35" i="347"/>
  <c r="AE35" i="347" s="1"/>
  <c r="AC43" i="347"/>
  <c r="AE43" i="347" s="1"/>
  <c r="AC203" i="347"/>
  <c r="AE203" i="347" s="1"/>
  <c r="AC219" i="347"/>
  <c r="AE219" i="347" s="1"/>
  <c r="AA35" i="347"/>
  <c r="AA50" i="347"/>
  <c r="AA66" i="347"/>
  <c r="AA80" i="347"/>
  <c r="AA242" i="347"/>
  <c r="AA425" i="347"/>
  <c r="AC12" i="347"/>
  <c r="AE12" i="347" s="1"/>
  <c r="AA12" i="347"/>
  <c r="AC20" i="347"/>
  <c r="AE20" i="347" s="1"/>
  <c r="AA20" i="347"/>
  <c r="AC28" i="347"/>
  <c r="AE28" i="347" s="1"/>
  <c r="AA28" i="347"/>
  <c r="AC36" i="347"/>
  <c r="AE36" i="347" s="1"/>
  <c r="AA36" i="347"/>
  <c r="AC44" i="347"/>
  <c r="AE44" i="347" s="1"/>
  <c r="AA44" i="347"/>
  <c r="AC52" i="347"/>
  <c r="AE52" i="347" s="1"/>
  <c r="AA52" i="347"/>
  <c r="AC60" i="347"/>
  <c r="AE60" i="347" s="1"/>
  <c r="AA60" i="347"/>
  <c r="AC68" i="347"/>
  <c r="AE68" i="347" s="1"/>
  <c r="AA68" i="347"/>
  <c r="AC76" i="347"/>
  <c r="AE76" i="347" s="1"/>
  <c r="AA76" i="347"/>
  <c r="AC84" i="347"/>
  <c r="AE84" i="347" s="1"/>
  <c r="AA84" i="347"/>
  <c r="AA92" i="347"/>
  <c r="AC92" i="347"/>
  <c r="AE92" i="347" s="1"/>
  <c r="AC100" i="347"/>
  <c r="AE100" i="347" s="1"/>
  <c r="AA100" i="347"/>
  <c r="AC108" i="347"/>
  <c r="AE108" i="347" s="1"/>
  <c r="AA108" i="347"/>
  <c r="AC116" i="347"/>
  <c r="AE116" i="347" s="1"/>
  <c r="AA116" i="347"/>
  <c r="AC124" i="347"/>
  <c r="AE124" i="347" s="1"/>
  <c r="AA124" i="347"/>
  <c r="AC132" i="347"/>
  <c r="AE132" i="347" s="1"/>
  <c r="AA132" i="347"/>
  <c r="AC140" i="347"/>
  <c r="AE140" i="347" s="1"/>
  <c r="AA140" i="347"/>
  <c r="AC148" i="347"/>
  <c r="AE148" i="347" s="1"/>
  <c r="AA148" i="347"/>
  <c r="AC156" i="347"/>
  <c r="AE156" i="347" s="1"/>
  <c r="AA156" i="347"/>
  <c r="AC164" i="347"/>
  <c r="AE164" i="347" s="1"/>
  <c r="AA164" i="347"/>
  <c r="AC172" i="347"/>
  <c r="AE172" i="347" s="1"/>
  <c r="AA172" i="347"/>
  <c r="AC180" i="347"/>
  <c r="AE180" i="347" s="1"/>
  <c r="AA180" i="347"/>
  <c r="AC188" i="347"/>
  <c r="AE188" i="347" s="1"/>
  <c r="AA188" i="347"/>
  <c r="AC196" i="347"/>
  <c r="AE196" i="347" s="1"/>
  <c r="AA196" i="347"/>
  <c r="AC204" i="347"/>
  <c r="AE204" i="347" s="1"/>
  <c r="AA204" i="347"/>
  <c r="AC212" i="347"/>
  <c r="AE212" i="347" s="1"/>
  <c r="AA212" i="347"/>
  <c r="AC220" i="347"/>
  <c r="AE220" i="347" s="1"/>
  <c r="AA220" i="347"/>
  <c r="AC228" i="347"/>
  <c r="AE228" i="347" s="1"/>
  <c r="AA228" i="347"/>
  <c r="AC236" i="347"/>
  <c r="AE236" i="347" s="1"/>
  <c r="AA236" i="347"/>
  <c r="AC244" i="347"/>
  <c r="AE244" i="347" s="1"/>
  <c r="AA244" i="347"/>
  <c r="AC252" i="347"/>
  <c r="AE252" i="347" s="1"/>
  <c r="AA252" i="347"/>
  <c r="AC260" i="347"/>
  <c r="AE260" i="347" s="1"/>
  <c r="AA260" i="347"/>
  <c r="AC268" i="347"/>
  <c r="AE268" i="347" s="1"/>
  <c r="AA268" i="347"/>
  <c r="AC276" i="347"/>
  <c r="AE276" i="347" s="1"/>
  <c r="AA276" i="347"/>
  <c r="AC284" i="347"/>
  <c r="AE284" i="347" s="1"/>
  <c r="AA284" i="347"/>
  <c r="AC292" i="347"/>
  <c r="AE292" i="347" s="1"/>
  <c r="AA292" i="347"/>
  <c r="AC300" i="347"/>
  <c r="AE300" i="347" s="1"/>
  <c r="AA300" i="347"/>
  <c r="AC308" i="347"/>
  <c r="AE308" i="347" s="1"/>
  <c r="AA308" i="347"/>
  <c r="AC316" i="347"/>
  <c r="AE316" i="347" s="1"/>
  <c r="AA316" i="347"/>
  <c r="AC324" i="347"/>
  <c r="AE324" i="347" s="1"/>
  <c r="AA324" i="347"/>
  <c r="AC332" i="347"/>
  <c r="AE332" i="347" s="1"/>
  <c r="AA332" i="347"/>
  <c r="AC340" i="347"/>
  <c r="AE340" i="347" s="1"/>
  <c r="AA340" i="347"/>
  <c r="AC348" i="347"/>
  <c r="AE348" i="347" s="1"/>
  <c r="AA348" i="347"/>
  <c r="AC356" i="347"/>
  <c r="AE356" i="347" s="1"/>
  <c r="AA356" i="347"/>
  <c r="AC364" i="347"/>
  <c r="AE364" i="347" s="1"/>
  <c r="AA364" i="347"/>
  <c r="AC372" i="347"/>
  <c r="AE372" i="347" s="1"/>
  <c r="AA372" i="347"/>
  <c r="AC380" i="347"/>
  <c r="AE380" i="347" s="1"/>
  <c r="AA380" i="347"/>
  <c r="AC388" i="347"/>
  <c r="AE388" i="347" s="1"/>
  <c r="AA388" i="347"/>
  <c r="AC396" i="347"/>
  <c r="AE396" i="347" s="1"/>
  <c r="AA396" i="347"/>
  <c r="AC404" i="347"/>
  <c r="AE404" i="347" s="1"/>
  <c r="AA404" i="347"/>
  <c r="AC412" i="347"/>
  <c r="AE412" i="347" s="1"/>
  <c r="AA412" i="347"/>
  <c r="AC420" i="347"/>
  <c r="AE420" i="347" s="1"/>
  <c r="AA420" i="347"/>
  <c r="AC428" i="347"/>
  <c r="AE428" i="347" s="1"/>
  <c r="AA428" i="347"/>
  <c r="AC436" i="347"/>
  <c r="AE436" i="347" s="1"/>
  <c r="AA436" i="347"/>
  <c r="AC444" i="347"/>
  <c r="AE444" i="347" s="1"/>
  <c r="AA444" i="347"/>
  <c r="AC452" i="347"/>
  <c r="AE452" i="347" s="1"/>
  <c r="AA452" i="347"/>
  <c r="AC460" i="347"/>
  <c r="AE460" i="347" s="1"/>
  <c r="AA460" i="347"/>
  <c r="AA8" i="347"/>
  <c r="AA81" i="347"/>
  <c r="AA96" i="347"/>
  <c r="AA112" i="347"/>
  <c r="AA297" i="347"/>
  <c r="AC51" i="347"/>
  <c r="AE51" i="347" s="1"/>
  <c r="AC59" i="347"/>
  <c r="AE59" i="347" s="1"/>
  <c r="AC67" i="347"/>
  <c r="AE67" i="347" s="1"/>
  <c r="AC75" i="347"/>
  <c r="AE75" i="347" s="1"/>
  <c r="AC83" i="347"/>
  <c r="AE83" i="347" s="1"/>
  <c r="AC91" i="347"/>
  <c r="AE91" i="347" s="1"/>
  <c r="AC99" i="347"/>
  <c r="AE99" i="347" s="1"/>
  <c r="AC107" i="347"/>
  <c r="AE107" i="347" s="1"/>
  <c r="AC115" i="347"/>
  <c r="AE115" i="347" s="1"/>
  <c r="AC123" i="347"/>
  <c r="AE123" i="347" s="1"/>
  <c r="AC131" i="347"/>
  <c r="AE131" i="347" s="1"/>
  <c r="AC139" i="347"/>
  <c r="AE139" i="347" s="1"/>
  <c r="AC147" i="347"/>
  <c r="AE147" i="347" s="1"/>
  <c r="AC155" i="347"/>
  <c r="AE155" i="347" s="1"/>
  <c r="AC163" i="347"/>
  <c r="AE163" i="347" s="1"/>
  <c r="AC171" i="347"/>
  <c r="AE171" i="347" s="1"/>
  <c r="AC179" i="347"/>
  <c r="AE179" i="347" s="1"/>
  <c r="AC187" i="347"/>
  <c r="AE187" i="347" s="1"/>
  <c r="AC195" i="347"/>
  <c r="AE195" i="347" s="1"/>
  <c r="AC227" i="347"/>
  <c r="AE227" i="347" s="1"/>
  <c r="AC235" i="347"/>
  <c r="AE235" i="347" s="1"/>
  <c r="AC243" i="347"/>
  <c r="AE243" i="347" s="1"/>
  <c r="AC251" i="347"/>
  <c r="AE251" i="347" s="1"/>
  <c r="AC259" i="347"/>
  <c r="AE259" i="347" s="1"/>
  <c r="AC267" i="347"/>
  <c r="AE267" i="347" s="1"/>
  <c r="AC275" i="347"/>
  <c r="AE275" i="347" s="1"/>
  <c r="AC283" i="347"/>
  <c r="AE283" i="347" s="1"/>
  <c r="AC291" i="347"/>
  <c r="AE291" i="347" s="1"/>
  <c r="AC299" i="347"/>
  <c r="AE299" i="347" s="1"/>
  <c r="AC307" i="347"/>
  <c r="AE307" i="347" s="1"/>
  <c r="AC315" i="347"/>
  <c r="AE315" i="347" s="1"/>
  <c r="AC323" i="347"/>
  <c r="AE323" i="347" s="1"/>
  <c r="AC331" i="347"/>
  <c r="AE331" i="347" s="1"/>
  <c r="AC339" i="347"/>
  <c r="AE339" i="347" s="1"/>
  <c r="AC347" i="347"/>
  <c r="AE347" i="347" s="1"/>
  <c r="AC355" i="347"/>
  <c r="AE355" i="347" s="1"/>
  <c r="AC363" i="347"/>
  <c r="AE363" i="347" s="1"/>
  <c r="AC371" i="347"/>
  <c r="AE371" i="347" s="1"/>
  <c r="AC379" i="347"/>
  <c r="AE379" i="347" s="1"/>
  <c r="AC387" i="347"/>
  <c r="AE387" i="347" s="1"/>
  <c r="AC395" i="347"/>
  <c r="AE395" i="347" s="1"/>
  <c r="AC403" i="347"/>
  <c r="AE403" i="347" s="1"/>
  <c r="AC411" i="347"/>
  <c r="AE411" i="347" s="1"/>
  <c r="AC419" i="347"/>
  <c r="AE419" i="347" s="1"/>
  <c r="AC427" i="347"/>
  <c r="AE427" i="347" s="1"/>
  <c r="AC435" i="347"/>
  <c r="AE435" i="347" s="1"/>
  <c r="AC443" i="347"/>
  <c r="AE443" i="347" s="1"/>
  <c r="AC451" i="347"/>
  <c r="AE451" i="347" s="1"/>
  <c r="AC459" i="347"/>
  <c r="AE459" i="347" s="1"/>
  <c r="AA51" i="347"/>
  <c r="AA115" i="347"/>
  <c r="AA179" i="347"/>
  <c r="AA243" i="347"/>
  <c r="AA307" i="347"/>
  <c r="AA371" i="347"/>
  <c r="AC22" i="347"/>
  <c r="AE22" i="347" s="1"/>
  <c r="AC30" i="347"/>
  <c r="AE30" i="347" s="1"/>
  <c r="AC38" i="347"/>
  <c r="AE38" i="347" s="1"/>
  <c r="AC46" i="347"/>
  <c r="AE46" i="347" s="1"/>
  <c r="AC54" i="347"/>
  <c r="AE54" i="347" s="1"/>
  <c r="AC62" i="347"/>
  <c r="AE62" i="347" s="1"/>
  <c r="AC70" i="347"/>
  <c r="AE70" i="347" s="1"/>
  <c r="AC78" i="347"/>
  <c r="AE78" i="347" s="1"/>
  <c r="AC86" i="347"/>
  <c r="AE86" i="347" s="1"/>
  <c r="AC94" i="347"/>
  <c r="AE94" i="347" s="1"/>
  <c r="AC102" i="347"/>
  <c r="AE102" i="347" s="1"/>
  <c r="AC110" i="347"/>
  <c r="AE110" i="347" s="1"/>
  <c r="AC118" i="347"/>
  <c r="AE118" i="347" s="1"/>
  <c r="AC126" i="347"/>
  <c r="AE126" i="347" s="1"/>
  <c r="AC134" i="347"/>
  <c r="AE134" i="347" s="1"/>
  <c r="AC142" i="347"/>
  <c r="AE142" i="347" s="1"/>
  <c r="AC150" i="347"/>
  <c r="AE150" i="347" s="1"/>
  <c r="AC158" i="347"/>
  <c r="AE158" i="347" s="1"/>
  <c r="AC166" i="347"/>
  <c r="AE166" i="347" s="1"/>
  <c r="AC174" i="347"/>
  <c r="AE174" i="347" s="1"/>
  <c r="AC182" i="347"/>
  <c r="AE182" i="347" s="1"/>
  <c r="AC190" i="347"/>
  <c r="AE190" i="347" s="1"/>
  <c r="AC198" i="347"/>
  <c r="AE198" i="347" s="1"/>
  <c r="AC206" i="347"/>
  <c r="AE206" i="347" s="1"/>
  <c r="AC214" i="347"/>
  <c r="AE214" i="347" s="1"/>
  <c r="AC222" i="347"/>
  <c r="AE222" i="347" s="1"/>
  <c r="AC230" i="347"/>
  <c r="AE230" i="347" s="1"/>
  <c r="AC238" i="347"/>
  <c r="AE238" i="347" s="1"/>
  <c r="AC246" i="347"/>
  <c r="AE246" i="347" s="1"/>
  <c r="AC254" i="347"/>
  <c r="AE254" i="347" s="1"/>
  <c r="AC262" i="347"/>
  <c r="AE262" i="347" s="1"/>
  <c r="AC270" i="347"/>
  <c r="AE270" i="347" s="1"/>
  <c r="AC278" i="347"/>
  <c r="AE278" i="347" s="1"/>
  <c r="AC286" i="347"/>
  <c r="AE286" i="347" s="1"/>
  <c r="AC294" i="347"/>
  <c r="AE294" i="347" s="1"/>
  <c r="AC302" i="347"/>
  <c r="AE302" i="347" s="1"/>
  <c r="AC310" i="347"/>
  <c r="AE310" i="347" s="1"/>
  <c r="AC318" i="347"/>
  <c r="AE318" i="347" s="1"/>
  <c r="AC326" i="347"/>
  <c r="AE326" i="347" s="1"/>
  <c r="AC334" i="347"/>
  <c r="AE334" i="347" s="1"/>
  <c r="AC342" i="347"/>
  <c r="AE342" i="347" s="1"/>
  <c r="AC358" i="347"/>
  <c r="AE358" i="347" s="1"/>
  <c r="AC366" i="347"/>
  <c r="AE366" i="347" s="1"/>
  <c r="AC382" i="347"/>
  <c r="AE382" i="347" s="1"/>
  <c r="AC390" i="347"/>
  <c r="AE390" i="347" s="1"/>
  <c r="AC398" i="347"/>
  <c r="AE398" i="347" s="1"/>
  <c r="AC406" i="347"/>
  <c r="AE406" i="347" s="1"/>
  <c r="AC414" i="347"/>
  <c r="AE414" i="347" s="1"/>
  <c r="AC422" i="347"/>
  <c r="AE422" i="347" s="1"/>
  <c r="AC430" i="347"/>
  <c r="AE430" i="347" s="1"/>
  <c r="AC438" i="347"/>
  <c r="AE438" i="347" s="1"/>
  <c r="AC446" i="347"/>
  <c r="AE446" i="347" s="1"/>
  <c r="AA446" i="347"/>
  <c r="AC454" i="347"/>
  <c r="AE454" i="347" s="1"/>
  <c r="AC462" i="347"/>
  <c r="AE462" i="347" s="1"/>
  <c r="AA46" i="347"/>
  <c r="AA91" i="347"/>
  <c r="AA110" i="347"/>
  <c r="AA155" i="347"/>
  <c r="AA174" i="347"/>
  <c r="AA219" i="347"/>
  <c r="AA238" i="347"/>
  <c r="AA283" i="347"/>
  <c r="AA302" i="347"/>
  <c r="AA347" i="347"/>
  <c r="AA366" i="347"/>
  <c r="AA411" i="347"/>
  <c r="AA430" i="347"/>
  <c r="AA451" i="347"/>
  <c r="AC211" i="347"/>
  <c r="AE211" i="347" s="1"/>
  <c r="AC7" i="347"/>
  <c r="AE7" i="347" s="1"/>
  <c r="AC15" i="347"/>
  <c r="AE15" i="347" s="1"/>
  <c r="AC23" i="347"/>
  <c r="AE23" i="347" s="1"/>
  <c r="AC31" i="347"/>
  <c r="AE31" i="347" s="1"/>
  <c r="AC39" i="347"/>
  <c r="AE39" i="347" s="1"/>
  <c r="AC47" i="347"/>
  <c r="AE47" i="347" s="1"/>
  <c r="AC55" i="347"/>
  <c r="AE55" i="347" s="1"/>
  <c r="AC63" i="347"/>
  <c r="AE63" i="347" s="1"/>
  <c r="AC71" i="347"/>
  <c r="AE71" i="347" s="1"/>
  <c r="AC79" i="347"/>
  <c r="AE79" i="347" s="1"/>
  <c r="AC87" i="347"/>
  <c r="AE87" i="347" s="1"/>
  <c r="AC95" i="347"/>
  <c r="AE95" i="347" s="1"/>
  <c r="AC103" i="347"/>
  <c r="AE103" i="347" s="1"/>
  <c r="AC119" i="347"/>
  <c r="AE119" i="347" s="1"/>
  <c r="AC127" i="347"/>
  <c r="AE127" i="347" s="1"/>
  <c r="AC135" i="347"/>
  <c r="AE135" i="347" s="1"/>
  <c r="AC143" i="347"/>
  <c r="AE143" i="347" s="1"/>
  <c r="AC151" i="347"/>
  <c r="AE151" i="347" s="1"/>
  <c r="AC159" i="347"/>
  <c r="AE159" i="347" s="1"/>
  <c r="AC167" i="347"/>
  <c r="AE167" i="347" s="1"/>
  <c r="AC175" i="347"/>
  <c r="AE175" i="347" s="1"/>
  <c r="AC183" i="347"/>
  <c r="AE183" i="347" s="1"/>
  <c r="AC191" i="347"/>
  <c r="AE191" i="347" s="1"/>
  <c r="AC199" i="347"/>
  <c r="AE199" i="347" s="1"/>
  <c r="AC207" i="347"/>
  <c r="AE207" i="347" s="1"/>
  <c r="AC215" i="347"/>
  <c r="AE215" i="347" s="1"/>
  <c r="AC223" i="347"/>
  <c r="AE223" i="347" s="1"/>
  <c r="AC231" i="347"/>
  <c r="AE231" i="347" s="1"/>
  <c r="AC239" i="347"/>
  <c r="AE239" i="347" s="1"/>
  <c r="AC247" i="347"/>
  <c r="AE247" i="347" s="1"/>
  <c r="AC255" i="347"/>
  <c r="AE255" i="347" s="1"/>
  <c r="AC263" i="347"/>
  <c r="AE263" i="347" s="1"/>
  <c r="AC271" i="347"/>
  <c r="AE271" i="347" s="1"/>
  <c r="AC279" i="347"/>
  <c r="AE279" i="347" s="1"/>
  <c r="AC287" i="347"/>
  <c r="AE287" i="347" s="1"/>
  <c r="AC295" i="347"/>
  <c r="AE295" i="347" s="1"/>
  <c r="AC303" i="347"/>
  <c r="AE303" i="347" s="1"/>
  <c r="AC311" i="347"/>
  <c r="AE311" i="347" s="1"/>
  <c r="AC319" i="347"/>
  <c r="AE319" i="347" s="1"/>
  <c r="AC327" i="347"/>
  <c r="AE327" i="347" s="1"/>
  <c r="AC335" i="347"/>
  <c r="AE335" i="347" s="1"/>
  <c r="AC343" i="347"/>
  <c r="AE343" i="347" s="1"/>
  <c r="AC351" i="347"/>
  <c r="AE351" i="347" s="1"/>
  <c r="AC359" i="347"/>
  <c r="AE359" i="347" s="1"/>
  <c r="AC367" i="347"/>
  <c r="AE367" i="347" s="1"/>
  <c r="AC375" i="347"/>
  <c r="AE375" i="347" s="1"/>
  <c r="AC383" i="347"/>
  <c r="AE383" i="347" s="1"/>
  <c r="AA38" i="347"/>
  <c r="AA47" i="347"/>
  <c r="AA83" i="347"/>
  <c r="AA102" i="347"/>
  <c r="AA111" i="347"/>
  <c r="AA147" i="347"/>
  <c r="AA166" i="347"/>
  <c r="AA175" i="347"/>
  <c r="AA230" i="347"/>
  <c r="AA239" i="347"/>
  <c r="AA275" i="347"/>
  <c r="AA294" i="347"/>
  <c r="AA303" i="347"/>
  <c r="AA339" i="347"/>
  <c r="AA358" i="347"/>
  <c r="AA367" i="347"/>
  <c r="AA403" i="347"/>
  <c r="AA422" i="347"/>
  <c r="AA462" i="347"/>
  <c r="AC391" i="347"/>
  <c r="AE391" i="347" s="1"/>
  <c r="AC399" i="347"/>
  <c r="AE399" i="347" s="1"/>
  <c r="AC407" i="347"/>
  <c r="AE407" i="347" s="1"/>
  <c r="AC415" i="347"/>
  <c r="AE415" i="347" s="1"/>
  <c r="AC423" i="347"/>
  <c r="AE423" i="347" s="1"/>
  <c r="AC431" i="347"/>
  <c r="AE431" i="347" s="1"/>
  <c r="AC439" i="347"/>
  <c r="AE439" i="347" s="1"/>
  <c r="AC447" i="347"/>
  <c r="AE447" i="347" s="1"/>
  <c r="AC455" i="347"/>
  <c r="AE455" i="347" s="1"/>
  <c r="AC463" i="347"/>
  <c r="AE463" i="347" s="1"/>
  <c r="AA455" i="347"/>
  <c r="V16" i="347"/>
  <c r="V64" i="347"/>
  <c r="V80" i="347"/>
  <c r="V96" i="347"/>
  <c r="V112" i="347"/>
  <c r="K115" i="347"/>
  <c r="K250" i="347"/>
  <c r="V152" i="347"/>
  <c r="V176" i="347"/>
  <c r="V128" i="347"/>
  <c r="O211" i="347"/>
  <c r="K211" i="347"/>
  <c r="V168" i="347"/>
  <c r="V200" i="347"/>
  <c r="O37" i="347"/>
  <c r="K37" i="347"/>
  <c r="K109" i="347"/>
  <c r="K125" i="347"/>
  <c r="K133" i="347"/>
  <c r="V14" i="347"/>
  <c r="J14" i="347"/>
  <c r="V30" i="347"/>
  <c r="J30" i="347"/>
  <c r="V46" i="347"/>
  <c r="J46" i="347"/>
  <c r="V62" i="347"/>
  <c r="J62" i="347"/>
  <c r="V70" i="347"/>
  <c r="J70" i="347"/>
  <c r="V78" i="347"/>
  <c r="J78" i="347"/>
  <c r="V86" i="347"/>
  <c r="J86" i="347"/>
  <c r="K86" i="347" s="1"/>
  <c r="V94" i="347"/>
  <c r="J94" i="347"/>
  <c r="V110" i="347"/>
  <c r="J110" i="347"/>
  <c r="V118" i="347"/>
  <c r="J118" i="347"/>
  <c r="O118" i="347" s="1"/>
  <c r="V126" i="347"/>
  <c r="J126" i="347"/>
  <c r="V134" i="347"/>
  <c r="J134" i="347"/>
  <c r="V142" i="347"/>
  <c r="J142" i="347"/>
  <c r="V150" i="347"/>
  <c r="J150" i="347"/>
  <c r="O150" i="347" s="1"/>
  <c r="V158" i="347"/>
  <c r="J158" i="347"/>
  <c r="K158" i="347" s="1"/>
  <c r="V166" i="347"/>
  <c r="J166" i="347"/>
  <c r="V174" i="347"/>
  <c r="J174" i="347"/>
  <c r="V182" i="347"/>
  <c r="J182" i="347"/>
  <c r="V190" i="347"/>
  <c r="J190" i="347"/>
  <c r="K190" i="347" s="1"/>
  <c r="V198" i="347"/>
  <c r="J198" i="347"/>
  <c r="O198" i="347" s="1"/>
  <c r="V206" i="347"/>
  <c r="J206" i="347"/>
  <c r="V8" i="347"/>
  <c r="V6" i="347"/>
  <c r="J6" i="347"/>
  <c r="O6" i="347" s="1"/>
  <c r="V22" i="347"/>
  <c r="J22" i="347"/>
  <c r="V38" i="347"/>
  <c r="J38" i="347"/>
  <c r="V54" i="347"/>
  <c r="J54" i="347"/>
  <c r="V102" i="347"/>
  <c r="J102" i="347"/>
  <c r="V120" i="347"/>
  <c r="V7" i="347"/>
  <c r="J7" i="347"/>
  <c r="K7" i="347" s="1"/>
  <c r="V15" i="347"/>
  <c r="J15" i="347"/>
  <c r="K15" i="347" s="1"/>
  <c r="K363" i="347"/>
  <c r="J496" i="347"/>
  <c r="K185" i="347"/>
  <c r="J214" i="347"/>
  <c r="J222" i="347"/>
  <c r="O222" i="347" s="1"/>
  <c r="J23" i="347"/>
  <c r="J31" i="347"/>
  <c r="J39" i="347"/>
  <c r="J47" i="347"/>
  <c r="J55" i="347"/>
  <c r="J63" i="347"/>
  <c r="K63" i="347" s="1"/>
  <c r="J71" i="347"/>
  <c r="K71" i="347" s="1"/>
  <c r="J79" i="347"/>
  <c r="J87" i="347"/>
  <c r="J95" i="347"/>
  <c r="J103" i="347"/>
  <c r="J111" i="347"/>
  <c r="J480" i="347"/>
  <c r="K425" i="347"/>
  <c r="K73" i="347"/>
  <c r="K151" i="347"/>
  <c r="K215" i="347"/>
  <c r="K29" i="347"/>
  <c r="K83" i="347"/>
  <c r="K112" i="347"/>
  <c r="K137" i="347"/>
  <c r="K189" i="347"/>
  <c r="K235" i="347"/>
  <c r="K257" i="347"/>
  <c r="K306" i="347"/>
  <c r="K369" i="347"/>
  <c r="K457" i="347"/>
  <c r="J473" i="347"/>
  <c r="J481" i="347"/>
  <c r="J489" i="347"/>
  <c r="J497" i="347"/>
  <c r="J505" i="347"/>
  <c r="J513" i="347"/>
  <c r="J521" i="347"/>
  <c r="K9" i="347"/>
  <c r="K61" i="347"/>
  <c r="K117" i="347"/>
  <c r="K141" i="347"/>
  <c r="K243" i="347"/>
  <c r="K265" i="347"/>
  <c r="K283" i="347"/>
  <c r="O13" i="347"/>
  <c r="O93" i="347"/>
  <c r="K67" i="347"/>
  <c r="K119" i="347"/>
  <c r="K147" i="347"/>
  <c r="K176" i="347"/>
  <c r="K201" i="347"/>
  <c r="K266" i="347"/>
  <c r="K351" i="347"/>
  <c r="K384" i="347"/>
  <c r="K409" i="347"/>
  <c r="K441" i="347"/>
  <c r="O320" i="347"/>
  <c r="K101" i="347"/>
  <c r="K121" i="347"/>
  <c r="K149" i="347"/>
  <c r="K179" i="347"/>
  <c r="K267" i="347"/>
  <c r="K293" i="347"/>
  <c r="K353" i="347"/>
  <c r="K411" i="347"/>
  <c r="K442" i="347"/>
  <c r="K48" i="347"/>
  <c r="K296" i="347"/>
  <c r="K51" i="347"/>
  <c r="K105" i="347"/>
  <c r="K131" i="347"/>
  <c r="K157" i="347"/>
  <c r="K209" i="347"/>
  <c r="K251" i="347"/>
  <c r="K272" i="347"/>
  <c r="K298" i="347"/>
  <c r="K325" i="347"/>
  <c r="K362" i="347"/>
  <c r="K395" i="347"/>
  <c r="K391" i="347"/>
  <c r="K439" i="347"/>
  <c r="K40" i="347"/>
  <c r="K49" i="347"/>
  <c r="K59" i="347"/>
  <c r="K113" i="347"/>
  <c r="K123" i="347"/>
  <c r="K168" i="347"/>
  <c r="K177" i="347"/>
  <c r="K187" i="347"/>
  <c r="K224" i="347"/>
  <c r="K256" i="347"/>
  <c r="K297" i="347"/>
  <c r="K371" i="347"/>
  <c r="K385" i="347"/>
  <c r="K400" i="347"/>
  <c r="K432" i="347"/>
  <c r="K448" i="347"/>
  <c r="O145" i="347"/>
  <c r="K334" i="347"/>
  <c r="K344" i="347"/>
  <c r="K360" i="347"/>
  <c r="K376" i="347"/>
  <c r="K392" i="347"/>
  <c r="K408" i="347"/>
  <c r="K464" i="347"/>
  <c r="K32" i="347"/>
  <c r="K96" i="347"/>
  <c r="K160" i="347"/>
  <c r="K278" i="347"/>
  <c r="K288" i="347"/>
  <c r="K342" i="347"/>
  <c r="K358" i="347"/>
  <c r="K416" i="347"/>
  <c r="O254" i="347"/>
  <c r="K286" i="347"/>
  <c r="K273" i="347"/>
  <c r="K313" i="347"/>
  <c r="O345" i="347"/>
  <c r="K345" i="347"/>
  <c r="K377" i="347"/>
  <c r="K401" i="347"/>
  <c r="K417" i="347"/>
  <c r="K433" i="347"/>
  <c r="K449" i="347"/>
  <c r="K24" i="347"/>
  <c r="K33" i="347"/>
  <c r="K88" i="347"/>
  <c r="K107" i="347"/>
  <c r="K152" i="347"/>
  <c r="K161" i="347"/>
  <c r="K171" i="347"/>
  <c r="K207" i="347"/>
  <c r="K216" i="347"/>
  <c r="K238" i="347"/>
  <c r="K279" i="347"/>
  <c r="K289" i="347"/>
  <c r="K299" i="347"/>
  <c r="K312" i="347"/>
  <c r="K375" i="347"/>
  <c r="K390" i="347"/>
  <c r="O402" i="347"/>
  <c r="O500" i="347"/>
  <c r="O524" i="347"/>
  <c r="K438" i="347"/>
  <c r="K18" i="347"/>
  <c r="K58" i="347"/>
  <c r="K114" i="347"/>
  <c r="K138" i="347"/>
  <c r="K178" i="347"/>
  <c r="K282" i="347"/>
  <c r="K314" i="347"/>
  <c r="K354" i="347"/>
  <c r="K386" i="347"/>
  <c r="K410" i="347"/>
  <c r="K16" i="347"/>
  <c r="K35" i="347"/>
  <c r="K80" i="347"/>
  <c r="K99" i="347"/>
  <c r="K153" i="347"/>
  <c r="K163" i="347"/>
  <c r="K208" i="347"/>
  <c r="K217" i="347"/>
  <c r="K249" i="347"/>
  <c r="K259" i="347"/>
  <c r="K270" i="347"/>
  <c r="K280" i="347"/>
  <c r="K302" i="347"/>
  <c r="K315" i="347"/>
  <c r="K330" i="347"/>
  <c r="K347" i="347"/>
  <c r="K393" i="347"/>
  <c r="K455" i="347"/>
  <c r="O200" i="347"/>
  <c r="K227" i="347"/>
  <c r="K291" i="347"/>
  <c r="K307" i="347"/>
  <c r="K355" i="347"/>
  <c r="K387" i="347"/>
  <c r="O419" i="347"/>
  <c r="K419" i="347"/>
  <c r="K27" i="347"/>
  <c r="K72" i="347"/>
  <c r="K81" i="347"/>
  <c r="K91" i="347"/>
  <c r="K127" i="347"/>
  <c r="K155" i="347"/>
  <c r="K191" i="347"/>
  <c r="K219" i="347"/>
  <c r="K230" i="347"/>
  <c r="K240" i="347"/>
  <c r="K271" i="347"/>
  <c r="K303" i="347"/>
  <c r="K331" i="347"/>
  <c r="K379" i="347"/>
  <c r="K424" i="347"/>
  <c r="K318" i="347"/>
  <c r="K366" i="347"/>
  <c r="K454" i="347"/>
  <c r="K414" i="347"/>
  <c r="K228" i="347"/>
  <c r="K244" i="347"/>
  <c r="K284" i="347"/>
  <c r="O284" i="347"/>
  <c r="K300" i="347"/>
  <c r="K332" i="347"/>
  <c r="K348" i="347"/>
  <c r="K364" i="347"/>
  <c r="K380" i="347"/>
  <c r="K396" i="347"/>
  <c r="O396" i="347"/>
  <c r="K412" i="347"/>
  <c r="K460" i="347"/>
  <c r="O460" i="347"/>
  <c r="K64" i="347"/>
  <c r="K128" i="347"/>
  <c r="K192" i="347"/>
  <c r="K262" i="347"/>
  <c r="K294" i="347"/>
  <c r="K56" i="347"/>
  <c r="K65" i="347"/>
  <c r="K75" i="347"/>
  <c r="K120" i="347"/>
  <c r="K129" i="347"/>
  <c r="K184" i="347"/>
  <c r="K203" i="347"/>
  <c r="K232" i="347"/>
  <c r="K305" i="347"/>
  <c r="K321" i="347"/>
  <c r="K368" i="347"/>
  <c r="K426" i="347"/>
  <c r="O98" i="347"/>
  <c r="O440" i="347"/>
  <c r="C2062" i="328"/>
  <c r="C2061" i="328"/>
  <c r="C2120" i="328"/>
  <c r="C2118" i="328"/>
  <c r="C2146" i="328"/>
  <c r="C2138" i="328"/>
  <c r="C2139" i="328"/>
  <c r="C2140" i="328"/>
  <c r="C2141" i="328"/>
  <c r="C2142" i="328"/>
  <c r="C2143" i="328"/>
  <c r="C2144" i="328"/>
  <c r="C2145" i="328"/>
  <c r="C2132" i="328"/>
  <c r="C2133" i="328"/>
  <c r="C2134" i="328"/>
  <c r="C2135" i="328"/>
  <c r="C2136" i="328"/>
  <c r="C2137" i="328"/>
  <c r="C2125" i="328"/>
  <c r="C2126" i="328"/>
  <c r="C2127" i="328"/>
  <c r="C2128" i="328"/>
  <c r="C2129" i="328"/>
  <c r="C2130" i="328"/>
  <c r="C2131" i="328"/>
  <c r="C2123" i="328"/>
  <c r="C2124" i="328"/>
  <c r="C2122" i="328"/>
  <c r="C2121" i="328"/>
  <c r="C2119" i="328"/>
  <c r="C2117" i="328"/>
  <c r="C2114" i="328"/>
  <c r="C2115" i="328"/>
  <c r="C2116" i="328"/>
  <c r="C2109" i="328"/>
  <c r="C2110" i="328"/>
  <c r="C2111" i="328"/>
  <c r="C2112" i="328"/>
  <c r="C2113" i="328"/>
  <c r="C2108" i="328"/>
  <c r="C2106" i="328"/>
  <c r="C2107" i="328"/>
  <c r="C2102" i="328"/>
  <c r="C2103" i="328"/>
  <c r="C2104" i="328"/>
  <c r="C2105" i="328"/>
  <c r="C2100" i="328"/>
  <c r="C2101" i="328"/>
  <c r="C2099" i="328"/>
  <c r="C2093" i="328"/>
  <c r="C2094" i="328"/>
  <c r="C2095" i="328"/>
  <c r="C2096" i="328"/>
  <c r="C2097" i="328"/>
  <c r="C2098" i="328"/>
  <c r="C2083" i="328"/>
  <c r="C2084" i="328"/>
  <c r="C2085" i="328"/>
  <c r="C2086" i="328"/>
  <c r="C2087" i="328"/>
  <c r="C2088" i="328"/>
  <c r="C2089" i="328"/>
  <c r="C2090" i="328"/>
  <c r="C2091" i="328"/>
  <c r="C2092" i="328"/>
  <c r="C2082" i="328"/>
  <c r="C2081" i="328"/>
  <c r="C2080" i="328"/>
  <c r="C2078" i="328"/>
  <c r="C2079" i="328"/>
  <c r="C2077" i="328"/>
  <c r="C2068" i="328"/>
  <c r="C2069" i="328"/>
  <c r="C2070" i="328"/>
  <c r="C2071" i="328"/>
  <c r="C2072" i="328"/>
  <c r="C2073" i="328"/>
  <c r="C2074" i="328"/>
  <c r="C2075" i="328"/>
  <c r="C2076" i="328"/>
  <c r="C2067" i="328"/>
  <c r="C2065" i="328"/>
  <c r="C2066" i="328"/>
  <c r="C2064" i="328"/>
  <c r="C2063" i="328"/>
  <c r="H181" i="1"/>
  <c r="H170" i="1"/>
  <c r="H169" i="1"/>
  <c r="H168" i="1"/>
  <c r="H167" i="1"/>
  <c r="H166" i="1"/>
  <c r="H164" i="1"/>
  <c r="H163" i="1"/>
  <c r="H140" i="1"/>
  <c r="H138" i="1"/>
  <c r="H43" i="1"/>
  <c r="H21" i="1"/>
  <c r="H13" i="1"/>
  <c r="C2048" i="328"/>
  <c r="C2044" i="328"/>
  <c r="C2043" i="328"/>
  <c r="C2060" i="328"/>
  <c r="C2059" i="328"/>
  <c r="C2052" i="328"/>
  <c r="C2053" i="328"/>
  <c r="C2054" i="328"/>
  <c r="C2055" i="328"/>
  <c r="C2056" i="328"/>
  <c r="C2057" i="328"/>
  <c r="C2058" i="328"/>
  <c r="C2051" i="328"/>
  <c r="C2050" i="328"/>
  <c r="C2049" i="328"/>
  <c r="C2047" i="328"/>
  <c r="C2046" i="328"/>
  <c r="C2045" i="328"/>
  <c r="C2042" i="328"/>
  <c r="O328" i="347" l="1"/>
  <c r="K328" i="347"/>
  <c r="AA374" i="347"/>
  <c r="AC374" i="347"/>
  <c r="AE374" i="347" s="1"/>
  <c r="AC416" i="347"/>
  <c r="AE416" i="347" s="1"/>
  <c r="AA416" i="347"/>
  <c r="AD416" i="347" s="1"/>
  <c r="AF416" i="347" s="1"/>
  <c r="AD284" i="347"/>
  <c r="AF284" i="347" s="1"/>
  <c r="AD265" i="347"/>
  <c r="AF265" i="347" s="1"/>
  <c r="AA464" i="347"/>
  <c r="AD464" i="347" s="1"/>
  <c r="AF464" i="347" s="1"/>
  <c r="O418" i="347"/>
  <c r="AD345" i="347"/>
  <c r="AF345" i="347" s="1"/>
  <c r="AD460" i="347"/>
  <c r="AF460" i="347" s="1"/>
  <c r="AD396" i="347"/>
  <c r="AF396" i="347" s="1"/>
  <c r="AD409" i="347"/>
  <c r="AF409" i="347" s="1"/>
  <c r="O14" i="347"/>
  <c r="O22" i="347"/>
  <c r="O196" i="347"/>
  <c r="AD124" i="347"/>
  <c r="AF124" i="347" s="1"/>
  <c r="O244" i="347"/>
  <c r="O374" i="347"/>
  <c r="Q300" i="347"/>
  <c r="AD300" i="347" s="1"/>
  <c r="AF300" i="347" s="1"/>
  <c r="O248" i="347"/>
  <c r="O300" i="347"/>
  <c r="O398" i="347"/>
  <c r="AD350" i="347"/>
  <c r="AF350" i="347" s="1"/>
  <c r="O167" i="347"/>
  <c r="O141" i="347"/>
  <c r="AC350" i="347"/>
  <c r="AE350" i="347" s="1"/>
  <c r="O117" i="347"/>
  <c r="O138" i="347"/>
  <c r="AC465" i="347"/>
  <c r="AE465" i="347" s="1"/>
  <c r="O183" i="347"/>
  <c r="O264" i="347"/>
  <c r="AC209" i="347"/>
  <c r="AE209" i="347" s="1"/>
  <c r="Q138" i="347"/>
  <c r="AD138" i="347" s="1"/>
  <c r="AF138" i="347" s="1"/>
  <c r="Q310" i="347"/>
  <c r="AD310" i="347" s="1"/>
  <c r="AF310" i="347" s="1"/>
  <c r="O122" i="347"/>
  <c r="AA352" i="347"/>
  <c r="AD352" i="347" s="1"/>
  <c r="AF352" i="347" s="1"/>
  <c r="O232" i="347"/>
  <c r="O386" i="347"/>
  <c r="O380" i="347"/>
  <c r="O444" i="347"/>
  <c r="Q280" i="347"/>
  <c r="AD280" i="347" s="1"/>
  <c r="AF280" i="347" s="1"/>
  <c r="O130" i="347"/>
  <c r="Q130" i="347"/>
  <c r="AD130" i="347" s="1"/>
  <c r="AF130" i="347" s="1"/>
  <c r="AD420" i="347"/>
  <c r="AF420" i="347" s="1"/>
  <c r="O18" i="347"/>
  <c r="K6" i="347"/>
  <c r="Q18" i="347"/>
  <c r="AD18" i="347" s="1"/>
  <c r="AF18" i="347" s="1"/>
  <c r="O513" i="347"/>
  <c r="Q238" i="347"/>
  <c r="AD238" i="347" s="1"/>
  <c r="AF238" i="347" s="1"/>
  <c r="O170" i="347"/>
  <c r="AD228" i="347"/>
  <c r="AF228" i="347" s="1"/>
  <c r="Q439" i="347"/>
  <c r="AD439" i="347" s="1"/>
  <c r="AF439" i="347" s="1"/>
  <c r="Q295" i="347"/>
  <c r="AD295" i="347" s="1"/>
  <c r="AF295" i="347" s="1"/>
  <c r="AD348" i="347"/>
  <c r="AF348" i="347" s="1"/>
  <c r="AD371" i="347"/>
  <c r="AF371" i="347" s="1"/>
  <c r="O236" i="347"/>
  <c r="O136" i="347"/>
  <c r="O450" i="347"/>
  <c r="O371" i="347"/>
  <c r="Q374" i="347"/>
  <c r="AD374" i="347" s="1"/>
  <c r="AF374" i="347" s="1"/>
  <c r="O355" i="347"/>
  <c r="O352" i="347"/>
  <c r="O193" i="347"/>
  <c r="AD252" i="347"/>
  <c r="AF252" i="347" s="1"/>
  <c r="O416" i="347"/>
  <c r="Q342" i="347"/>
  <c r="AD342" i="347" s="1"/>
  <c r="AF342" i="347" s="1"/>
  <c r="Q149" i="347"/>
  <c r="AD149" i="347" s="1"/>
  <c r="AF149" i="347" s="1"/>
  <c r="O436" i="347"/>
  <c r="O175" i="347"/>
  <c r="O480" i="347"/>
  <c r="O463" i="347"/>
  <c r="O304" i="347"/>
  <c r="O219" i="347"/>
  <c r="O8" i="347"/>
  <c r="Q270" i="347"/>
  <c r="AD270" i="347" s="1"/>
  <c r="AF270" i="347" s="1"/>
  <c r="Q41" i="347"/>
  <c r="AD41" i="347" s="1"/>
  <c r="AF41" i="347" s="1"/>
  <c r="O319" i="347"/>
  <c r="O252" i="347"/>
  <c r="O212" i="347"/>
  <c r="O324" i="347"/>
  <c r="Q424" i="347"/>
  <c r="AD424" i="347" s="1"/>
  <c r="AF424" i="347" s="1"/>
  <c r="O74" i="347"/>
  <c r="O327" i="347"/>
  <c r="O31" i="347"/>
  <c r="O50" i="347"/>
  <c r="O97" i="347"/>
  <c r="AD220" i="347"/>
  <c r="AF220" i="347" s="1"/>
  <c r="Q114" i="347"/>
  <c r="AD114" i="347" s="1"/>
  <c r="AF114" i="347" s="1"/>
  <c r="O384" i="347"/>
  <c r="O234" i="347"/>
  <c r="Q253" i="347"/>
  <c r="AD253" i="347" s="1"/>
  <c r="AF253" i="347" s="1"/>
  <c r="O412" i="347"/>
  <c r="O446" i="347"/>
  <c r="O102" i="347"/>
  <c r="AD384" i="347"/>
  <c r="AF384" i="347" s="1"/>
  <c r="AD325" i="347"/>
  <c r="AF325" i="347" s="1"/>
  <c r="AD261" i="347"/>
  <c r="AF261" i="347" s="1"/>
  <c r="O361" i="347"/>
  <c r="O231" i="347"/>
  <c r="Q332" i="347"/>
  <c r="AD332" i="347" s="1"/>
  <c r="AF332" i="347" s="1"/>
  <c r="O354" i="347"/>
  <c r="O178" i="347"/>
  <c r="O194" i="347"/>
  <c r="O111" i="347"/>
  <c r="O30" i="347"/>
  <c r="AA65" i="347"/>
  <c r="AD65" i="347" s="1"/>
  <c r="AF65" i="347" s="1"/>
  <c r="O359" i="347"/>
  <c r="Q418" i="347"/>
  <c r="AD418" i="347" s="1"/>
  <c r="AF418" i="347" s="1"/>
  <c r="Q456" i="347"/>
  <c r="AD456" i="347" s="1"/>
  <c r="AF456" i="347" s="1"/>
  <c r="Q134" i="347"/>
  <c r="AD134" i="347" s="1"/>
  <c r="AF134" i="347" s="1"/>
  <c r="K74" i="347"/>
  <c r="O181" i="347"/>
  <c r="O453" i="347"/>
  <c r="O435" i="347"/>
  <c r="O110" i="347"/>
  <c r="AD140" i="347"/>
  <c r="AF140" i="347" s="1"/>
  <c r="AD97" i="347"/>
  <c r="AF97" i="347" s="1"/>
  <c r="O431" i="347"/>
  <c r="O218" i="347"/>
  <c r="K453" i="347"/>
  <c r="O17" i="347"/>
  <c r="O306" i="347"/>
  <c r="O308" i="347"/>
  <c r="O79" i="347"/>
  <c r="O134" i="347"/>
  <c r="O261" i="347"/>
  <c r="O210" i="347"/>
  <c r="O496" i="347"/>
  <c r="AD430" i="347"/>
  <c r="AF430" i="347" s="1"/>
  <c r="O182" i="347"/>
  <c r="O163" i="347"/>
  <c r="O292" i="347"/>
  <c r="O34" i="347"/>
  <c r="AD429" i="347"/>
  <c r="AF429" i="347" s="1"/>
  <c r="AD301" i="347"/>
  <c r="AF301" i="347" s="1"/>
  <c r="AD237" i="347"/>
  <c r="AF237" i="347" s="1"/>
  <c r="O237" i="347"/>
  <c r="O429" i="347"/>
  <c r="O140" i="347"/>
  <c r="O107" i="347"/>
  <c r="O334" i="347"/>
  <c r="O142" i="347"/>
  <c r="AD19" i="347"/>
  <c r="AF19" i="347" s="1"/>
  <c r="Q183" i="347"/>
  <c r="AD183" i="347" s="1"/>
  <c r="AF183" i="347" s="1"/>
  <c r="Q15" i="347"/>
  <c r="AD15" i="347" s="1"/>
  <c r="AF15" i="347" s="1"/>
  <c r="O38" i="347"/>
  <c r="O462" i="347"/>
  <c r="Q6" i="347"/>
  <c r="AD6" i="347" s="1"/>
  <c r="AF6" i="347" s="1"/>
  <c r="O220" i="347"/>
  <c r="O392" i="347"/>
  <c r="O62" i="347"/>
  <c r="O9" i="347"/>
  <c r="Q112" i="347"/>
  <c r="AD112" i="347" s="1"/>
  <c r="AF112" i="347" s="1"/>
  <c r="K196" i="347"/>
  <c r="K41" i="347"/>
  <c r="K324" i="347"/>
  <c r="K231" i="347"/>
  <c r="AA217" i="347"/>
  <c r="Q392" i="347"/>
  <c r="AD392" i="347" s="1"/>
  <c r="AF392" i="347" s="1"/>
  <c r="Q286" i="347"/>
  <c r="AD286" i="347" s="1"/>
  <c r="AF286" i="347" s="1"/>
  <c r="Q69" i="347"/>
  <c r="AD69" i="347" s="1"/>
  <c r="AF69" i="347" s="1"/>
  <c r="O10" i="347"/>
  <c r="Q38" i="347"/>
  <c r="AD38" i="347" s="1"/>
  <c r="AF38" i="347" s="1"/>
  <c r="Q122" i="347"/>
  <c r="AD122" i="347" s="1"/>
  <c r="AF122" i="347" s="1"/>
  <c r="O329" i="347"/>
  <c r="O54" i="347"/>
  <c r="O389" i="347"/>
  <c r="Q408" i="347"/>
  <c r="AD408" i="347" s="1"/>
  <c r="AF408" i="347" s="1"/>
  <c r="O149" i="347"/>
  <c r="O203" i="347"/>
  <c r="Q63" i="347"/>
  <c r="AD63" i="347" s="1"/>
  <c r="AF63" i="347" s="1"/>
  <c r="O173" i="347"/>
  <c r="O447" i="347"/>
  <c r="AD219" i="347"/>
  <c r="AF219" i="347" s="1"/>
  <c r="O399" i="347"/>
  <c r="O373" i="347"/>
  <c r="O403" i="347"/>
  <c r="O16" i="347"/>
  <c r="Q262" i="347"/>
  <c r="AD262" i="347" s="1"/>
  <c r="AF262" i="347" s="1"/>
  <c r="O364" i="347"/>
  <c r="O346" i="347"/>
  <c r="O521" i="347"/>
  <c r="O197" i="347"/>
  <c r="O245" i="347"/>
  <c r="Q346" i="347"/>
  <c r="AD346" i="347" s="1"/>
  <c r="AF346" i="347" s="1"/>
  <c r="Q144" i="347"/>
  <c r="AD144" i="347" s="1"/>
  <c r="AF144" i="347" s="1"/>
  <c r="O101" i="347"/>
  <c r="O75" i="347"/>
  <c r="Q454" i="347"/>
  <c r="AD454" i="347" s="1"/>
  <c r="AF454" i="347" s="1"/>
  <c r="Q158" i="347"/>
  <c r="AD158" i="347" s="1"/>
  <c r="AF158" i="347" s="1"/>
  <c r="Q203" i="347"/>
  <c r="AD203" i="347" s="1"/>
  <c r="AF203" i="347" s="1"/>
  <c r="Q61" i="347"/>
  <c r="AD61" i="347" s="1"/>
  <c r="AF61" i="347" s="1"/>
  <c r="Q159" i="347"/>
  <c r="AD159" i="347" s="1"/>
  <c r="AF159" i="347" s="1"/>
  <c r="Q80" i="347"/>
  <c r="AD80" i="347" s="1"/>
  <c r="AF80" i="347" s="1"/>
  <c r="O318" i="347"/>
  <c r="AD386" i="347"/>
  <c r="AF386" i="347" s="1"/>
  <c r="AD37" i="347"/>
  <c r="AF37" i="347" s="1"/>
  <c r="O221" i="347"/>
  <c r="O357" i="347"/>
  <c r="Q89" i="347"/>
  <c r="AD89" i="347" s="1"/>
  <c r="AF89" i="347" s="1"/>
  <c r="Q381" i="347"/>
  <c r="AD381" i="347" s="1"/>
  <c r="AF381" i="347" s="1"/>
  <c r="Q167" i="347"/>
  <c r="AD167" i="347" s="1"/>
  <c r="AF167" i="347" s="1"/>
  <c r="Q205" i="347"/>
  <c r="AD205" i="347" s="1"/>
  <c r="AF205" i="347" s="1"/>
  <c r="O238" i="347"/>
  <c r="Q182" i="347"/>
  <c r="AD182" i="347" s="1"/>
  <c r="AF182" i="347" s="1"/>
  <c r="O336" i="347"/>
  <c r="O82" i="347"/>
  <c r="O39" i="347"/>
  <c r="O158" i="347"/>
  <c r="AD307" i="347"/>
  <c r="AF307" i="347" s="1"/>
  <c r="Q314" i="347"/>
  <c r="AD314" i="347" s="1"/>
  <c r="AF314" i="347" s="1"/>
  <c r="O333" i="347"/>
  <c r="O57" i="347"/>
  <c r="Q383" i="347"/>
  <c r="AD383" i="347" s="1"/>
  <c r="AF383" i="347" s="1"/>
  <c r="Q22" i="347"/>
  <c r="AD22" i="347" s="1"/>
  <c r="AF22" i="347" s="1"/>
  <c r="Q117" i="347"/>
  <c r="AD117" i="347" s="1"/>
  <c r="AF117" i="347" s="1"/>
  <c r="Q196" i="347"/>
  <c r="AD196" i="347" s="1"/>
  <c r="AF196" i="347" s="1"/>
  <c r="Q155" i="347"/>
  <c r="AD155" i="347" s="1"/>
  <c r="AF155" i="347" s="1"/>
  <c r="O205" i="347"/>
  <c r="O139" i="347"/>
  <c r="AD357" i="347"/>
  <c r="AF357" i="347" s="1"/>
  <c r="AD197" i="347"/>
  <c r="AF197" i="347" s="1"/>
  <c r="Q288" i="347"/>
  <c r="O44" i="347"/>
  <c r="O155" i="347"/>
  <c r="Q14" i="347"/>
  <c r="AD14" i="347" s="1"/>
  <c r="AF14" i="347" s="1"/>
  <c r="Q13" i="347"/>
  <c r="AD13" i="347" s="1"/>
  <c r="AF13" i="347" s="1"/>
  <c r="O159" i="347"/>
  <c r="AC160" i="347"/>
  <c r="AE160" i="347" s="1"/>
  <c r="K19" i="347"/>
  <c r="O246" i="347"/>
  <c r="O68" i="347"/>
  <c r="O356" i="347"/>
  <c r="O291" i="347"/>
  <c r="AD209" i="347"/>
  <c r="AF209" i="347" s="1"/>
  <c r="O229" i="347"/>
  <c r="Q390" i="347"/>
  <c r="AD390" i="347" s="1"/>
  <c r="AF390" i="347" s="1"/>
  <c r="O405" i="347"/>
  <c r="O26" i="347"/>
  <c r="O275" i="347"/>
  <c r="AA321" i="347"/>
  <c r="AA273" i="347"/>
  <c r="AD273" i="347" s="1"/>
  <c r="AF273" i="347" s="1"/>
  <c r="AA241" i="347"/>
  <c r="AD241" i="347" s="1"/>
  <c r="AF241" i="347" s="1"/>
  <c r="AD445" i="347"/>
  <c r="AF445" i="347" s="1"/>
  <c r="Q216" i="347"/>
  <c r="AD216" i="347" s="1"/>
  <c r="AF216" i="347" s="1"/>
  <c r="O48" i="347"/>
  <c r="O146" i="347"/>
  <c r="O84" i="347"/>
  <c r="Q275" i="347"/>
  <c r="AD275" i="347" s="1"/>
  <c r="AF275" i="347" s="1"/>
  <c r="O273" i="347"/>
  <c r="AA136" i="347"/>
  <c r="AD136" i="347" s="1"/>
  <c r="AF136" i="347" s="1"/>
  <c r="O406" i="347"/>
  <c r="O35" i="347"/>
  <c r="O96" i="347"/>
  <c r="O202" i="347"/>
  <c r="O154" i="347"/>
  <c r="O434" i="347"/>
  <c r="Q111" i="347"/>
  <c r="AD111" i="347" s="1"/>
  <c r="AF111" i="347" s="1"/>
  <c r="O340" i="347"/>
  <c r="AD17" i="347"/>
  <c r="AF17" i="347" s="1"/>
  <c r="O445" i="347"/>
  <c r="O76" i="347"/>
  <c r="O12" i="347"/>
  <c r="O325" i="347"/>
  <c r="O255" i="347"/>
  <c r="AD46" i="347"/>
  <c r="AF46" i="347" s="1"/>
  <c r="Q152" i="347"/>
  <c r="AD152" i="347" s="1"/>
  <c r="AF152" i="347" s="1"/>
  <c r="O268" i="347"/>
  <c r="O348" i="347"/>
  <c r="O276" i="347"/>
  <c r="O109" i="347"/>
  <c r="AD243" i="347"/>
  <c r="AF243" i="347" s="1"/>
  <c r="AD421" i="347"/>
  <c r="AF421" i="347" s="1"/>
  <c r="O400" i="347"/>
  <c r="O148" i="347"/>
  <c r="O51" i="347"/>
  <c r="Q106" i="347"/>
  <c r="AD106" i="347" s="1"/>
  <c r="AF106" i="347" s="1"/>
  <c r="O204" i="347"/>
  <c r="Q84" i="347"/>
  <c r="AD84" i="347" s="1"/>
  <c r="AF84" i="347" s="1"/>
  <c r="O428" i="347"/>
  <c r="O307" i="347"/>
  <c r="O404" i="347"/>
  <c r="O417" i="347"/>
  <c r="O94" i="347"/>
  <c r="AD276" i="347"/>
  <c r="AF276" i="347" s="1"/>
  <c r="Q234" i="347"/>
  <c r="AD234" i="347" s="1"/>
  <c r="AF234" i="347" s="1"/>
  <c r="Q272" i="347"/>
  <c r="AD272" i="347" s="1"/>
  <c r="AF272" i="347" s="1"/>
  <c r="Q120" i="347"/>
  <c r="AD120" i="347" s="1"/>
  <c r="AF120" i="347" s="1"/>
  <c r="O77" i="347"/>
  <c r="Q358" i="347"/>
  <c r="AD358" i="347" s="1"/>
  <c r="AF358" i="347" s="1"/>
  <c r="O189" i="347"/>
  <c r="Q189" i="347"/>
  <c r="AD189" i="347" s="1"/>
  <c r="AF189" i="347" s="1"/>
  <c r="AD380" i="347"/>
  <c r="AF380" i="347" s="1"/>
  <c r="Q298" i="347"/>
  <c r="AD298" i="347" s="1"/>
  <c r="AF298" i="347" s="1"/>
  <c r="Q264" i="347"/>
  <c r="AD264" i="347" s="1"/>
  <c r="AF264" i="347" s="1"/>
  <c r="O290" i="347"/>
  <c r="O95" i="347"/>
  <c r="O190" i="347"/>
  <c r="O126" i="347"/>
  <c r="O86" i="347"/>
  <c r="O133" i="347"/>
  <c r="AD110" i="347"/>
  <c r="AF110" i="347" s="1"/>
  <c r="AD428" i="347"/>
  <c r="AF428" i="347" s="1"/>
  <c r="AD364" i="347"/>
  <c r="AF364" i="347" s="1"/>
  <c r="AD204" i="347"/>
  <c r="AF204" i="347" s="1"/>
  <c r="Q434" i="347"/>
  <c r="AD434" i="347" s="1"/>
  <c r="AF434" i="347" s="1"/>
  <c r="Q401" i="347"/>
  <c r="AD401" i="347" s="1"/>
  <c r="AF401" i="347" s="1"/>
  <c r="Q376" i="347"/>
  <c r="AD376" i="347" s="1"/>
  <c r="AF376" i="347" s="1"/>
  <c r="O298" i="347"/>
  <c r="O242" i="347"/>
  <c r="O420" i="347"/>
  <c r="AD102" i="347"/>
  <c r="AF102" i="347" s="1"/>
  <c r="AD461" i="347"/>
  <c r="AF461" i="347" s="1"/>
  <c r="AD397" i="347"/>
  <c r="AF397" i="347" s="1"/>
  <c r="AD141" i="347"/>
  <c r="AF141" i="347" s="1"/>
  <c r="AD109" i="347"/>
  <c r="AF109" i="347" s="1"/>
  <c r="O239" i="347"/>
  <c r="O451" i="347"/>
  <c r="Q426" i="347"/>
  <c r="AD426" i="347" s="1"/>
  <c r="AF426" i="347" s="1"/>
  <c r="O256" i="347"/>
  <c r="O422" i="347"/>
  <c r="Q326" i="347"/>
  <c r="AD326" i="347" s="1"/>
  <c r="AF326" i="347" s="1"/>
  <c r="Q51" i="347"/>
  <c r="AD51" i="347" s="1"/>
  <c r="AF51" i="347" s="1"/>
  <c r="O407" i="347"/>
  <c r="O322" i="347"/>
  <c r="AD83" i="347"/>
  <c r="AF83" i="347" s="1"/>
  <c r="AD444" i="347"/>
  <c r="AF444" i="347" s="1"/>
  <c r="AD354" i="347"/>
  <c r="AF354" i="347" s="1"/>
  <c r="AD322" i="347"/>
  <c r="AF322" i="347" s="1"/>
  <c r="AD229" i="347"/>
  <c r="AF229" i="347" s="1"/>
  <c r="AD133" i="347"/>
  <c r="AF133" i="347" s="1"/>
  <c r="AD101" i="347"/>
  <c r="AF101" i="347" s="1"/>
  <c r="O266" i="347"/>
  <c r="Q360" i="347"/>
  <c r="AD360" i="347" s="1"/>
  <c r="AF360" i="347" s="1"/>
  <c r="Q267" i="347"/>
  <c r="AD267" i="347" s="1"/>
  <c r="AF267" i="347" s="1"/>
  <c r="O337" i="347"/>
  <c r="O90" i="347"/>
  <c r="O274" i="347"/>
  <c r="O11" i="347"/>
  <c r="Q88" i="347"/>
  <c r="AD88" i="347" s="1"/>
  <c r="AF88" i="347" s="1"/>
  <c r="O24" i="347"/>
  <c r="O296" i="347"/>
  <c r="O452" i="347"/>
  <c r="O316" i="347"/>
  <c r="O401" i="347"/>
  <c r="O78" i="347"/>
  <c r="AD180" i="347"/>
  <c r="AF180" i="347" s="1"/>
  <c r="AD116" i="347"/>
  <c r="AF116" i="347" s="1"/>
  <c r="AD413" i="347"/>
  <c r="AF413" i="347" s="1"/>
  <c r="AD349" i="347"/>
  <c r="AF349" i="347" s="1"/>
  <c r="AD157" i="347"/>
  <c r="AF157" i="347" s="1"/>
  <c r="AD21" i="347"/>
  <c r="AF21" i="347" s="1"/>
  <c r="Q432" i="347"/>
  <c r="AD432" i="347" s="1"/>
  <c r="AF432" i="347" s="1"/>
  <c r="O65" i="347"/>
  <c r="O465" i="347"/>
  <c r="O335" i="347"/>
  <c r="AD274" i="347"/>
  <c r="AF274" i="347" s="1"/>
  <c r="O349" i="347"/>
  <c r="O53" i="347"/>
  <c r="O180" i="347"/>
  <c r="Q224" i="347"/>
  <c r="AD224" i="347" s="1"/>
  <c r="AF224" i="347" s="1"/>
  <c r="O116" i="347"/>
  <c r="O458" i="347"/>
  <c r="O157" i="347"/>
  <c r="O29" i="347"/>
  <c r="O147" i="347"/>
  <c r="O388" i="347"/>
  <c r="O206" i="347"/>
  <c r="AD337" i="347"/>
  <c r="AF337" i="347" s="1"/>
  <c r="O213" i="347"/>
  <c r="O409" i="347"/>
  <c r="O282" i="347"/>
  <c r="O55" i="347"/>
  <c r="AD147" i="347"/>
  <c r="AF147" i="347" s="1"/>
  <c r="AD411" i="347"/>
  <c r="AF411" i="347" s="1"/>
  <c r="AD336" i="347"/>
  <c r="AF336" i="347" s="1"/>
  <c r="AD304" i="347"/>
  <c r="AF304" i="347" s="1"/>
  <c r="AD77" i="347"/>
  <c r="AF77" i="347" s="1"/>
  <c r="O52" i="347"/>
  <c r="O411" i="347"/>
  <c r="O99" i="347"/>
  <c r="O21" i="347"/>
  <c r="O47" i="347"/>
  <c r="O166" i="347"/>
  <c r="AD452" i="347"/>
  <c r="AF452" i="347" s="1"/>
  <c r="AD388" i="347"/>
  <c r="AF388" i="347" s="1"/>
  <c r="AD194" i="347"/>
  <c r="AF194" i="347" s="1"/>
  <c r="AD333" i="347"/>
  <c r="AF333" i="347" s="1"/>
  <c r="AD173" i="347"/>
  <c r="AF173" i="347" s="1"/>
  <c r="O394" i="347"/>
  <c r="O83" i="347"/>
  <c r="Q278" i="347"/>
  <c r="AD278" i="347" s="1"/>
  <c r="AF278" i="347" s="1"/>
  <c r="Q433" i="347"/>
  <c r="O317" i="347"/>
  <c r="O87" i="347"/>
  <c r="O43" i="347"/>
  <c r="AD115" i="347"/>
  <c r="AF115" i="347" s="1"/>
  <c r="AD402" i="347"/>
  <c r="AF402" i="347" s="1"/>
  <c r="O339" i="347"/>
  <c r="Q410" i="347"/>
  <c r="AD410" i="347" s="1"/>
  <c r="AF410" i="347" s="1"/>
  <c r="Q448" i="347"/>
  <c r="AD448" i="347" s="1"/>
  <c r="AF448" i="347" s="1"/>
  <c r="O235" i="347"/>
  <c r="Q351" i="347"/>
  <c r="AD351" i="347" s="1"/>
  <c r="AF351" i="347" s="1"/>
  <c r="Q45" i="347"/>
  <c r="AD45" i="347" s="1"/>
  <c r="AF45" i="347" s="1"/>
  <c r="O209" i="347"/>
  <c r="Q377" i="347"/>
  <c r="AD377" i="347" s="1"/>
  <c r="AF377" i="347" s="1"/>
  <c r="O512" i="347"/>
  <c r="O225" i="347"/>
  <c r="O363" i="347"/>
  <c r="AD453" i="347"/>
  <c r="AF453" i="347" s="1"/>
  <c r="Q210" i="347"/>
  <c r="AD210" i="347" s="1"/>
  <c r="AF210" i="347" s="1"/>
  <c r="O338" i="347"/>
  <c r="Q68" i="347"/>
  <c r="AD68" i="347" s="1"/>
  <c r="AF68" i="347" s="1"/>
  <c r="O387" i="347"/>
  <c r="O25" i="347"/>
  <c r="O497" i="347"/>
  <c r="O115" i="347"/>
  <c r="AD422" i="347"/>
  <c r="AF422" i="347" s="1"/>
  <c r="AD239" i="347"/>
  <c r="AF239" i="347" s="1"/>
  <c r="AD47" i="347"/>
  <c r="AF47" i="347" s="1"/>
  <c r="AD290" i="347"/>
  <c r="AF290" i="347" s="1"/>
  <c r="O143" i="347"/>
  <c r="Q362" i="347"/>
  <c r="AD362" i="347" s="1"/>
  <c r="AF362" i="347" s="1"/>
  <c r="Q56" i="347"/>
  <c r="AD56" i="347" s="1"/>
  <c r="AF56" i="347" s="1"/>
  <c r="Q176" i="347"/>
  <c r="AD176" i="347" s="1"/>
  <c r="AF176" i="347" s="1"/>
  <c r="O289" i="347"/>
  <c r="Q305" i="347"/>
  <c r="AD338" i="347"/>
  <c r="AF338" i="347" s="1"/>
  <c r="AD316" i="347"/>
  <c r="AF316" i="347" s="1"/>
  <c r="AD165" i="347"/>
  <c r="AF165" i="347" s="1"/>
  <c r="AD29" i="347"/>
  <c r="AF29" i="347" s="1"/>
  <c r="Q104" i="347"/>
  <c r="AD104" i="347" s="1"/>
  <c r="AF104" i="347" s="1"/>
  <c r="Q187" i="347"/>
  <c r="AD187" i="347" s="1"/>
  <c r="AF187" i="347" s="1"/>
  <c r="Q369" i="347"/>
  <c r="AD369" i="347" s="1"/>
  <c r="AF369" i="347" s="1"/>
  <c r="O228" i="347"/>
  <c r="O227" i="347"/>
  <c r="O58" i="347"/>
  <c r="O464" i="347"/>
  <c r="O367" i="347"/>
  <c r="AD244" i="347"/>
  <c r="AF244" i="347" s="1"/>
  <c r="AD212" i="347"/>
  <c r="AF212" i="347" s="1"/>
  <c r="AD148" i="347"/>
  <c r="AF148" i="347" s="1"/>
  <c r="AD394" i="347"/>
  <c r="AF394" i="347" s="1"/>
  <c r="AD317" i="347"/>
  <c r="AF317" i="347" s="1"/>
  <c r="AD285" i="347"/>
  <c r="AF285" i="347" s="1"/>
  <c r="AD221" i="347"/>
  <c r="AF221" i="347" s="1"/>
  <c r="AD125" i="347"/>
  <c r="AF125" i="347" s="1"/>
  <c r="AD93" i="347"/>
  <c r="AF93" i="347" s="1"/>
  <c r="AD53" i="347"/>
  <c r="AF53" i="347" s="1"/>
  <c r="Q202" i="347"/>
  <c r="AD202" i="347" s="1"/>
  <c r="AF202" i="347" s="1"/>
  <c r="Q168" i="347"/>
  <c r="AD168" i="347" s="1"/>
  <c r="AF168" i="347" s="1"/>
  <c r="O20" i="347"/>
  <c r="O172" i="347"/>
  <c r="O27" i="347"/>
  <c r="Q423" i="347"/>
  <c r="AD423" i="347" s="1"/>
  <c r="AF423" i="347" s="1"/>
  <c r="Q303" i="347"/>
  <c r="AD303" i="347" s="1"/>
  <c r="AF303" i="347" s="1"/>
  <c r="Q302" i="347"/>
  <c r="AD302" i="347" s="1"/>
  <c r="AF302" i="347" s="1"/>
  <c r="Q230" i="347"/>
  <c r="AD230" i="347" s="1"/>
  <c r="AF230" i="347" s="1"/>
  <c r="O241" i="347"/>
  <c r="Q271" i="347"/>
  <c r="AD271" i="347" s="1"/>
  <c r="AF271" i="347" s="1"/>
  <c r="O331" i="347"/>
  <c r="O281" i="347"/>
  <c r="O207" i="347"/>
  <c r="AD450" i="347"/>
  <c r="AF450" i="347" s="1"/>
  <c r="AD282" i="347"/>
  <c r="AF282" i="347" s="1"/>
  <c r="AD184" i="347"/>
  <c r="AF184" i="347" s="1"/>
  <c r="Q146" i="347"/>
  <c r="AD146" i="347" s="1"/>
  <c r="AF146" i="347" s="1"/>
  <c r="Q40" i="347"/>
  <c r="AD40" i="347" s="1"/>
  <c r="AF40" i="347" s="1"/>
  <c r="Q312" i="347"/>
  <c r="AD312" i="347" s="1"/>
  <c r="AF312" i="347" s="1"/>
  <c r="Q248" i="347"/>
  <c r="AD248" i="347" s="1"/>
  <c r="AF248" i="347" s="1"/>
  <c r="Q160" i="347"/>
  <c r="AD160" i="347" s="1"/>
  <c r="AF160" i="347" s="1"/>
  <c r="Q294" i="347"/>
  <c r="AD294" i="347" s="1"/>
  <c r="AF294" i="347" s="1"/>
  <c r="Q255" i="347"/>
  <c r="AD255" i="347" s="1"/>
  <c r="AF255" i="347" s="1"/>
  <c r="Q177" i="347"/>
  <c r="AD177" i="347" s="1"/>
  <c r="AF177" i="347" s="1"/>
  <c r="AD412" i="347"/>
  <c r="AF412" i="347" s="1"/>
  <c r="O42" i="347"/>
  <c r="O382" i="347"/>
  <c r="O125" i="347"/>
  <c r="O174" i="347"/>
  <c r="O70" i="347"/>
  <c r="AD166" i="347"/>
  <c r="AF166" i="347" s="1"/>
  <c r="AD174" i="347"/>
  <c r="AF174" i="347" s="1"/>
  <c r="AD236" i="347"/>
  <c r="AF236" i="347" s="1"/>
  <c r="AD172" i="347"/>
  <c r="AF172" i="347" s="1"/>
  <c r="AD108" i="347"/>
  <c r="AF108" i="347" s="1"/>
  <c r="AD27" i="347"/>
  <c r="AF27" i="347" s="1"/>
  <c r="Q403" i="347"/>
  <c r="AD403" i="347" s="1"/>
  <c r="AF403" i="347" s="1"/>
  <c r="Q191" i="347"/>
  <c r="AD191" i="347" s="1"/>
  <c r="AF191" i="347" s="1"/>
  <c r="Q121" i="347"/>
  <c r="AD121" i="347" s="1"/>
  <c r="AF121" i="347" s="1"/>
  <c r="O119" i="347"/>
  <c r="AD389" i="347"/>
  <c r="AF389" i="347" s="1"/>
  <c r="O287" i="347"/>
  <c r="O443" i="347"/>
  <c r="O427" i="347"/>
  <c r="O438" i="347"/>
  <c r="AD339" i="347"/>
  <c r="AF339" i="347" s="1"/>
  <c r="AD9" i="347"/>
  <c r="AF9" i="347" s="1"/>
  <c r="O323" i="347"/>
  <c r="O251" i="347"/>
  <c r="AD92" i="347"/>
  <c r="AF92" i="347" s="1"/>
  <c r="O186" i="347"/>
  <c r="AD436" i="347"/>
  <c r="AF436" i="347" s="1"/>
  <c r="AD404" i="347"/>
  <c r="AF404" i="347" s="1"/>
  <c r="AD372" i="347"/>
  <c r="AF372" i="347" s="1"/>
  <c r="AD340" i="347"/>
  <c r="AF340" i="347" s="1"/>
  <c r="AD308" i="347"/>
  <c r="AF308" i="347" s="1"/>
  <c r="Q259" i="347"/>
  <c r="AD259" i="347" s="1"/>
  <c r="AF259" i="347" s="1"/>
  <c r="Q113" i="347"/>
  <c r="AD113" i="347" s="1"/>
  <c r="AF113" i="347" s="1"/>
  <c r="O260" i="347"/>
  <c r="O66" i="347"/>
  <c r="O430" i="347"/>
  <c r="O313" i="347"/>
  <c r="O391" i="347"/>
  <c r="AD367" i="347"/>
  <c r="AF367" i="347" s="1"/>
  <c r="AD175" i="347"/>
  <c r="AF175" i="347" s="1"/>
  <c r="AD451" i="347"/>
  <c r="AF451" i="347" s="1"/>
  <c r="AD446" i="347"/>
  <c r="AF446" i="347" s="1"/>
  <c r="AD289" i="347"/>
  <c r="AF289" i="347" s="1"/>
  <c r="AD145" i="347"/>
  <c r="AF145" i="347" s="1"/>
  <c r="O60" i="347"/>
  <c r="O226" i="347"/>
  <c r="Q442" i="347"/>
  <c r="AD442" i="347" s="1"/>
  <c r="AF442" i="347" s="1"/>
  <c r="Q64" i="347"/>
  <c r="AD64" i="347" s="1"/>
  <c r="AF64" i="347" s="1"/>
  <c r="O72" i="347"/>
  <c r="Q414" i="347"/>
  <c r="AD414" i="347" s="1"/>
  <c r="AF414" i="347" s="1"/>
  <c r="Q347" i="347"/>
  <c r="AD347" i="347" s="1"/>
  <c r="AF347" i="347" s="1"/>
  <c r="O347" i="347"/>
  <c r="Q33" i="347"/>
  <c r="AD33" i="347" s="1"/>
  <c r="AF33" i="347" s="1"/>
  <c r="O33" i="347"/>
  <c r="Q59" i="347"/>
  <c r="AD59" i="347" s="1"/>
  <c r="AF59" i="347" s="1"/>
  <c r="O59" i="347"/>
  <c r="Q123" i="347"/>
  <c r="AD123" i="347" s="1"/>
  <c r="AF123" i="347" s="1"/>
  <c r="O123" i="347"/>
  <c r="Q283" i="347"/>
  <c r="AD283" i="347" s="1"/>
  <c r="AF283" i="347" s="1"/>
  <c r="O283" i="347"/>
  <c r="Q375" i="347"/>
  <c r="AD375" i="347" s="1"/>
  <c r="AF375" i="347" s="1"/>
  <c r="O375" i="347"/>
  <c r="O311" i="347"/>
  <c r="AD268" i="347"/>
  <c r="AF268" i="347" s="1"/>
  <c r="AD186" i="347"/>
  <c r="AF186" i="347" s="1"/>
  <c r="Q455" i="347"/>
  <c r="AD455" i="347" s="1"/>
  <c r="AF455" i="347" s="1"/>
  <c r="O455" i="347"/>
  <c r="Q257" i="347"/>
  <c r="AD257" i="347" s="1"/>
  <c r="AF257" i="347" s="1"/>
  <c r="O257" i="347"/>
  <c r="Q321" i="347"/>
  <c r="O321" i="347"/>
  <c r="Q378" i="347"/>
  <c r="AD378" i="347" s="1"/>
  <c r="AF378" i="347" s="1"/>
  <c r="O378" i="347"/>
  <c r="Q459" i="347"/>
  <c r="AD459" i="347" s="1"/>
  <c r="AF459" i="347" s="1"/>
  <c r="Q179" i="347"/>
  <c r="AD179" i="347" s="1"/>
  <c r="AF179" i="347" s="1"/>
  <c r="Q249" i="347"/>
  <c r="AD249" i="347" s="1"/>
  <c r="AF249" i="347" s="1"/>
  <c r="Q309" i="347"/>
  <c r="AD309" i="347" s="1"/>
  <c r="AF309" i="347" s="1"/>
  <c r="O215" i="347"/>
  <c r="Q154" i="347"/>
  <c r="AD154" i="347" s="1"/>
  <c r="AF154" i="347" s="1"/>
  <c r="Q49" i="347"/>
  <c r="AD49" i="347" s="1"/>
  <c r="AF49" i="347" s="1"/>
  <c r="O49" i="347"/>
  <c r="Q269" i="347"/>
  <c r="AD269" i="347" s="1"/>
  <c r="AF269" i="347" s="1"/>
  <c r="O269" i="347"/>
  <c r="O208" i="347"/>
  <c r="Q208" i="347"/>
  <c r="AD208" i="347" s="1"/>
  <c r="AF208" i="347" s="1"/>
  <c r="O370" i="347"/>
  <c r="O344" i="347"/>
  <c r="O301" i="347"/>
  <c r="O162" i="347"/>
  <c r="AD366" i="347"/>
  <c r="AF366" i="347" s="1"/>
  <c r="AD96" i="347"/>
  <c r="AF96" i="347" s="1"/>
  <c r="AD356" i="347"/>
  <c r="AF356" i="347" s="1"/>
  <c r="AD324" i="347"/>
  <c r="AF324" i="347" s="1"/>
  <c r="AD292" i="347"/>
  <c r="AF292" i="347" s="1"/>
  <c r="AD260" i="347"/>
  <c r="AF260" i="347" s="1"/>
  <c r="AD164" i="347"/>
  <c r="AF164" i="347" s="1"/>
  <c r="AD132" i="347"/>
  <c r="AF132" i="347" s="1"/>
  <c r="AD100" i="347"/>
  <c r="AF100" i="347" s="1"/>
  <c r="AD35" i="347"/>
  <c r="AF35" i="347" s="1"/>
  <c r="O156" i="347"/>
  <c r="Q395" i="347"/>
  <c r="AD395" i="347" s="1"/>
  <c r="AF395" i="347" s="1"/>
  <c r="Q293" i="347"/>
  <c r="AD293" i="347" s="1"/>
  <c r="AF293" i="347" s="1"/>
  <c r="Q128" i="347"/>
  <c r="AD128" i="347" s="1"/>
  <c r="AF128" i="347" s="1"/>
  <c r="Q188" i="347"/>
  <c r="AD188" i="347" s="1"/>
  <c r="AF188" i="347" s="1"/>
  <c r="O188" i="347"/>
  <c r="Q131" i="347"/>
  <c r="AD131" i="347" s="1"/>
  <c r="AF131" i="347" s="1"/>
  <c r="O131" i="347"/>
  <c r="O366" i="347"/>
  <c r="O449" i="347"/>
  <c r="O214" i="347"/>
  <c r="O46" i="347"/>
  <c r="AD462" i="347"/>
  <c r="AF462" i="347" s="1"/>
  <c r="AD81" i="347"/>
  <c r="AF81" i="347" s="1"/>
  <c r="AD170" i="347"/>
  <c r="AF170" i="347" s="1"/>
  <c r="O100" i="347"/>
  <c r="Q32" i="347"/>
  <c r="AD32" i="347" s="1"/>
  <c r="AF32" i="347" s="1"/>
  <c r="O385" i="347"/>
  <c r="Q441" i="347"/>
  <c r="AD441" i="347" s="1"/>
  <c r="AF441" i="347" s="1"/>
  <c r="Q185" i="347"/>
  <c r="AD185" i="347" s="1"/>
  <c r="AF185" i="347" s="1"/>
  <c r="O350" i="347"/>
  <c r="O250" i="347"/>
  <c r="AD156" i="347"/>
  <c r="AF156" i="347" s="1"/>
  <c r="AD60" i="347"/>
  <c r="AF60" i="347" s="1"/>
  <c r="AD28" i="347"/>
  <c r="AF28" i="347" s="1"/>
  <c r="AD365" i="347"/>
  <c r="AF365" i="347" s="1"/>
  <c r="O28" i="347"/>
  <c r="O67" i="347"/>
  <c r="Q73" i="347"/>
  <c r="AD73" i="347" s="1"/>
  <c r="AF73" i="347" s="1"/>
  <c r="O73" i="347"/>
  <c r="O91" i="347"/>
  <c r="Q91" i="347"/>
  <c r="AD91" i="347" s="1"/>
  <c r="AF91" i="347" s="1"/>
  <c r="Q240" i="347"/>
  <c r="AD240" i="347" s="1"/>
  <c r="AF240" i="347" s="1"/>
  <c r="O240" i="347"/>
  <c r="O279" i="347"/>
  <c r="Q279" i="347"/>
  <c r="AD279" i="347" s="1"/>
  <c r="AF279" i="347" s="1"/>
  <c r="O343" i="347"/>
  <c r="Q343" i="347"/>
  <c r="AD343" i="347" s="1"/>
  <c r="AF343" i="347" s="1"/>
  <c r="Q368" i="347"/>
  <c r="AD368" i="347" s="1"/>
  <c r="AF368" i="347" s="1"/>
  <c r="O368" i="347"/>
  <c r="AD250" i="347"/>
  <c r="AF250" i="347" s="1"/>
  <c r="AD449" i="347"/>
  <c r="AF449" i="347" s="1"/>
  <c r="AD329" i="347"/>
  <c r="AF329" i="347" s="1"/>
  <c r="AD281" i="347"/>
  <c r="AF281" i="347" s="1"/>
  <c r="AD137" i="347"/>
  <c r="AF137" i="347" s="1"/>
  <c r="AD437" i="347"/>
  <c r="AF437" i="347" s="1"/>
  <c r="AD405" i="347"/>
  <c r="AF405" i="347" s="1"/>
  <c r="AD373" i="347"/>
  <c r="AF373" i="347" s="1"/>
  <c r="AD341" i="347"/>
  <c r="AF341" i="347" s="1"/>
  <c r="AD277" i="347"/>
  <c r="AF277" i="347" s="1"/>
  <c r="AD245" i="347"/>
  <c r="AF245" i="347" s="1"/>
  <c r="AD213" i="347"/>
  <c r="AF213" i="347" s="1"/>
  <c r="AD181" i="347"/>
  <c r="AF181" i="347" s="1"/>
  <c r="O258" i="347"/>
  <c r="O92" i="347"/>
  <c r="Q171" i="347"/>
  <c r="AD171" i="347" s="1"/>
  <c r="AF171" i="347" s="1"/>
  <c r="O201" i="347"/>
  <c r="Q425" i="347"/>
  <c r="AD425" i="347" s="1"/>
  <c r="AF425" i="347" s="1"/>
  <c r="Q297" i="347"/>
  <c r="AD297" i="347" s="1"/>
  <c r="AF297" i="347" s="1"/>
  <c r="Q233" i="347"/>
  <c r="AD233" i="347" s="1"/>
  <c r="AF233" i="347" s="1"/>
  <c r="Q169" i="347"/>
  <c r="AD169" i="347" s="1"/>
  <c r="AF169" i="347" s="1"/>
  <c r="Q105" i="347"/>
  <c r="AD105" i="347" s="1"/>
  <c r="AF105" i="347" s="1"/>
  <c r="O461" i="347"/>
  <c r="O397" i="347"/>
  <c r="O459" i="347"/>
  <c r="O164" i="347"/>
  <c r="O36" i="347"/>
  <c r="Q379" i="347"/>
  <c r="AD379" i="347" s="1"/>
  <c r="AF379" i="347" s="1"/>
  <c r="Q315" i="347"/>
  <c r="AD315" i="347" s="1"/>
  <c r="AF315" i="347" s="1"/>
  <c r="O81" i="347"/>
  <c r="Q127" i="347"/>
  <c r="AD127" i="347" s="1"/>
  <c r="AF127" i="347" s="1"/>
  <c r="O223" i="347"/>
  <c r="Q353" i="347"/>
  <c r="AD353" i="347" s="1"/>
  <c r="AF353" i="347" s="1"/>
  <c r="Q161" i="347"/>
  <c r="AD161" i="347" s="1"/>
  <c r="AF161" i="347" s="1"/>
  <c r="O265" i="347"/>
  <c r="O151" i="347"/>
  <c r="O137" i="347"/>
  <c r="Q217" i="347"/>
  <c r="Q153" i="347"/>
  <c r="AD153" i="347" s="1"/>
  <c r="AF153" i="347" s="1"/>
  <c r="AD313" i="347"/>
  <c r="AF313" i="347" s="1"/>
  <c r="AD201" i="347"/>
  <c r="AF201" i="347" s="1"/>
  <c r="AD129" i="347"/>
  <c r="AF129" i="347" s="1"/>
  <c r="AD344" i="347"/>
  <c r="AF344" i="347" s="1"/>
  <c r="AD200" i="347"/>
  <c r="AF200" i="347" s="1"/>
  <c r="O415" i="347"/>
  <c r="O299" i="347"/>
  <c r="O199" i="347"/>
  <c r="O247" i="347"/>
  <c r="Q457" i="347"/>
  <c r="AD457" i="347" s="1"/>
  <c r="AF457" i="347" s="1"/>
  <c r="Q393" i="347"/>
  <c r="AD393" i="347" s="1"/>
  <c r="AF393" i="347" s="1"/>
  <c r="O129" i="347"/>
  <c r="AD36" i="347"/>
  <c r="AF36" i="347" s="1"/>
  <c r="AD66" i="347"/>
  <c r="AF66" i="347" s="1"/>
  <c r="AD34" i="347"/>
  <c r="AF34" i="347" s="1"/>
  <c r="AD330" i="347"/>
  <c r="AF330" i="347" s="1"/>
  <c r="AD226" i="347"/>
  <c r="AF226" i="347" s="1"/>
  <c r="AD465" i="347"/>
  <c r="AF465" i="347" s="1"/>
  <c r="AD417" i="347"/>
  <c r="AF417" i="347" s="1"/>
  <c r="AD225" i="347"/>
  <c r="AF225" i="347" s="1"/>
  <c r="AD440" i="347"/>
  <c r="AF440" i="347" s="1"/>
  <c r="O277" i="347"/>
  <c r="AD25" i="347"/>
  <c r="AF25" i="347" s="1"/>
  <c r="O135" i="347"/>
  <c r="O195" i="347"/>
  <c r="K239" i="347"/>
  <c r="K111" i="347"/>
  <c r="AD42" i="347"/>
  <c r="AF42" i="347" s="1"/>
  <c r="AD328" i="347"/>
  <c r="AF328" i="347" s="1"/>
  <c r="AA24" i="347"/>
  <c r="AD24" i="347" s="1"/>
  <c r="AF24" i="347" s="1"/>
  <c r="O132" i="347"/>
  <c r="K450" i="347"/>
  <c r="K359" i="347"/>
  <c r="O263" i="347"/>
  <c r="AD76" i="347"/>
  <c r="AF76" i="347" s="1"/>
  <c r="AD12" i="347"/>
  <c r="AF12" i="347" s="1"/>
  <c r="AA288" i="347"/>
  <c r="AD48" i="347"/>
  <c r="AF48" i="347" s="1"/>
  <c r="AC224" i="347"/>
  <c r="AE224" i="347" s="1"/>
  <c r="O437" i="347"/>
  <c r="K463" i="347"/>
  <c r="AD400" i="347"/>
  <c r="AF400" i="347" s="1"/>
  <c r="AD162" i="347"/>
  <c r="AF162" i="347" s="1"/>
  <c r="K17" i="347"/>
  <c r="AD20" i="347"/>
  <c r="AF20" i="347" s="1"/>
  <c r="K172" i="347"/>
  <c r="O383" i="347"/>
  <c r="K167" i="347"/>
  <c r="AA433" i="347"/>
  <c r="AD50" i="347"/>
  <c r="AF50" i="347" s="1"/>
  <c r="AD258" i="347"/>
  <c r="AF258" i="347" s="1"/>
  <c r="O285" i="347"/>
  <c r="K339" i="347"/>
  <c r="O372" i="347"/>
  <c r="K451" i="347"/>
  <c r="AD242" i="347"/>
  <c r="AF242" i="347" s="1"/>
  <c r="AA193" i="347"/>
  <c r="AD193" i="347" s="1"/>
  <c r="AF193" i="347" s="1"/>
  <c r="AD52" i="347"/>
  <c r="AF52" i="347" s="1"/>
  <c r="AD16" i="347"/>
  <c r="AF16" i="347" s="1"/>
  <c r="AD232" i="347"/>
  <c r="AF232" i="347" s="1"/>
  <c r="AD8" i="347"/>
  <c r="AF8" i="347" s="1"/>
  <c r="AD296" i="347"/>
  <c r="AF296" i="347" s="1"/>
  <c r="AD192" i="347"/>
  <c r="AF192" i="347" s="1"/>
  <c r="AD44" i="347"/>
  <c r="AF44" i="347" s="1"/>
  <c r="AD82" i="347"/>
  <c r="AF82" i="347" s="1"/>
  <c r="AD256" i="347"/>
  <c r="AF256" i="347" s="1"/>
  <c r="AD266" i="347"/>
  <c r="AF266" i="347" s="1"/>
  <c r="AD320" i="347"/>
  <c r="AF320" i="347" s="1"/>
  <c r="AD74" i="347"/>
  <c r="AF74" i="347" s="1"/>
  <c r="AD458" i="347"/>
  <c r="AF458" i="347" s="1"/>
  <c r="AD218" i="347"/>
  <c r="AF218" i="347" s="1"/>
  <c r="K87" i="347"/>
  <c r="K373" i="347"/>
  <c r="K394" i="347"/>
  <c r="K79" i="347"/>
  <c r="K140" i="347"/>
  <c r="K403" i="347"/>
  <c r="K52" i="347"/>
  <c r="K14" i="347"/>
  <c r="K95" i="347"/>
  <c r="AC25" i="347"/>
  <c r="AE25" i="347" s="1"/>
  <c r="K229" i="347"/>
  <c r="K47" i="347"/>
  <c r="K118" i="347"/>
  <c r="K195" i="347"/>
  <c r="K54" i="347"/>
  <c r="K431" i="347"/>
  <c r="O124" i="347"/>
  <c r="K100" i="347"/>
  <c r="K206" i="347"/>
  <c r="K174" i="347"/>
  <c r="K143" i="347"/>
  <c r="K76" i="347"/>
  <c r="O108" i="347"/>
  <c r="O63" i="347"/>
  <c r="K110" i="347"/>
  <c r="K459" i="347"/>
  <c r="K135" i="347"/>
  <c r="O365" i="347"/>
  <c r="K277" i="347"/>
  <c r="O381" i="347"/>
  <c r="K429" i="347"/>
  <c r="K126" i="347"/>
  <c r="K287" i="347"/>
  <c r="O421" i="347"/>
  <c r="K357" i="347"/>
  <c r="K199" i="347"/>
  <c r="K435" i="347"/>
  <c r="K70" i="347"/>
  <c r="K22" i="347"/>
  <c r="O413" i="347"/>
  <c r="AA385" i="347"/>
  <c r="AD385" i="347" s="1"/>
  <c r="AF385" i="347" s="1"/>
  <c r="AA305" i="347"/>
  <c r="K38" i="347"/>
  <c r="K46" i="347"/>
  <c r="O71" i="347"/>
  <c r="K142" i="347"/>
  <c r="O15" i="347"/>
  <c r="K55" i="347"/>
  <c r="K102" i="347"/>
  <c r="O341" i="347"/>
  <c r="K214" i="347"/>
  <c r="K31" i="347"/>
  <c r="K30" i="347"/>
  <c r="K78" i="347"/>
  <c r="O7" i="347"/>
  <c r="K182" i="347"/>
  <c r="K222" i="347"/>
  <c r="K150" i="347"/>
  <c r="K166" i="347"/>
  <c r="K62" i="347"/>
  <c r="O23" i="347"/>
  <c r="K23" i="347"/>
  <c r="K134" i="347"/>
  <c r="K94" i="347"/>
  <c r="K198" i="347"/>
  <c r="K39" i="347"/>
  <c r="O103" i="347"/>
  <c r="K103" i="347"/>
  <c r="O489" i="347"/>
  <c r="O473" i="347"/>
  <c r="O505" i="347"/>
  <c r="AD217" i="347" l="1"/>
  <c r="AF217" i="347" s="1"/>
  <c r="AD305" i="347"/>
  <c r="AF305" i="347" s="1"/>
  <c r="AD321" i="347"/>
  <c r="AF321" i="347" s="1"/>
  <c r="AD288" i="347"/>
  <c r="AF288" i="347" s="1"/>
  <c r="AD433" i="347"/>
  <c r="AF433" i="347" s="1"/>
  <c r="C1576" i="328" l="1"/>
  <c r="C2041" i="328"/>
  <c r="C2040" i="328"/>
  <c r="C2039" i="328"/>
  <c r="AD592" i="347"/>
  <c r="AF587" i="347"/>
  <c r="AF586" i="347"/>
  <c r="AF585" i="347"/>
  <c r="AF584" i="347"/>
  <c r="AF583" i="347"/>
  <c r="AF582" i="347"/>
  <c r="AF581" i="347"/>
  <c r="C2038" i="328"/>
  <c r="C2037" i="328"/>
  <c r="C2036" i="328"/>
  <c r="C2035" i="328"/>
  <c r="C2031" i="328"/>
  <c r="C2032" i="328"/>
  <c r="C2033" i="328"/>
  <c r="C2034" i="328"/>
  <c r="C2023" i="328"/>
  <c r="C2024" i="328"/>
  <c r="C2025" i="328"/>
  <c r="C2026" i="328"/>
  <c r="C2027" i="328"/>
  <c r="C2028" i="328"/>
  <c r="C2029" i="328"/>
  <c r="C2030" i="328"/>
  <c r="C2021" i="328"/>
  <c r="C2022" i="328"/>
  <c r="C2020" i="328"/>
  <c r="C2018" i="328"/>
  <c r="C2019" i="328"/>
  <c r="C2017" i="328"/>
  <c r="J5" i="347" l="1"/>
  <c r="C266" i="328"/>
  <c r="C1128" i="328"/>
  <c r="C2016" i="328"/>
  <c r="C2015" i="328"/>
  <c r="C1437" i="328"/>
  <c r="C1858" i="328"/>
  <c r="C1971" i="328"/>
  <c r="C521" i="328"/>
  <c r="C1636" i="328"/>
  <c r="C1639" i="328"/>
  <c r="C1640" i="328"/>
  <c r="C1637" i="328"/>
  <c r="C294" i="328"/>
  <c r="G182" i="1"/>
  <c r="F182" i="1"/>
  <c r="E182" i="1"/>
  <c r="D182" i="1"/>
  <c r="C182" i="1"/>
  <c r="C1977" i="328"/>
  <c r="C1976" i="328"/>
  <c r="C1991" i="328"/>
  <c r="C1973" i="328"/>
  <c r="C1972" i="328"/>
  <c r="C1970" i="328"/>
  <c r="C1969" i="328"/>
  <c r="C1968" i="328"/>
  <c r="C1967" i="328"/>
  <c r="C1965" i="328"/>
  <c r="AD66" i="2"/>
  <c r="AC66" i="2"/>
  <c r="AB66" i="2"/>
  <c r="AA66" i="2"/>
  <c r="Z66" i="2"/>
  <c r="Y66" i="2"/>
  <c r="AD62" i="2"/>
  <c r="AC62" i="2"/>
  <c r="AB62" i="2"/>
  <c r="AA62" i="2"/>
  <c r="Z62" i="2"/>
  <c r="Y62" i="2"/>
  <c r="AD36" i="2"/>
  <c r="AC36" i="2"/>
  <c r="AB36" i="2"/>
  <c r="AA36" i="2"/>
  <c r="Z36" i="2"/>
  <c r="Y36" i="2"/>
  <c r="AD34" i="2"/>
  <c r="AC34" i="2"/>
  <c r="AB34" i="2"/>
  <c r="AA34" i="2"/>
  <c r="Z34" i="2"/>
  <c r="Y34" i="2"/>
  <c r="AD33" i="2"/>
  <c r="AC33" i="2"/>
  <c r="AB33" i="2"/>
  <c r="AA33" i="2"/>
  <c r="Z33" i="2"/>
  <c r="Y33" i="2"/>
  <c r="P52" i="2"/>
  <c r="O52" i="2"/>
  <c r="N52" i="2"/>
  <c r="M52" i="2"/>
  <c r="L52" i="2"/>
  <c r="K52" i="2"/>
  <c r="C1975" i="328"/>
  <c r="C1966" i="328"/>
  <c r="C1964" i="328"/>
  <c r="C2004" i="328"/>
  <c r="C1999" i="328"/>
  <c r="C1998" i="328"/>
  <c r="C2014" i="328"/>
  <c r="C2013" i="328"/>
  <c r="C1990" i="328"/>
  <c r="C1989" i="328"/>
  <c r="C1988" i="328"/>
  <c r="C1987" i="328"/>
  <c r="C1986" i="328"/>
  <c r="C1985" i="328"/>
  <c r="C1984" i="328"/>
  <c r="C1983" i="328"/>
  <c r="C1982" i="328"/>
  <c r="C1981" i="328"/>
  <c r="C1980" i="328"/>
  <c r="C1979" i="328"/>
  <c r="C1978" i="328"/>
  <c r="C1992" i="328"/>
  <c r="C1994" i="328"/>
  <c r="C1995" i="328"/>
  <c r="C1996" i="328"/>
  <c r="C1997" i="328"/>
  <c r="C2003" i="328"/>
  <c r="C2002" i="328"/>
  <c r="C2001" i="328"/>
  <c r="C2000" i="328"/>
  <c r="C2011" i="328"/>
  <c r="C2010" i="328"/>
  <c r="C2009" i="328"/>
  <c r="C2008" i="328"/>
  <c r="C2007" i="328"/>
  <c r="C2006" i="328"/>
  <c r="C2005" i="328"/>
  <c r="C2012" i="328"/>
  <c r="C1993" i="328"/>
  <c r="C1974" i="328"/>
  <c r="C992" i="328"/>
  <c r="C1035" i="328"/>
  <c r="C1032" i="328"/>
  <c r="C1031" i="328"/>
  <c r="H182" i="1" l="1"/>
  <c r="C1908" i="328"/>
  <c r="C1907" i="328"/>
  <c r="C1909" i="328"/>
  <c r="C1910" i="328"/>
  <c r="C1906" i="328"/>
  <c r="C1905" i="328"/>
  <c r="C1904" i="328"/>
  <c r="C1913" i="328"/>
  <c r="C1912" i="328"/>
  <c r="C1911" i="328"/>
  <c r="C1914" i="328"/>
  <c r="C1915" i="328"/>
  <c r="C1918" i="328"/>
  <c r="C1917" i="328"/>
  <c r="C1916" i="328"/>
  <c r="C1963" i="328"/>
  <c r="C1962" i="328"/>
  <c r="C1961" i="328"/>
  <c r="C1960" i="328"/>
  <c r="C1959" i="328"/>
  <c r="C1958" i="328"/>
  <c r="C1957" i="328"/>
  <c r="C1956" i="328"/>
  <c r="C1955" i="328"/>
  <c r="C1954" i="328"/>
  <c r="C1953" i="328"/>
  <c r="C1952" i="328"/>
  <c r="C1951" i="328"/>
  <c r="C1950" i="328"/>
  <c r="C1949" i="328"/>
  <c r="C1948" i="328"/>
  <c r="C1947" i="328"/>
  <c r="C1946" i="328"/>
  <c r="C1945" i="328"/>
  <c r="C1944" i="328"/>
  <c r="C1943" i="328"/>
  <c r="C1942" i="328"/>
  <c r="C1941" i="328"/>
  <c r="C1940" i="328"/>
  <c r="C1939" i="328"/>
  <c r="C1938" i="328"/>
  <c r="C1937" i="328"/>
  <c r="C1936" i="328"/>
  <c r="C1935" i="328"/>
  <c r="C1934" i="328"/>
  <c r="C1933" i="328"/>
  <c r="C1932" i="328"/>
  <c r="C1931" i="328"/>
  <c r="C1930" i="328"/>
  <c r="C1929" i="328"/>
  <c r="C1928" i="328"/>
  <c r="C1927" i="328"/>
  <c r="C1926" i="328"/>
  <c r="C1925" i="328"/>
  <c r="C1924" i="328"/>
  <c r="C1923" i="328"/>
  <c r="C1922" i="328"/>
  <c r="C1921" i="328"/>
  <c r="C1920" i="328"/>
  <c r="C1676" i="328"/>
  <c r="C1919" i="328"/>
  <c r="C1725" i="328"/>
  <c r="C1727" i="328"/>
  <c r="C1726" i="328"/>
  <c r="C1861" i="328"/>
  <c r="C1766" i="328"/>
  <c r="C1765" i="328"/>
  <c r="C1764" i="328"/>
  <c r="C1767" i="328"/>
  <c r="C1768" i="328"/>
  <c r="C1706" i="328"/>
  <c r="C1859" i="328"/>
  <c r="C1860" i="328"/>
  <c r="C1705" i="328"/>
  <c r="C1707" i="328"/>
  <c r="C1708" i="328"/>
  <c r="C1704" i="328"/>
  <c r="C1701" i="328"/>
  <c r="C1699" i="328"/>
  <c r="C1700" i="328"/>
  <c r="P10" i="2"/>
  <c r="O10" i="2"/>
  <c r="N10" i="2"/>
  <c r="M10" i="2"/>
  <c r="L10" i="2"/>
  <c r="K10" i="2"/>
  <c r="C1703" i="328"/>
  <c r="C1702" i="328"/>
  <c r="C1525" i="328"/>
  <c r="C1719" i="328"/>
  <c r="C1718" i="328"/>
  <c r="C1717" i="328"/>
  <c r="C1716" i="328"/>
  <c r="C1545" i="328"/>
  <c r="C1714" i="328"/>
  <c r="C1713" i="328"/>
  <c r="C1712" i="328"/>
  <c r="C1711" i="328"/>
  <c r="C1710" i="328"/>
  <c r="C1709" i="328"/>
  <c r="C1724" i="328"/>
  <c r="C1723" i="328"/>
  <c r="C1722" i="328"/>
  <c r="C1721" i="328"/>
  <c r="C1720" i="328"/>
  <c r="C1854" i="328"/>
  <c r="C1857" i="328"/>
  <c r="C1856" i="328"/>
  <c r="C1855" i="328"/>
  <c r="C1697" i="328"/>
  <c r="C1696" i="328"/>
  <c r="C1903" i="328"/>
  <c r="C1902" i="328"/>
  <c r="C1901" i="328"/>
  <c r="C1900" i="328"/>
  <c r="C1899" i="328"/>
  <c r="C1898" i="328"/>
  <c r="C1897" i="328"/>
  <c r="C1896" i="328"/>
  <c r="C1895" i="328"/>
  <c r="C1894" i="328"/>
  <c r="C1893" i="328"/>
  <c r="C1892" i="328"/>
  <c r="C1891" i="328"/>
  <c r="C1890" i="328"/>
  <c r="C1889" i="328"/>
  <c r="C1888" i="328"/>
  <c r="C1887" i="328"/>
  <c r="C1877" i="328"/>
  <c r="C1878" i="328"/>
  <c r="C1879" i="328"/>
  <c r="C1880" i="328"/>
  <c r="C1881" i="328"/>
  <c r="C1882" i="328"/>
  <c r="C1883" i="328"/>
  <c r="C1884" i="328"/>
  <c r="C1885" i="328"/>
  <c r="C1886" i="328"/>
  <c r="C1867" i="328"/>
  <c r="C1868" i="328"/>
  <c r="C1869" i="328"/>
  <c r="C1870" i="328"/>
  <c r="C1871" i="328"/>
  <c r="C1872" i="328"/>
  <c r="C1873" i="328"/>
  <c r="C1874" i="328"/>
  <c r="C1875" i="328"/>
  <c r="C1876" i="328"/>
  <c r="C1866" i="328"/>
  <c r="C1862" i="328"/>
  <c r="C1863" i="328"/>
  <c r="C1864" i="328"/>
  <c r="C1865" i="328"/>
  <c r="C1769" i="328"/>
  <c r="C1770" i="328"/>
  <c r="C1771" i="328"/>
  <c r="C1772" i="328"/>
  <c r="C1773" i="328"/>
  <c r="C1774" i="328"/>
  <c r="C1775" i="328"/>
  <c r="C1776" i="328"/>
  <c r="C1777" i="328"/>
  <c r="C1778" i="328"/>
  <c r="C1779" i="328"/>
  <c r="C1780" i="328"/>
  <c r="C1781" i="328"/>
  <c r="C1782" i="328"/>
  <c r="C1783" i="328"/>
  <c r="C1784" i="328"/>
  <c r="C1785" i="328"/>
  <c r="C1786" i="328"/>
  <c r="C1787" i="328"/>
  <c r="C1788" i="328"/>
  <c r="C1789" i="328"/>
  <c r="C1790" i="328"/>
  <c r="C1791" i="328"/>
  <c r="C1792" i="328"/>
  <c r="C1793" i="328"/>
  <c r="C1794" i="328"/>
  <c r="C1795" i="328"/>
  <c r="C1796" i="328"/>
  <c r="C1797" i="328"/>
  <c r="C1798" i="328"/>
  <c r="C1799" i="328"/>
  <c r="C1800" i="328"/>
  <c r="C1801" i="328"/>
  <c r="C1802" i="328"/>
  <c r="C1803" i="328"/>
  <c r="C1804" i="328"/>
  <c r="C1805" i="328"/>
  <c r="C1806" i="328"/>
  <c r="C1807" i="328"/>
  <c r="C1808" i="328"/>
  <c r="C1809" i="328"/>
  <c r="C1810" i="328"/>
  <c r="C1811" i="328"/>
  <c r="C1812" i="328"/>
  <c r="C1813" i="328"/>
  <c r="C1814" i="328"/>
  <c r="C1815" i="328"/>
  <c r="C1816" i="328"/>
  <c r="C1817" i="328"/>
  <c r="C1818" i="328"/>
  <c r="C1819" i="328"/>
  <c r="C1820" i="328"/>
  <c r="C1821" i="328"/>
  <c r="C1822" i="328"/>
  <c r="C1823" i="328"/>
  <c r="C1824" i="328"/>
  <c r="C1825" i="328"/>
  <c r="C1826" i="328"/>
  <c r="C1827" i="328"/>
  <c r="C1828" i="328"/>
  <c r="C1829" i="328"/>
  <c r="C1830" i="328"/>
  <c r="C1831" i="328"/>
  <c r="C1832" i="328"/>
  <c r="C1833" i="328"/>
  <c r="C1834" i="328"/>
  <c r="C1835" i="328"/>
  <c r="C1836" i="328"/>
  <c r="C1837" i="328"/>
  <c r="C1838" i="328"/>
  <c r="C1839" i="328"/>
  <c r="C1840" i="328"/>
  <c r="C1841" i="328"/>
  <c r="C1842" i="328"/>
  <c r="C1843" i="328"/>
  <c r="C1844" i="328"/>
  <c r="C1845" i="328"/>
  <c r="C1846" i="328"/>
  <c r="C1847" i="328"/>
  <c r="C1848" i="328"/>
  <c r="C1849" i="328"/>
  <c r="C1850" i="328"/>
  <c r="C1851" i="328"/>
  <c r="C1852" i="328"/>
  <c r="C1853" i="328"/>
  <c r="C1763" i="328"/>
  <c r="C1746" i="328"/>
  <c r="C1747" i="328"/>
  <c r="C1748" i="328"/>
  <c r="C1749" i="328"/>
  <c r="C1750" i="328"/>
  <c r="C1751" i="328"/>
  <c r="C1752" i="328"/>
  <c r="C1753" i="328"/>
  <c r="C1754" i="328"/>
  <c r="C1755" i="328"/>
  <c r="C1756" i="328"/>
  <c r="C1757" i="328"/>
  <c r="C1758" i="328"/>
  <c r="C1759" i="328"/>
  <c r="C1760" i="328"/>
  <c r="C1761" i="328"/>
  <c r="C1762" i="328"/>
  <c r="C1739" i="328"/>
  <c r="C1740" i="328"/>
  <c r="C1741" i="328"/>
  <c r="C1742" i="328"/>
  <c r="C1743" i="328"/>
  <c r="C1744" i="328"/>
  <c r="C1745" i="328"/>
  <c r="C1737" i="328"/>
  <c r="C1738" i="328"/>
  <c r="C1732" i="328"/>
  <c r="C1733" i="328"/>
  <c r="C1734" i="328"/>
  <c r="C1735" i="328"/>
  <c r="C1736" i="328"/>
  <c r="C1730" i="328"/>
  <c r="C1731" i="328"/>
  <c r="C1728" i="328"/>
  <c r="C1729" i="328"/>
  <c r="C1715" i="328"/>
  <c r="C1698" i="328"/>
  <c r="C1695" i="328"/>
  <c r="C13" i="328"/>
  <c r="G11" i="1" l="1"/>
  <c r="F11" i="1"/>
  <c r="C1691" i="328" l="1"/>
  <c r="C1692" i="328"/>
  <c r="C1693" i="328"/>
  <c r="C1694" i="328"/>
  <c r="C1690" i="328"/>
  <c r="C1687" i="328"/>
  <c r="C1688" i="328"/>
  <c r="C1689" i="328"/>
  <c r="C1686" i="328"/>
  <c r="C1682" i="328"/>
  <c r="C1683" i="328"/>
  <c r="C1684" i="328"/>
  <c r="C1685" i="328"/>
  <c r="C1679" i="328"/>
  <c r="C1680" i="328"/>
  <c r="C1681" i="328"/>
  <c r="C1678" i="328"/>
  <c r="C1653" i="328"/>
  <c r="C1654" i="328"/>
  <c r="C1655" i="328"/>
  <c r="C1656" i="328"/>
  <c r="C1657" i="328"/>
  <c r="C1658" i="328"/>
  <c r="C1659" i="328"/>
  <c r="C1660" i="328"/>
  <c r="C1661" i="328"/>
  <c r="C1662" i="328"/>
  <c r="C1663" i="328"/>
  <c r="C1664" i="328"/>
  <c r="C1665" i="328"/>
  <c r="C1666" i="328"/>
  <c r="C1667" i="328"/>
  <c r="C1668" i="328"/>
  <c r="C1669" i="328"/>
  <c r="C1670" i="328"/>
  <c r="C1671" i="328"/>
  <c r="C1672" i="328"/>
  <c r="C1673" i="328"/>
  <c r="C1674" i="328"/>
  <c r="C1675" i="328"/>
  <c r="C484" i="328"/>
  <c r="C485" i="328"/>
  <c r="C486" i="328"/>
  <c r="C526" i="328"/>
  <c r="C528" i="328"/>
  <c r="C664" i="328"/>
  <c r="C665" i="328"/>
  <c r="C1677" i="328"/>
  <c r="C666" i="328"/>
  <c r="C667" i="328"/>
  <c r="C668" i="328"/>
  <c r="C669" i="328"/>
  <c r="C670" i="328"/>
  <c r="C671" i="328"/>
  <c r="C672" i="328"/>
  <c r="C673" i="328"/>
  <c r="C674" i="328"/>
  <c r="C675" i="328"/>
  <c r="C679" i="328"/>
  <c r="C730" i="328"/>
  <c r="C731" i="328"/>
  <c r="C732" i="328"/>
  <c r="C733" i="328"/>
  <c r="C734" i="328"/>
  <c r="C735" i="328"/>
  <c r="C736" i="328"/>
  <c r="C737" i="328"/>
  <c r="C738" i="328"/>
  <c r="C739" i="328"/>
  <c r="C1652" i="328"/>
  <c r="C1641" i="328"/>
  <c r="C1642" i="328"/>
  <c r="C1643" i="328"/>
  <c r="C1644" i="328"/>
  <c r="C1645" i="328"/>
  <c r="C1646" i="328"/>
  <c r="C1647" i="328"/>
  <c r="C1648" i="328"/>
  <c r="C1649" i="328"/>
  <c r="C1650" i="328"/>
  <c r="C1651" i="328"/>
  <c r="C1638" i="328"/>
  <c r="C1602" i="328"/>
  <c r="C1601" i="328"/>
  <c r="C1600" i="328"/>
  <c r="C1599" i="328"/>
  <c r="C1598" i="328"/>
  <c r="E11" i="1"/>
  <c r="D11" i="1"/>
  <c r="C1546" i="328" l="1"/>
  <c r="C1540" i="328"/>
  <c r="C1597" i="328"/>
  <c r="C1596" i="328"/>
  <c r="C1614" i="328"/>
  <c r="C1578" i="328"/>
  <c r="C1577" i="328"/>
  <c r="C1575" i="328"/>
  <c r="C1574" i="328"/>
  <c r="C1573" i="328"/>
  <c r="C1572" i="328"/>
  <c r="C1539" i="328"/>
  <c r="C1541" i="328"/>
  <c r="C1571" i="328"/>
  <c r="C1570" i="328"/>
  <c r="C1569" i="328"/>
  <c r="C1568" i="328"/>
  <c r="C1567" i="328"/>
  <c r="C1566" i="328"/>
  <c r="C1565" i="328"/>
  <c r="C1564" i="328"/>
  <c r="C1595" i="328"/>
  <c r="C1594" i="328"/>
  <c r="C1593" i="328"/>
  <c r="C1592" i="328"/>
  <c r="C1591" i="328"/>
  <c r="C1590" i="328"/>
  <c r="C1589" i="328"/>
  <c r="C1588" i="328"/>
  <c r="C1587" i="328"/>
  <c r="C1586" i="328"/>
  <c r="C1585" i="328"/>
  <c r="C1584" i="328"/>
  <c r="C1583" i="328"/>
  <c r="C1582" i="328"/>
  <c r="C1581" i="328"/>
  <c r="C1580" i="328"/>
  <c r="C1579" i="328"/>
  <c r="C1544" i="328"/>
  <c r="C1543" i="328"/>
  <c r="C1542" i="328"/>
  <c r="C1563" i="328"/>
  <c r="C1562" i="328"/>
  <c r="C1561" i="328"/>
  <c r="C1560" i="328"/>
  <c r="C1559" i="328"/>
  <c r="C1558" i="328"/>
  <c r="C1557" i="328"/>
  <c r="C1556" i="328"/>
  <c r="C1555" i="328"/>
  <c r="C1554" i="328"/>
  <c r="C1553" i="328"/>
  <c r="C1552" i="328"/>
  <c r="C1551" i="328"/>
  <c r="C1550" i="328"/>
  <c r="C1549" i="328"/>
  <c r="C1548" i="328"/>
  <c r="C1547" i="328"/>
  <c r="C1538" i="328" l="1"/>
  <c r="Z569" i="347"/>
  <c r="C483" i="328" l="1"/>
  <c r="C1536" i="328" l="1"/>
  <c r="H1" i="347"/>
  <c r="N568" i="347" l="1"/>
  <c r="AE588" i="347"/>
  <c r="AE587" i="347"/>
  <c r="AE586" i="347"/>
  <c r="AE584" i="347"/>
  <c r="AE583" i="347"/>
  <c r="AE582" i="347"/>
  <c r="AE581" i="347"/>
  <c r="AE585" i="347"/>
  <c r="AE591" i="347"/>
  <c r="AE590" i="347"/>
  <c r="AE589" i="347"/>
  <c r="O479" i="347"/>
  <c r="O481" i="347"/>
  <c r="O478" i="347"/>
  <c r="O483" i="347"/>
  <c r="O466" i="347"/>
  <c r="O491" i="347"/>
  <c r="O490" i="347"/>
  <c r="Q568" i="347" l="1"/>
  <c r="AD568" i="347" s="1"/>
  <c r="AC568" i="347"/>
  <c r="Y500" i="347"/>
  <c r="V500" i="347"/>
  <c r="Y517" i="347"/>
  <c r="V517" i="347"/>
  <c r="Y470" i="347"/>
  <c r="V470" i="347"/>
  <c r="Y487" i="347"/>
  <c r="V487" i="347"/>
  <c r="Y504" i="347"/>
  <c r="V504" i="347"/>
  <c r="V513" i="347"/>
  <c r="Y513" i="347"/>
  <c r="Y466" i="347"/>
  <c r="V466" i="347"/>
  <c r="Y483" i="347"/>
  <c r="V483" i="347"/>
  <c r="N497" i="347"/>
  <c r="Q497" i="347" s="1"/>
  <c r="K497" i="347"/>
  <c r="N508" i="347"/>
  <c r="Q508" i="347" s="1"/>
  <c r="K508" i="347"/>
  <c r="N501" i="347"/>
  <c r="Q501" i="347" s="1"/>
  <c r="K501" i="347"/>
  <c r="N494" i="347"/>
  <c r="Q494" i="347" s="1"/>
  <c r="K494" i="347"/>
  <c r="N503" i="347"/>
  <c r="Q503" i="347" s="1"/>
  <c r="K503" i="347"/>
  <c r="N504" i="347"/>
  <c r="Q504" i="347" s="1"/>
  <c r="K504" i="347"/>
  <c r="Y508" i="347"/>
  <c r="V508" i="347"/>
  <c r="V478" i="347"/>
  <c r="Y478" i="347"/>
  <c r="Y495" i="347"/>
  <c r="V495" i="347"/>
  <c r="Y512" i="347"/>
  <c r="V512" i="347"/>
  <c r="V521" i="347"/>
  <c r="Y521" i="347"/>
  <c r="Y474" i="347"/>
  <c r="V474" i="347"/>
  <c r="V491" i="347"/>
  <c r="Y491" i="347"/>
  <c r="N490" i="347"/>
  <c r="Q490" i="347" s="1"/>
  <c r="K490" i="347"/>
  <c r="N516" i="347"/>
  <c r="Q516" i="347" s="1"/>
  <c r="K516" i="347"/>
  <c r="N481" i="347"/>
  <c r="Q481" i="347" s="1"/>
  <c r="K481" i="347"/>
  <c r="N509" i="347"/>
  <c r="Q509" i="347" s="1"/>
  <c r="K509" i="347"/>
  <c r="N502" i="347"/>
  <c r="Q502" i="347" s="1"/>
  <c r="K502" i="347"/>
  <c r="N511" i="347"/>
  <c r="Q511" i="347" s="1"/>
  <c r="K511" i="347"/>
  <c r="N473" i="347"/>
  <c r="Q473" i="347" s="1"/>
  <c r="K473" i="347"/>
  <c r="N512" i="347"/>
  <c r="Q512" i="347" s="1"/>
  <c r="K512" i="347"/>
  <c r="N505" i="347"/>
  <c r="Q505" i="347" s="1"/>
  <c r="K505" i="347"/>
  <c r="Y516" i="347"/>
  <c r="V516" i="347"/>
  <c r="V486" i="347"/>
  <c r="Y486" i="347"/>
  <c r="Y520" i="347"/>
  <c r="V520" i="347"/>
  <c r="V482" i="347"/>
  <c r="Y482" i="347"/>
  <c r="Y499" i="347"/>
  <c r="V499" i="347"/>
  <c r="N499" i="347"/>
  <c r="Q499" i="347" s="1"/>
  <c r="K499" i="347"/>
  <c r="N524" i="347"/>
  <c r="Q524" i="347" s="1"/>
  <c r="K524" i="347"/>
  <c r="N474" i="347"/>
  <c r="Q474" i="347" s="1"/>
  <c r="K474" i="347"/>
  <c r="N517" i="347"/>
  <c r="Q517" i="347" s="1"/>
  <c r="K517" i="347"/>
  <c r="N489" i="347"/>
  <c r="Q489" i="347" s="1"/>
  <c r="K489" i="347"/>
  <c r="N510" i="347"/>
  <c r="Q510" i="347" s="1"/>
  <c r="K510" i="347"/>
  <c r="N466" i="347"/>
  <c r="Q466" i="347" s="1"/>
  <c r="K466" i="347"/>
  <c r="K519" i="347"/>
  <c r="N519" i="347"/>
  <c r="Q519" i="347" s="1"/>
  <c r="K482" i="347"/>
  <c r="N482" i="347"/>
  <c r="Q482" i="347" s="1"/>
  <c r="N520" i="347"/>
  <c r="Q520" i="347" s="1"/>
  <c r="K520" i="347"/>
  <c r="N513" i="347"/>
  <c r="Q513" i="347" s="1"/>
  <c r="K513" i="347"/>
  <c r="N506" i="347"/>
  <c r="Q506" i="347" s="1"/>
  <c r="K506" i="347"/>
  <c r="V477" i="347"/>
  <c r="Y477" i="347"/>
  <c r="Y494" i="347"/>
  <c r="V494" i="347"/>
  <c r="V511" i="347"/>
  <c r="Y511" i="347"/>
  <c r="V473" i="347"/>
  <c r="Y473" i="347"/>
  <c r="Y490" i="347"/>
  <c r="V490" i="347"/>
  <c r="V507" i="347"/>
  <c r="Y507" i="347"/>
  <c r="N468" i="347"/>
  <c r="Q468" i="347" s="1"/>
  <c r="K468" i="347"/>
  <c r="N483" i="347"/>
  <c r="Q483" i="347" s="1"/>
  <c r="K483" i="347"/>
  <c r="N498" i="347"/>
  <c r="Q498" i="347" s="1"/>
  <c r="K498" i="347"/>
  <c r="N518" i="347"/>
  <c r="Q518" i="347" s="1"/>
  <c r="K518" i="347"/>
  <c r="N475" i="347"/>
  <c r="Q475" i="347" s="1"/>
  <c r="K475" i="347"/>
  <c r="N467" i="347"/>
  <c r="Q467" i="347" s="1"/>
  <c r="K467" i="347"/>
  <c r="N521" i="347"/>
  <c r="Q521" i="347" s="1"/>
  <c r="K521" i="347"/>
  <c r="N514" i="347"/>
  <c r="Q514" i="347" s="1"/>
  <c r="K514" i="347"/>
  <c r="Y469" i="347"/>
  <c r="V469" i="347"/>
  <c r="Y468" i="347"/>
  <c r="V468" i="347"/>
  <c r="Y485" i="347"/>
  <c r="V485" i="347"/>
  <c r="V502" i="347"/>
  <c r="Y502" i="347"/>
  <c r="V519" i="347"/>
  <c r="Y519" i="347"/>
  <c r="Y472" i="347"/>
  <c r="V472" i="347"/>
  <c r="V481" i="347"/>
  <c r="Y481" i="347"/>
  <c r="Y498" i="347"/>
  <c r="V498" i="347"/>
  <c r="V515" i="347"/>
  <c r="Y515" i="347"/>
  <c r="N476" i="347"/>
  <c r="Q476" i="347" s="1"/>
  <c r="K476" i="347"/>
  <c r="N469" i="347"/>
  <c r="Q469" i="347" s="1"/>
  <c r="K469" i="347"/>
  <c r="N491" i="347"/>
  <c r="Q491" i="347" s="1"/>
  <c r="K491" i="347"/>
  <c r="N471" i="347"/>
  <c r="Q471" i="347" s="1"/>
  <c r="K471" i="347"/>
  <c r="N472" i="347"/>
  <c r="Q472" i="347" s="1"/>
  <c r="K472" i="347"/>
  <c r="N522" i="347"/>
  <c r="Q522" i="347" s="1"/>
  <c r="K522" i="347"/>
  <c r="N507" i="347"/>
  <c r="Q507" i="347" s="1"/>
  <c r="K507" i="347"/>
  <c r="Y493" i="347"/>
  <c r="V493" i="347"/>
  <c r="Y510" i="347"/>
  <c r="V510" i="347"/>
  <c r="Y480" i="347"/>
  <c r="V480" i="347"/>
  <c r="V489" i="347"/>
  <c r="Y489" i="347"/>
  <c r="Y506" i="347"/>
  <c r="V506" i="347"/>
  <c r="V523" i="347"/>
  <c r="Y523" i="347"/>
  <c r="N484" i="347"/>
  <c r="Q484" i="347" s="1"/>
  <c r="K484" i="347"/>
  <c r="N477" i="347"/>
  <c r="Q477" i="347" s="1"/>
  <c r="K477" i="347"/>
  <c r="N470" i="347"/>
  <c r="Q470" i="347" s="1"/>
  <c r="K470" i="347"/>
  <c r="N479" i="347"/>
  <c r="Q479" i="347" s="1"/>
  <c r="K479" i="347"/>
  <c r="N480" i="347"/>
  <c r="Q480" i="347" s="1"/>
  <c r="K480" i="347"/>
  <c r="N515" i="347"/>
  <c r="Q515" i="347" s="1"/>
  <c r="K515" i="347"/>
  <c r="V503" i="347"/>
  <c r="Y503" i="347"/>
  <c r="Y476" i="347"/>
  <c r="V476" i="347"/>
  <c r="V501" i="347"/>
  <c r="Y501" i="347"/>
  <c r="Y518" i="347"/>
  <c r="V518" i="347"/>
  <c r="Y471" i="347"/>
  <c r="V471" i="347"/>
  <c r="V488" i="347"/>
  <c r="Y488" i="347"/>
  <c r="V497" i="347"/>
  <c r="Y497" i="347"/>
  <c r="Y514" i="347"/>
  <c r="V514" i="347"/>
  <c r="Y467" i="347"/>
  <c r="V467" i="347"/>
  <c r="N492" i="347"/>
  <c r="Q492" i="347" s="1"/>
  <c r="K492" i="347"/>
  <c r="N485" i="347"/>
  <c r="Q485" i="347" s="1"/>
  <c r="K485" i="347"/>
  <c r="N478" i="347"/>
  <c r="Q478" i="347" s="1"/>
  <c r="K478" i="347"/>
  <c r="N487" i="347"/>
  <c r="Q487" i="347" s="1"/>
  <c r="K487" i="347"/>
  <c r="N488" i="347"/>
  <c r="Q488" i="347" s="1"/>
  <c r="K488" i="347"/>
  <c r="N523" i="347"/>
  <c r="Q523" i="347" s="1"/>
  <c r="K523" i="347"/>
  <c r="Y524" i="347"/>
  <c r="V524" i="347"/>
  <c r="Y484" i="347"/>
  <c r="V484" i="347"/>
  <c r="Y492" i="347"/>
  <c r="V492" i="347"/>
  <c r="Y509" i="347"/>
  <c r="V509" i="347"/>
  <c r="Y479" i="347"/>
  <c r="V479" i="347"/>
  <c r="Y496" i="347"/>
  <c r="V496" i="347"/>
  <c r="V505" i="347"/>
  <c r="Y505" i="347"/>
  <c r="Y522" i="347"/>
  <c r="V522" i="347"/>
  <c r="Y475" i="347"/>
  <c r="V475" i="347"/>
  <c r="N500" i="347"/>
  <c r="Q500" i="347" s="1"/>
  <c r="K500" i="347"/>
  <c r="N493" i="347"/>
  <c r="Q493" i="347" s="1"/>
  <c r="K493" i="347"/>
  <c r="N486" i="347"/>
  <c r="Q486" i="347" s="1"/>
  <c r="K486" i="347"/>
  <c r="N495" i="347"/>
  <c r="Q495" i="347" s="1"/>
  <c r="K495" i="347"/>
  <c r="N496" i="347"/>
  <c r="Q496" i="347" s="1"/>
  <c r="K496" i="347"/>
  <c r="AE592" i="347"/>
  <c r="N5" i="347"/>
  <c r="Q5" i="347" s="1"/>
  <c r="Y5" i="347"/>
  <c r="B5" i="347"/>
  <c r="C1535" i="328"/>
  <c r="AE15" i="2"/>
  <c r="AE42" i="2" s="1"/>
  <c r="C2" i="1"/>
  <c r="C1442" i="328"/>
  <c r="C1443" i="328"/>
  <c r="C1446" i="328"/>
  <c r="C1445" i="328"/>
  <c r="C1444" i="328"/>
  <c r="C1534" i="328"/>
  <c r="C1530" i="328"/>
  <c r="C1529" i="328"/>
  <c r="C1526" i="328"/>
  <c r="C1523" i="328"/>
  <c r="C1527" i="328"/>
  <c r="C1528" i="328"/>
  <c r="C1531" i="328"/>
  <c r="C1532" i="328"/>
  <c r="C1533" i="328"/>
  <c r="C1524" i="328"/>
  <c r="C1522" i="328"/>
  <c r="C482" i="328"/>
  <c r="C11" i="1"/>
  <c r="H11" i="1" s="1"/>
  <c r="C1518" i="328"/>
  <c r="C1510" i="328"/>
  <c r="C1521" i="328"/>
  <c r="C1520" i="328"/>
  <c r="C1519" i="328"/>
  <c r="C1517" i="328"/>
  <c r="C1516" i="328"/>
  <c r="C1515" i="328"/>
  <c r="C1514" i="328"/>
  <c r="C1511" i="328"/>
  <c r="C1512" i="328"/>
  <c r="C1513" i="328"/>
  <c r="C1617" i="328"/>
  <c r="C474" i="328"/>
  <c r="C481" i="328"/>
  <c r="C1618" i="328"/>
  <c r="C480" i="328"/>
  <c r="C479" i="328"/>
  <c r="C478" i="328"/>
  <c r="C477" i="328"/>
  <c r="C476" i="328"/>
  <c r="C475" i="328"/>
  <c r="C473" i="328"/>
  <c r="C1635" i="328"/>
  <c r="C1634" i="328"/>
  <c r="C1633" i="328"/>
  <c r="C1632" i="328"/>
  <c r="C1631" i="328"/>
  <c r="C1630" i="328"/>
  <c r="C1629" i="328"/>
  <c r="C1628" i="328"/>
  <c r="C1627" i="328"/>
  <c r="C1626" i="328"/>
  <c r="C1625" i="328"/>
  <c r="C1624" i="328"/>
  <c r="C1623" i="328"/>
  <c r="C1622" i="328"/>
  <c r="C1621" i="328"/>
  <c r="C1620" i="328"/>
  <c r="C1619" i="328"/>
  <c r="AC501" i="347" l="1"/>
  <c r="AE501" i="347" s="1"/>
  <c r="AA501" i="347"/>
  <c r="AD501" i="347" s="1"/>
  <c r="AF501" i="347" s="1"/>
  <c r="AC503" i="347"/>
  <c r="AE503" i="347" s="1"/>
  <c r="AA503" i="347"/>
  <c r="AD503" i="347" s="1"/>
  <c r="AF503" i="347" s="1"/>
  <c r="AC523" i="347"/>
  <c r="AE523" i="347" s="1"/>
  <c r="AA523" i="347"/>
  <c r="AD523" i="347" s="1"/>
  <c r="AF523" i="347" s="1"/>
  <c r="AC489" i="347"/>
  <c r="AE489" i="347" s="1"/>
  <c r="AA489" i="347"/>
  <c r="AD489" i="347" s="1"/>
  <c r="AF489" i="347" s="1"/>
  <c r="AC515" i="347"/>
  <c r="AE515" i="347" s="1"/>
  <c r="AA515" i="347"/>
  <c r="AD515" i="347" s="1"/>
  <c r="AF515" i="347" s="1"/>
  <c r="AC481" i="347"/>
  <c r="AE481" i="347" s="1"/>
  <c r="AA481" i="347"/>
  <c r="AD481" i="347" s="1"/>
  <c r="AF481" i="347" s="1"/>
  <c r="AC507" i="347"/>
  <c r="AE507" i="347" s="1"/>
  <c r="AA507" i="347"/>
  <c r="AD507" i="347" s="1"/>
  <c r="AF507" i="347" s="1"/>
  <c r="AC473" i="347"/>
  <c r="AE473" i="347" s="1"/>
  <c r="AA473" i="347"/>
  <c r="AD473" i="347" s="1"/>
  <c r="AF473" i="347" s="1"/>
  <c r="AC522" i="347"/>
  <c r="AE522" i="347" s="1"/>
  <c r="AA522" i="347"/>
  <c r="AD522" i="347" s="1"/>
  <c r="AF522" i="347" s="1"/>
  <c r="AC496" i="347"/>
  <c r="AE496" i="347" s="1"/>
  <c r="AA496" i="347"/>
  <c r="AD496" i="347" s="1"/>
  <c r="AF496" i="347" s="1"/>
  <c r="AC474" i="347"/>
  <c r="AE474" i="347" s="1"/>
  <c r="AA474" i="347"/>
  <c r="AD474" i="347" s="1"/>
  <c r="AF474" i="347" s="1"/>
  <c r="AC466" i="347"/>
  <c r="AE466" i="347" s="1"/>
  <c r="AA466" i="347"/>
  <c r="AD466" i="347" s="1"/>
  <c r="AF466" i="347" s="1"/>
  <c r="AC517" i="347"/>
  <c r="AE517" i="347" s="1"/>
  <c r="AA517" i="347"/>
  <c r="AD517" i="347" s="1"/>
  <c r="AF517" i="347" s="1"/>
  <c r="AC497" i="347"/>
  <c r="AE497" i="347" s="1"/>
  <c r="AA497" i="347"/>
  <c r="AD497" i="347" s="1"/>
  <c r="AF497" i="347" s="1"/>
  <c r="AC502" i="347"/>
  <c r="AE502" i="347" s="1"/>
  <c r="AA502" i="347"/>
  <c r="AD502" i="347" s="1"/>
  <c r="AF502" i="347" s="1"/>
  <c r="AC486" i="347"/>
  <c r="AE486" i="347" s="1"/>
  <c r="AA486" i="347"/>
  <c r="AD486" i="347" s="1"/>
  <c r="AF486" i="347" s="1"/>
  <c r="AC521" i="347"/>
  <c r="AE521" i="347" s="1"/>
  <c r="AA521" i="347"/>
  <c r="AD521" i="347" s="1"/>
  <c r="AF521" i="347" s="1"/>
  <c r="AC513" i="347"/>
  <c r="AE513" i="347" s="1"/>
  <c r="AA513" i="347"/>
  <c r="AD513" i="347" s="1"/>
  <c r="AF513" i="347" s="1"/>
  <c r="AC509" i="347"/>
  <c r="AE509" i="347" s="1"/>
  <c r="AA509" i="347"/>
  <c r="AD509" i="347" s="1"/>
  <c r="AF509" i="347" s="1"/>
  <c r="AC484" i="347"/>
  <c r="AE484" i="347" s="1"/>
  <c r="AA484" i="347"/>
  <c r="AD484" i="347" s="1"/>
  <c r="AF484" i="347" s="1"/>
  <c r="AC524" i="347"/>
  <c r="AE524" i="347" s="1"/>
  <c r="AA524" i="347"/>
  <c r="AD524" i="347" s="1"/>
  <c r="AF524" i="347" s="1"/>
  <c r="AC471" i="347"/>
  <c r="AE471" i="347" s="1"/>
  <c r="AA471" i="347"/>
  <c r="AD471" i="347" s="1"/>
  <c r="AF471" i="347" s="1"/>
  <c r="AC510" i="347"/>
  <c r="AE510" i="347" s="1"/>
  <c r="AA510" i="347"/>
  <c r="AD510" i="347" s="1"/>
  <c r="AF510" i="347" s="1"/>
  <c r="AC493" i="347"/>
  <c r="AE493" i="347" s="1"/>
  <c r="AA493" i="347"/>
  <c r="AD493" i="347" s="1"/>
  <c r="AF493" i="347" s="1"/>
  <c r="AC468" i="347"/>
  <c r="AE468" i="347" s="1"/>
  <c r="AA468" i="347"/>
  <c r="AD468" i="347" s="1"/>
  <c r="AF468" i="347" s="1"/>
  <c r="AC469" i="347"/>
  <c r="AE469" i="347" s="1"/>
  <c r="AA469" i="347"/>
  <c r="AD469" i="347" s="1"/>
  <c r="AF469" i="347" s="1"/>
  <c r="AC494" i="347"/>
  <c r="AE494" i="347" s="1"/>
  <c r="AA494" i="347"/>
  <c r="AD494" i="347" s="1"/>
  <c r="AF494" i="347" s="1"/>
  <c r="AC499" i="347"/>
  <c r="AE499" i="347" s="1"/>
  <c r="AA499" i="347"/>
  <c r="AD499" i="347" s="1"/>
  <c r="AF499" i="347" s="1"/>
  <c r="AC520" i="347"/>
  <c r="AE520" i="347" s="1"/>
  <c r="AA520" i="347"/>
  <c r="AD520" i="347" s="1"/>
  <c r="AF520" i="347" s="1"/>
  <c r="AC495" i="347"/>
  <c r="AE495" i="347" s="1"/>
  <c r="AA495" i="347"/>
  <c r="AD495" i="347" s="1"/>
  <c r="AF495" i="347" s="1"/>
  <c r="AC487" i="347"/>
  <c r="AE487" i="347" s="1"/>
  <c r="AA487" i="347"/>
  <c r="AD487" i="347" s="1"/>
  <c r="AF487" i="347" s="1"/>
  <c r="AC505" i="347"/>
  <c r="AE505" i="347" s="1"/>
  <c r="AA505" i="347"/>
  <c r="AD505" i="347" s="1"/>
  <c r="AF505" i="347" s="1"/>
  <c r="AC477" i="347"/>
  <c r="AE477" i="347" s="1"/>
  <c r="AA477" i="347"/>
  <c r="AD477" i="347" s="1"/>
  <c r="AF477" i="347" s="1"/>
  <c r="AC491" i="347"/>
  <c r="AE491" i="347" s="1"/>
  <c r="AA491" i="347"/>
  <c r="AD491" i="347" s="1"/>
  <c r="AF491" i="347" s="1"/>
  <c r="AC479" i="347"/>
  <c r="AE479" i="347" s="1"/>
  <c r="AA479" i="347"/>
  <c r="AD479" i="347" s="1"/>
  <c r="AF479" i="347" s="1"/>
  <c r="AC467" i="347"/>
  <c r="AE467" i="347" s="1"/>
  <c r="AA467" i="347"/>
  <c r="AD467" i="347" s="1"/>
  <c r="AF467" i="347" s="1"/>
  <c r="AC518" i="347"/>
  <c r="AE518" i="347" s="1"/>
  <c r="AA518" i="347"/>
  <c r="AD518" i="347" s="1"/>
  <c r="AF518" i="347" s="1"/>
  <c r="AC506" i="347"/>
  <c r="AE506" i="347" s="1"/>
  <c r="AA506" i="347"/>
  <c r="AD506" i="347" s="1"/>
  <c r="AF506" i="347" s="1"/>
  <c r="AC480" i="347"/>
  <c r="AE480" i="347" s="1"/>
  <c r="AA480" i="347"/>
  <c r="AD480" i="347" s="1"/>
  <c r="AF480" i="347" s="1"/>
  <c r="AC498" i="347"/>
  <c r="AE498" i="347" s="1"/>
  <c r="AA498" i="347"/>
  <c r="AD498" i="347" s="1"/>
  <c r="AF498" i="347" s="1"/>
  <c r="AC472" i="347"/>
  <c r="AE472" i="347" s="1"/>
  <c r="AA472" i="347"/>
  <c r="AD472" i="347" s="1"/>
  <c r="AF472" i="347" s="1"/>
  <c r="AC490" i="347"/>
  <c r="AE490" i="347" s="1"/>
  <c r="AA490" i="347"/>
  <c r="AD490" i="347" s="1"/>
  <c r="AF490" i="347" s="1"/>
  <c r="AC516" i="347"/>
  <c r="AE516" i="347" s="1"/>
  <c r="AA516" i="347"/>
  <c r="AD516" i="347" s="1"/>
  <c r="AF516" i="347" s="1"/>
  <c r="AC508" i="347"/>
  <c r="AE508" i="347" s="1"/>
  <c r="AA508" i="347"/>
  <c r="AD508" i="347" s="1"/>
  <c r="AF508" i="347" s="1"/>
  <c r="AC483" i="347"/>
  <c r="AE483" i="347" s="1"/>
  <c r="AA483" i="347"/>
  <c r="AD483" i="347" s="1"/>
  <c r="AF483" i="347" s="1"/>
  <c r="AC500" i="347"/>
  <c r="AE500" i="347" s="1"/>
  <c r="AA500" i="347"/>
  <c r="AD500" i="347" s="1"/>
  <c r="AF500" i="347" s="1"/>
  <c r="AC488" i="347"/>
  <c r="AE488" i="347" s="1"/>
  <c r="AA488" i="347"/>
  <c r="AD488" i="347" s="1"/>
  <c r="AF488" i="347" s="1"/>
  <c r="AC519" i="347"/>
  <c r="AE519" i="347" s="1"/>
  <c r="AA519" i="347"/>
  <c r="AD519" i="347" s="1"/>
  <c r="AF519" i="347" s="1"/>
  <c r="AC511" i="347"/>
  <c r="AE511" i="347" s="1"/>
  <c r="AA511" i="347"/>
  <c r="AD511" i="347" s="1"/>
  <c r="AF511" i="347" s="1"/>
  <c r="AC482" i="347"/>
  <c r="AE482" i="347" s="1"/>
  <c r="AA482" i="347"/>
  <c r="AD482" i="347" s="1"/>
  <c r="AF482" i="347" s="1"/>
  <c r="AC478" i="347"/>
  <c r="AE478" i="347" s="1"/>
  <c r="AA478" i="347"/>
  <c r="AD478" i="347" s="1"/>
  <c r="AF478" i="347" s="1"/>
  <c r="AC475" i="347"/>
  <c r="AE475" i="347" s="1"/>
  <c r="AA475" i="347"/>
  <c r="AD475" i="347" s="1"/>
  <c r="AF475" i="347" s="1"/>
  <c r="AC492" i="347"/>
  <c r="AE492" i="347" s="1"/>
  <c r="AA492" i="347"/>
  <c r="AD492" i="347" s="1"/>
  <c r="AF492" i="347" s="1"/>
  <c r="AC514" i="347"/>
  <c r="AE514" i="347" s="1"/>
  <c r="AA514" i="347"/>
  <c r="AD514" i="347" s="1"/>
  <c r="AF514" i="347" s="1"/>
  <c r="AC476" i="347"/>
  <c r="AE476" i="347" s="1"/>
  <c r="AA476" i="347"/>
  <c r="AD476" i="347" s="1"/>
  <c r="AF476" i="347" s="1"/>
  <c r="AC485" i="347"/>
  <c r="AE485" i="347" s="1"/>
  <c r="AA485" i="347"/>
  <c r="AD485" i="347" s="1"/>
  <c r="AF485" i="347" s="1"/>
  <c r="AC512" i="347"/>
  <c r="AE512" i="347" s="1"/>
  <c r="AA512" i="347"/>
  <c r="AD512" i="347" s="1"/>
  <c r="AF512" i="347" s="1"/>
  <c r="AC504" i="347"/>
  <c r="AE504" i="347" s="1"/>
  <c r="AA504" i="347"/>
  <c r="AD504" i="347" s="1"/>
  <c r="AF504" i="347" s="1"/>
  <c r="AC470" i="347"/>
  <c r="AE470" i="347" s="1"/>
  <c r="AA470" i="347"/>
  <c r="AD470" i="347" s="1"/>
  <c r="AF470" i="347" s="1"/>
  <c r="AA5" i="347"/>
  <c r="U569" i="347"/>
  <c r="V5" i="347"/>
  <c r="AC5" i="347"/>
  <c r="O5" i="347"/>
  <c r="K5" i="347"/>
  <c r="C27" i="328"/>
  <c r="C1441" i="328"/>
  <c r="C1440" i="328"/>
  <c r="C1432" i="328"/>
  <c r="C1439" i="328"/>
  <c r="C1438" i="328"/>
  <c r="C1447" i="328"/>
  <c r="C1448" i="328"/>
  <c r="P53" i="2"/>
  <c r="M53" i="2"/>
  <c r="C1436" i="328"/>
  <c r="C1435" i="328"/>
  <c r="C1434" i="328"/>
  <c r="C1463" i="328"/>
  <c r="C1453" i="328"/>
  <c r="C1452" i="328"/>
  <c r="C1451" i="328"/>
  <c r="C1400" i="328"/>
  <c r="C1399" i="328"/>
  <c r="C1450" i="328"/>
  <c r="C1449" i="328"/>
  <c r="C1479" i="328"/>
  <c r="C1478" i="328"/>
  <c r="C1477" i="328"/>
  <c r="C1476" i="328"/>
  <c r="C1475" i="328"/>
  <c r="C1474" i="328"/>
  <c r="C1473" i="328"/>
  <c r="C1472" i="328"/>
  <c r="C1471" i="328"/>
  <c r="C1470" i="328"/>
  <c r="C1469" i="328"/>
  <c r="C1468" i="328"/>
  <c r="C1467" i="328"/>
  <c r="C1466" i="328"/>
  <c r="C1465" i="328"/>
  <c r="C1464" i="328"/>
  <c r="C1462" i="328"/>
  <c r="C1461" i="328"/>
  <c r="C1460" i="328"/>
  <c r="C1459" i="328"/>
  <c r="C1458" i="328"/>
  <c r="C1457" i="328"/>
  <c r="C1456" i="328"/>
  <c r="C1455" i="328"/>
  <c r="C1454" i="328"/>
  <c r="X66" i="2"/>
  <c r="X36" i="2"/>
  <c r="X34" i="2"/>
  <c r="X33" i="2"/>
  <c r="AE5" i="347" l="1"/>
  <c r="AD5" i="347"/>
  <c r="AF66" i="2"/>
  <c r="AF36" i="2"/>
  <c r="AF34" i="2"/>
  <c r="AF33" i="2"/>
  <c r="AF5" i="347" l="1"/>
  <c r="P569" i="347"/>
  <c r="P572" i="347" s="1"/>
  <c r="C1433" i="328"/>
  <c r="C1431" i="328" l="1"/>
  <c r="C378" i="328" l="1"/>
  <c r="C1430" i="328"/>
  <c r="C1429" i="328"/>
  <c r="C1428" i="328"/>
  <c r="C1424" i="328"/>
  <c r="C1427" i="328"/>
  <c r="C1426" i="328"/>
  <c r="C1425" i="328"/>
  <c r="C1423" i="328"/>
  <c r="O4" i="364"/>
  <c r="C1370" i="328" l="1"/>
  <c r="C1369" i="328"/>
  <c r="C1371" i="328"/>
  <c r="C1406" i="328"/>
  <c r="C1398" i="328"/>
  <c r="C1397" i="328"/>
  <c r="C1396" i="328"/>
  <c r="C1395" i="328"/>
  <c r="C1373" i="328"/>
  <c r="C1372" i="328"/>
  <c r="C1405" i="328"/>
  <c r="C1404" i="328"/>
  <c r="C1403" i="328"/>
  <c r="C1402" i="328"/>
  <c r="C1401" i="328"/>
  <c r="C1422" i="328"/>
  <c r="C1421" i="328"/>
  <c r="C1420" i="328"/>
  <c r="C1419" i="328"/>
  <c r="C1418" i="328"/>
  <c r="C1410" i="328"/>
  <c r="C1409" i="328"/>
  <c r="C1408" i="328"/>
  <c r="C1407" i="328"/>
  <c r="C1417" i="328"/>
  <c r="C1416" i="328"/>
  <c r="C1415" i="328"/>
  <c r="C1414" i="328"/>
  <c r="C1413" i="328"/>
  <c r="C1412" i="328"/>
  <c r="C1411" i="328"/>
  <c r="C1394" i="328"/>
  <c r="C1393" i="328"/>
  <c r="C1392" i="328"/>
  <c r="C1391" i="328"/>
  <c r="C1390" i="328"/>
  <c r="C1389" i="328"/>
  <c r="C1388" i="328"/>
  <c r="C1387" i="328"/>
  <c r="C1386" i="328"/>
  <c r="C1385" i="328"/>
  <c r="C1384" i="328"/>
  <c r="C1383" i="328"/>
  <c r="C1382" i="328"/>
  <c r="C1381" i="328"/>
  <c r="C1380" i="328"/>
  <c r="C1379" i="328"/>
  <c r="C1378" i="328"/>
  <c r="C1377" i="328"/>
  <c r="C1376" i="328"/>
  <c r="C1375" i="328"/>
  <c r="C1374" i="328"/>
  <c r="C1073" i="328"/>
  <c r="C12" i="328"/>
  <c r="C92" i="328"/>
  <c r="G4" i="364" l="1"/>
  <c r="G2" i="364" s="1"/>
  <c r="C1366" i="328"/>
  <c r="C1365" i="328"/>
  <c r="C1364" i="328"/>
  <c r="C1363" i="328"/>
  <c r="C1362" i="328"/>
  <c r="C1361" i="328"/>
  <c r="C1360" i="328"/>
  <c r="C1359" i="328"/>
  <c r="C1358" i="328"/>
  <c r="C1357" i="328"/>
  <c r="C1356" i="328"/>
  <c r="C1355" i="328"/>
  <c r="C1354" i="328"/>
  <c r="C1353" i="328"/>
  <c r="C1352" i="328"/>
  <c r="C1351" i="328"/>
  <c r="C1350" i="328"/>
  <c r="C1349" i="328"/>
  <c r="C1348" i="328"/>
  <c r="C1347" i="328"/>
  <c r="C1346" i="328"/>
  <c r="C1345" i="328"/>
  <c r="C1344" i="328"/>
  <c r="C1343" i="328"/>
  <c r="C1342" i="328"/>
  <c r="C1341" i="328"/>
  <c r="C1340" i="328"/>
  <c r="C1339" i="328"/>
  <c r="C1338" i="328"/>
  <c r="C1337" i="328"/>
  <c r="C1336" i="328"/>
  <c r="C1335" i="328"/>
  <c r="C1334" i="328"/>
  <c r="C1333" i="328"/>
  <c r="C1332" i="328"/>
  <c r="C1331" i="328"/>
  <c r="C1330" i="328"/>
  <c r="C1329" i="328"/>
  <c r="C1328" i="328"/>
  <c r="C1327" i="328"/>
  <c r="C1326" i="328"/>
  <c r="C1325" i="328"/>
  <c r="C1324" i="328"/>
  <c r="C1323" i="328"/>
  <c r="C1322" i="328"/>
  <c r="C1321" i="328"/>
  <c r="C1320" i="328"/>
  <c r="C1319" i="328"/>
  <c r="C1318" i="328"/>
  <c r="C1317" i="328"/>
  <c r="C1316" i="328"/>
  <c r="C1315" i="328"/>
  <c r="C1314" i="328"/>
  <c r="C1313" i="328"/>
  <c r="C1312" i="328"/>
  <c r="C1311" i="328"/>
  <c r="C1310" i="328"/>
  <c r="C1309" i="328"/>
  <c r="C1308" i="328"/>
  <c r="C1307" i="328"/>
  <c r="C1306" i="328"/>
  <c r="C1305" i="328"/>
  <c r="C1304" i="328"/>
  <c r="C1303" i="328"/>
  <c r="C1302" i="328"/>
  <c r="C1301" i="328"/>
  <c r="C1300" i="328"/>
  <c r="C1299" i="328"/>
  <c r="C1298" i="328"/>
  <c r="C1297" i="328"/>
  <c r="C1296" i="328"/>
  <c r="C1295" i="328"/>
  <c r="C1294" i="328"/>
  <c r="C1293" i="328"/>
  <c r="C1292" i="328"/>
  <c r="C1291" i="328"/>
  <c r="C1367" i="328"/>
  <c r="C1290" i="328"/>
  <c r="C1368" i="328"/>
  <c r="L4" i="364"/>
  <c r="K4" i="364"/>
  <c r="J4" i="364"/>
  <c r="I4" i="364"/>
  <c r="H4" i="364"/>
  <c r="AA569" i="347" l="1"/>
  <c r="Y569" i="347"/>
  <c r="G1" i="364"/>
  <c r="AC569" i="347"/>
  <c r="M4" i="364"/>
  <c r="AE569" i="347" l="1"/>
  <c r="N569" i="347"/>
  <c r="AD569" i="347"/>
  <c r="Q569" i="347" l="1"/>
  <c r="C1108" i="328" l="1"/>
  <c r="C549" i="328" l="1"/>
  <c r="C1289" i="328"/>
  <c r="C185" i="328"/>
  <c r="C371" i="328"/>
  <c r="C1237" i="328"/>
  <c r="C1288" i="328"/>
  <c r="C1287" i="328"/>
  <c r="C1286" i="328"/>
  <c r="C1285" i="328"/>
  <c r="C1284" i="328"/>
  <c r="C1283" i="328"/>
  <c r="C1282" i="328"/>
  <c r="C1281" i="328"/>
  <c r="C1280" i="328"/>
  <c r="C1279" i="328"/>
  <c r="C1278" i="328"/>
  <c r="C1277" i="328"/>
  <c r="C1276" i="328"/>
  <c r="C1275" i="328"/>
  <c r="C1274" i="328"/>
  <c r="C1273" i="328"/>
  <c r="C1272" i="328"/>
  <c r="C1271" i="328"/>
  <c r="C1270" i="328"/>
  <c r="C1269" i="328"/>
  <c r="C1268" i="328"/>
  <c r="C1267" i="328"/>
  <c r="C1266" i="328"/>
  <c r="C1265" i="328"/>
  <c r="C1264" i="328"/>
  <c r="C1263" i="328"/>
  <c r="C1262" i="328"/>
  <c r="C1261" i="328"/>
  <c r="C1260" i="328"/>
  <c r="C1259" i="328"/>
  <c r="C1258" i="328"/>
  <c r="C1257" i="328"/>
  <c r="C1256" i="328"/>
  <c r="C1255" i="328"/>
  <c r="C1254" i="328"/>
  <c r="C1253" i="328"/>
  <c r="C1252" i="328"/>
  <c r="C1251" i="328"/>
  <c r="C1250" i="328"/>
  <c r="C1249" i="328"/>
  <c r="C1248" i="328"/>
  <c r="C1247" i="328"/>
  <c r="C1246" i="328"/>
  <c r="C1245" i="328"/>
  <c r="C1244" i="328"/>
  <c r="C1243" i="328"/>
  <c r="C1242" i="328"/>
  <c r="C1241" i="328"/>
  <c r="C1240" i="328"/>
  <c r="C1239" i="328"/>
  <c r="C1238" i="328"/>
  <c r="C1236" i="328"/>
  <c r="C1235" i="328"/>
  <c r="C1234" i="328"/>
  <c r="C1233" i="328"/>
  <c r="C1232" i="328"/>
  <c r="C1231" i="328"/>
  <c r="C1230" i="328"/>
  <c r="C1229" i="328"/>
  <c r="C1228" i="328"/>
  <c r="C1227" i="328"/>
  <c r="C1226" i="328"/>
  <c r="C1225" i="328"/>
  <c r="C1224" i="328"/>
  <c r="C1223" i="328"/>
  <c r="C1222" i="328"/>
  <c r="C1221" i="328"/>
  <c r="C1220" i="328"/>
  <c r="C1219" i="328"/>
  <c r="C1218" i="328"/>
  <c r="C1217" i="328"/>
  <c r="C1216" i="328"/>
  <c r="C1215" i="328"/>
  <c r="C1214" i="328"/>
  <c r="C1130" i="328"/>
  <c r="C1213" i="328"/>
  <c r="C1131" i="328"/>
  <c r="C1133" i="328"/>
  <c r="C1139" i="328"/>
  <c r="C1184" i="328"/>
  <c r="C1186" i="328"/>
  <c r="C1132" i="328"/>
  <c r="C1135" i="328"/>
  <c r="C1134" i="328"/>
  <c r="C1141" i="328"/>
  <c r="C1140" i="328"/>
  <c r="C1183" i="328"/>
  <c r="C1142" i="328"/>
  <c r="C1148" i="328"/>
  <c r="C1147" i="328"/>
  <c r="C1146" i="328"/>
  <c r="C1145" i="328"/>
  <c r="C1144" i="328"/>
  <c r="C1143" i="328"/>
  <c r="C1212" i="328"/>
  <c r="C1211" i="328"/>
  <c r="C1210" i="328"/>
  <c r="C1209" i="328"/>
  <c r="C1208" i="328"/>
  <c r="C1207" i="328"/>
  <c r="C1206" i="328"/>
  <c r="C1205" i="328"/>
  <c r="C1204" i="328"/>
  <c r="C1203" i="328"/>
  <c r="C1202" i="328"/>
  <c r="C1201" i="328"/>
  <c r="C1200" i="328"/>
  <c r="C1199" i="328"/>
  <c r="C1198" i="328"/>
  <c r="C1197" i="328"/>
  <c r="C1196" i="328"/>
  <c r="C1195" i="328"/>
  <c r="C1194" i="328"/>
  <c r="C1193" i="328"/>
  <c r="C1192" i="328"/>
  <c r="C1191" i="328"/>
  <c r="C1190" i="328"/>
  <c r="C1189" i="328"/>
  <c r="C1188" i="328"/>
  <c r="C1187" i="328"/>
  <c r="C1185" i="328"/>
  <c r="C1182" i="328"/>
  <c r="C1181" i="328"/>
  <c r="C1180" i="328"/>
  <c r="C1179" i="328"/>
  <c r="C1178" i="328"/>
  <c r="C1177" i="328"/>
  <c r="C1176" i="328"/>
  <c r="C1175" i="328"/>
  <c r="C1174" i="328"/>
  <c r="C1173" i="328"/>
  <c r="C1172" i="328"/>
  <c r="C1171" i="328"/>
  <c r="C1170" i="328"/>
  <c r="C1169" i="328"/>
  <c r="C1168" i="328"/>
  <c r="C1167" i="328"/>
  <c r="C1166" i="328"/>
  <c r="C1164" i="328"/>
  <c r="C1138" i="328"/>
  <c r="C1137" i="328"/>
  <c r="C1136" i="328"/>
  <c r="C1163" i="328"/>
  <c r="C1162" i="328"/>
  <c r="C1161" i="328"/>
  <c r="C1160" i="328"/>
  <c r="C1159" i="328"/>
  <c r="C1158" i="328"/>
  <c r="C1157" i="328"/>
  <c r="C1156" i="328"/>
  <c r="C1155" i="328"/>
  <c r="C1154" i="328"/>
  <c r="C1153" i="328"/>
  <c r="C1152" i="328"/>
  <c r="C1151" i="328"/>
  <c r="C1150" i="328"/>
  <c r="C1149" i="328"/>
  <c r="C634" i="328"/>
  <c r="C1165" i="328"/>
  <c r="C1129" i="328" l="1"/>
  <c r="C1127" i="328" l="1"/>
  <c r="C1126" i="328"/>
  <c r="C1125" i="328"/>
  <c r="C1124" i="328"/>
  <c r="C1123" i="328"/>
  <c r="C1122" i="328"/>
  <c r="C1121" i="328"/>
  <c r="C1120" i="328"/>
  <c r="C1119" i="328"/>
  <c r="C1118" i="328"/>
  <c r="C1117" i="328"/>
  <c r="C1116" i="328"/>
  <c r="C1115" i="328"/>
  <c r="C1114" i="328"/>
  <c r="C1113" i="328"/>
  <c r="C1112" i="328"/>
  <c r="C1111" i="328"/>
  <c r="C1110" i="328"/>
  <c r="C1109" i="328"/>
  <c r="C1107" i="328" l="1"/>
  <c r="C1106" i="328"/>
  <c r="C1105" i="328"/>
  <c r="C1104" i="328"/>
  <c r="C1103" i="328"/>
  <c r="C1102" i="328"/>
  <c r="C1101" i="328" l="1"/>
  <c r="C1100" i="328"/>
  <c r="C1099" i="328"/>
  <c r="C1098" i="328"/>
  <c r="C1097" i="328"/>
  <c r="C1075" i="328" l="1"/>
  <c r="C1074" i="328" l="1"/>
  <c r="C1081" i="328"/>
  <c r="C1096" i="328"/>
  <c r="C1095" i="328"/>
  <c r="C1094" i="328"/>
  <c r="C1093" i="328"/>
  <c r="C1092" i="328"/>
  <c r="C1091" i="328"/>
  <c r="C1090" i="328"/>
  <c r="C1089" i="328"/>
  <c r="C1088" i="328"/>
  <c r="C1087" i="328"/>
  <c r="C1086" i="328"/>
  <c r="C1085" i="328"/>
  <c r="C1084" i="328"/>
  <c r="C1083" i="328"/>
  <c r="C1082" i="328"/>
  <c r="C1080" i="328"/>
  <c r="C1079" i="328"/>
  <c r="C1078" i="328"/>
  <c r="C1077" i="328"/>
  <c r="C1076" i="328"/>
  <c r="C1072" i="328"/>
  <c r="C1071" i="328"/>
  <c r="C1070" i="328"/>
  <c r="C1069" i="328"/>
  <c r="C1068" i="328"/>
  <c r="C1067" i="328"/>
  <c r="C1066" i="328"/>
  <c r="C1065" i="328"/>
  <c r="C1064" i="328"/>
  <c r="C1063" i="328"/>
  <c r="C1062" i="328"/>
  <c r="C1061" i="328"/>
  <c r="C1060" i="328"/>
  <c r="C1059" i="328"/>
  <c r="C1058" i="328"/>
  <c r="C1057" i="328"/>
  <c r="C1056" i="328"/>
  <c r="C1055" i="328"/>
  <c r="C932" i="328"/>
  <c r="C933" i="328"/>
  <c r="C934" i="328"/>
  <c r="C935" i="328"/>
  <c r="C936" i="328"/>
  <c r="C937" i="328"/>
  <c r="C938" i="328"/>
  <c r="C939" i="328"/>
  <c r="D1" i="364" l="1"/>
  <c r="N1109" i="328" l="1"/>
  <c r="N1111" i="328"/>
  <c r="N1129" i="328" l="1"/>
  <c r="C472" i="328" l="1"/>
  <c r="C471" i="328"/>
  <c r="C1616" i="328"/>
  <c r="C1613" i="328"/>
  <c r="C1615" i="328"/>
  <c r="C1612" i="328"/>
  <c r="C1611" i="328"/>
  <c r="C1610" i="328"/>
  <c r="C1609" i="328"/>
  <c r="C1608" i="328"/>
  <c r="C1607" i="328"/>
  <c r="C1604" i="328"/>
  <c r="C470" i="328"/>
  <c r="C1605" i="328"/>
  <c r="C1606" i="328"/>
  <c r="C1038" i="328"/>
  <c r="C1037" i="328"/>
  <c r="C1036" i="328"/>
  <c r="C1033" i="328"/>
  <c r="C1034" i="328"/>
  <c r="C1030" i="328"/>
  <c r="C1029" i="328"/>
  <c r="C1028" i="328"/>
  <c r="C1027" i="328" l="1"/>
  <c r="C1026" i="328"/>
  <c r="C1025" i="328"/>
  <c r="T569" i="347"/>
  <c r="C1024" i="328" l="1"/>
  <c r="C1023" i="328"/>
  <c r="C1022" i="328"/>
  <c r="X87" i="2"/>
  <c r="C1021" i="328" l="1"/>
  <c r="C1020" i="328"/>
  <c r="C1019" i="328"/>
  <c r="C1018" i="328"/>
  <c r="C1017" i="328"/>
  <c r="C1603" i="328" l="1"/>
  <c r="C1537" i="328"/>
  <c r="C1509" i="328"/>
  <c r="C1508" i="328"/>
  <c r="C1507" i="328"/>
  <c r="C1506" i="328"/>
  <c r="C1505" i="328"/>
  <c r="C1504" i="328"/>
  <c r="C1503" i="328"/>
  <c r="C1502" i="328"/>
  <c r="C1501" i="328"/>
  <c r="C1500" i="328"/>
  <c r="C1004" i="328" l="1"/>
  <c r="C1003" i="328"/>
  <c r="C1002" i="328"/>
  <c r="C1001" i="328"/>
  <c r="C1000" i="328"/>
  <c r="C999" i="328"/>
  <c r="C998" i="328"/>
  <c r="C997" i="328"/>
  <c r="C996" i="328"/>
  <c r="C995" i="328"/>
  <c r="C994" i="328"/>
  <c r="C993" i="328"/>
  <c r="C991" i="328"/>
  <c r="C990" i="328"/>
  <c r="C989" i="328"/>
  <c r="C988" i="328"/>
  <c r="C987" i="328" l="1"/>
  <c r="C985" i="328"/>
  <c r="C986" i="328"/>
  <c r="C984" i="328"/>
  <c r="C983" i="328"/>
  <c r="C982" i="328"/>
  <c r="C981" i="328"/>
  <c r="C980" i="328"/>
  <c r="C979" i="328"/>
  <c r="C978" i="328"/>
  <c r="C977" i="328"/>
  <c r="C976" i="328"/>
  <c r="C975" i="328"/>
  <c r="C974" i="328"/>
  <c r="C973" i="328"/>
  <c r="C951" i="328"/>
  <c r="C952" i="328"/>
  <c r="C953" i="328"/>
  <c r="C954" i="328"/>
  <c r="C955" i="328"/>
  <c r="C956" i="328"/>
  <c r="C957" i="328"/>
  <c r="C958" i="328"/>
  <c r="C959" i="328"/>
  <c r="C960" i="328"/>
  <c r="C961" i="328"/>
  <c r="C962" i="328"/>
  <c r="C963" i="328"/>
  <c r="C964" i="328"/>
  <c r="C965" i="328"/>
  <c r="C966" i="328"/>
  <c r="C967" i="328"/>
  <c r="C968" i="328"/>
  <c r="C969" i="328"/>
  <c r="C970" i="328"/>
  <c r="C971" i="328"/>
  <c r="C972" i="328"/>
  <c r="C950" i="328"/>
  <c r="C949" i="328"/>
  <c r="C948" i="328"/>
  <c r="C947" i="328"/>
  <c r="C946" i="328" l="1"/>
  <c r="C945" i="328" l="1"/>
  <c r="C944" i="328"/>
  <c r="C943" i="328"/>
  <c r="C942" i="328"/>
  <c r="C941" i="328"/>
  <c r="C940" i="328"/>
  <c r="C931" i="328"/>
  <c r="C930" i="328"/>
  <c r="C929" i="328"/>
  <c r="C928" i="328"/>
  <c r="C927" i="328"/>
  <c r="C926" i="328"/>
  <c r="C925" i="328"/>
  <c r="C924" i="328"/>
  <c r="C923" i="328"/>
  <c r="C922" i="328"/>
  <c r="C914" i="328"/>
  <c r="C915" i="328"/>
  <c r="C916" i="328"/>
  <c r="C917" i="328"/>
  <c r="C918" i="328"/>
  <c r="C919" i="328"/>
  <c r="C920" i="328"/>
  <c r="C921" i="328"/>
  <c r="C913" i="328"/>
  <c r="C893" i="328" l="1"/>
  <c r="C894" i="328"/>
  <c r="C895" i="328"/>
  <c r="C896" i="328"/>
  <c r="C897" i="328"/>
  <c r="C898" i="328"/>
  <c r="C899" i="328"/>
  <c r="C900" i="328"/>
  <c r="C901" i="328"/>
  <c r="C902" i="328"/>
  <c r="C903" i="328"/>
  <c r="C904" i="328"/>
  <c r="C905" i="328"/>
  <c r="C906" i="328"/>
  <c r="C907" i="328"/>
  <c r="C908" i="328"/>
  <c r="C909" i="328"/>
  <c r="C910" i="328"/>
  <c r="C911" i="328"/>
  <c r="C912" i="328"/>
  <c r="C892" i="328"/>
  <c r="C883" i="328"/>
  <c r="C884" i="328"/>
  <c r="C885" i="328"/>
  <c r="C886" i="328"/>
  <c r="C887" i="328"/>
  <c r="C888" i="328"/>
  <c r="C889" i="328"/>
  <c r="C890" i="328"/>
  <c r="C891" i="328"/>
  <c r="C881" i="328"/>
  <c r="C882" i="328"/>
  <c r="C876" i="328"/>
  <c r="C877" i="328"/>
  <c r="C878" i="328"/>
  <c r="C879" i="328"/>
  <c r="C880" i="328"/>
  <c r="C874" i="328"/>
  <c r="C875" i="328"/>
  <c r="C858" i="328"/>
  <c r="C859" i="328"/>
  <c r="C860" i="328"/>
  <c r="C861" i="328"/>
  <c r="C862" i="328"/>
  <c r="C863" i="328"/>
  <c r="C864" i="328"/>
  <c r="C865" i="328"/>
  <c r="C866" i="328"/>
  <c r="C867" i="328"/>
  <c r="C868" i="328"/>
  <c r="C869" i="328"/>
  <c r="C870" i="328"/>
  <c r="C871" i="328"/>
  <c r="C872" i="328"/>
  <c r="C873" i="328"/>
  <c r="C857" i="328"/>
  <c r="C853" i="328"/>
  <c r="C854" i="328"/>
  <c r="C855" i="328"/>
  <c r="C856" i="328"/>
  <c r="C844" i="328"/>
  <c r="C845" i="328"/>
  <c r="C846" i="328"/>
  <c r="C847" i="328"/>
  <c r="C848" i="328"/>
  <c r="C849" i="328"/>
  <c r="C850" i="328"/>
  <c r="C851" i="328"/>
  <c r="C852" i="328"/>
  <c r="C790" i="328"/>
  <c r="C791" i="328"/>
  <c r="C792" i="328"/>
  <c r="C793" i="328"/>
  <c r="C794" i="328"/>
  <c r="C795" i="328"/>
  <c r="C796" i="328"/>
  <c r="C797" i="328"/>
  <c r="C798" i="328"/>
  <c r="C799" i="328"/>
  <c r="C800" i="328"/>
  <c r="C801" i="328"/>
  <c r="C802" i="328"/>
  <c r="C803" i="328"/>
  <c r="C804" i="328"/>
  <c r="C805" i="328"/>
  <c r="C806" i="328"/>
  <c r="C807" i="328"/>
  <c r="C808" i="328"/>
  <c r="C809" i="328"/>
  <c r="C810" i="328"/>
  <c r="C811" i="328"/>
  <c r="C812" i="328"/>
  <c r="C813" i="328"/>
  <c r="C814" i="328"/>
  <c r="C815" i="328"/>
  <c r="C816" i="328"/>
  <c r="C817" i="328"/>
  <c r="C818" i="328"/>
  <c r="C819" i="328"/>
  <c r="C820" i="328"/>
  <c r="C821" i="328"/>
  <c r="C822" i="328"/>
  <c r="C823" i="328"/>
  <c r="C824" i="328"/>
  <c r="C825" i="328"/>
  <c r="C826" i="328"/>
  <c r="C827" i="328"/>
  <c r="C828" i="328"/>
  <c r="C829" i="328"/>
  <c r="C830" i="328"/>
  <c r="C831" i="328"/>
  <c r="C832" i="328"/>
  <c r="C833" i="328"/>
  <c r="C834" i="328"/>
  <c r="C835" i="328"/>
  <c r="C836" i="328"/>
  <c r="C837" i="328"/>
  <c r="C838" i="328"/>
  <c r="C839" i="328"/>
  <c r="C840" i="328"/>
  <c r="C841" i="328"/>
  <c r="C842" i="328"/>
  <c r="C843" i="328"/>
  <c r="C789" i="328"/>
  <c r="C784" i="328"/>
  <c r="C785" i="328"/>
  <c r="C786" i="328"/>
  <c r="C787" i="328"/>
  <c r="C788" i="328"/>
  <c r="C783" i="328"/>
  <c r="W569" i="347" l="1"/>
  <c r="W1" i="347"/>
  <c r="X89" i="2" l="1"/>
  <c r="C1499" i="328" l="1"/>
  <c r="C469" i="328"/>
  <c r="C1498" i="328"/>
  <c r="C468" i="328"/>
  <c r="C1489" i="328"/>
  <c r="C1490" i="328"/>
  <c r="C1491" i="328"/>
  <c r="C1492" i="328"/>
  <c r="C1493" i="328"/>
  <c r="C1494" i="328"/>
  <c r="C1495" i="328"/>
  <c r="C1496" i="328"/>
  <c r="C1497" i="328"/>
  <c r="C1487" i="328"/>
  <c r="C1488" i="328"/>
  <c r="C1486" i="328"/>
  <c r="C1485" i="328"/>
  <c r="C1484" i="328"/>
  <c r="C764" i="328"/>
  <c r="C762" i="328"/>
  <c r="C763" i="328"/>
  <c r="C761" i="328"/>
  <c r="C760" i="328" l="1"/>
  <c r="C756" i="328"/>
  <c r="C757" i="328"/>
  <c r="C758" i="328"/>
  <c r="C759" i="328"/>
  <c r="C755" i="328"/>
  <c r="C753" i="328"/>
  <c r="C754" i="328"/>
  <c r="C752" i="328"/>
  <c r="C750" i="328"/>
  <c r="C751" i="328"/>
  <c r="C749" i="328"/>
  <c r="C748" i="328"/>
  <c r="C747" i="328"/>
  <c r="X84" i="2"/>
  <c r="X88" i="2"/>
  <c r="X83" i="2" l="1"/>
  <c r="X85" i="2"/>
  <c r="C745" i="328" l="1"/>
  <c r="C746" i="328"/>
  <c r="H522" i="2" l="1"/>
  <c r="C744" i="328" l="1"/>
  <c r="C743" i="328"/>
  <c r="C742" i="328"/>
  <c r="C741" i="328"/>
  <c r="C467" i="328" l="1"/>
  <c r="C1483" i="328" l="1"/>
  <c r="C1482" i="328"/>
  <c r="C1049" i="328"/>
  <c r="C1050" i="328"/>
  <c r="C1051" i="328"/>
  <c r="C1052" i="328"/>
  <c r="C1053" i="328"/>
  <c r="C1054" i="328"/>
  <c r="C1480" i="328"/>
  <c r="C1481" i="328"/>
  <c r="C1048" i="328"/>
  <c r="C729" i="328" l="1"/>
  <c r="C728" i="328"/>
  <c r="C727" i="328"/>
  <c r="C725" i="328"/>
  <c r="C726" i="328"/>
  <c r="C724" i="328"/>
  <c r="C715" i="328"/>
  <c r="C716" i="328"/>
  <c r="C717" i="328"/>
  <c r="C718" i="328"/>
  <c r="C719" i="328"/>
  <c r="C720" i="328"/>
  <c r="C721" i="328"/>
  <c r="C722" i="328"/>
  <c r="C723" i="328"/>
  <c r="C714" i="328"/>
  <c r="C711" i="328"/>
  <c r="C712" i="328"/>
  <c r="C713" i="328"/>
  <c r="C707" i="328"/>
  <c r="C708" i="328"/>
  <c r="C709" i="328"/>
  <c r="C710" i="328"/>
  <c r="C698" i="328"/>
  <c r="C699" i="328"/>
  <c r="C700" i="328"/>
  <c r="C701" i="328"/>
  <c r="C702" i="328"/>
  <c r="C703" i="328"/>
  <c r="C704" i="328"/>
  <c r="C705" i="328"/>
  <c r="C706" i="328"/>
  <c r="C696" i="328"/>
  <c r="C697" i="328"/>
  <c r="C694" i="328"/>
  <c r="C695" i="328"/>
  <c r="C693" i="328"/>
  <c r="C692" i="328"/>
  <c r="C691" i="328" l="1"/>
  <c r="C690" i="328"/>
  <c r="C689" i="328"/>
  <c r="C688" i="328"/>
  <c r="C687" i="328" l="1"/>
  <c r="C686" i="328"/>
  <c r="C685" i="328"/>
  <c r="C684" i="328"/>
  <c r="C682" i="328"/>
  <c r="C683" i="328"/>
  <c r="C681" i="328"/>
  <c r="L569" i="347" l="1"/>
  <c r="L1" i="347"/>
  <c r="C680" i="328" l="1"/>
  <c r="C1047" i="328" l="1"/>
  <c r="C678" i="328" l="1"/>
  <c r="C677" i="328"/>
  <c r="C676" i="328"/>
  <c r="C1046" i="328" l="1"/>
  <c r="C1045" i="328"/>
  <c r="C1039" i="328"/>
  <c r="C1040" i="328"/>
  <c r="C1041" i="328"/>
  <c r="C1042" i="328"/>
  <c r="C1043" i="328"/>
  <c r="C1044" i="328"/>
  <c r="C466" i="328"/>
  <c r="C1015" i="328"/>
  <c r="C1016" i="328"/>
  <c r="C1014" i="328"/>
  <c r="C1012" i="328"/>
  <c r="C1013" i="328"/>
  <c r="C1011" i="328"/>
  <c r="C663" i="328"/>
  <c r="C662" i="328"/>
  <c r="C657" i="328"/>
  <c r="C658" i="328"/>
  <c r="C659" i="328"/>
  <c r="C660" i="328"/>
  <c r="C661" i="328"/>
  <c r="C656" i="328" l="1"/>
  <c r="C655" i="328" l="1"/>
  <c r="C654" i="328"/>
  <c r="C653" i="328"/>
  <c r="C651" i="328"/>
  <c r="C652" i="328"/>
  <c r="C650" i="328"/>
  <c r="C649" i="328" l="1"/>
  <c r="C648" i="328"/>
  <c r="C646" i="328"/>
  <c r="C647" i="328"/>
  <c r="C645" i="328"/>
  <c r="C644" i="328"/>
  <c r="C642" i="328"/>
  <c r="C643" i="328"/>
  <c r="C641" i="328"/>
  <c r="C640" i="328"/>
  <c r="C639" i="328"/>
  <c r="C638" i="328"/>
  <c r="C637" i="328"/>
  <c r="C636" i="328"/>
  <c r="C635" i="328"/>
  <c r="C633" i="328"/>
  <c r="C632" i="328"/>
  <c r="C631" i="328"/>
  <c r="C630" i="328"/>
  <c r="C626" i="328"/>
  <c r="C627" i="328"/>
  <c r="C628" i="328"/>
  <c r="C629" i="328"/>
  <c r="C625" i="328"/>
  <c r="C623" i="328"/>
  <c r="C624" i="328"/>
  <c r="C621" i="328"/>
  <c r="C622" i="328"/>
  <c r="C620" i="328"/>
  <c r="C619" i="328"/>
  <c r="C618" i="328"/>
  <c r="C604" i="328"/>
  <c r="C605" i="328"/>
  <c r="C606" i="328"/>
  <c r="C607" i="328"/>
  <c r="C608" i="328"/>
  <c r="C609" i="328"/>
  <c r="C610" i="328"/>
  <c r="C611" i="328"/>
  <c r="C612" i="328"/>
  <c r="C613" i="328"/>
  <c r="C614" i="328"/>
  <c r="C615" i="328"/>
  <c r="C616" i="328"/>
  <c r="C617" i="328"/>
  <c r="C603" i="328"/>
  <c r="C584" i="328"/>
  <c r="C585" i="328"/>
  <c r="C586" i="328"/>
  <c r="C587" i="328"/>
  <c r="C588" i="328"/>
  <c r="C589" i="328"/>
  <c r="C590" i="328"/>
  <c r="C591" i="328"/>
  <c r="C592" i="328"/>
  <c r="C593" i="328"/>
  <c r="C594" i="328"/>
  <c r="C595" i="328"/>
  <c r="C596" i="328"/>
  <c r="C597" i="328"/>
  <c r="C598" i="328"/>
  <c r="C599" i="328"/>
  <c r="C600" i="328"/>
  <c r="C601" i="328"/>
  <c r="C602" i="328"/>
  <c r="C583" i="328"/>
  <c r="C582" i="328"/>
  <c r="C581" i="328"/>
  <c r="C580" i="328"/>
  <c r="C579" i="328"/>
  <c r="C578" i="328"/>
  <c r="C573" i="328"/>
  <c r="C574" i="328"/>
  <c r="C575" i="328"/>
  <c r="C576" i="328"/>
  <c r="C577" i="328"/>
  <c r="C572" i="328" l="1"/>
  <c r="C571" i="328"/>
  <c r="C570" i="328"/>
  <c r="C569" i="328"/>
  <c r="C567" i="328"/>
  <c r="C568" i="328"/>
  <c r="C566" i="328"/>
  <c r="C565" i="328"/>
  <c r="C564" i="328"/>
  <c r="C563" i="328"/>
  <c r="C562" i="328"/>
  <c r="C560" i="328" l="1"/>
  <c r="C561" i="328"/>
  <c r="C559" i="328" l="1"/>
  <c r="C558" i="328"/>
  <c r="C557" i="328"/>
  <c r="C556" i="328"/>
  <c r="C555" i="328"/>
  <c r="C554" i="328"/>
  <c r="C553" i="328"/>
  <c r="C552" i="328"/>
  <c r="C551" i="328"/>
  <c r="C550" i="328"/>
  <c r="C548" i="328"/>
  <c r="C547" i="328"/>
  <c r="C546" i="328"/>
  <c r="C541" i="328"/>
  <c r="C542" i="328"/>
  <c r="C543" i="328"/>
  <c r="C544" i="328"/>
  <c r="C545" i="328"/>
  <c r="C538" i="328"/>
  <c r="C539" i="328"/>
  <c r="C540" i="328"/>
  <c r="C537" i="328"/>
  <c r="C536" i="328"/>
  <c r="C534" i="328"/>
  <c r="C535" i="328"/>
  <c r="C533" i="328"/>
  <c r="C532" i="328"/>
  <c r="C531" i="328"/>
  <c r="C530" i="328" l="1"/>
  <c r="C529" i="328"/>
  <c r="C1010" i="328"/>
  <c r="C527" i="328"/>
  <c r="C465" i="328"/>
  <c r="C524" i="328"/>
  <c r="C523" i="328"/>
  <c r="C522" i="328"/>
  <c r="C520" i="328"/>
  <c r="C519" i="328"/>
  <c r="C518" i="328"/>
  <c r="C517" i="328"/>
  <c r="C516" i="328"/>
  <c r="C515" i="328"/>
  <c r="C514" i="328"/>
  <c r="C513" i="328"/>
  <c r="C512" i="328"/>
  <c r="C511" i="328"/>
  <c r="C510" i="328"/>
  <c r="C509" i="328"/>
  <c r="C508" i="328"/>
  <c r="C507" i="328"/>
  <c r="C506" i="328"/>
  <c r="C505" i="328"/>
  <c r="C504" i="328"/>
  <c r="C503" i="328"/>
  <c r="C502" i="328"/>
  <c r="C501" i="328"/>
  <c r="C500" i="328"/>
  <c r="C499" i="328"/>
  <c r="C498" i="328"/>
  <c r="C497" i="328"/>
  <c r="C496" i="328"/>
  <c r="C495" i="328"/>
  <c r="C494" i="328"/>
  <c r="C493" i="328"/>
  <c r="C492" i="328"/>
  <c r="C491" i="328"/>
  <c r="C490" i="328"/>
  <c r="C489" i="328"/>
  <c r="C488" i="328"/>
  <c r="C487" i="328"/>
  <c r="C464" i="328"/>
  <c r="C463" i="328"/>
  <c r="C1009" i="328"/>
  <c r="C462" i="328"/>
  <c r="C1008" i="328"/>
  <c r="C461" i="328"/>
  <c r="C1007" i="328"/>
  <c r="C1006" i="328"/>
  <c r="C1005" i="328"/>
  <c r="C460" i="328"/>
  <c r="C459" i="328"/>
  <c r="C458" i="328"/>
  <c r="C782" i="328"/>
  <c r="C457" i="328"/>
  <c r="C781" i="328"/>
  <c r="C780" i="328"/>
  <c r="C456" i="328"/>
  <c r="C455" i="328"/>
  <c r="C779" i="328"/>
  <c r="C454" i="328"/>
  <c r="C453" i="328"/>
  <c r="C452" i="328"/>
  <c r="C451" i="328"/>
  <c r="C778" i="328"/>
  <c r="C450" i="328"/>
  <c r="C449" i="328"/>
  <c r="C777" i="328"/>
  <c r="C448" i="328"/>
  <c r="C447" i="328"/>
  <c r="C776" i="328"/>
  <c r="C446" i="328"/>
  <c r="C775" i="328"/>
  <c r="C774" i="328"/>
  <c r="C445" i="328"/>
  <c r="C444" i="328"/>
  <c r="C443" i="328"/>
  <c r="C442" i="328"/>
  <c r="C441" i="328"/>
  <c r="C440" i="328"/>
  <c r="C439" i="328"/>
  <c r="C438" i="328"/>
  <c r="C437" i="328"/>
  <c r="C436" i="328"/>
  <c r="C435" i="328"/>
  <c r="C773" i="328"/>
  <c r="C434" i="328"/>
  <c r="C433" i="328"/>
  <c r="C432" i="328"/>
  <c r="C772" i="328"/>
  <c r="C431" i="328"/>
  <c r="C430" i="328"/>
  <c r="C771" i="328"/>
  <c r="C770" i="328"/>
  <c r="C769" i="328"/>
  <c r="C429" i="328"/>
  <c r="C428" i="328"/>
  <c r="C427" i="328"/>
  <c r="C426" i="328"/>
  <c r="C768" i="328"/>
  <c r="C767" i="328"/>
  <c r="C766" i="328"/>
  <c r="C765" i="328"/>
  <c r="C740" i="328"/>
  <c r="C425" i="328"/>
  <c r="C424" i="328"/>
  <c r="C423" i="328"/>
  <c r="C422" i="328"/>
  <c r="C421" i="328"/>
  <c r="C420" i="328"/>
  <c r="C419" i="328"/>
  <c r="C418" i="328"/>
  <c r="C417" i="328"/>
  <c r="C416" i="328"/>
  <c r="C415" i="328"/>
  <c r="C414" i="328"/>
  <c r="C413" i="328"/>
  <c r="C412" i="328"/>
  <c r="C411" i="328"/>
  <c r="C410" i="328"/>
  <c r="C409" i="328"/>
  <c r="C408" i="328"/>
  <c r="C407" i="328"/>
  <c r="C406" i="328"/>
  <c r="C405" i="328"/>
  <c r="C404" i="328"/>
  <c r="C403" i="328"/>
  <c r="C402" i="328"/>
  <c r="C401" i="328"/>
  <c r="C400" i="328"/>
  <c r="C399" i="328"/>
  <c r="C398" i="328"/>
  <c r="C397" i="328"/>
  <c r="C396" i="328"/>
  <c r="C395" i="328"/>
  <c r="C394" i="328"/>
  <c r="C393" i="328"/>
  <c r="C392" i="328"/>
  <c r="C391" i="328"/>
  <c r="C390" i="328"/>
  <c r="C389" i="328"/>
  <c r="C388" i="328"/>
  <c r="C387" i="328"/>
  <c r="C386" i="328"/>
  <c r="C385" i="328"/>
  <c r="C384" i="328"/>
  <c r="C383" i="328"/>
  <c r="C382" i="328"/>
  <c r="C381" i="328"/>
  <c r="C380" i="328"/>
  <c r="C379" i="328"/>
  <c r="C377" i="328"/>
  <c r="C376" i="328"/>
  <c r="C375" i="328"/>
  <c r="C374" i="328"/>
  <c r="C373" i="328"/>
  <c r="C372" i="328"/>
  <c r="C370" i="328"/>
  <c r="C369" i="328"/>
  <c r="C368" i="328"/>
  <c r="C367" i="328"/>
  <c r="C366" i="328"/>
  <c r="C365" i="328"/>
  <c r="C364" i="328"/>
  <c r="C363" i="328"/>
  <c r="C362" i="328"/>
  <c r="C361" i="328"/>
  <c r="C360" i="328"/>
  <c r="C359" i="328"/>
  <c r="C358" i="328"/>
  <c r="C357" i="328"/>
  <c r="C356" i="328"/>
  <c r="C355" i="328"/>
  <c r="C354" i="328"/>
  <c r="C353" i="328"/>
  <c r="C352" i="328"/>
  <c r="C351" i="328"/>
  <c r="C350" i="328"/>
  <c r="C349" i="328"/>
  <c r="C348" i="328"/>
  <c r="C347" i="328"/>
  <c r="C346" i="328"/>
  <c r="C345" i="328"/>
  <c r="C344" i="328"/>
  <c r="C343" i="328"/>
  <c r="C342" i="328"/>
  <c r="C341" i="328"/>
  <c r="C340" i="328"/>
  <c r="C339" i="328"/>
  <c r="C338" i="328"/>
  <c r="C337" i="328"/>
  <c r="C336" i="328"/>
  <c r="C335" i="328"/>
  <c r="C334" i="328"/>
  <c r="C333" i="328"/>
  <c r="C332" i="328"/>
  <c r="C331" i="328"/>
  <c r="C330" i="328"/>
  <c r="C329" i="328"/>
  <c r="C328" i="328"/>
  <c r="C327" i="328"/>
  <c r="C326" i="328"/>
  <c r="C325" i="328"/>
  <c r="C324" i="328"/>
  <c r="C323" i="328"/>
  <c r="C322" i="328"/>
  <c r="C321" i="328"/>
  <c r="C320" i="328"/>
  <c r="C319" i="328"/>
  <c r="C318" i="328"/>
  <c r="C317" i="328"/>
  <c r="C316" i="328"/>
  <c r="C315" i="328"/>
  <c r="C314" i="328"/>
  <c r="C313" i="328"/>
  <c r="C312" i="328"/>
  <c r="C311" i="328"/>
  <c r="C310" i="328"/>
  <c r="C309" i="328"/>
  <c r="C308" i="328"/>
  <c r="C307" i="328"/>
  <c r="C306" i="328"/>
  <c r="C305" i="328"/>
  <c r="C304" i="328"/>
  <c r="C303" i="328"/>
  <c r="C302" i="328"/>
  <c r="C301" i="328"/>
  <c r="C300" i="328"/>
  <c r="C299" i="328"/>
  <c r="C298" i="328"/>
  <c r="C297" i="328"/>
  <c r="C296" i="328"/>
  <c r="C295" i="328"/>
  <c r="C293" i="328"/>
  <c r="C292" i="328"/>
  <c r="C291" i="328"/>
  <c r="C290" i="328"/>
  <c r="C289" i="328"/>
  <c r="C288" i="328"/>
  <c r="C287" i="328"/>
  <c r="C286" i="328"/>
  <c r="C285" i="328"/>
  <c r="C284" i="328"/>
  <c r="C283" i="328"/>
  <c r="C282" i="328"/>
  <c r="C281" i="328"/>
  <c r="C280" i="328"/>
  <c r="C279" i="328"/>
  <c r="C278" i="328"/>
  <c r="C277" i="328"/>
  <c r="C276" i="328"/>
  <c r="C275" i="328"/>
  <c r="C274" i="328"/>
  <c r="C273" i="328"/>
  <c r="C272" i="328"/>
  <c r="C271" i="328"/>
  <c r="C270" i="328"/>
  <c r="C269" i="328"/>
  <c r="C268" i="328"/>
  <c r="C267" i="328"/>
  <c r="C265" i="328"/>
  <c r="C264" i="328"/>
  <c r="C263" i="328"/>
  <c r="C262" i="328"/>
  <c r="C261" i="328"/>
  <c r="C260" i="328"/>
  <c r="C259" i="328"/>
  <c r="C258" i="328"/>
  <c r="C257" i="328"/>
  <c r="C256" i="328"/>
  <c r="C255" i="328"/>
  <c r="C254" i="328"/>
  <c r="C253" i="328"/>
  <c r="C252" i="328"/>
  <c r="C251" i="328"/>
  <c r="C250" i="328"/>
  <c r="C249" i="328"/>
  <c r="C248" i="328"/>
  <c r="C247" i="328"/>
  <c r="C246" i="328"/>
  <c r="C245" i="328"/>
  <c r="C244" i="328"/>
  <c r="C243" i="328"/>
  <c r="C242" i="328"/>
  <c r="C241" i="328"/>
  <c r="C240" i="328"/>
  <c r="C239" i="328"/>
  <c r="C238" i="328"/>
  <c r="C237" i="328"/>
  <c r="C236" i="328"/>
  <c r="C235" i="328"/>
  <c r="C234" i="328"/>
  <c r="C233" i="328"/>
  <c r="C232" i="328"/>
  <c r="C231" i="328"/>
  <c r="C230" i="328"/>
  <c r="C229" i="328"/>
  <c r="C228" i="328"/>
  <c r="C227" i="328"/>
  <c r="C226" i="328"/>
  <c r="C225" i="328"/>
  <c r="C224" i="328"/>
  <c r="C223" i="328"/>
  <c r="C222" i="328"/>
  <c r="C221" i="328"/>
  <c r="C220" i="328"/>
  <c r="C219" i="328"/>
  <c r="C218" i="328"/>
  <c r="C217" i="328"/>
  <c r="C216" i="328"/>
  <c r="C215" i="328"/>
  <c r="C214" i="328"/>
  <c r="C213" i="328"/>
  <c r="C212" i="328"/>
  <c r="C211" i="328"/>
  <c r="C210" i="328"/>
  <c r="C209" i="328"/>
  <c r="C208" i="328"/>
  <c r="C207" i="328"/>
  <c r="C206" i="328"/>
  <c r="C205" i="328"/>
  <c r="C204" i="328"/>
  <c r="C203" i="328"/>
  <c r="C202" i="328"/>
  <c r="C201" i="328"/>
  <c r="C200" i="328"/>
  <c r="C199" i="328"/>
  <c r="C198" i="328"/>
  <c r="C197" i="328"/>
  <c r="C196" i="328"/>
  <c r="C195" i="328"/>
  <c r="C194" i="328"/>
  <c r="C192" i="328"/>
  <c r="C191" i="328"/>
  <c r="C190" i="328"/>
  <c r="C189" i="328"/>
  <c r="C188" i="328"/>
  <c r="C187" i="328"/>
  <c r="C186" i="328"/>
  <c r="C184" i="328"/>
  <c r="C183" i="328"/>
  <c r="C182" i="328"/>
  <c r="C181" i="328"/>
  <c r="C180" i="328"/>
  <c r="C179" i="328"/>
  <c r="C178" i="328"/>
  <c r="C177" i="328"/>
  <c r="C176" i="328"/>
  <c r="C175" i="328"/>
  <c r="C174" i="328"/>
  <c r="C173" i="328"/>
  <c r="C172" i="328"/>
  <c r="C171" i="328"/>
  <c r="C170" i="328"/>
  <c r="C169" i="328"/>
  <c r="C168" i="328"/>
  <c r="C167" i="328"/>
  <c r="C166" i="328"/>
  <c r="C165" i="328"/>
  <c r="C164" i="328"/>
  <c r="C163" i="328"/>
  <c r="C162" i="328"/>
  <c r="C161" i="328"/>
  <c r="C160" i="328"/>
  <c r="C159" i="328"/>
  <c r="C158" i="328"/>
  <c r="C157" i="328"/>
  <c r="C156" i="328"/>
  <c r="C155" i="328"/>
  <c r="C154" i="328"/>
  <c r="C153" i="328"/>
  <c r="C152" i="328"/>
  <c r="C151" i="328"/>
  <c r="C150" i="328"/>
  <c r="C149" i="328"/>
  <c r="C148" i="328"/>
  <c r="C147" i="328"/>
  <c r="C146" i="328"/>
  <c r="C145" i="328"/>
  <c r="C144" i="328"/>
  <c r="C143" i="328"/>
  <c r="C142" i="328"/>
  <c r="C141" i="328"/>
  <c r="C140" i="328"/>
  <c r="C139" i="328"/>
  <c r="C138" i="328"/>
  <c r="C137" i="328"/>
  <c r="C136" i="328"/>
  <c r="C135" i="328"/>
  <c r="C134" i="328"/>
  <c r="C133" i="328"/>
  <c r="C132" i="328"/>
  <c r="C131" i="328"/>
  <c r="C130" i="328"/>
  <c r="C129" i="328"/>
  <c r="C128" i="328"/>
  <c r="C127" i="328"/>
  <c r="C126" i="328"/>
  <c r="C125" i="328"/>
  <c r="C124" i="328"/>
  <c r="C123" i="328"/>
  <c r="C122" i="328"/>
  <c r="C121" i="328"/>
  <c r="C120" i="328"/>
  <c r="C119" i="328"/>
  <c r="C118" i="328"/>
  <c r="C117" i="328"/>
  <c r="C116" i="328"/>
  <c r="C115" i="328"/>
  <c r="C114" i="328"/>
  <c r="C113" i="328"/>
  <c r="C112" i="328"/>
  <c r="C111" i="328"/>
  <c r="C110" i="328"/>
  <c r="C109" i="328"/>
  <c r="C108" i="328"/>
  <c r="C107" i="328"/>
  <c r="C106" i="328"/>
  <c r="C105" i="328"/>
  <c r="C104" i="328"/>
  <c r="C103" i="328"/>
  <c r="C102" i="328"/>
  <c r="C101" i="328"/>
  <c r="C100" i="328"/>
  <c r="C99" i="328"/>
  <c r="C98" i="328"/>
  <c r="C97" i="328"/>
  <c r="C96" i="328"/>
  <c r="C95" i="328"/>
  <c r="C94" i="328"/>
  <c r="C93" i="328"/>
  <c r="C91" i="328"/>
  <c r="C90" i="328"/>
  <c r="C89" i="328"/>
  <c r="C87" i="328"/>
  <c r="C86" i="328"/>
  <c r="C85" i="328"/>
  <c r="C84" i="328"/>
  <c r="C83" i="328"/>
  <c r="C82" i="328"/>
  <c r="C81" i="328"/>
  <c r="C80" i="328"/>
  <c r="C79" i="328"/>
  <c r="C78" i="328"/>
  <c r="C77" i="328"/>
  <c r="C76" i="328"/>
  <c r="C75" i="328"/>
  <c r="C74" i="328"/>
  <c r="C73" i="328"/>
  <c r="C72" i="328"/>
  <c r="C71" i="328"/>
  <c r="C70" i="328"/>
  <c r="C69" i="328"/>
  <c r="C68" i="328"/>
  <c r="C67" i="328"/>
  <c r="C66" i="328"/>
  <c r="C65" i="328"/>
  <c r="C64" i="328"/>
  <c r="C63" i="328"/>
  <c r="C62" i="328"/>
  <c r="C61" i="328"/>
  <c r="C60" i="328"/>
  <c r="C59" i="328"/>
  <c r="C58" i="328"/>
  <c r="C57" i="328"/>
  <c r="C56" i="328"/>
  <c r="C55" i="328"/>
  <c r="C54" i="328"/>
  <c r="C53" i="328"/>
  <c r="C52" i="328"/>
  <c r="C51" i="328"/>
  <c r="C50" i="328"/>
  <c r="C49" i="328"/>
  <c r="C48" i="328"/>
  <c r="C47" i="328"/>
  <c r="C46" i="328"/>
  <c r="C45" i="328"/>
  <c r="C44" i="328"/>
  <c r="C43" i="328"/>
  <c r="C42" i="328"/>
  <c r="C41" i="328"/>
  <c r="C40" i="328"/>
  <c r="C39" i="328"/>
  <c r="C38" i="328"/>
  <c r="C37" i="328"/>
  <c r="C36" i="328"/>
  <c r="C35" i="328"/>
  <c r="C34" i="328"/>
  <c r="C33" i="328"/>
  <c r="C32" i="328"/>
  <c r="C31" i="328"/>
  <c r="C30" i="328"/>
  <c r="C29" i="328"/>
  <c r="C28" i="328"/>
  <c r="C26" i="328"/>
  <c r="C25" i="328"/>
  <c r="C24" i="328"/>
  <c r="C23" i="328"/>
  <c r="C22" i="328"/>
  <c r="C21" i="328"/>
  <c r="C20" i="328"/>
  <c r="C19" i="328"/>
  <c r="C18" i="328"/>
  <c r="C17" i="328"/>
  <c r="C16" i="328"/>
  <c r="C15" i="328"/>
  <c r="C14" i="328"/>
  <c r="C11" i="328"/>
  <c r="C10" i="328"/>
  <c r="C9" i="328"/>
  <c r="C8" i="328"/>
  <c r="C7" i="328"/>
  <c r="C6" i="328"/>
  <c r="C5" i="328"/>
  <c r="C4" i="328"/>
  <c r="C3" i="328"/>
  <c r="C2" i="328"/>
  <c r="P29" i="364" l="1" a="1"/>
  <c r="P28" i="364" a="1"/>
  <c r="P27" i="364" a="1"/>
  <c r="P26" i="364" a="1"/>
  <c r="P25" i="364" a="1"/>
  <c r="P24" i="364" a="1"/>
  <c r="P23" i="364" a="1"/>
  <c r="P22" i="364" a="1"/>
  <c r="P21" i="364" a="1"/>
  <c r="P20" i="364" a="1"/>
  <c r="P19" i="364" a="1"/>
  <c r="P18" i="364" a="1"/>
  <c r="P17" i="364" a="1"/>
  <c r="P16" i="364" a="1"/>
  <c r="P15" i="364" a="1"/>
  <c r="P14" i="364" a="1"/>
  <c r="P13" i="364" a="1"/>
  <c r="P12" i="364" a="1"/>
  <c r="P11" i="364" a="1"/>
  <c r="P10" i="364" a="1"/>
  <c r="P9" i="364" a="1"/>
  <c r="P8" i="364" a="1"/>
  <c r="P7" i="364" a="1"/>
  <c r="P6" i="364" a="1"/>
  <c r="P5" i="364" a="1"/>
  <c r="P160" i="364" a="1"/>
  <c r="P145" i="364" a="1"/>
  <c r="P137" i="364" a="1"/>
  <c r="P134" i="364" a="1"/>
  <c r="P130" i="364" a="1"/>
  <c r="P127" i="364" a="1"/>
  <c r="P123" i="364" a="1"/>
  <c r="P120" i="364" a="1"/>
  <c r="P117" i="364" a="1"/>
  <c r="P113" i="364" a="1"/>
  <c r="P110" i="364" a="1"/>
  <c r="P106" i="364" a="1"/>
  <c r="P103" i="364" a="1"/>
  <c r="P99" i="364" a="1"/>
  <c r="P96" i="364" a="1"/>
  <c r="P93" i="364" a="1"/>
  <c r="P89" i="364" a="1"/>
  <c r="P86" i="364" a="1"/>
  <c r="P82" i="364" a="1"/>
  <c r="P79" i="364" a="1"/>
  <c r="P75" i="364" a="1"/>
  <c r="P72" i="364" a="1"/>
  <c r="P70" i="364" a="1"/>
  <c r="P67" i="364" a="1"/>
  <c r="P63" i="364" a="1"/>
  <c r="P60" i="364" a="1"/>
  <c r="P57" i="364" a="1"/>
  <c r="P54" i="364" a="1"/>
  <c r="P51" i="364" a="1"/>
  <c r="P48" i="364" a="1"/>
  <c r="P45" i="364" a="1"/>
  <c r="P42" i="364" a="1"/>
  <c r="P39" i="364" a="1"/>
  <c r="P35" i="364" a="1"/>
  <c r="P32" i="364" a="1"/>
  <c r="P159" i="364" a="1"/>
  <c r="P158" i="364" a="1"/>
  <c r="P156" i="364" a="1"/>
  <c r="P155" i="364" a="1"/>
  <c r="P154" i="364" a="1"/>
  <c r="P153" i="364" a="1"/>
  <c r="P152" i="364" a="1"/>
  <c r="P151" i="364" a="1"/>
  <c r="P149" i="364" a="1"/>
  <c r="P148" i="364" a="1"/>
  <c r="P146" i="364" a="1"/>
  <c r="P144" i="364" a="1"/>
  <c r="P142" i="364" a="1"/>
  <c r="P140" i="364" a="1"/>
  <c r="P139" i="364" a="1"/>
  <c r="P136" i="364" a="1"/>
  <c r="P133" i="364" a="1"/>
  <c r="P132" i="364" a="1"/>
  <c r="P129" i="364" a="1"/>
  <c r="P126" i="364" a="1"/>
  <c r="P125" i="364" a="1"/>
  <c r="P122" i="364" a="1"/>
  <c r="P119" i="364" a="1"/>
  <c r="P116" i="364" a="1"/>
  <c r="P115" i="364" a="1"/>
  <c r="P112" i="364" a="1"/>
  <c r="P109" i="364" a="1"/>
  <c r="P107" i="364" a="1"/>
  <c r="P105" i="364" a="1"/>
  <c r="P102" i="364" a="1"/>
  <c r="P100" i="364" a="1"/>
  <c r="P98" i="364" a="1"/>
  <c r="P95" i="364" a="1"/>
  <c r="P92" i="364" a="1"/>
  <c r="P91" i="364" a="1"/>
  <c r="P88" i="364" a="1"/>
  <c r="P85" i="364" a="1"/>
  <c r="P84" i="364" a="1"/>
  <c r="P81" i="364" a="1"/>
  <c r="P78" i="364" a="1"/>
  <c r="P77" i="364" a="1"/>
  <c r="P74" i="364" a="1"/>
  <c r="P71" i="364" a="1"/>
  <c r="P68" i="364" a="1"/>
  <c r="P66" i="364" a="1"/>
  <c r="P64" i="364" a="1"/>
  <c r="P61" i="364" a="1"/>
  <c r="P59" i="364" a="1"/>
  <c r="P56" i="364" a="1"/>
  <c r="P53" i="364" a="1"/>
  <c r="P52" i="364" a="1"/>
  <c r="P49" i="364" a="1"/>
  <c r="P46" i="364" a="1"/>
  <c r="P43" i="364" a="1"/>
  <c r="P41" i="364" a="1"/>
  <c r="P38" i="364" a="1"/>
  <c r="P36" i="364" a="1"/>
  <c r="P33" i="364" a="1"/>
  <c r="P31" i="364" a="1"/>
  <c r="P157" i="364" a="1"/>
  <c r="P150" i="364" a="1"/>
  <c r="P147" i="364" a="1"/>
  <c r="P143" i="364" a="1"/>
  <c r="P141" i="364" a="1"/>
  <c r="P138" i="364" a="1"/>
  <c r="P135" i="364" a="1"/>
  <c r="P131" i="364" a="1"/>
  <c r="P128" i="364" a="1"/>
  <c r="P124" i="364" a="1"/>
  <c r="P121" i="364" a="1"/>
  <c r="P118" i="364" a="1"/>
  <c r="P114" i="364" a="1"/>
  <c r="P111" i="364" a="1"/>
  <c r="P108" i="364" a="1"/>
  <c r="P104" i="364" a="1"/>
  <c r="P101" i="364" a="1"/>
  <c r="P97" i="364" a="1"/>
  <c r="P94" i="364" a="1"/>
  <c r="P90" i="364" a="1"/>
  <c r="P87" i="364" a="1"/>
  <c r="P83" i="364" a="1"/>
  <c r="P80" i="364" a="1"/>
  <c r="P76" i="364" a="1"/>
  <c r="P73" i="364" a="1"/>
  <c r="P69" i="364" a="1"/>
  <c r="P65" i="364" a="1"/>
  <c r="P62" i="364" a="1"/>
  <c r="P58" i="364" a="1"/>
  <c r="P55" i="364" a="1"/>
  <c r="P50" i="364" a="1"/>
  <c r="P47" i="364" a="1"/>
  <c r="P44" i="364" a="1"/>
  <c r="P40" i="364" a="1"/>
  <c r="P37" i="364" a="1"/>
  <c r="P34" i="364" a="1"/>
  <c r="P30" i="364" a="1"/>
  <c r="P4" i="364" a="1"/>
  <c r="C9" i="1" l="1"/>
  <c r="D9" i="1"/>
  <c r="F9" i="1"/>
  <c r="E9" i="1"/>
  <c r="G9" i="1"/>
  <c r="E52" i="2"/>
  <c r="Z52" i="2" s="1"/>
  <c r="D52" i="2"/>
  <c r="Y52" i="2" s="1"/>
  <c r="C52" i="2"/>
  <c r="I52" i="2"/>
  <c r="AD52" i="2" s="1"/>
  <c r="H52" i="2"/>
  <c r="AC52" i="2" s="1"/>
  <c r="G52" i="2"/>
  <c r="AB52" i="2" s="1"/>
  <c r="F52" i="2"/>
  <c r="AA52" i="2" s="1"/>
  <c r="Q52" i="2"/>
  <c r="J52" i="2"/>
  <c r="G10" i="2"/>
  <c r="AB10" i="2" s="1"/>
  <c r="D10" i="2"/>
  <c r="Y10" i="2" s="1"/>
  <c r="H10" i="2"/>
  <c r="AC10" i="2" s="1"/>
  <c r="F10" i="2"/>
  <c r="AA10" i="2" s="1"/>
  <c r="E10" i="2"/>
  <c r="Z10" i="2" s="1"/>
  <c r="C10" i="2"/>
  <c r="I10" i="2"/>
  <c r="AD10" i="2" s="1"/>
  <c r="Q10" i="2"/>
  <c r="J10" i="2"/>
  <c r="G156" i="1"/>
  <c r="G148" i="1"/>
  <c r="G133" i="1"/>
  <c r="G125" i="1"/>
  <c r="G117" i="1"/>
  <c r="G108" i="1"/>
  <c r="G100" i="1"/>
  <c r="G90" i="1"/>
  <c r="G155" i="1"/>
  <c r="G147" i="1"/>
  <c r="G132" i="1"/>
  <c r="G124" i="1"/>
  <c r="G116" i="1"/>
  <c r="G107" i="1"/>
  <c r="G161" i="1"/>
  <c r="G153" i="1"/>
  <c r="G145" i="1"/>
  <c r="G130" i="1"/>
  <c r="G160" i="1"/>
  <c r="G152" i="1"/>
  <c r="G144" i="1"/>
  <c r="G129" i="1"/>
  <c r="G121" i="1"/>
  <c r="G113" i="1"/>
  <c r="G104" i="1"/>
  <c r="G95" i="1"/>
  <c r="G85" i="1"/>
  <c r="G159" i="1"/>
  <c r="G151" i="1"/>
  <c r="G142" i="1"/>
  <c r="G128" i="1"/>
  <c r="G120" i="1"/>
  <c r="G112" i="1"/>
  <c r="G103" i="1"/>
  <c r="G93" i="1"/>
  <c r="G84" i="1"/>
  <c r="G158" i="1"/>
  <c r="G150" i="1"/>
  <c r="G136" i="1"/>
  <c r="G127" i="1"/>
  <c r="G119" i="1"/>
  <c r="G111" i="1"/>
  <c r="G102" i="1"/>
  <c r="G157" i="1"/>
  <c r="G149" i="1"/>
  <c r="G135" i="1"/>
  <c r="G126" i="1"/>
  <c r="G118" i="1"/>
  <c r="G109" i="1"/>
  <c r="G101" i="1"/>
  <c r="G91" i="1"/>
  <c r="G81" i="1"/>
  <c r="G106" i="1"/>
  <c r="G86" i="1"/>
  <c r="G74" i="1"/>
  <c r="G66" i="1"/>
  <c r="G56" i="1"/>
  <c r="G47" i="1"/>
  <c r="G33" i="1"/>
  <c r="G25" i="1"/>
  <c r="G14" i="1"/>
  <c r="F159" i="1"/>
  <c r="F151" i="1"/>
  <c r="F142" i="1"/>
  <c r="F128" i="1"/>
  <c r="F120" i="1"/>
  <c r="F112" i="1"/>
  <c r="F103" i="1"/>
  <c r="F93" i="1"/>
  <c r="F84" i="1"/>
  <c r="F75" i="1"/>
  <c r="F67" i="1"/>
  <c r="F57" i="1"/>
  <c r="F48" i="1"/>
  <c r="F34" i="1"/>
  <c r="F26" i="1"/>
  <c r="F16" i="1"/>
  <c r="G154" i="1"/>
  <c r="G105" i="1"/>
  <c r="G82" i="1"/>
  <c r="G73" i="1"/>
  <c r="G65" i="1"/>
  <c r="G55" i="1"/>
  <c r="G40" i="1"/>
  <c r="G32" i="1"/>
  <c r="G24" i="1"/>
  <c r="G12" i="1"/>
  <c r="F158" i="1"/>
  <c r="F150" i="1"/>
  <c r="F136" i="1"/>
  <c r="F127" i="1"/>
  <c r="F119" i="1"/>
  <c r="F111" i="1"/>
  <c r="F102" i="1"/>
  <c r="F92" i="1"/>
  <c r="F82" i="1"/>
  <c r="F74" i="1"/>
  <c r="F66" i="1"/>
  <c r="F56" i="1"/>
  <c r="F47" i="1"/>
  <c r="F33" i="1"/>
  <c r="F25" i="1"/>
  <c r="F14" i="1"/>
  <c r="G146" i="1"/>
  <c r="G98" i="1"/>
  <c r="G80" i="1"/>
  <c r="G72" i="1"/>
  <c r="G64" i="1"/>
  <c r="G54" i="1"/>
  <c r="G39" i="1"/>
  <c r="G31" i="1"/>
  <c r="G23" i="1"/>
  <c r="G10" i="1"/>
  <c r="F157" i="1"/>
  <c r="F149" i="1"/>
  <c r="F135" i="1"/>
  <c r="F126" i="1"/>
  <c r="F118" i="1"/>
  <c r="F109" i="1"/>
  <c r="F101" i="1"/>
  <c r="F91" i="1"/>
  <c r="F81" i="1"/>
  <c r="F73" i="1"/>
  <c r="F65" i="1"/>
  <c r="F55" i="1"/>
  <c r="F40" i="1"/>
  <c r="F32" i="1"/>
  <c r="F24" i="1"/>
  <c r="F12" i="1"/>
  <c r="G131" i="1"/>
  <c r="G97" i="1"/>
  <c r="G79" i="1"/>
  <c r="G71" i="1"/>
  <c r="G62" i="1"/>
  <c r="G53" i="1"/>
  <c r="G38" i="1"/>
  <c r="G30" i="1"/>
  <c r="G22" i="1"/>
  <c r="F156" i="1"/>
  <c r="F148" i="1"/>
  <c r="F133" i="1"/>
  <c r="F125" i="1"/>
  <c r="F117" i="1"/>
  <c r="F108" i="1"/>
  <c r="F100" i="1"/>
  <c r="F90" i="1"/>
  <c r="F80" i="1"/>
  <c r="F72" i="1"/>
  <c r="F64" i="1"/>
  <c r="F54" i="1"/>
  <c r="F39" i="1"/>
  <c r="F31" i="1"/>
  <c r="F23" i="1"/>
  <c r="F10" i="1"/>
  <c r="G123" i="1"/>
  <c r="G96" i="1"/>
  <c r="G78" i="1"/>
  <c r="G70" i="1"/>
  <c r="G61" i="1"/>
  <c r="G60" i="1" s="1"/>
  <c r="G52" i="1"/>
  <c r="G37" i="1"/>
  <c r="G29" i="1"/>
  <c r="G20" i="1"/>
  <c r="G8" i="1"/>
  <c r="F155" i="1"/>
  <c r="F147" i="1"/>
  <c r="F132" i="1"/>
  <c r="F124" i="1"/>
  <c r="F116" i="1"/>
  <c r="F107" i="1"/>
  <c r="F98" i="1"/>
  <c r="F89" i="1"/>
  <c r="F79" i="1"/>
  <c r="F71" i="1"/>
  <c r="F62" i="1"/>
  <c r="F53" i="1"/>
  <c r="F38" i="1"/>
  <c r="F30" i="1"/>
  <c r="F22" i="1"/>
  <c r="G122" i="1"/>
  <c r="G92" i="1"/>
  <c r="G77" i="1"/>
  <c r="G69" i="1"/>
  <c r="G59" i="1"/>
  <c r="G51" i="1"/>
  <c r="G36" i="1"/>
  <c r="G28" i="1"/>
  <c r="G18" i="1"/>
  <c r="G7" i="1"/>
  <c r="F154" i="1"/>
  <c r="F146" i="1"/>
  <c r="F131" i="1"/>
  <c r="F123" i="1"/>
  <c r="F115" i="1"/>
  <c r="F106" i="1"/>
  <c r="F97" i="1"/>
  <c r="F88" i="1"/>
  <c r="F78" i="1"/>
  <c r="F70" i="1"/>
  <c r="F61" i="1"/>
  <c r="F60" i="1" s="1"/>
  <c r="F52" i="1"/>
  <c r="F37" i="1"/>
  <c r="F29" i="1"/>
  <c r="F20" i="1"/>
  <c r="F8" i="1"/>
  <c r="G115" i="1"/>
  <c r="G89" i="1"/>
  <c r="G76" i="1"/>
  <c r="G68" i="1"/>
  <c r="G58" i="1"/>
  <c r="G49" i="1"/>
  <c r="G35" i="1"/>
  <c r="G27" i="1"/>
  <c r="G17" i="1"/>
  <c r="F161" i="1"/>
  <c r="F153" i="1"/>
  <c r="F145" i="1"/>
  <c r="F130" i="1"/>
  <c r="F122" i="1"/>
  <c r="F114" i="1"/>
  <c r="F105" i="1"/>
  <c r="F96" i="1"/>
  <c r="F86" i="1"/>
  <c r="F77" i="1"/>
  <c r="F69" i="1"/>
  <c r="F59" i="1"/>
  <c r="F51" i="1"/>
  <c r="F36" i="1"/>
  <c r="F28" i="1"/>
  <c r="F18" i="1"/>
  <c r="F7" i="1"/>
  <c r="G114" i="1"/>
  <c r="G88" i="1"/>
  <c r="G75" i="1"/>
  <c r="G67" i="1"/>
  <c r="G57" i="1"/>
  <c r="G48" i="1"/>
  <c r="G34" i="1"/>
  <c r="G26" i="1"/>
  <c r="G16" i="1"/>
  <c r="F160" i="1"/>
  <c r="F152" i="1"/>
  <c r="F144" i="1"/>
  <c r="F129" i="1"/>
  <c r="F121" i="1"/>
  <c r="F113" i="1"/>
  <c r="F104" i="1"/>
  <c r="F95" i="1"/>
  <c r="F85" i="1"/>
  <c r="F76" i="1"/>
  <c r="F68" i="1"/>
  <c r="F58" i="1"/>
  <c r="F49" i="1"/>
  <c r="F35" i="1"/>
  <c r="F27" i="1"/>
  <c r="F17" i="1"/>
  <c r="I64" i="2"/>
  <c r="AD64" i="2" s="1"/>
  <c r="I53" i="2"/>
  <c r="AD53" i="2" s="1"/>
  <c r="I44" i="2"/>
  <c r="I31" i="2"/>
  <c r="AD31" i="2" s="1"/>
  <c r="I23" i="2"/>
  <c r="AD23" i="2" s="1"/>
  <c r="I14" i="2"/>
  <c r="H71" i="2"/>
  <c r="AC71" i="2" s="1"/>
  <c r="H58" i="2"/>
  <c r="AC58" i="2" s="1"/>
  <c r="H48" i="2"/>
  <c r="AC48" i="2" s="1"/>
  <c r="H40" i="2"/>
  <c r="AC40" i="2" s="1"/>
  <c r="H27" i="2"/>
  <c r="AC27" i="2" s="1"/>
  <c r="H19" i="2"/>
  <c r="AC19" i="2" s="1"/>
  <c r="H9" i="2"/>
  <c r="G64" i="2"/>
  <c r="AB64" i="2" s="1"/>
  <c r="G53" i="2"/>
  <c r="G44" i="2"/>
  <c r="G31" i="2"/>
  <c r="AB31" i="2" s="1"/>
  <c r="G23" i="2"/>
  <c r="AB23" i="2" s="1"/>
  <c r="G14" i="2"/>
  <c r="F71" i="2"/>
  <c r="AA71" i="2" s="1"/>
  <c r="F58" i="2"/>
  <c r="AA58" i="2" s="1"/>
  <c r="F48" i="2"/>
  <c r="AA48" i="2" s="1"/>
  <c r="F40" i="2"/>
  <c r="AA40" i="2" s="1"/>
  <c r="F27" i="2"/>
  <c r="AA27" i="2" s="1"/>
  <c r="F19" i="2"/>
  <c r="AA19" i="2" s="1"/>
  <c r="F9" i="2"/>
  <c r="F6" i="2"/>
  <c r="AA6" i="2" s="1"/>
  <c r="H23" i="2"/>
  <c r="AC23" i="2" s="1"/>
  <c r="I61" i="2"/>
  <c r="I51" i="2"/>
  <c r="I43" i="2"/>
  <c r="I30" i="2"/>
  <c r="AD30" i="2" s="1"/>
  <c r="I22" i="2"/>
  <c r="AD22" i="2" s="1"/>
  <c r="I13" i="2"/>
  <c r="AD13" i="2" s="1"/>
  <c r="H70" i="2"/>
  <c r="AC70" i="2" s="1"/>
  <c r="H57" i="2"/>
  <c r="AC57" i="2" s="1"/>
  <c r="H47" i="2"/>
  <c r="AC47" i="2" s="1"/>
  <c r="H39" i="2"/>
  <c r="AC39" i="2" s="1"/>
  <c r="H26" i="2"/>
  <c r="AC26" i="2" s="1"/>
  <c r="H18" i="2"/>
  <c r="AC18" i="2" s="1"/>
  <c r="H8" i="2"/>
  <c r="G61" i="2"/>
  <c r="G51" i="2"/>
  <c r="G43" i="2"/>
  <c r="G30" i="2"/>
  <c r="AB30" i="2" s="1"/>
  <c r="G22" i="2"/>
  <c r="AB22" i="2" s="1"/>
  <c r="G13" i="2"/>
  <c r="AB13" i="2" s="1"/>
  <c r="F70" i="2"/>
  <c r="AA70" i="2" s="1"/>
  <c r="F57" i="2"/>
  <c r="AA57" i="2" s="1"/>
  <c r="F47" i="2"/>
  <c r="AA47" i="2" s="1"/>
  <c r="F39" i="2"/>
  <c r="AA39" i="2" s="1"/>
  <c r="F26" i="2"/>
  <c r="AA26" i="2" s="1"/>
  <c r="F18" i="2"/>
  <c r="AA18" i="2" s="1"/>
  <c r="F8" i="2"/>
  <c r="I60" i="2"/>
  <c r="AD60" i="2" s="1"/>
  <c r="I50" i="2"/>
  <c r="I29" i="2"/>
  <c r="AD29" i="2" s="1"/>
  <c r="I21" i="2"/>
  <c r="AD21" i="2" s="1"/>
  <c r="I12" i="2"/>
  <c r="AD12" i="2" s="1"/>
  <c r="H56" i="2"/>
  <c r="AC56" i="2" s="1"/>
  <c r="H38" i="2"/>
  <c r="AC38" i="2" s="1"/>
  <c r="H17" i="2"/>
  <c r="AC17" i="2" s="1"/>
  <c r="G60" i="2"/>
  <c r="AB60" i="2" s="1"/>
  <c r="G42" i="2"/>
  <c r="AB42" i="2" s="1"/>
  <c r="G21" i="2"/>
  <c r="AB21" i="2" s="1"/>
  <c r="F68" i="2"/>
  <c r="F46" i="2"/>
  <c r="F25" i="2"/>
  <c r="AA25" i="2" s="1"/>
  <c r="H31" i="2"/>
  <c r="AC31" i="2" s="1"/>
  <c r="G58" i="2"/>
  <c r="AB58" i="2" s="1"/>
  <c r="I42" i="2"/>
  <c r="AD42" i="2" s="1"/>
  <c r="H68" i="2"/>
  <c r="H46" i="2"/>
  <c r="H25" i="2"/>
  <c r="AC25" i="2" s="1"/>
  <c r="H6" i="2"/>
  <c r="AC6" i="2" s="1"/>
  <c r="G50" i="2"/>
  <c r="G29" i="2"/>
  <c r="AB29" i="2" s="1"/>
  <c r="G12" i="2"/>
  <c r="AB12" i="2" s="1"/>
  <c r="F56" i="2"/>
  <c r="AA56" i="2" s="1"/>
  <c r="F38" i="2"/>
  <c r="AA38" i="2" s="1"/>
  <c r="F17" i="2"/>
  <c r="AA17" i="2" s="1"/>
  <c r="H44" i="2"/>
  <c r="G71" i="2"/>
  <c r="AB71" i="2" s="1"/>
  <c r="G40" i="2"/>
  <c r="AB40" i="2" s="1"/>
  <c r="I59" i="2"/>
  <c r="AD59" i="2" s="1"/>
  <c r="I49" i="2"/>
  <c r="AD49" i="2" s="1"/>
  <c r="I41" i="2"/>
  <c r="I28" i="2"/>
  <c r="AD28" i="2" s="1"/>
  <c r="I20" i="2"/>
  <c r="AD20" i="2" s="1"/>
  <c r="I11" i="2"/>
  <c r="H65" i="2"/>
  <c r="AC65" i="2" s="1"/>
  <c r="H55" i="2"/>
  <c r="AC55" i="2" s="1"/>
  <c r="H45" i="2"/>
  <c r="AC45" i="2" s="1"/>
  <c r="H32" i="2"/>
  <c r="AC32" i="2" s="1"/>
  <c r="H24" i="2"/>
  <c r="AC24" i="2" s="1"/>
  <c r="H15" i="2"/>
  <c r="AC15" i="2" s="1"/>
  <c r="H5" i="2"/>
  <c r="AC5" i="2" s="1"/>
  <c r="G59" i="2"/>
  <c r="AB59" i="2" s="1"/>
  <c r="G49" i="2"/>
  <c r="AB49" i="2" s="1"/>
  <c r="G41" i="2"/>
  <c r="G28" i="2"/>
  <c r="AB28" i="2" s="1"/>
  <c r="G20" i="2"/>
  <c r="AB20" i="2" s="1"/>
  <c r="G11" i="2"/>
  <c r="F65" i="2"/>
  <c r="AA65" i="2" s="1"/>
  <c r="F55" i="2"/>
  <c r="AA55" i="2" s="1"/>
  <c r="F45" i="2"/>
  <c r="AA45" i="2" s="1"/>
  <c r="F32" i="2"/>
  <c r="AA32" i="2" s="1"/>
  <c r="F24" i="2"/>
  <c r="AA24" i="2" s="1"/>
  <c r="F15" i="2"/>
  <c r="AA15" i="2" s="1"/>
  <c r="F5" i="2"/>
  <c r="AA5" i="2" s="1"/>
  <c r="I71" i="2"/>
  <c r="AD71" i="2" s="1"/>
  <c r="I58" i="2"/>
  <c r="AD58" i="2" s="1"/>
  <c r="I48" i="2"/>
  <c r="AD48" i="2" s="1"/>
  <c r="I40" i="2"/>
  <c r="AD40" i="2" s="1"/>
  <c r="I27" i="2"/>
  <c r="AD27" i="2" s="1"/>
  <c r="I19" i="2"/>
  <c r="AD19" i="2" s="1"/>
  <c r="I9" i="2"/>
  <c r="H64" i="2"/>
  <c r="AC64" i="2" s="1"/>
  <c r="H53" i="2"/>
  <c r="H14" i="2"/>
  <c r="G48" i="2"/>
  <c r="AB48" i="2" s="1"/>
  <c r="I70" i="2"/>
  <c r="AD70" i="2" s="1"/>
  <c r="I57" i="2"/>
  <c r="AD57" i="2" s="1"/>
  <c r="I47" i="2"/>
  <c r="AD47" i="2" s="1"/>
  <c r="I39" i="2"/>
  <c r="AD39" i="2" s="1"/>
  <c r="I26" i="2"/>
  <c r="AD26" i="2" s="1"/>
  <c r="I18" i="2"/>
  <c r="AD18" i="2" s="1"/>
  <c r="I8" i="2"/>
  <c r="H61" i="2"/>
  <c r="H51" i="2"/>
  <c r="H43" i="2"/>
  <c r="H30" i="2"/>
  <c r="AC30" i="2" s="1"/>
  <c r="H22" i="2"/>
  <c r="AC22" i="2" s="1"/>
  <c r="H13" i="2"/>
  <c r="AC13" i="2" s="1"/>
  <c r="G70" i="2"/>
  <c r="AB70" i="2" s="1"/>
  <c r="G57" i="2"/>
  <c r="AB57" i="2" s="1"/>
  <c r="G47" i="2"/>
  <c r="AB47" i="2" s="1"/>
  <c r="G39" i="2"/>
  <c r="AB39" i="2" s="1"/>
  <c r="G26" i="2"/>
  <c r="AB26" i="2" s="1"/>
  <c r="G18" i="2"/>
  <c r="AB18" i="2" s="1"/>
  <c r="G8" i="2"/>
  <c r="F61" i="2"/>
  <c r="F51" i="2"/>
  <c r="F43" i="2"/>
  <c r="F30" i="2"/>
  <c r="AA30" i="2" s="1"/>
  <c r="F22" i="2"/>
  <c r="AA22" i="2" s="1"/>
  <c r="F13" i="2"/>
  <c r="AA13" i="2" s="1"/>
  <c r="F60" i="2"/>
  <c r="AA60" i="2" s="1"/>
  <c r="F42" i="2"/>
  <c r="AA42" i="2" s="1"/>
  <c r="F29" i="2"/>
  <c r="AA29" i="2" s="1"/>
  <c r="F12" i="2"/>
  <c r="AA12" i="2" s="1"/>
  <c r="I68" i="2"/>
  <c r="I56" i="2"/>
  <c r="AD56" i="2" s="1"/>
  <c r="I46" i="2"/>
  <c r="I38" i="2"/>
  <c r="AD38" i="2" s="1"/>
  <c r="I25" i="2"/>
  <c r="AD25" i="2" s="1"/>
  <c r="I17" i="2"/>
  <c r="AD17" i="2" s="1"/>
  <c r="I6" i="2"/>
  <c r="H60" i="2"/>
  <c r="AC60" i="2" s="1"/>
  <c r="H50" i="2"/>
  <c r="H42" i="2"/>
  <c r="AC42" i="2" s="1"/>
  <c r="H29" i="2"/>
  <c r="AC29" i="2" s="1"/>
  <c r="H21" i="2"/>
  <c r="AC21" i="2" s="1"/>
  <c r="H12" i="2"/>
  <c r="AC12" i="2" s="1"/>
  <c r="G68" i="2"/>
  <c r="G56" i="2"/>
  <c r="AB56" i="2" s="1"/>
  <c r="G46" i="2"/>
  <c r="G38" i="2"/>
  <c r="AB38" i="2" s="1"/>
  <c r="G25" i="2"/>
  <c r="AB25" i="2" s="1"/>
  <c r="G17" i="2"/>
  <c r="AB17" i="2" s="1"/>
  <c r="G6" i="2"/>
  <c r="AB6" i="2" s="1"/>
  <c r="F50" i="2"/>
  <c r="F21" i="2"/>
  <c r="AA21" i="2" s="1"/>
  <c r="I65" i="2"/>
  <c r="AD65" i="2" s="1"/>
  <c r="I55" i="2"/>
  <c r="AD55" i="2" s="1"/>
  <c r="I45" i="2"/>
  <c r="AD45" i="2" s="1"/>
  <c r="I32" i="2"/>
  <c r="AD32" i="2" s="1"/>
  <c r="I24" i="2"/>
  <c r="AD24" i="2" s="1"/>
  <c r="I15" i="2"/>
  <c r="AD15" i="2" s="1"/>
  <c r="I5" i="2"/>
  <c r="AD5" i="2" s="1"/>
  <c r="H59" i="2"/>
  <c r="AC59" i="2" s="1"/>
  <c r="H28" i="2"/>
  <c r="AC28" i="2" s="1"/>
  <c r="G24" i="2"/>
  <c r="AB24" i="2" s="1"/>
  <c r="F49" i="2"/>
  <c r="AA49" i="2" s="1"/>
  <c r="F11" i="2"/>
  <c r="G5" i="2"/>
  <c r="AB5" i="2" s="1"/>
  <c r="F23" i="2"/>
  <c r="AA23" i="2" s="1"/>
  <c r="H41" i="2"/>
  <c r="H20" i="2"/>
  <c r="AC20" i="2" s="1"/>
  <c r="G19" i="2"/>
  <c r="AB19" i="2" s="1"/>
  <c r="F44" i="2"/>
  <c r="F41" i="2"/>
  <c r="G55" i="2"/>
  <c r="AB55" i="2" s="1"/>
  <c r="G32" i="2"/>
  <c r="AB32" i="2" s="1"/>
  <c r="G27" i="2"/>
  <c r="AB27" i="2" s="1"/>
  <c r="H11" i="2"/>
  <c r="G15" i="2"/>
  <c r="AB15" i="2" s="1"/>
  <c r="F31" i="2"/>
  <c r="AA31" i="2" s="1"/>
  <c r="F28" i="2"/>
  <c r="AA28" i="2" s="1"/>
  <c r="F59" i="2"/>
  <c r="AA59" i="2" s="1"/>
  <c r="F14" i="2"/>
  <c r="G65" i="2"/>
  <c r="AB65" i="2" s="1"/>
  <c r="G9" i="2"/>
  <c r="F64" i="2"/>
  <c r="F20" i="2"/>
  <c r="AA20" i="2" s="1"/>
  <c r="F53" i="2"/>
  <c r="AA53" i="2" s="1"/>
  <c r="G45" i="2"/>
  <c r="AB45" i="2" s="1"/>
  <c r="H49" i="2"/>
  <c r="AC49" i="2" s="1"/>
  <c r="E10" i="1"/>
  <c r="E156" i="1"/>
  <c r="E148" i="1"/>
  <c r="E133" i="1"/>
  <c r="E125" i="1"/>
  <c r="E117" i="1"/>
  <c r="E108" i="1"/>
  <c r="E100" i="1"/>
  <c r="E90" i="1"/>
  <c r="E80" i="1"/>
  <c r="E72" i="1"/>
  <c r="E64" i="1"/>
  <c r="E54" i="1"/>
  <c r="E39" i="1"/>
  <c r="E31" i="1"/>
  <c r="E23" i="1"/>
  <c r="E155" i="1"/>
  <c r="E147" i="1"/>
  <c r="E132" i="1"/>
  <c r="E116" i="1"/>
  <c r="E107" i="1"/>
  <c r="E98" i="1"/>
  <c r="E89" i="1"/>
  <c r="E71" i="1"/>
  <c r="E62" i="1"/>
  <c r="E53" i="1"/>
  <c r="E30" i="1"/>
  <c r="E22" i="1"/>
  <c r="E8" i="1"/>
  <c r="D10" i="1"/>
  <c r="E124" i="1"/>
  <c r="E79" i="1"/>
  <c r="E38" i="1"/>
  <c r="C10" i="1"/>
  <c r="E154" i="1"/>
  <c r="E146" i="1"/>
  <c r="E131" i="1"/>
  <c r="E123" i="1"/>
  <c r="E115" i="1"/>
  <c r="E106" i="1"/>
  <c r="E97" i="1"/>
  <c r="E88" i="1"/>
  <c r="E78" i="1"/>
  <c r="E70" i="1"/>
  <c r="E61" i="1"/>
  <c r="E52" i="1"/>
  <c r="E37" i="1"/>
  <c r="E29" i="1"/>
  <c r="E20" i="1"/>
  <c r="E7" i="1"/>
  <c r="E152" i="1"/>
  <c r="E121" i="1"/>
  <c r="E104" i="1"/>
  <c r="E76" i="1"/>
  <c r="E58" i="1"/>
  <c r="E81" i="1"/>
  <c r="E161" i="1"/>
  <c r="E153" i="1"/>
  <c r="E145" i="1"/>
  <c r="E130" i="1"/>
  <c r="E122" i="1"/>
  <c r="E114" i="1"/>
  <c r="E105" i="1"/>
  <c r="E96" i="1"/>
  <c r="E86" i="1"/>
  <c r="E77" i="1"/>
  <c r="E69" i="1"/>
  <c r="E59" i="1"/>
  <c r="E51" i="1"/>
  <c r="E36" i="1"/>
  <c r="E28" i="1"/>
  <c r="E18" i="1"/>
  <c r="E144" i="1"/>
  <c r="E129" i="1"/>
  <c r="E113" i="1"/>
  <c r="E85" i="1"/>
  <c r="E68" i="1"/>
  <c r="E49" i="1"/>
  <c r="E35" i="1"/>
  <c r="E17" i="1"/>
  <c r="E55" i="1"/>
  <c r="E160" i="1"/>
  <c r="E95" i="1"/>
  <c r="E27" i="1"/>
  <c r="E159" i="1"/>
  <c r="E151" i="1"/>
  <c r="E142" i="1"/>
  <c r="E128" i="1"/>
  <c r="E120" i="1"/>
  <c r="E112" i="1"/>
  <c r="E103" i="1"/>
  <c r="E93" i="1"/>
  <c r="E84" i="1"/>
  <c r="E75" i="1"/>
  <c r="E67" i="1"/>
  <c r="E57" i="1"/>
  <c r="E48" i="1"/>
  <c r="E34" i="1"/>
  <c r="E26" i="1"/>
  <c r="E16" i="1"/>
  <c r="E157" i="1"/>
  <c r="E135" i="1"/>
  <c r="E118" i="1"/>
  <c r="E101" i="1"/>
  <c r="E73" i="1"/>
  <c r="E40" i="1"/>
  <c r="E24" i="1"/>
  <c r="E158" i="1"/>
  <c r="E150" i="1"/>
  <c r="E136" i="1"/>
  <c r="E127" i="1"/>
  <c r="E119" i="1"/>
  <c r="E111" i="1"/>
  <c r="E102" i="1"/>
  <c r="E92" i="1"/>
  <c r="E82" i="1"/>
  <c r="E74" i="1"/>
  <c r="E66" i="1"/>
  <c r="E56" i="1"/>
  <c r="E47" i="1"/>
  <c r="E33" i="1"/>
  <c r="E25" i="1"/>
  <c r="E14" i="1"/>
  <c r="E149" i="1"/>
  <c r="E126" i="1"/>
  <c r="E109" i="1"/>
  <c r="E91" i="1"/>
  <c r="E65" i="1"/>
  <c r="E32" i="1"/>
  <c r="E12" i="1"/>
  <c r="E64" i="2"/>
  <c r="Z64" i="2" s="1"/>
  <c r="E53" i="2"/>
  <c r="E44" i="2"/>
  <c r="E31" i="2"/>
  <c r="Z31" i="2" s="1"/>
  <c r="E23" i="2"/>
  <c r="Z23" i="2" s="1"/>
  <c r="E14" i="2"/>
  <c r="Z14" i="2" s="1"/>
  <c r="D71" i="2"/>
  <c r="Y71" i="2" s="1"/>
  <c r="D58" i="2"/>
  <c r="Y58" i="2" s="1"/>
  <c r="D48" i="2"/>
  <c r="Y48" i="2" s="1"/>
  <c r="D40" i="2"/>
  <c r="Y40" i="2" s="1"/>
  <c r="D27" i="2"/>
  <c r="Y27" i="2" s="1"/>
  <c r="D19" i="2"/>
  <c r="Y19" i="2" s="1"/>
  <c r="D9" i="2"/>
  <c r="E47" i="2"/>
  <c r="Z47" i="2" s="1"/>
  <c r="E18" i="2"/>
  <c r="Z18" i="2" s="1"/>
  <c r="E8" i="2"/>
  <c r="D30" i="2"/>
  <c r="Y30" i="2" s="1"/>
  <c r="E56" i="2"/>
  <c r="Z56" i="2" s="1"/>
  <c r="E6" i="2"/>
  <c r="Z6" i="2" s="1"/>
  <c r="D42" i="2"/>
  <c r="Y42" i="2" s="1"/>
  <c r="E24" i="2"/>
  <c r="Z24" i="2" s="1"/>
  <c r="D59" i="2"/>
  <c r="Y59" i="2" s="1"/>
  <c r="D11" i="2"/>
  <c r="E61" i="2"/>
  <c r="E51" i="2"/>
  <c r="E43" i="2"/>
  <c r="Z43" i="2" s="1"/>
  <c r="E30" i="2"/>
  <c r="Z30" i="2" s="1"/>
  <c r="E22" i="2"/>
  <c r="Z22" i="2" s="1"/>
  <c r="E13" i="2"/>
  <c r="Z13" i="2" s="1"/>
  <c r="D70" i="2"/>
  <c r="Y70" i="2" s="1"/>
  <c r="D57" i="2"/>
  <c r="Y57" i="2" s="1"/>
  <c r="D47" i="2"/>
  <c r="Y47" i="2" s="1"/>
  <c r="D39" i="2"/>
  <c r="Y39" i="2" s="1"/>
  <c r="D26" i="2"/>
  <c r="Y26" i="2" s="1"/>
  <c r="D18" i="2"/>
  <c r="Y18" i="2" s="1"/>
  <c r="D8" i="2"/>
  <c r="E70" i="2"/>
  <c r="Z70" i="2" s="1"/>
  <c r="D61" i="2"/>
  <c r="E25" i="2"/>
  <c r="Z25" i="2" s="1"/>
  <c r="D21" i="2"/>
  <c r="Y21" i="2" s="1"/>
  <c r="E45" i="2"/>
  <c r="Z45" i="2" s="1"/>
  <c r="D41" i="2"/>
  <c r="E60" i="2"/>
  <c r="Z60" i="2" s="1"/>
  <c r="E50" i="2"/>
  <c r="E42" i="2"/>
  <c r="Z42" i="2" s="1"/>
  <c r="E29" i="2"/>
  <c r="Z29" i="2" s="1"/>
  <c r="E21" i="2"/>
  <c r="Z21" i="2" s="1"/>
  <c r="E12" i="2"/>
  <c r="Z12" i="2" s="1"/>
  <c r="D68" i="2"/>
  <c r="D56" i="2"/>
  <c r="Y56" i="2" s="1"/>
  <c r="D46" i="2"/>
  <c r="D38" i="2"/>
  <c r="Y38" i="2" s="1"/>
  <c r="D25" i="2"/>
  <c r="Y25" i="2" s="1"/>
  <c r="D17" i="2"/>
  <c r="Y17" i="2" s="1"/>
  <c r="D6" i="2"/>
  <c r="Y6" i="2" s="1"/>
  <c r="E39" i="2"/>
  <c r="Z39" i="2" s="1"/>
  <c r="D43" i="2"/>
  <c r="Y43" i="2" s="1"/>
  <c r="E68" i="2"/>
  <c r="E17" i="2"/>
  <c r="Z17" i="2" s="1"/>
  <c r="D50" i="2"/>
  <c r="E55" i="2"/>
  <c r="Z55" i="2" s="1"/>
  <c r="E15" i="2"/>
  <c r="Z15" i="2" s="1"/>
  <c r="D20" i="2"/>
  <c r="Y20" i="2" s="1"/>
  <c r="E59" i="2"/>
  <c r="Z59" i="2" s="1"/>
  <c r="E49" i="2"/>
  <c r="Z49" i="2" s="1"/>
  <c r="E41" i="2"/>
  <c r="E28" i="2"/>
  <c r="Z28" i="2" s="1"/>
  <c r="E20" i="2"/>
  <c r="Z20" i="2" s="1"/>
  <c r="E11" i="2"/>
  <c r="D65" i="2"/>
  <c r="Y65" i="2" s="1"/>
  <c r="D55" i="2"/>
  <c r="Y55" i="2" s="1"/>
  <c r="D45" i="2"/>
  <c r="Y45" i="2" s="1"/>
  <c r="D32" i="2"/>
  <c r="Y32" i="2" s="1"/>
  <c r="D24" i="2"/>
  <c r="Y24" i="2" s="1"/>
  <c r="D15" i="2"/>
  <c r="Y15" i="2" s="1"/>
  <c r="D5" i="2"/>
  <c r="Y5" i="2" s="1"/>
  <c r="E26" i="2"/>
  <c r="Z26" i="2" s="1"/>
  <c r="D51" i="2"/>
  <c r="D13" i="2"/>
  <c r="Y13" i="2" s="1"/>
  <c r="E46" i="2"/>
  <c r="D60" i="2"/>
  <c r="Y60" i="2" s="1"/>
  <c r="D12" i="2"/>
  <c r="Y12" i="2" s="1"/>
  <c r="E65" i="2"/>
  <c r="Z65" i="2" s="1"/>
  <c r="E5" i="2"/>
  <c r="Z5" i="2" s="1"/>
  <c r="D28" i="2"/>
  <c r="Y28" i="2" s="1"/>
  <c r="E71" i="2"/>
  <c r="Z71" i="2" s="1"/>
  <c r="E58" i="2"/>
  <c r="Z58" i="2" s="1"/>
  <c r="E48" i="2"/>
  <c r="Z48" i="2" s="1"/>
  <c r="E40" i="2"/>
  <c r="Z40" i="2" s="1"/>
  <c r="E27" i="2"/>
  <c r="Z27" i="2" s="1"/>
  <c r="E19" i="2"/>
  <c r="Z19" i="2" s="1"/>
  <c r="E9" i="2"/>
  <c r="D64" i="2"/>
  <c r="Y64" i="2" s="1"/>
  <c r="D53" i="2"/>
  <c r="D44" i="2"/>
  <c r="D31" i="2"/>
  <c r="Y31" i="2" s="1"/>
  <c r="D23" i="2"/>
  <c r="Y23" i="2" s="1"/>
  <c r="D14" i="2"/>
  <c r="Y14" i="2" s="1"/>
  <c r="E57" i="2"/>
  <c r="Z57" i="2" s="1"/>
  <c r="D22" i="2"/>
  <c r="Y22" i="2" s="1"/>
  <c r="E38" i="2"/>
  <c r="Z38" i="2" s="1"/>
  <c r="D29" i="2"/>
  <c r="Y29" i="2" s="1"/>
  <c r="E32" i="2"/>
  <c r="Z32" i="2" s="1"/>
  <c r="D49" i="2"/>
  <c r="Y49" i="2" s="1"/>
  <c r="C71" i="2"/>
  <c r="C58" i="2"/>
  <c r="C48" i="2"/>
  <c r="C40" i="2"/>
  <c r="C27" i="2"/>
  <c r="C19" i="2"/>
  <c r="C9" i="2"/>
  <c r="AE9" i="2" s="1"/>
  <c r="C29" i="2"/>
  <c r="C20" i="2"/>
  <c r="C70" i="2"/>
  <c r="C57" i="2"/>
  <c r="C47" i="2"/>
  <c r="C39" i="2"/>
  <c r="C26" i="2"/>
  <c r="C18" i="2"/>
  <c r="C8" i="2"/>
  <c r="C68" i="2"/>
  <c r="C56" i="2"/>
  <c r="C46" i="2"/>
  <c r="C38" i="2"/>
  <c r="C25" i="2"/>
  <c r="C17" i="2"/>
  <c r="C6" i="2"/>
  <c r="C43" i="2"/>
  <c r="C60" i="2"/>
  <c r="C42" i="2"/>
  <c r="C12" i="2"/>
  <c r="C49" i="2"/>
  <c r="C11" i="2"/>
  <c r="C65" i="2"/>
  <c r="C55" i="2"/>
  <c r="C45" i="2"/>
  <c r="C32" i="2"/>
  <c r="C24" i="2"/>
  <c r="C15" i="2"/>
  <c r="C5" i="2"/>
  <c r="C61" i="2"/>
  <c r="C22" i="2"/>
  <c r="C50" i="2"/>
  <c r="C59" i="2"/>
  <c r="C28" i="2"/>
  <c r="C64" i="2"/>
  <c r="C53" i="2"/>
  <c r="C44" i="2"/>
  <c r="C31" i="2"/>
  <c r="C23" i="2"/>
  <c r="C14" i="2"/>
  <c r="C51" i="2"/>
  <c r="C30" i="2"/>
  <c r="C13" i="2"/>
  <c r="C21" i="2"/>
  <c r="C41" i="2"/>
  <c r="D161" i="1"/>
  <c r="D153" i="1"/>
  <c r="D145" i="1"/>
  <c r="D130" i="1"/>
  <c r="D122" i="1"/>
  <c r="D114" i="1"/>
  <c r="D105" i="1"/>
  <c r="D96" i="1"/>
  <c r="D86" i="1"/>
  <c r="D77" i="1"/>
  <c r="D69" i="1"/>
  <c r="D59" i="1"/>
  <c r="D51" i="1"/>
  <c r="D36" i="1"/>
  <c r="D28" i="1"/>
  <c r="D18" i="1"/>
  <c r="D160" i="1"/>
  <c r="D152" i="1"/>
  <c r="D144" i="1"/>
  <c r="D129" i="1"/>
  <c r="D121" i="1"/>
  <c r="D113" i="1"/>
  <c r="D104" i="1"/>
  <c r="D95" i="1"/>
  <c r="D85" i="1"/>
  <c r="D76" i="1"/>
  <c r="D68" i="1"/>
  <c r="D58" i="1"/>
  <c r="D49" i="1"/>
  <c r="D35" i="1"/>
  <c r="D27" i="1"/>
  <c r="D17" i="1"/>
  <c r="D106" i="1"/>
  <c r="D52" i="1"/>
  <c r="D159" i="1"/>
  <c r="D151" i="1"/>
  <c r="D142" i="1"/>
  <c r="D128" i="1"/>
  <c r="D120" i="1"/>
  <c r="D112" i="1"/>
  <c r="D103" i="1"/>
  <c r="D93" i="1"/>
  <c r="D84" i="1"/>
  <c r="D75" i="1"/>
  <c r="D67" i="1"/>
  <c r="D57" i="1"/>
  <c r="D48" i="1"/>
  <c r="D34" i="1"/>
  <c r="D26" i="1"/>
  <c r="D16" i="1"/>
  <c r="D115" i="1"/>
  <c r="D78" i="1"/>
  <c r="D20" i="1"/>
  <c r="D158" i="1"/>
  <c r="D150" i="1"/>
  <c r="D136" i="1"/>
  <c r="D127" i="1"/>
  <c r="D119" i="1"/>
  <c r="D111" i="1"/>
  <c r="D102" i="1"/>
  <c r="D92" i="1"/>
  <c r="D82" i="1"/>
  <c r="D74" i="1"/>
  <c r="D66" i="1"/>
  <c r="D56" i="1"/>
  <c r="D47" i="1"/>
  <c r="D33" i="1"/>
  <c r="D25" i="1"/>
  <c r="D14" i="1"/>
  <c r="D123" i="1"/>
  <c r="D70" i="1"/>
  <c r="D7" i="1"/>
  <c r="D157" i="1"/>
  <c r="D149" i="1"/>
  <c r="D135" i="1"/>
  <c r="D126" i="1"/>
  <c r="D118" i="1"/>
  <c r="D109" i="1"/>
  <c r="D101" i="1"/>
  <c r="D91" i="1"/>
  <c r="D81" i="1"/>
  <c r="D73" i="1"/>
  <c r="D65" i="1"/>
  <c r="D55" i="1"/>
  <c r="D40" i="1"/>
  <c r="D32" i="1"/>
  <c r="D24" i="1"/>
  <c r="D12" i="1"/>
  <c r="D131" i="1"/>
  <c r="D97" i="1"/>
  <c r="D37" i="1"/>
  <c r="D156" i="1"/>
  <c r="D148" i="1"/>
  <c r="D133" i="1"/>
  <c r="D125" i="1"/>
  <c r="D117" i="1"/>
  <c r="D108" i="1"/>
  <c r="D100" i="1"/>
  <c r="D90" i="1"/>
  <c r="D80" i="1"/>
  <c r="D72" i="1"/>
  <c r="D64" i="1"/>
  <c r="D54" i="1"/>
  <c r="D39" i="1"/>
  <c r="D31" i="1"/>
  <c r="D23" i="1"/>
  <c r="D146" i="1"/>
  <c r="D61" i="1"/>
  <c r="D60" i="1" s="1"/>
  <c r="D155" i="1"/>
  <c r="D147" i="1"/>
  <c r="D132" i="1"/>
  <c r="D124" i="1"/>
  <c r="D116" i="1"/>
  <c r="D107" i="1"/>
  <c r="D98" i="1"/>
  <c r="D89" i="1"/>
  <c r="D79" i="1"/>
  <c r="D71" i="1"/>
  <c r="D62" i="1"/>
  <c r="D53" i="1"/>
  <c r="D38" i="1"/>
  <c r="D30" i="1"/>
  <c r="D22" i="1"/>
  <c r="D8" i="1"/>
  <c r="D154" i="1"/>
  <c r="D88" i="1"/>
  <c r="D29" i="1"/>
  <c r="C66" i="1"/>
  <c r="C24" i="1"/>
  <c r="J27" i="2"/>
  <c r="Q27" i="2"/>
  <c r="Q51" i="2"/>
  <c r="Q43" i="2"/>
  <c r="Q58" i="2"/>
  <c r="Q64" i="2"/>
  <c r="Q50" i="2"/>
  <c r="Q42" i="2"/>
  <c r="Q57" i="2"/>
  <c r="Q65" i="2"/>
  <c r="Q49" i="2"/>
  <c r="Q41" i="2"/>
  <c r="Q56" i="2"/>
  <c r="Q71" i="2"/>
  <c r="Q48" i="2"/>
  <c r="Q40" i="2"/>
  <c r="Q55" i="2"/>
  <c r="Q70" i="2"/>
  <c r="Q47" i="2"/>
  <c r="Q39" i="2"/>
  <c r="Q61" i="2"/>
  <c r="Q68" i="2"/>
  <c r="Q46" i="2"/>
  <c r="Q38" i="2"/>
  <c r="Q62" i="2"/>
  <c r="X62" i="2" s="1"/>
  <c r="AF62" i="2" s="1"/>
  <c r="Q45" i="2"/>
  <c r="Q60" i="2"/>
  <c r="Q53" i="2"/>
  <c r="Q44" i="2"/>
  <c r="Q59" i="2"/>
  <c r="Q30" i="2"/>
  <c r="Q21" i="2"/>
  <c r="Q13" i="2"/>
  <c r="Q29" i="2"/>
  <c r="Q20" i="2"/>
  <c r="Q11" i="2"/>
  <c r="Q28" i="2"/>
  <c r="Q19" i="2"/>
  <c r="Q9" i="2"/>
  <c r="Q26" i="2"/>
  <c r="Q18" i="2"/>
  <c r="Q8" i="2"/>
  <c r="Q25" i="2"/>
  <c r="Q17" i="2"/>
  <c r="Q24" i="2"/>
  <c r="Q6" i="2"/>
  <c r="Q32" i="2"/>
  <c r="Q23" i="2"/>
  <c r="Q15" i="2"/>
  <c r="Q5" i="2"/>
  <c r="Q31" i="2"/>
  <c r="Q22" i="2"/>
  <c r="Q14" i="2"/>
  <c r="Q12" i="2"/>
  <c r="J53" i="2"/>
  <c r="J65" i="2"/>
  <c r="J55" i="2"/>
  <c r="J44" i="2"/>
  <c r="J31" i="2"/>
  <c r="J22" i="2"/>
  <c r="J13" i="2"/>
  <c r="C160" i="1"/>
  <c r="C152" i="1"/>
  <c r="C144" i="1"/>
  <c r="C129" i="1"/>
  <c r="C121" i="1"/>
  <c r="C113" i="1"/>
  <c r="C104" i="1"/>
  <c r="C95" i="1"/>
  <c r="C85" i="1"/>
  <c r="C76" i="1"/>
  <c r="C68" i="1"/>
  <c r="C57" i="1"/>
  <c r="C48" i="1"/>
  <c r="C34" i="1"/>
  <c r="C26" i="1"/>
  <c r="C14" i="1"/>
  <c r="C56" i="1"/>
  <c r="C33" i="1"/>
  <c r="C12" i="1"/>
  <c r="C32" i="1"/>
  <c r="C161" i="1"/>
  <c r="C105" i="1"/>
  <c r="C35" i="1"/>
  <c r="J64" i="2"/>
  <c r="AE64" i="2" s="1"/>
  <c r="J51" i="2"/>
  <c r="J43" i="2"/>
  <c r="J30" i="2"/>
  <c r="J21" i="2"/>
  <c r="J12" i="2"/>
  <c r="C159" i="1"/>
  <c r="C151" i="1"/>
  <c r="C142" i="1"/>
  <c r="C128" i="1"/>
  <c r="C120" i="1"/>
  <c r="C112" i="1"/>
  <c r="C103" i="1"/>
  <c r="C93" i="1"/>
  <c r="C84" i="1"/>
  <c r="C75" i="1"/>
  <c r="C67" i="1"/>
  <c r="C47" i="1"/>
  <c r="C25" i="1"/>
  <c r="C40" i="1"/>
  <c r="C23" i="1"/>
  <c r="J14" i="2"/>
  <c r="C114" i="1"/>
  <c r="C58" i="1"/>
  <c r="J61" i="2"/>
  <c r="J50" i="2"/>
  <c r="J42" i="2"/>
  <c r="J29" i="2"/>
  <c r="J20" i="2"/>
  <c r="J11" i="2"/>
  <c r="C158" i="1"/>
  <c r="C150" i="1"/>
  <c r="C136" i="1"/>
  <c r="C127" i="1"/>
  <c r="C119" i="1"/>
  <c r="C111" i="1"/>
  <c r="C102" i="1"/>
  <c r="C92" i="1"/>
  <c r="C82" i="1"/>
  <c r="C74" i="1"/>
  <c r="C65" i="1"/>
  <c r="C55" i="1"/>
  <c r="C130" i="1"/>
  <c r="C77" i="1"/>
  <c r="J60" i="2"/>
  <c r="J49" i="2"/>
  <c r="J41" i="2"/>
  <c r="J28" i="2"/>
  <c r="J19" i="2"/>
  <c r="J9" i="2"/>
  <c r="C157" i="1"/>
  <c r="C149" i="1"/>
  <c r="C135" i="1"/>
  <c r="C126" i="1"/>
  <c r="C118" i="1"/>
  <c r="C109" i="1"/>
  <c r="C101" i="1"/>
  <c r="C91" i="1"/>
  <c r="C81" i="1"/>
  <c r="C73" i="1"/>
  <c r="C64" i="1"/>
  <c r="C54" i="1"/>
  <c r="C39" i="1"/>
  <c r="C31" i="1"/>
  <c r="C22" i="1"/>
  <c r="C8" i="1"/>
  <c r="C7" i="1"/>
  <c r="C37" i="1"/>
  <c r="C36" i="1"/>
  <c r="J56" i="2"/>
  <c r="C96" i="1"/>
  <c r="C27" i="1"/>
  <c r="J59" i="2"/>
  <c r="J48" i="2"/>
  <c r="J40" i="2"/>
  <c r="J26" i="2"/>
  <c r="J18" i="2"/>
  <c r="J8" i="2"/>
  <c r="C156" i="1"/>
  <c r="C148" i="1"/>
  <c r="C133" i="1"/>
  <c r="C125" i="1"/>
  <c r="C117" i="1"/>
  <c r="C108" i="1"/>
  <c r="C100" i="1"/>
  <c r="C90" i="1"/>
  <c r="C80" i="1"/>
  <c r="C72" i="1"/>
  <c r="C62" i="1"/>
  <c r="C53" i="1"/>
  <c r="C38" i="1"/>
  <c r="C30" i="1"/>
  <c r="C20" i="1"/>
  <c r="C52" i="1"/>
  <c r="C18" i="1"/>
  <c r="C28" i="1"/>
  <c r="J45" i="2"/>
  <c r="C145" i="1"/>
  <c r="C69" i="1"/>
  <c r="C16" i="1"/>
  <c r="J71" i="2"/>
  <c r="J58" i="2"/>
  <c r="J47" i="2"/>
  <c r="J39" i="2"/>
  <c r="J25" i="2"/>
  <c r="J17" i="2"/>
  <c r="J6" i="2"/>
  <c r="C155" i="1"/>
  <c r="C147" i="1"/>
  <c r="C132" i="1"/>
  <c r="C124" i="1"/>
  <c r="C116" i="1"/>
  <c r="C107" i="1"/>
  <c r="C98" i="1"/>
  <c r="C89" i="1"/>
  <c r="C79" i="1"/>
  <c r="C71" i="1"/>
  <c r="C61" i="1"/>
  <c r="C29" i="1"/>
  <c r="C17" i="1"/>
  <c r="J32" i="2"/>
  <c r="C122" i="1"/>
  <c r="C49" i="1"/>
  <c r="J70" i="2"/>
  <c r="J57" i="2"/>
  <c r="J46" i="2"/>
  <c r="J38" i="2"/>
  <c r="J24" i="2"/>
  <c r="J15" i="2"/>
  <c r="J5" i="2"/>
  <c r="C154" i="1"/>
  <c r="C146" i="1"/>
  <c r="C131" i="1"/>
  <c r="C123" i="1"/>
  <c r="C115" i="1"/>
  <c r="C106" i="1"/>
  <c r="C97" i="1"/>
  <c r="C88" i="1"/>
  <c r="C78" i="1"/>
  <c r="C70" i="1"/>
  <c r="C59" i="1"/>
  <c r="C51" i="1"/>
  <c r="J23" i="2"/>
  <c r="C153" i="1"/>
  <c r="C86" i="1"/>
  <c r="J68" i="2"/>
  <c r="X90" i="2"/>
  <c r="G91" i="324" l="1"/>
  <c r="G79" i="324"/>
  <c r="G90" i="324"/>
  <c r="F90" i="324"/>
  <c r="F79" i="324"/>
  <c r="F91" i="324"/>
  <c r="E90" i="324"/>
  <c r="D90" i="324"/>
  <c r="E91" i="324"/>
  <c r="D91" i="324"/>
  <c r="E79" i="324"/>
  <c r="D79" i="324"/>
  <c r="C79" i="324"/>
  <c r="H79" i="324" s="1"/>
  <c r="C90" i="324"/>
  <c r="C91" i="324"/>
  <c r="G71" i="324"/>
  <c r="G72" i="324"/>
  <c r="F72" i="324"/>
  <c r="G60" i="324"/>
  <c r="F60" i="324"/>
  <c r="F71" i="324"/>
  <c r="E60" i="324"/>
  <c r="D60" i="324"/>
  <c r="C60" i="324"/>
  <c r="H60" i="324" s="1"/>
  <c r="E71" i="324"/>
  <c r="E72" i="324"/>
  <c r="D71" i="324"/>
  <c r="D72" i="324"/>
  <c r="C71" i="324"/>
  <c r="C72" i="324"/>
  <c r="G37" i="324"/>
  <c r="F38" i="324"/>
  <c r="G26" i="324"/>
  <c r="G7" i="324" s="1"/>
  <c r="F37" i="324"/>
  <c r="G38" i="324"/>
  <c r="F26" i="324"/>
  <c r="F7" i="324" s="1"/>
  <c r="E37" i="324"/>
  <c r="D38" i="324"/>
  <c r="E38" i="324"/>
  <c r="D26" i="324"/>
  <c r="D7" i="324" s="1"/>
  <c r="E26" i="324"/>
  <c r="E7" i="324" s="1"/>
  <c r="D37" i="324"/>
  <c r="C26" i="324"/>
  <c r="C37" i="324"/>
  <c r="C38" i="324"/>
  <c r="H119" i="1"/>
  <c r="H152" i="1"/>
  <c r="H26" i="1"/>
  <c r="H64" i="1"/>
  <c r="H103" i="1"/>
  <c r="H149" i="1"/>
  <c r="H77" i="1"/>
  <c r="H78" i="1"/>
  <c r="H154" i="1"/>
  <c r="H130" i="1"/>
  <c r="H133" i="1"/>
  <c r="H28" i="1"/>
  <c r="H27" i="1"/>
  <c r="H31" i="1"/>
  <c r="H35" i="1"/>
  <c r="H104" i="1"/>
  <c r="H29" i="1"/>
  <c r="H123" i="1"/>
  <c r="H132" i="1"/>
  <c r="H90" i="1"/>
  <c r="H161" i="1"/>
  <c r="H20" i="1"/>
  <c r="H135" i="1"/>
  <c r="H32" i="1"/>
  <c r="H57" i="1"/>
  <c r="H129" i="1"/>
  <c r="H16" i="1"/>
  <c r="H111" i="1"/>
  <c r="H144" i="1"/>
  <c r="H88" i="1"/>
  <c r="H145" i="1"/>
  <c r="H47" i="1"/>
  <c r="H128" i="1"/>
  <c r="H86" i="1"/>
  <c r="H97" i="1"/>
  <c r="H22" i="1"/>
  <c r="H67" i="1"/>
  <c r="H153" i="1"/>
  <c r="H106" i="1"/>
  <c r="H17" i="1"/>
  <c r="H72" i="1"/>
  <c r="H148" i="1"/>
  <c r="H150" i="1"/>
  <c r="H58" i="1"/>
  <c r="H75" i="1"/>
  <c r="H151" i="1"/>
  <c r="H115" i="1"/>
  <c r="H124" i="1"/>
  <c r="H18" i="1"/>
  <c r="H156" i="1"/>
  <c r="H96" i="1"/>
  <c r="H39" i="1"/>
  <c r="H158" i="1"/>
  <c r="H114" i="1"/>
  <c r="H84" i="1"/>
  <c r="H159" i="1"/>
  <c r="H34" i="1"/>
  <c r="H9" i="1"/>
  <c r="H62" i="1"/>
  <c r="H71" i="1"/>
  <c r="H65" i="1"/>
  <c r="H82" i="1"/>
  <c r="H51" i="1"/>
  <c r="H61" i="1"/>
  <c r="H52" i="1"/>
  <c r="H54" i="1"/>
  <c r="H92" i="1"/>
  <c r="H93" i="1"/>
  <c r="H79" i="1"/>
  <c r="H89" i="1"/>
  <c r="H73" i="1"/>
  <c r="H59" i="1"/>
  <c r="H131" i="1"/>
  <c r="H100" i="1"/>
  <c r="H36" i="1"/>
  <c r="H102" i="1"/>
  <c r="H23" i="1"/>
  <c r="H10" i="1"/>
  <c r="L571" i="347" s="1"/>
  <c r="H98" i="1"/>
  <c r="H81" i="1"/>
  <c r="H80" i="1"/>
  <c r="H155" i="1"/>
  <c r="H25" i="1"/>
  <c r="H70" i="1"/>
  <c r="H146" i="1"/>
  <c r="H30" i="1"/>
  <c r="H37" i="1"/>
  <c r="H112" i="1"/>
  <c r="H12" i="1"/>
  <c r="H69" i="1"/>
  <c r="H49" i="1"/>
  <c r="H117" i="1"/>
  <c r="H7" i="1"/>
  <c r="W570" i="347" s="1"/>
  <c r="W571" i="347" s="1"/>
  <c r="W572" i="347" s="1"/>
  <c r="H120" i="1"/>
  <c r="H33" i="1"/>
  <c r="H24" i="1"/>
  <c r="AD573" i="347" s="1"/>
  <c r="H76" i="1"/>
  <c r="H101" i="1"/>
  <c r="H122" i="1"/>
  <c r="H53" i="1"/>
  <c r="H125" i="1"/>
  <c r="H8" i="1"/>
  <c r="H91" i="1"/>
  <c r="H127" i="1"/>
  <c r="H56" i="1"/>
  <c r="H85" i="1"/>
  <c r="H160" i="1"/>
  <c r="H113" i="1"/>
  <c r="H121" i="1"/>
  <c r="H109" i="1"/>
  <c r="H108" i="1"/>
  <c r="H107" i="1"/>
  <c r="H136" i="1"/>
  <c r="H142" i="1"/>
  <c r="H14" i="1"/>
  <c r="H95" i="1"/>
  <c r="H147" i="1"/>
  <c r="H40" i="1"/>
  <c r="H118" i="1"/>
  <c r="H116" i="1"/>
  <c r="H66" i="1"/>
  <c r="H48" i="1"/>
  <c r="H105" i="1"/>
  <c r="H68" i="1"/>
  <c r="H38" i="1"/>
  <c r="H55" i="1"/>
  <c r="H126" i="1"/>
  <c r="H74" i="1"/>
  <c r="H157" i="1"/>
  <c r="G19" i="324"/>
  <c r="F19" i="324"/>
  <c r="H91" i="324"/>
  <c r="D19" i="324"/>
  <c r="E19" i="324"/>
  <c r="C6" i="1"/>
  <c r="G6" i="1"/>
  <c r="D6" i="1"/>
  <c r="E6" i="1"/>
  <c r="F6" i="1"/>
  <c r="AC63" i="2"/>
  <c r="Z63" i="2"/>
  <c r="AA37" i="2"/>
  <c r="AE52" i="2"/>
  <c r="AD63" i="2"/>
  <c r="Y54" i="2"/>
  <c r="AB54" i="2"/>
  <c r="Y63" i="2"/>
  <c r="Y37" i="2"/>
  <c r="AA16" i="2"/>
  <c r="AD54" i="2"/>
  <c r="AB63" i="2"/>
  <c r="Z37" i="2"/>
  <c r="Y16" i="2"/>
  <c r="AD16" i="2"/>
  <c r="Z54" i="2"/>
  <c r="AB37" i="2"/>
  <c r="X52" i="2"/>
  <c r="AD37" i="2"/>
  <c r="AC54" i="2"/>
  <c r="AC16" i="2"/>
  <c r="Z16" i="2"/>
  <c r="AB16" i="2"/>
  <c r="AC37" i="2"/>
  <c r="AA54" i="2"/>
  <c r="F63" i="2"/>
  <c r="AA64" i="2"/>
  <c r="AA63" i="2" s="1"/>
  <c r="AE10" i="2"/>
  <c r="X10" i="2"/>
  <c r="H7" i="2"/>
  <c r="G87" i="1"/>
  <c r="G143" i="1"/>
  <c r="G134" i="1"/>
  <c r="H37" i="2"/>
  <c r="F134" i="1"/>
  <c r="F94" i="1"/>
  <c r="G15" i="1"/>
  <c r="G50" i="1"/>
  <c r="F99" i="1"/>
  <c r="F19" i="1"/>
  <c r="F143" i="1"/>
  <c r="F110" i="1"/>
  <c r="G83" i="1"/>
  <c r="G99" i="1"/>
  <c r="F50" i="1"/>
  <c r="F46" i="1"/>
  <c r="G46" i="1"/>
  <c r="F63" i="1"/>
  <c r="G19" i="1"/>
  <c r="F83" i="1"/>
  <c r="G110" i="1"/>
  <c r="G94" i="1"/>
  <c r="G63" i="1"/>
  <c r="F15" i="1"/>
  <c r="F87" i="1"/>
  <c r="F7" i="2"/>
  <c r="G7" i="2"/>
  <c r="I37" i="2"/>
  <c r="G16" i="2"/>
  <c r="G54" i="2"/>
  <c r="H63" i="2"/>
  <c r="I54" i="2"/>
  <c r="I63" i="2"/>
  <c r="I7" i="2"/>
  <c r="F16" i="2"/>
  <c r="H16" i="2"/>
  <c r="H54" i="2"/>
  <c r="G37" i="2"/>
  <c r="F54" i="2"/>
  <c r="I16" i="2"/>
  <c r="F37" i="2"/>
  <c r="G63" i="2"/>
  <c r="E83" i="1"/>
  <c r="E15" i="1"/>
  <c r="E99" i="1"/>
  <c r="E134" i="1"/>
  <c r="E94" i="1"/>
  <c r="E143" i="1"/>
  <c r="E19" i="1"/>
  <c r="E46" i="1"/>
  <c r="D7" i="2"/>
  <c r="D63" i="2"/>
  <c r="D37" i="2"/>
  <c r="E37" i="2"/>
  <c r="E7" i="2"/>
  <c r="D54" i="2"/>
  <c r="E16" i="2"/>
  <c r="E54" i="2"/>
  <c r="D16" i="2"/>
  <c r="E63" i="2"/>
  <c r="D83" i="1"/>
  <c r="D134" i="1"/>
  <c r="D15" i="1"/>
  <c r="D63" i="1"/>
  <c r="D87" i="1"/>
  <c r="D19" i="1"/>
  <c r="D110" i="1"/>
  <c r="D143" i="1"/>
  <c r="D99" i="1"/>
  <c r="D94" i="1"/>
  <c r="D46" i="1"/>
  <c r="D50" i="1"/>
  <c r="Q37" i="2"/>
  <c r="J7" i="2"/>
  <c r="AE51" i="2"/>
  <c r="AE26" i="2" s="1"/>
  <c r="X48" i="2"/>
  <c r="AF48" i="2" s="1"/>
  <c r="X27" i="2"/>
  <c r="AF27" i="2" s="1"/>
  <c r="X59" i="2"/>
  <c r="AF59" i="2" s="1"/>
  <c r="Q54" i="2"/>
  <c r="Q63" i="2"/>
  <c r="Q16" i="2"/>
  <c r="Q7" i="2"/>
  <c r="J54" i="2"/>
  <c r="J16" i="2"/>
  <c r="J63" i="2"/>
  <c r="J37" i="2"/>
  <c r="X55" i="2"/>
  <c r="AF55" i="2" s="1"/>
  <c r="X26" i="2"/>
  <c r="X40" i="2"/>
  <c r="AF40" i="2" s="1"/>
  <c r="X20" i="2"/>
  <c r="AF20" i="2" s="1"/>
  <c r="X70" i="2"/>
  <c r="AF70" i="2" s="1"/>
  <c r="X57" i="2"/>
  <c r="AF57" i="2" s="1"/>
  <c r="X56" i="2"/>
  <c r="AF56" i="2" s="1"/>
  <c r="X65" i="2"/>
  <c r="AF65" i="2" s="1"/>
  <c r="X18" i="2"/>
  <c r="AF18" i="2" s="1"/>
  <c r="C54" i="2"/>
  <c r="X64" i="2"/>
  <c r="X38" i="2"/>
  <c r="X71" i="2"/>
  <c r="X60" i="2"/>
  <c r="AF60" i="2" s="1"/>
  <c r="X21" i="2"/>
  <c r="AF21" i="2" s="1"/>
  <c r="X24" i="2"/>
  <c r="AF24" i="2" s="1"/>
  <c r="X22" i="2"/>
  <c r="AF22" i="2" s="1"/>
  <c r="X58" i="2"/>
  <c r="AF58" i="2" s="1"/>
  <c r="X49" i="2"/>
  <c r="AF49" i="2" s="1"/>
  <c r="X31" i="2"/>
  <c r="AF31" i="2" s="1"/>
  <c r="X25" i="2"/>
  <c r="AF25" i="2" s="1"/>
  <c r="X19" i="2"/>
  <c r="AF19" i="2" s="1"/>
  <c r="X12" i="2"/>
  <c r="AF12" i="2" s="1"/>
  <c r="X30" i="2"/>
  <c r="AF30" i="2" s="1"/>
  <c r="X29" i="2"/>
  <c r="AF29" i="2" s="1"/>
  <c r="X32" i="2"/>
  <c r="AF32" i="2" s="1"/>
  <c r="X53" i="2"/>
  <c r="AF53" i="2" s="1"/>
  <c r="X23" i="2"/>
  <c r="AF23" i="2" s="1"/>
  <c r="X47" i="2"/>
  <c r="AF47" i="2" s="1"/>
  <c r="X28" i="2"/>
  <c r="AF28" i="2" s="1"/>
  <c r="X13" i="2"/>
  <c r="AF13" i="2" s="1"/>
  <c r="X39" i="2"/>
  <c r="AF39" i="2" s="1"/>
  <c r="X17" i="2"/>
  <c r="C46" i="1"/>
  <c r="C143" i="1"/>
  <c r="C60" i="1"/>
  <c r="C19" i="1"/>
  <c r="C99" i="1"/>
  <c r="C110" i="1"/>
  <c r="C50" i="1"/>
  <c r="C83" i="1"/>
  <c r="C87" i="1"/>
  <c r="C94" i="1"/>
  <c r="C63" i="1"/>
  <c r="C134" i="1"/>
  <c r="C15" i="1"/>
  <c r="C16" i="2"/>
  <c r="C63" i="2"/>
  <c r="A18" i="1"/>
  <c r="A11" i="1"/>
  <c r="E85" i="324" l="1"/>
  <c r="D85" i="324"/>
  <c r="G85" i="324"/>
  <c r="F82" i="324"/>
  <c r="G89" i="324"/>
  <c r="F89" i="324"/>
  <c r="F85" i="324"/>
  <c r="G82" i="324"/>
  <c r="D89" i="324"/>
  <c r="E82" i="324"/>
  <c r="D82" i="324"/>
  <c r="E89" i="324"/>
  <c r="C85" i="324"/>
  <c r="H85" i="324" s="1"/>
  <c r="C82" i="324"/>
  <c r="C89" i="324"/>
  <c r="G59" i="324"/>
  <c r="D59" i="324"/>
  <c r="E59" i="324"/>
  <c r="F59" i="324"/>
  <c r="G70" i="324"/>
  <c r="F63" i="324"/>
  <c r="F70" i="324"/>
  <c r="F66" i="324"/>
  <c r="G66" i="324"/>
  <c r="G63" i="324"/>
  <c r="E70" i="324"/>
  <c r="E63" i="324"/>
  <c r="E66" i="324"/>
  <c r="D63" i="324"/>
  <c r="D70" i="324"/>
  <c r="D66" i="324"/>
  <c r="C66" i="324"/>
  <c r="H66" i="324" s="1"/>
  <c r="C70" i="324"/>
  <c r="C63" i="324"/>
  <c r="H63" i="324" s="1"/>
  <c r="H26" i="324"/>
  <c r="C7" i="324"/>
  <c r="H7" i="324" s="1"/>
  <c r="E25" i="324"/>
  <c r="G29" i="324"/>
  <c r="F29" i="324"/>
  <c r="F32" i="324"/>
  <c r="F36" i="324"/>
  <c r="G32" i="324"/>
  <c r="G36" i="324"/>
  <c r="E32" i="324"/>
  <c r="D36" i="324"/>
  <c r="E29" i="324"/>
  <c r="D32" i="324"/>
  <c r="E36" i="324"/>
  <c r="D29" i="324"/>
  <c r="C36" i="324"/>
  <c r="C29" i="324"/>
  <c r="C32" i="324"/>
  <c r="G61" i="324"/>
  <c r="D61" i="324"/>
  <c r="E61" i="324"/>
  <c r="F61" i="324"/>
  <c r="E27" i="324"/>
  <c r="H72" i="324"/>
  <c r="H83" i="1"/>
  <c r="H94" i="1"/>
  <c r="H19" i="1"/>
  <c r="H6" i="1"/>
  <c r="H134" i="1"/>
  <c r="H143" i="1"/>
  <c r="H99" i="1"/>
  <c r="H46" i="1"/>
  <c r="H15" i="1"/>
  <c r="C19" i="324"/>
  <c r="H19" i="324" s="1"/>
  <c r="H38" i="324"/>
  <c r="D41" i="1"/>
  <c r="D189" i="1" s="1"/>
  <c r="G41" i="1"/>
  <c r="G189" i="1" s="1"/>
  <c r="E41" i="1"/>
  <c r="E189" i="1" s="1"/>
  <c r="C41" i="1"/>
  <c r="C189" i="1" s="1"/>
  <c r="F41" i="1"/>
  <c r="F189" i="1" s="1"/>
  <c r="AF52" i="2"/>
  <c r="G35" i="2"/>
  <c r="AE35" i="2"/>
  <c r="AF10" i="2"/>
  <c r="G78" i="324"/>
  <c r="H35" i="2"/>
  <c r="G18" i="324"/>
  <c r="F18" i="324"/>
  <c r="F137" i="1"/>
  <c r="F78" i="324"/>
  <c r="G137" i="1"/>
  <c r="F35" i="2"/>
  <c r="F25" i="324"/>
  <c r="G25" i="324"/>
  <c r="I35" i="2"/>
  <c r="D78" i="324"/>
  <c r="E78" i="324"/>
  <c r="E80" i="324" s="1"/>
  <c r="D18" i="324"/>
  <c r="D35" i="2"/>
  <c r="E35" i="2"/>
  <c r="D137" i="1"/>
  <c r="D25" i="324"/>
  <c r="C78" i="324"/>
  <c r="C59" i="324"/>
  <c r="C25" i="324"/>
  <c r="AF26" i="2"/>
  <c r="AE72" i="2"/>
  <c r="Q35" i="2"/>
  <c r="AF64" i="2"/>
  <c r="AF63" i="2" s="1"/>
  <c r="X63" i="2"/>
  <c r="AF17" i="2"/>
  <c r="X16" i="2"/>
  <c r="AF38" i="2"/>
  <c r="J35" i="2"/>
  <c r="C137" i="1"/>
  <c r="G13" i="324" l="1"/>
  <c r="E13" i="324"/>
  <c r="D13" i="324"/>
  <c r="F10" i="324"/>
  <c r="F13" i="324"/>
  <c r="E10" i="324"/>
  <c r="D10" i="324"/>
  <c r="H82" i="324"/>
  <c r="G10" i="324"/>
  <c r="F86" i="324"/>
  <c r="E86" i="324"/>
  <c r="D86" i="324"/>
  <c r="F67" i="324"/>
  <c r="D67" i="324"/>
  <c r="H29" i="324"/>
  <c r="C10" i="324"/>
  <c r="H10" i="324" s="1"/>
  <c r="C13" i="324"/>
  <c r="H13" i="324" s="1"/>
  <c r="H32" i="324"/>
  <c r="G33" i="324"/>
  <c r="F33" i="324"/>
  <c r="D33" i="324"/>
  <c r="D14" i="324" s="1"/>
  <c r="E33" i="324"/>
  <c r="G62" i="324"/>
  <c r="G64" i="324"/>
  <c r="D62" i="324"/>
  <c r="D64" i="324"/>
  <c r="E62" i="324"/>
  <c r="E64" i="324"/>
  <c r="F62" i="324"/>
  <c r="F64" i="324"/>
  <c r="E28" i="324"/>
  <c r="E30" i="324"/>
  <c r="E81" i="324"/>
  <c r="E83" i="324"/>
  <c r="G80" i="324"/>
  <c r="F80" i="324"/>
  <c r="F27" i="324"/>
  <c r="G27" i="324"/>
  <c r="D80" i="324"/>
  <c r="D27" i="324"/>
  <c r="C80" i="324"/>
  <c r="C61" i="324"/>
  <c r="C27" i="324"/>
  <c r="H41" i="1"/>
  <c r="H90" i="324"/>
  <c r="E6" i="324"/>
  <c r="E8" i="324" s="1"/>
  <c r="E9" i="324" s="1"/>
  <c r="H37" i="324"/>
  <c r="F44" i="1"/>
  <c r="F45" i="1" s="1"/>
  <c r="F191" i="1"/>
  <c r="D191" i="1"/>
  <c r="E44" i="1"/>
  <c r="E45" i="1" s="1"/>
  <c r="E191" i="1"/>
  <c r="G191" i="1"/>
  <c r="AE73" i="2"/>
  <c r="G6" i="324"/>
  <c r="G8" i="324" s="1"/>
  <c r="G9" i="324" s="1"/>
  <c r="G42" i="1"/>
  <c r="G44" i="1"/>
  <c r="G45" i="1" s="1"/>
  <c r="F6" i="324"/>
  <c r="F8" i="324" s="1"/>
  <c r="F9" i="324" s="1"/>
  <c r="F42" i="1"/>
  <c r="G86" i="324"/>
  <c r="F139" i="1"/>
  <c r="G139" i="1"/>
  <c r="G67" i="324"/>
  <c r="E42" i="1"/>
  <c r="D6" i="324"/>
  <c r="D8" i="324" s="1"/>
  <c r="D9" i="324" s="1"/>
  <c r="H78" i="324"/>
  <c r="H80" i="324" s="1"/>
  <c r="H81" i="324" s="1"/>
  <c r="C18" i="324"/>
  <c r="C6" i="324"/>
  <c r="C8" i="324" s="1"/>
  <c r="C9" i="324" s="1"/>
  <c r="H59" i="324"/>
  <c r="H61" i="324" s="1"/>
  <c r="H62" i="324" s="1"/>
  <c r="L572" i="347"/>
  <c r="D44" i="1"/>
  <c r="D45" i="1" s="1"/>
  <c r="D42" i="1"/>
  <c r="D139" i="1"/>
  <c r="H25" i="324"/>
  <c r="H27" i="324" s="1"/>
  <c r="H28" i="324" s="1"/>
  <c r="C86" i="324"/>
  <c r="C67" i="324"/>
  <c r="AF16" i="2"/>
  <c r="F14" i="324" l="1"/>
  <c r="D68" i="324"/>
  <c r="F68" i="324"/>
  <c r="E34" i="324"/>
  <c r="E35" i="324" s="1"/>
  <c r="E87" i="324"/>
  <c r="D73" i="324"/>
  <c r="D69" i="324"/>
  <c r="F73" i="324"/>
  <c r="F69" i="324"/>
  <c r="E39" i="324"/>
  <c r="E88" i="324"/>
  <c r="E92" i="324"/>
  <c r="G68" i="324"/>
  <c r="G81" i="324"/>
  <c r="G83" i="324"/>
  <c r="F81" i="324"/>
  <c r="F83" i="324"/>
  <c r="F28" i="324"/>
  <c r="F30" i="324"/>
  <c r="G28" i="324"/>
  <c r="G30" i="324"/>
  <c r="D81" i="324"/>
  <c r="D83" i="324"/>
  <c r="D28" i="324"/>
  <c r="D30" i="324"/>
  <c r="D31" i="324" s="1"/>
  <c r="C81" i="324"/>
  <c r="C83" i="324"/>
  <c r="C87" i="324" s="1"/>
  <c r="C62" i="324"/>
  <c r="C64" i="324"/>
  <c r="C68" i="324" s="1"/>
  <c r="C28" i="324"/>
  <c r="C30" i="324"/>
  <c r="E84" i="324"/>
  <c r="D65" i="324"/>
  <c r="E65" i="324"/>
  <c r="G65" i="324"/>
  <c r="F65" i="324"/>
  <c r="L576" i="347"/>
  <c r="E31" i="324"/>
  <c r="C191" i="1"/>
  <c r="H86" i="324"/>
  <c r="G14" i="324"/>
  <c r="G141" i="1"/>
  <c r="F141" i="1"/>
  <c r="H6" i="324"/>
  <c r="H8" i="324" s="1"/>
  <c r="H9" i="324" s="1"/>
  <c r="E11" i="324"/>
  <c r="D141" i="1"/>
  <c r="C44" i="1"/>
  <c r="C42" i="1"/>
  <c r="H42" i="1" s="1"/>
  <c r="C139" i="1"/>
  <c r="G11" i="324" l="1"/>
  <c r="G87" i="324"/>
  <c r="G84" i="324"/>
  <c r="F87" i="324"/>
  <c r="F84" i="324"/>
  <c r="F34" i="324"/>
  <c r="F31" i="324"/>
  <c r="F11" i="324"/>
  <c r="D34" i="324"/>
  <c r="D11" i="324"/>
  <c r="G34" i="324"/>
  <c r="G31" i="324"/>
  <c r="D87" i="324"/>
  <c r="D84" i="324"/>
  <c r="G73" i="324"/>
  <c r="G69" i="324"/>
  <c r="C92" i="324"/>
  <c r="C88" i="324"/>
  <c r="C73" i="324"/>
  <c r="C69" i="324"/>
  <c r="E12" i="324"/>
  <c r="H44" i="1"/>
  <c r="AD570" i="347" s="1"/>
  <c r="AD571" i="347" s="1"/>
  <c r="AD575" i="347" s="1"/>
  <c r="G162" i="1"/>
  <c r="G165" i="1" s="1"/>
  <c r="G171" i="1" s="1"/>
  <c r="G180" i="1" s="1"/>
  <c r="G185" i="1" s="1"/>
  <c r="F162" i="1"/>
  <c r="F165" i="1" s="1"/>
  <c r="F171" i="1" s="1"/>
  <c r="F180" i="1" s="1"/>
  <c r="F185" i="1" s="1"/>
  <c r="H30" i="324"/>
  <c r="H31" i="324" s="1"/>
  <c r="H64" i="324"/>
  <c r="H65" i="324" s="1"/>
  <c r="D162" i="1"/>
  <c r="D165" i="1" s="1"/>
  <c r="D171" i="1" s="1"/>
  <c r="D180" i="1" s="1"/>
  <c r="D185" i="1" s="1"/>
  <c r="C45" i="1"/>
  <c r="H45" i="1" s="1"/>
  <c r="C141" i="1"/>
  <c r="G12" i="324" l="1"/>
  <c r="G15" i="324"/>
  <c r="G16" i="324" s="1"/>
  <c r="F12" i="324"/>
  <c r="F15" i="324"/>
  <c r="F16" i="324" s="1"/>
  <c r="F88" i="324"/>
  <c r="F92" i="324"/>
  <c r="F93" i="324" s="1"/>
  <c r="F39" i="324"/>
  <c r="F35" i="324"/>
  <c r="D39" i="324"/>
  <c r="D35" i="324"/>
  <c r="G35" i="324"/>
  <c r="G39" i="324"/>
  <c r="D92" i="324"/>
  <c r="D88" i="324"/>
  <c r="G88" i="324"/>
  <c r="G92" i="324"/>
  <c r="D12" i="324"/>
  <c r="D15" i="324"/>
  <c r="D16" i="324" s="1"/>
  <c r="G17" i="324"/>
  <c r="F17" i="324"/>
  <c r="F172" i="1"/>
  <c r="G172" i="1"/>
  <c r="D17" i="324"/>
  <c r="D172" i="1"/>
  <c r="D183" i="1" s="1"/>
  <c r="C162" i="1"/>
  <c r="G93" i="324" l="1"/>
  <c r="E93" i="324"/>
  <c r="D93" i="324"/>
  <c r="F74" i="324"/>
  <c r="G74" i="324"/>
  <c r="D40" i="324"/>
  <c r="E40" i="324"/>
  <c r="F184" i="1"/>
  <c r="F183" i="1"/>
  <c r="F175" i="1"/>
  <c r="G184" i="1"/>
  <c r="G183" i="1"/>
  <c r="G175" i="1"/>
  <c r="F40" i="324"/>
  <c r="F20" i="324"/>
  <c r="F21" i="324" s="1"/>
  <c r="G40" i="324"/>
  <c r="G20" i="324"/>
  <c r="G21" i="324" s="1"/>
  <c r="D74" i="324"/>
  <c r="D20" i="324"/>
  <c r="D21" i="324" s="1"/>
  <c r="D184" i="1"/>
  <c r="D175" i="1"/>
  <c r="C165" i="1"/>
  <c r="C171" i="1" l="1"/>
  <c r="C180" i="1" l="1"/>
  <c r="J69" i="2"/>
  <c r="J67" i="2" s="1"/>
  <c r="C172" i="1"/>
  <c r="C185" i="1" l="1"/>
  <c r="C184" i="1"/>
  <c r="C183" i="1"/>
  <c r="C175" i="1"/>
  <c r="C37" i="2" l="1"/>
  <c r="C7" i="2"/>
  <c r="C35" i="2" l="1"/>
  <c r="A13" i="1" l="1"/>
  <c r="C31" i="324" l="1"/>
  <c r="C65" i="324" l="1"/>
  <c r="X45" i="2" l="1"/>
  <c r="AF45" i="2" s="1"/>
  <c r="X44" i="2"/>
  <c r="AF44" i="2" s="1"/>
  <c r="X11" i="2"/>
  <c r="AF11" i="2" s="1"/>
  <c r="X6" i="2"/>
  <c r="X50" i="2"/>
  <c r="AF50" i="2" s="1"/>
  <c r="X14" i="2"/>
  <c r="AF14" i="2" s="1"/>
  <c r="X9" i="2"/>
  <c r="X61" i="2"/>
  <c r="X54" i="2" s="1"/>
  <c r="X41" i="2"/>
  <c r="X37" i="2" s="1"/>
  <c r="X8" i="2"/>
  <c r="X15" i="2"/>
  <c r="X43" i="2"/>
  <c r="AF43" i="2" s="1"/>
  <c r="X51" i="2"/>
  <c r="AF51" i="2" s="1"/>
  <c r="X46" i="2"/>
  <c r="X5" i="2"/>
  <c r="X7" i="2" l="1"/>
  <c r="X35" i="2" s="1"/>
  <c r="AF61" i="2"/>
  <c r="AF54" i="2" s="1"/>
  <c r="X42" i="2"/>
  <c r="AF42" i="2" l="1"/>
  <c r="E18" i="324" l="1"/>
  <c r="H18" i="324" s="1"/>
  <c r="H71" i="324"/>
  <c r="E50" i="1" l="1"/>
  <c r="H50" i="1" s="1"/>
  <c r="AF15" i="2" l="1"/>
  <c r="E87" i="1" l="1"/>
  <c r="H87" i="1" s="1"/>
  <c r="E60" i="1"/>
  <c r="H60" i="1" s="1"/>
  <c r="E63" i="1"/>
  <c r="H63" i="1" s="1"/>
  <c r="E110" i="1"/>
  <c r="H110" i="1" s="1"/>
  <c r="E137" i="1" l="1"/>
  <c r="H137" i="1" l="1"/>
  <c r="E67" i="324"/>
  <c r="E68" i="324" s="1"/>
  <c r="E139" i="1"/>
  <c r="H139" i="1" s="1"/>
  <c r="E69" i="324" l="1"/>
  <c r="E73" i="324"/>
  <c r="E14" i="324"/>
  <c r="E15" i="324" s="1"/>
  <c r="H67" i="324"/>
  <c r="E141" i="1"/>
  <c r="H141" i="1" s="1"/>
  <c r="E16" i="324" l="1"/>
  <c r="H68" i="324"/>
  <c r="H69" i="324" s="1"/>
  <c r="E162" i="1"/>
  <c r="H162" i="1" s="1"/>
  <c r="E17" i="324" l="1"/>
  <c r="H70" i="324"/>
  <c r="E165" i="1"/>
  <c r="H165" i="1" s="1"/>
  <c r="E171" i="1" l="1"/>
  <c r="E180" i="1" l="1"/>
  <c r="H171" i="1"/>
  <c r="E172" i="1"/>
  <c r="H172" i="1" s="1"/>
  <c r="E185" i="1" l="1"/>
  <c r="H180" i="1"/>
  <c r="E74" i="324"/>
  <c r="E20" i="324"/>
  <c r="H73" i="324"/>
  <c r="E183" i="1"/>
  <c r="H183" i="1" s="1"/>
  <c r="E184" i="1"/>
  <c r="E175" i="1"/>
  <c r="H74" i="324" l="1"/>
  <c r="E21" i="324"/>
  <c r="AF71" i="2" l="1"/>
  <c r="AD14" i="2" l="1"/>
  <c r="P61" i="2"/>
  <c r="AD61" i="2" s="1"/>
  <c r="P54" i="2"/>
  <c r="P50" i="2"/>
  <c r="AD50" i="2" s="1"/>
  <c r="P46" i="2"/>
  <c r="AD46" i="2" s="1"/>
  <c r="P44" i="2"/>
  <c r="AD44" i="2" s="1"/>
  <c r="P43" i="2"/>
  <c r="AD43" i="2" s="1"/>
  <c r="P41" i="2"/>
  <c r="AD41" i="2" s="1"/>
  <c r="P11" i="2"/>
  <c r="AD11" i="2" s="1"/>
  <c r="P9" i="2"/>
  <c r="AD9" i="2" s="1"/>
  <c r="P8" i="2"/>
  <c r="AD8" i="2" s="1"/>
  <c r="AD7" i="2" s="1"/>
  <c r="P6" i="2"/>
  <c r="AD6" i="2" s="1"/>
  <c r="P51" i="2"/>
  <c r="AD51" i="2" s="1"/>
  <c r="AD35" i="2" l="1"/>
  <c r="P7" i="2"/>
  <c r="AC14" i="2" l="1"/>
  <c r="AF6" i="2" l="1"/>
  <c r="AB14" i="2" l="1"/>
  <c r="N53" i="2" l="1"/>
  <c r="AB53" i="2" s="1"/>
  <c r="N46" i="2"/>
  <c r="AB46" i="2" s="1"/>
  <c r="N43" i="2"/>
  <c r="AB43" i="2" s="1"/>
  <c r="N61" i="2"/>
  <c r="AB61" i="2" s="1"/>
  <c r="N51" i="2"/>
  <c r="AB51" i="2" s="1"/>
  <c r="N50" i="2"/>
  <c r="AB50" i="2" s="1"/>
  <c r="N8" i="2"/>
  <c r="AB8" i="2" s="1"/>
  <c r="AB7" i="2" s="1"/>
  <c r="AB35" i="2" s="1"/>
  <c r="N11" i="2"/>
  <c r="AB11" i="2" s="1"/>
  <c r="N44" i="2"/>
  <c r="AB44" i="2" s="1"/>
  <c r="N41" i="2"/>
  <c r="AB41" i="2" s="1"/>
  <c r="N9" i="2"/>
  <c r="AB9" i="2" s="1"/>
  <c r="AA14" i="2"/>
  <c r="AA35" i="2" s="1"/>
  <c r="M51" i="2"/>
  <c r="AA51" i="2" s="1"/>
  <c r="M46" i="2"/>
  <c r="AA46" i="2" s="1"/>
  <c r="M8" i="2"/>
  <c r="AA8" i="2" s="1"/>
  <c r="AA7" i="2" s="1"/>
  <c r="M44" i="2"/>
  <c r="AA44" i="2" s="1"/>
  <c r="M9" i="2"/>
  <c r="AA9" i="2" s="1"/>
  <c r="M41" i="2"/>
  <c r="AA41" i="2" s="1"/>
  <c r="M43" i="2"/>
  <c r="AA43" i="2" s="1"/>
  <c r="M61" i="2"/>
  <c r="AA61" i="2" s="1"/>
  <c r="M11" i="2"/>
  <c r="AA11" i="2" s="1"/>
  <c r="M50" i="2"/>
  <c r="AA50" i="2" s="1"/>
  <c r="O53" i="2" l="1"/>
  <c r="AC53" i="2" s="1"/>
  <c r="N7" i="2"/>
  <c r="M7" i="2"/>
  <c r="O43" i="2"/>
  <c r="AC43" i="2" s="1"/>
  <c r="O51" i="2"/>
  <c r="AC51" i="2" s="1"/>
  <c r="O11" i="2"/>
  <c r="AC11" i="2" s="1"/>
  <c r="O61" i="2"/>
  <c r="AC61" i="2" s="1"/>
  <c r="O46" i="2"/>
  <c r="AC46" i="2" s="1"/>
  <c r="O50" i="2"/>
  <c r="AC50" i="2" s="1"/>
  <c r="O8" i="2"/>
  <c r="AC8" i="2" s="1"/>
  <c r="AC7" i="2" s="1"/>
  <c r="AC35" i="2" s="1"/>
  <c r="O41" i="2"/>
  <c r="AC41" i="2" s="1"/>
  <c r="O44" i="2"/>
  <c r="AC44" i="2" s="1"/>
  <c r="O9" i="2"/>
  <c r="AC9" i="2" s="1"/>
  <c r="O7" i="2" l="1"/>
  <c r="L53" i="2" l="1"/>
  <c r="Z53" i="2" s="1"/>
  <c r="K53" i="2"/>
  <c r="Y53" i="2" s="1"/>
  <c r="K61" i="2"/>
  <c r="Y61" i="2" s="1"/>
  <c r="K50" i="2"/>
  <c r="Y50" i="2" s="1"/>
  <c r="K9" i="2"/>
  <c r="Y9" i="2" s="1"/>
  <c r="K8" i="2"/>
  <c r="Y8" i="2" s="1"/>
  <c r="Y7" i="2" s="1"/>
  <c r="Y35" i="2" s="1"/>
  <c r="K11" i="2"/>
  <c r="Y11" i="2" s="1"/>
  <c r="K51" i="2"/>
  <c r="Y51" i="2" s="1"/>
  <c r="K41" i="2"/>
  <c r="Y41" i="2" s="1"/>
  <c r="K44" i="2"/>
  <c r="Y44" i="2" s="1"/>
  <c r="K46" i="2"/>
  <c r="Y46" i="2" s="1"/>
  <c r="L61" i="2"/>
  <c r="Z61" i="2" s="1"/>
  <c r="L9" i="2"/>
  <c r="Z9" i="2" s="1"/>
  <c r="L8" i="2"/>
  <c r="Z8" i="2" s="1"/>
  <c r="Z7" i="2" s="1"/>
  <c r="Z35" i="2" s="1"/>
  <c r="L51" i="2"/>
  <c r="Z51" i="2" s="1"/>
  <c r="L11" i="2"/>
  <c r="Z11" i="2" s="1"/>
  <c r="L44" i="2"/>
  <c r="Z44" i="2" s="1"/>
  <c r="L50" i="2"/>
  <c r="Z50" i="2" s="1"/>
  <c r="L41" i="2"/>
  <c r="Z41" i="2" s="1"/>
  <c r="L46" i="2"/>
  <c r="Z46" i="2" s="1"/>
  <c r="L7" i="2" l="1"/>
  <c r="K7" i="2"/>
  <c r="AF9" i="2" l="1"/>
  <c r="AF46" i="2"/>
  <c r="AF8" i="2" l="1"/>
  <c r="AF7" i="2" s="1"/>
  <c r="AF5" i="2"/>
  <c r="AF35" i="2" l="1"/>
  <c r="X78" i="2" l="1"/>
  <c r="AC1" i="347" l="1"/>
  <c r="AF569" i="347" l="1"/>
  <c r="C74" i="324" l="1"/>
  <c r="K68" i="2"/>
  <c r="K67" i="2" l="1"/>
  <c r="K72" i="2" s="1"/>
  <c r="Y68" i="2"/>
  <c r="J72" i="2"/>
  <c r="L68" i="2"/>
  <c r="L67" i="2" l="1"/>
  <c r="L72" i="2" s="1"/>
  <c r="Z68" i="2"/>
  <c r="J73" i="2"/>
  <c r="J74" i="2" s="1"/>
  <c r="M68" i="2"/>
  <c r="N68" i="2" l="1"/>
  <c r="AB68" i="2" s="1"/>
  <c r="AA68" i="2"/>
  <c r="M67" i="2"/>
  <c r="M72" i="2" s="1"/>
  <c r="O68" i="2" l="1"/>
  <c r="N67" i="2"/>
  <c r="N72" i="2" s="1"/>
  <c r="AN68" i="2"/>
  <c r="H93" i="2"/>
  <c r="AC68" i="2" l="1"/>
  <c r="O67" i="2"/>
  <c r="O72" i="2" s="1"/>
  <c r="P68" i="2"/>
  <c r="I93" i="2"/>
  <c r="I94" i="2" s="1"/>
  <c r="AD68" i="2" l="1"/>
  <c r="P67" i="2"/>
  <c r="P72" i="2" s="1"/>
  <c r="AF41" i="2" l="1"/>
  <c r="AF37" i="2" s="1"/>
  <c r="X68" i="2" l="1"/>
  <c r="AF68" i="2" l="1"/>
  <c r="A162" i="1" l="1"/>
  <c r="C33" i="324" l="1"/>
  <c r="C34" i="324" s="1"/>
  <c r="C35" i="324" l="1"/>
  <c r="C39" i="324"/>
  <c r="H33" i="324"/>
  <c r="C14" i="324"/>
  <c r="H14" i="324" s="1"/>
  <c r="H34" i="324" l="1"/>
  <c r="H35" i="324" s="1"/>
  <c r="A146" i="1"/>
  <c r="A147" i="1" s="1"/>
  <c r="H36" i="324" l="1"/>
  <c r="A148" i="1"/>
  <c r="A149" i="1" s="1"/>
  <c r="C69" i="2" l="1"/>
  <c r="D69" i="2" s="1"/>
  <c r="Y69" i="2" s="1"/>
  <c r="Y67" i="2" s="1"/>
  <c r="Y72" i="2" s="1"/>
  <c r="Y73" i="2" s="1"/>
  <c r="Y74" i="2" s="1"/>
  <c r="H39" i="324" l="1"/>
  <c r="D67" i="2"/>
  <c r="D72" i="2" s="1"/>
  <c r="D73" i="2" s="1"/>
  <c r="D74" i="2" s="1"/>
  <c r="E69" i="2"/>
  <c r="Z69" i="2" s="1"/>
  <c r="Z67" i="2" s="1"/>
  <c r="Z72" i="2" s="1"/>
  <c r="Z73" i="2" s="1"/>
  <c r="Z74" i="2" s="1"/>
  <c r="C40" i="324"/>
  <c r="C67" i="2"/>
  <c r="C72" i="2" s="1"/>
  <c r="C73" i="2" s="1"/>
  <c r="C74" i="2" s="1"/>
  <c r="E67" i="2" l="1"/>
  <c r="E72" i="2" s="1"/>
  <c r="E73" i="2" s="1"/>
  <c r="E74" i="2" s="1"/>
  <c r="F69" i="2"/>
  <c r="AA69" i="2" s="1"/>
  <c r="AA67" i="2" s="1"/>
  <c r="AA72" i="2" s="1"/>
  <c r="AA73" i="2" s="1"/>
  <c r="AA74" i="2" s="1"/>
  <c r="H40" i="324"/>
  <c r="N1127" i="328"/>
  <c r="F67" i="2" l="1"/>
  <c r="F72" i="2" s="1"/>
  <c r="F73" i="2" s="1"/>
  <c r="F74" i="2" s="1"/>
  <c r="G69" i="2"/>
  <c r="AB69" i="2" s="1"/>
  <c r="AB67" i="2" s="1"/>
  <c r="AB72" i="2" s="1"/>
  <c r="AB73" i="2" s="1"/>
  <c r="AB74" i="2" s="1"/>
  <c r="G67" i="2" l="1"/>
  <c r="G72" i="2" s="1"/>
  <c r="G73" i="2" s="1"/>
  <c r="G74" i="2" s="1"/>
  <c r="H69" i="2"/>
  <c r="AC69" i="2" s="1"/>
  <c r="AC67" i="2" s="1"/>
  <c r="AC72" i="2" s="1"/>
  <c r="AC73" i="2" s="1"/>
  <c r="AC74" i="2" s="1"/>
  <c r="H67" i="2" l="1"/>
  <c r="I69" i="2"/>
  <c r="I67" i="2" l="1"/>
  <c r="I72" i="2" s="1"/>
  <c r="I73" i="2" s="1"/>
  <c r="I74" i="2" s="1"/>
  <c r="AD69" i="2"/>
  <c r="AD67" i="2" s="1"/>
  <c r="AD72" i="2" s="1"/>
  <c r="AD73" i="2" s="1"/>
  <c r="AD74" i="2" s="1"/>
  <c r="H72" i="2"/>
  <c r="H73" i="2" l="1"/>
  <c r="H74" i="2" s="1"/>
  <c r="C84" i="324"/>
  <c r="H83" i="324"/>
  <c r="H84" i="324" s="1"/>
  <c r="C11" i="324"/>
  <c r="C15" i="324" s="1"/>
  <c r="H87" i="324" l="1"/>
  <c r="H88" i="324" s="1"/>
  <c r="C12" i="324"/>
  <c r="H11" i="324"/>
  <c r="H12" i="324" s="1"/>
  <c r="H15" i="324" l="1"/>
  <c r="H16" i="324" s="1"/>
  <c r="C16" i="324"/>
  <c r="H89" i="324"/>
  <c r="C17" i="324"/>
  <c r="H17" i="324" s="1"/>
  <c r="Q69" i="2" l="1"/>
  <c r="H92" i="324" l="1"/>
  <c r="C20" i="324"/>
  <c r="X69" i="2"/>
  <c r="Q67" i="2"/>
  <c r="Q72" i="2" s="1"/>
  <c r="Q73" i="2" s="1"/>
  <c r="Q74" i="2" s="1"/>
  <c r="C93" i="324"/>
  <c r="H93" i="324" l="1"/>
  <c r="C21" i="324"/>
  <c r="H20" i="324"/>
  <c r="AF69" i="2"/>
  <c r="AF67" i="2" s="1"/>
  <c r="X79" i="2"/>
  <c r="X67" i="2"/>
  <c r="X72" i="2" s="1"/>
  <c r="H21" i="324" l="1"/>
  <c r="X73" i="2"/>
  <c r="X74" i="2" s="1"/>
  <c r="AF72" i="2"/>
  <c r="AF73" i="2" s="1"/>
  <c r="AF74" i="2" s="1"/>
  <c r="X80" i="2"/>
  <c r="X81" i="2"/>
  <c r="X92" i="2" s="1"/>
  <c r="P160" i="364" l="1"/>
  <c r="P159" i="364"/>
  <c r="P158" i="364"/>
  <c r="P157" i="364"/>
  <c r="P156" i="364"/>
  <c r="P155" i="364"/>
  <c r="P154" i="364"/>
  <c r="P153" i="364"/>
  <c r="P152" i="364"/>
  <c r="P151" i="364"/>
  <c r="P150" i="364"/>
  <c r="P149" i="364"/>
  <c r="P148" i="364"/>
  <c r="P147" i="364"/>
  <c r="P146" i="364"/>
  <c r="P145" i="364"/>
  <c r="P144" i="364"/>
  <c r="P143" i="364"/>
  <c r="P142" i="364"/>
  <c r="P141" i="364"/>
  <c r="P140" i="364"/>
  <c r="P139" i="364"/>
  <c r="P138" i="364"/>
  <c r="P137" i="364"/>
  <c r="P136" i="364"/>
  <c r="P135" i="364"/>
  <c r="P134" i="364"/>
  <c r="P133" i="364"/>
  <c r="P132" i="364"/>
  <c r="P131" i="364"/>
  <c r="P130" i="364"/>
  <c r="P129" i="364"/>
  <c r="P128" i="364"/>
  <c r="P127" i="364"/>
  <c r="P126" i="364"/>
  <c r="P125" i="364"/>
  <c r="P124" i="364"/>
  <c r="P123" i="364"/>
  <c r="P122" i="364"/>
  <c r="P121" i="364"/>
  <c r="P120" i="364"/>
  <c r="P119" i="364"/>
  <c r="P118" i="364"/>
  <c r="P117" i="364"/>
  <c r="P116" i="364"/>
  <c r="P115" i="364"/>
  <c r="P114" i="364"/>
  <c r="P113" i="364"/>
  <c r="P112" i="364"/>
  <c r="P111" i="364"/>
  <c r="P110" i="364"/>
  <c r="P109" i="364"/>
  <c r="P108" i="364"/>
  <c r="P107" i="364"/>
  <c r="P106" i="364"/>
  <c r="P105" i="364"/>
  <c r="P104" i="364"/>
  <c r="P103" i="364"/>
  <c r="P102" i="364"/>
  <c r="P101" i="364"/>
  <c r="P100" i="364"/>
  <c r="P99" i="364"/>
  <c r="P98" i="364"/>
  <c r="P97" i="364"/>
  <c r="P96" i="364"/>
  <c r="P95" i="364"/>
  <c r="P94" i="364"/>
  <c r="P93" i="364"/>
  <c r="P92" i="364"/>
  <c r="P91" i="364"/>
  <c r="P90" i="364"/>
  <c r="P89" i="364"/>
  <c r="P88" i="364"/>
  <c r="P87" i="364"/>
  <c r="P86" i="364"/>
  <c r="P85" i="364"/>
  <c r="P84" i="364"/>
  <c r="P83" i="364"/>
  <c r="P82" i="364"/>
  <c r="P81" i="364"/>
  <c r="P80" i="364"/>
  <c r="P79" i="364"/>
  <c r="P78" i="364"/>
  <c r="P77" i="364"/>
  <c r="P76" i="364"/>
  <c r="P75" i="364"/>
  <c r="P74" i="364"/>
  <c r="P73" i="364"/>
  <c r="P72" i="364"/>
  <c r="P71" i="364"/>
  <c r="P70" i="364"/>
  <c r="P69" i="364"/>
  <c r="P68" i="364"/>
  <c r="P67" i="364"/>
  <c r="P66" i="364"/>
  <c r="P65" i="364"/>
  <c r="P64" i="364"/>
  <c r="P63" i="364"/>
  <c r="P62" i="364"/>
  <c r="P61" i="364"/>
  <c r="P60" i="364"/>
  <c r="P59" i="364"/>
  <c r="P58" i="364"/>
  <c r="P57" i="364"/>
  <c r="P56" i="364"/>
  <c r="P55" i="364"/>
  <c r="P54" i="364"/>
  <c r="P53" i="364"/>
  <c r="P52" i="364"/>
  <c r="P51" i="364"/>
  <c r="P50" i="364"/>
  <c r="P49" i="364"/>
  <c r="P48" i="364"/>
  <c r="P47" i="364"/>
  <c r="P46" i="364"/>
  <c r="P45" i="364"/>
  <c r="P44" i="364"/>
  <c r="P43" i="364"/>
  <c r="P42" i="364"/>
  <c r="P41" i="364"/>
  <c r="P40" i="364"/>
  <c r="P39" i="364"/>
  <c r="P38" i="364"/>
  <c r="P37" i="364"/>
  <c r="P36" i="364"/>
  <c r="P35" i="364"/>
  <c r="P34" i="364"/>
  <c r="P33" i="364"/>
  <c r="P32" i="364"/>
  <c r="P31" i="364"/>
  <c r="P30" i="364"/>
  <c r="P29" i="364"/>
  <c r="P28" i="364"/>
  <c r="P27" i="364"/>
  <c r="P26" i="364"/>
  <c r="P25" i="364"/>
  <c r="P24" i="364"/>
  <c r="P23" i="364"/>
  <c r="P22" i="364"/>
  <c r="P21" i="364"/>
  <c r="P20" i="364"/>
  <c r="P19" i="364"/>
  <c r="P18" i="364"/>
  <c r="P17" i="364"/>
  <c r="P16" i="364"/>
  <c r="P15" i="364"/>
  <c r="P14" i="364"/>
  <c r="P13" i="364"/>
  <c r="P12" i="364"/>
  <c r="P11" i="364"/>
  <c r="P10" i="364"/>
  <c r="P9" i="364"/>
  <c r="P8" i="364"/>
  <c r="P7" i="364"/>
  <c r="P6" i="364"/>
  <c r="P5" i="364"/>
  <c r="P4" i="3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tc={8FC94A5C-9387-4262-9880-39638F4D0AA8}</author>
    <author>tc={97C8675C-6E4E-442C-BF62-E06AB50AC129}</author>
    <author>tc={879F8E65-2565-40DA-8ED7-4B465530BEF0}</author>
    <author>tc={523ECB4D-6FB4-4CEF-B235-C851F9F9B1BC}</author>
    <author>tc={B091ADBE-1256-4B9C-9213-6BA0A5EFCBC2}</author>
    <author>tc={8B2BDE6F-0F51-49E6-8DCF-D5A5918013C1}</author>
    <author>tc={1167C42F-7E24-453A-A4CC-7D34B9C2760A}</author>
    <author>tc={EAEB30B9-7246-46D4-89EB-5683B165F304}</author>
    <author>tc={038897A6-CB28-41F7-AF3E-3C5341442D9B}</author>
    <author>tc={37C9FCE8-1AB1-406E-A83B-FA37E626D3CB}</author>
    <author>tc={32B44A4A-5491-45E4-8D6B-9918BD5E75A2}</author>
    <author>tc={49CEAD08-26AE-4567-A6D7-13CF416304E0}</author>
    <author>tc={360406C8-C33C-4678-B2F3-EF7DAA4FAF93}</author>
    <author>tc={C2C6F0EA-5303-4F5F-B91B-2975071657D8}</author>
    <author>tc={6715AED4-3425-413E-9178-096E452BAD92}</author>
    <author>tc={0F3C9B88-03B0-45C8-834E-9931CAAA4651}</author>
    <author>tc={3C15E973-5FA7-47BD-80A8-9ECE534AFAB4}</author>
    <author>tc={600F78B9-C5F6-4D29-8FC3-3C3AEEBD696A}</author>
    <author>tc={1ED7036C-9F8E-4CB8-8E30-944DBC666F60}</author>
    <author>tc={F312014D-BDBE-4D91-8E54-38FF09741767}</author>
    <author>tc={53003607-8FEE-40F0-8144-46D291E79274}</author>
    <author>tc={1E675246-F11A-42A7-B7F8-39BEFD89E401}</author>
    <author>tc={7AE389C4-1523-4505-A7C7-D51BE63813C4}</author>
    <author>tc={21B1D804-B612-498B-BAC4-9B9EFE386D9D}</author>
    <author>tc={396DAEC8-D4A3-4C37-9BB4-B321D9E889AC}</author>
    <author>tc={CE0FABF5-703E-440E-8427-C3DE39353B7A}</author>
    <author>tc={7C35A288-EF43-4A4F-B96F-9D4DD21669E1}</author>
    <author>tc={79306DB9-83BA-42F4-AFF6-896D75433D71}</author>
    <author>tc={D50689E1-B9E0-46EB-9D22-F0207261EA49}</author>
    <author>tc={BDD53F9C-1286-4660-8FFA-FB7F9FEC5FC9}</author>
    <author>tc={65FAAB32-E134-4B86-85B0-D265305BF4F8}</author>
    <author>tc={3ADDBB46-AEB6-4D7A-89C1-48D0A5E1B59E}</author>
    <author>tc={D6963F05-5508-4A68-AF96-FE57C9122CB5}</author>
    <author>tc={989333E3-6260-4BDD-965C-537BA476D729}</author>
    <author>tc={CF19314D-587F-451F-929C-46F0E086C398}</author>
    <author>tc={DDB1E496-3262-42A0-997C-D3CA29974272}</author>
    <author>tc={A1875AD3-CFED-4F36-893E-0B3B51297ADC}</author>
    <author>tc={C68BF4CE-070A-4B0C-8E75-A0840E75393C}</author>
    <author>tc={5563D6C0-5B9D-49DB-A71B-7A326455F833}</author>
  </authors>
  <commentList>
    <comment ref="C51" authorId="0" shapeId="0" xr:uid="{8FC94A5C-9387-4262-9880-39638F4D0AA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G51" authorId="1" shapeId="0" xr:uid="{97C8675C-6E4E-442C-BF62-E06AB50AC12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10976, sahid 23365, 16675 deepak, yseen 5500 with arrear</t>
      </text>
    </comment>
    <comment ref="C52" authorId="2" shapeId="0" xr:uid="{879F8E65-2565-40DA-8ED7-4B465530BEF0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rent</t>
      </text>
    </comment>
    <comment ref="C53" authorId="3" shapeId="0" xr:uid="{523ECB4D-6FB4-4CEF-B235-C851F9F9B1BC}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D53" authorId="4" shapeId="0" xr:uid="{B091ADBE-1256-4B9C-9213-6BA0A5EFCBC2}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E53" authorId="5" shapeId="0" xr:uid="{8B2BDE6F-0F51-49E6-8DCF-D5A5918013C1}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F53" authorId="6" shapeId="0" xr:uid="{1167C42F-7E24-453A-A4CC-7D34B9C2760A}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 manish and sahid, and Yaseen 2000</t>
      </text>
    </comment>
    <comment ref="G53" authorId="7" shapeId="0" xr:uid="{EAEB30B9-7246-46D4-89EB-5683B165F304}">
      <text>
        <t>[Threaded comment]
Your version of Excel allows you to read this threaded comment; however, any edits to it will get removed if the file is opened in a newer version of Excel. Learn more: https://go.microsoft.com/fwlink/?linkid=870924
Comment:
    800 petrol pm, car rental 1500 pm, fixed reim 4100</t>
      </text>
    </comment>
    <comment ref="C59" authorId="8" shapeId="0" xr:uid="{038897A6-CB28-41F7-AF3E-3C5341442D9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D59" authorId="9" shapeId="0" xr:uid="{37C9FCE8-1AB1-406E-A83B-FA37E626D3C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E59" authorId="10" shapeId="0" xr:uid="{32B44A4A-5491-45E4-8D6B-9918BD5E75A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F59" authorId="11" shapeId="0" xr:uid="{49CEAD08-26AE-4567-A6D7-13CF416304E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G59" authorId="12" shapeId="0" xr:uid="{360406C8-C33C-4678-B2F3-EF7DAA4FAF9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7150, sahid 6272, 11500 deepak</t>
      </text>
    </comment>
    <comment ref="C62" authorId="13" shapeId="0" xr:uid="{C2C6F0EA-5303-4F5F-B91B-2975071657D8}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D62" authorId="14" shapeId="0" xr:uid="{6715AED4-3425-413E-9178-096E452BAD92}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E62" authorId="15" shapeId="0" xr:uid="{0F3C9B88-03B0-45C8-834E-9931CAAA4651}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F62" authorId="16" shapeId="0" xr:uid="{3C15E973-5FA7-47BD-80A8-9ECE534AFAB4}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G62" authorId="17" shapeId="0" xr:uid="{600F78B9-C5F6-4D29-8FC3-3C3AEEBD6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WH rent</t>
      </text>
    </comment>
    <comment ref="C64" authorId="18" shapeId="0" xr:uid="{1ED7036C-9F8E-4CB8-8E30-944DBC666F6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D64" authorId="19" shapeId="0" xr:uid="{F312014D-BDBE-4D91-8E54-38FF0974176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E64" authorId="20" shapeId="0" xr:uid="{53003607-8FEE-40F0-8144-46D291E7927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F64" authorId="21" shapeId="0" xr:uid="{1E675246-F11A-42A7-B7F8-39BEFD89E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G64" authorId="22" shapeId="0" xr:uid="{7AE389C4-1523-4505-A7C7-D51BE63813C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Manish house rent</t>
      </text>
    </comment>
    <comment ref="F79" authorId="23" shapeId="0" xr:uid="{21B1D804-B612-498B-BAC4-9B9EFE386D9D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dual places in shifting month</t>
      </text>
    </comment>
    <comment ref="C84" authorId="24" shapeId="0" xr:uid="{396DAEC8-D4A3-4C37-9BB4-B321D9E889A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petty cash</t>
      </text>
    </comment>
    <comment ref="F84" authorId="25" shapeId="0" xr:uid="{CE0FABF5-703E-440E-8427-C3DE39353B7A}">
      <text>
        <t>[Threaded comment]
Your version of Excel allows you to read this threaded comment; however, any edits to it will get removed if the file is opened in a newer version of Excel. Learn more: https://go.microsoft.com/fwlink/?linkid=870924
Comment:
    Yaseen Visa</t>
      </text>
    </comment>
    <comment ref="G84" authorId="26" shapeId="0" xr:uid="{7C35A288-EF43-4A4F-B96F-9D4DD21669E1}">
      <text>
        <t>[Threaded comment]
Your version of Excel allows you to read this threaded comment; however, any edits to it will get removed if the file is opened in a newer version of Excel. Learn more: https://go.microsoft.com/fwlink/?linkid=870924
Comment:
    Sahid and Manish Visa</t>
      </text>
    </comment>
    <comment ref="C89" authorId="27" shapeId="0" xr:uid="{79306DB9-83BA-42F4-AFF6-896D75433D71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Mapas, 42 for Al ansari</t>
      </text>
    </comment>
    <comment ref="D89" authorId="28" shapeId="0" xr:uid="{D50689E1-B9E0-46EB-9D22-F0207261EA49}">
      <text>
        <t>[Threaded comment]
Your version of Excel allows you to read this threaded comment; however, any edits to it will get removed if the file is opened in a newer version of Excel. Learn more: https://go.microsoft.com/fwlink/?linkid=870924
Comment:
    4500 for legal draft related to divit, 42 for Al ansari</t>
      </text>
    </comment>
    <comment ref="E89" authorId="29" shapeId="0" xr:uid="{BDD53F9C-1286-4660-8FFA-FB7F9FEC5FC9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Mapas, 42 for Al ansari</t>
      </text>
    </comment>
    <comment ref="F89" authorId="30" shapeId="0" xr:uid="{65FAAB32-E134-4B86-85B0-D265305BF4F8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Mapal, al ansari 42, 238 Alif pay</t>
      </text>
    </comment>
    <comment ref="G89" authorId="31" shapeId="0" xr:uid="{3ADDBB46-AEB6-4D7A-89C1-48D0A5E1B59E}">
      <text>
        <t>[Threaded comment]
Your version of Excel allows you to read this threaded comment; however, any edits to it will get removed if the file is opened in a newer version of Excel. Learn more: https://go.microsoft.com/fwlink/?linkid=870924
Comment:
    Alif pay 5280, 42 for Al ansari ,37275 provision for audit fees of 24-25</t>
      </text>
    </comment>
    <comment ref="G98" authorId="32" shapeId="0" xr:uid="{D6963F05-5508-4A68-AF96-FE57C9122CB5}">
      <text>
        <t>[Threaded comment]
Your version of Excel allows you to read this threaded comment; however, any edits to it will get removed if the file is opened in a newer version of Excel. Learn more: https://go.microsoft.com/fwlink/?linkid=870924
Comment:
    Gulf food registration 30K</t>
      </text>
    </comment>
    <comment ref="C111" authorId="33" shapeId="0" xr:uid="{989333E3-6260-4BDD-965C-537BA476D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D111" authorId="34" shapeId="0" xr:uid="{CF19314D-587F-451F-929C-46F0E086C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E111" authorId="35" shapeId="0" xr:uid="{DDB1E496-3262-42A0-997C-D3CA299742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F111" authorId="36" shapeId="0" xr:uid="{A1875AD3-CFED-4F36-893E-0B3B51297A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G111" authorId="37" shapeId="0" xr:uid="{C68BF4CE-070A-4B0C-8E75-A0840E753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Prepaid of license fee</t>
      </text>
    </comment>
    <comment ref="F125" authorId="38" shapeId="0" xr:uid="{5563D6C0-5B9D-49DB-A71B-7A326455F8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Brokarage for warehouse rent 22000 aed,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tc={53314233-05AA-40ED-B38B-7AB8B485D6A3}</author>
    <author>tc={2FF18B15-9E87-4333-B2F6-8002D026F35C}</author>
    <author>tc={ED14A61C-71B3-40C0-9105-9C72842DDBE6}</author>
    <author>tc={32482C54-E079-4159-81A1-BB3679814DAF}</author>
    <author>tc={EF4BC170-430C-429D-A6B8-BB93BD465303}</author>
    <author>tc={C69BA373-0B41-42F3-A44E-CA16992480D3}</author>
    <author>tc={CF9C793A-1631-4361-8356-FDBF79B264D2}</author>
  </authors>
  <commentList>
    <comment ref="C17" authorId="0" shapeId="0" xr:uid="{53314233-05AA-40ED-B38B-7AB8B485D6A3}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D17" authorId="1" shapeId="0" xr:uid="{2FF18B15-9E87-4333-B2F6-8002D026F35C}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E17" authorId="2" shapeId="0" xr:uid="{ED14A61C-71B3-40C0-9105-9C72842DDBE6}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F17" authorId="3" shapeId="0" xr:uid="{32482C54-E079-4159-81A1-BB367981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G17" authorId="4" shapeId="0" xr:uid="{EF4BC170-430C-429D-A6B8-BB93BD465303}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H17" authorId="5" shapeId="0" xr:uid="{C69BA373-0B41-42F3-A44E-CA16992480D3}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  <comment ref="I17" authorId="6" shapeId="0" xr:uid="{CF9C793A-1631-4361-8356-FDBF79B264D2}">
      <text>
        <t>[Threaded comment]
Your version of Excel allows you to read this threaded comment; however, any edits to it will get removed if the file is opened in a newer version of Excel. Learn more: https://go.microsoft.com/fwlink/?linkid=870924
Comment:
    FD 1.7 cr, FD 15 lakh, Fd 14 lakh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<sst xmlns="http://schemas.openxmlformats.org/spreadsheetml/2006/main" count="14947" uniqueCount="2603">
  <si>
    <t>Remarks</t>
  </si>
  <si>
    <t>Revenue Booked</t>
  </si>
  <si>
    <t>Employee Costs</t>
  </si>
  <si>
    <t>Technical Expenses</t>
  </si>
  <si>
    <t>Software Expenses</t>
  </si>
  <si>
    <t>Office Expenses</t>
  </si>
  <si>
    <t>Internet Charges</t>
  </si>
  <si>
    <t>Telephone Expenses</t>
  </si>
  <si>
    <t>Travelling &amp; Conveyance</t>
  </si>
  <si>
    <t>Legal &amp; Professional Fees</t>
  </si>
  <si>
    <t>Finance Partner</t>
  </si>
  <si>
    <t>Hiring Partner</t>
  </si>
  <si>
    <t>Legal Expenses</t>
  </si>
  <si>
    <t>Other Expenses</t>
  </si>
  <si>
    <t>Other General Expenses</t>
  </si>
  <si>
    <t>Total Expenses</t>
  </si>
  <si>
    <t>EBITDA</t>
  </si>
  <si>
    <t>Depreciation</t>
  </si>
  <si>
    <t>Interest</t>
  </si>
  <si>
    <t>EBT</t>
  </si>
  <si>
    <t>Net Profit after Exceptional Items</t>
  </si>
  <si>
    <t>Balance Sheet</t>
  </si>
  <si>
    <t>Trade payables</t>
  </si>
  <si>
    <t>Long-term borrowings</t>
  </si>
  <si>
    <t>Cash and bank balances</t>
  </si>
  <si>
    <t>Represented by</t>
  </si>
  <si>
    <t>Share Capital</t>
  </si>
  <si>
    <t>Reserves and surplus</t>
  </si>
  <si>
    <t>Net worth</t>
  </si>
  <si>
    <t>Prepaid Expenses</t>
  </si>
  <si>
    <t>Total</t>
  </si>
  <si>
    <t>Fixed Assets</t>
  </si>
  <si>
    <t>Staff Welfare</t>
  </si>
  <si>
    <t>Printing and Stationery</t>
  </si>
  <si>
    <t>Business Promotion</t>
  </si>
  <si>
    <t>Other</t>
  </si>
  <si>
    <t>Branding Expenses</t>
  </si>
  <si>
    <t>ROC Charges</t>
  </si>
  <si>
    <t>Custodian Charges</t>
  </si>
  <si>
    <t>IEC Registration</t>
  </si>
  <si>
    <t>Demat Charges</t>
  </si>
  <si>
    <t>Foreign Exchange Charges</t>
  </si>
  <si>
    <t>Term Deposits</t>
  </si>
  <si>
    <t>Foreign Exchange</t>
  </si>
  <si>
    <t>Redmi 10 Prime</t>
  </si>
  <si>
    <t>Term Deposit</t>
  </si>
  <si>
    <t>IDBI Bank</t>
  </si>
  <si>
    <t>Closing Stock</t>
  </si>
  <si>
    <t>Interest on unsecured loan payable</t>
  </si>
  <si>
    <t>Opening Stock</t>
  </si>
  <si>
    <t>COGS</t>
  </si>
  <si>
    <t>Refer BS Annexure</t>
  </si>
  <si>
    <t>Other Current Asset</t>
  </si>
  <si>
    <t>Amount</t>
  </si>
  <si>
    <t>Manish Khiyani</t>
  </si>
  <si>
    <t>Qty</t>
  </si>
  <si>
    <t>Rate</t>
  </si>
  <si>
    <t>Category</t>
  </si>
  <si>
    <t>Kedar Shivanand Mankekar</t>
  </si>
  <si>
    <t>Aspire Financial Consulting</t>
  </si>
  <si>
    <t>Shivanand Shankar Mankekar</t>
  </si>
  <si>
    <t>Vaibhavi Paresh Shah</t>
  </si>
  <si>
    <t>Loan</t>
  </si>
  <si>
    <t>Statutory Dues</t>
  </si>
  <si>
    <t>Conveyance</t>
  </si>
  <si>
    <t>Repairs &amp; maintainance</t>
  </si>
  <si>
    <t>Advertising Expenses</t>
  </si>
  <si>
    <t>TCS Receivable</t>
  </si>
  <si>
    <t>LG Oven</t>
  </si>
  <si>
    <t>VU 55' Ultra HD TV</t>
  </si>
  <si>
    <t>Figures in Rs</t>
  </si>
  <si>
    <r>
      <t xml:space="preserve">Currency </t>
    </r>
    <r>
      <rPr>
        <b/>
        <i/>
        <sz val="10"/>
        <color theme="0" tint="-0.499984740745262"/>
        <rFont val="Arial Narrow"/>
        <family val="2"/>
      </rPr>
      <t>(Rs)</t>
    </r>
  </si>
  <si>
    <t>Vaibhavi Reimbursement</t>
  </si>
  <si>
    <t>Salaries*</t>
  </si>
  <si>
    <t>Vendor Name</t>
  </si>
  <si>
    <t>Printer Rent</t>
  </si>
  <si>
    <t>Installation charges</t>
  </si>
  <si>
    <t>Office Rent</t>
  </si>
  <si>
    <t>Investment in Parnia Expora Pvt Ltd</t>
  </si>
  <si>
    <t>Voltas Water Dispenser</t>
  </si>
  <si>
    <t>Security Deposit</t>
  </si>
  <si>
    <t>Electricity Charges</t>
  </si>
  <si>
    <t>Interest Income</t>
  </si>
  <si>
    <t>Interest Receivable</t>
  </si>
  <si>
    <t>Travelling Expenses</t>
  </si>
  <si>
    <t>Lenovo ThinkPad E14 20TAS0YF00</t>
  </si>
  <si>
    <t>Aspirarch Market Platforms Private Limited</t>
  </si>
  <si>
    <t>Priyanka Bhaskar Shah</t>
  </si>
  <si>
    <t>TDS on Professional Fees</t>
  </si>
  <si>
    <t>Provident Fund</t>
  </si>
  <si>
    <t>Marketing Expenses</t>
  </si>
  <si>
    <t>Sales</t>
  </si>
  <si>
    <t>Purchase</t>
  </si>
  <si>
    <t>Direct Expenses</t>
  </si>
  <si>
    <t>Labour charges on Gold &amp; Diamond</t>
  </si>
  <si>
    <t>Unsecured Loans</t>
  </si>
  <si>
    <t>Duties &amp; Taxes</t>
  </si>
  <si>
    <t>Interest on Unsecured Loan Payable</t>
  </si>
  <si>
    <t>Alfa water purifier</t>
  </si>
  <si>
    <t>I.T. Equipment</t>
  </si>
  <si>
    <t>kelvinator refrigerator</t>
  </si>
  <si>
    <t>Loans &amp; Advances (Asset)</t>
  </si>
  <si>
    <t>Labour Charges</t>
  </si>
  <si>
    <t>Administrative Charges</t>
  </si>
  <si>
    <t>Interest on TDS</t>
  </si>
  <si>
    <t>Interest on Unsecured Loan</t>
  </si>
  <si>
    <t>Registration Charges</t>
  </si>
  <si>
    <t>Share Issue Expenses</t>
  </si>
  <si>
    <t>Software Subscription Charges</t>
  </si>
  <si>
    <t>Gross Profit</t>
  </si>
  <si>
    <t>Stamp Duty Charges</t>
  </si>
  <si>
    <t>Housekeeping Expenses</t>
  </si>
  <si>
    <t>Trade Receivables</t>
  </si>
  <si>
    <t>Housekeeping Charges</t>
  </si>
  <si>
    <t>Professional Fees</t>
  </si>
  <si>
    <t>Arpi Shah Family Trust</t>
  </si>
  <si>
    <t>Priyanka Shah Family Trust</t>
  </si>
  <si>
    <t>Loan to Aspirarch Market Platforms Limited (US Sub)</t>
  </si>
  <si>
    <t>Devanshu Reimbursement</t>
  </si>
  <si>
    <t>Siddharth Bhaskar Shah</t>
  </si>
  <si>
    <t>Nokia</t>
  </si>
  <si>
    <t>Interest on FD</t>
  </si>
  <si>
    <t>GOVT Service</t>
  </si>
  <si>
    <t>Export Insurance Policy Charges</t>
  </si>
  <si>
    <t>Membership Fees</t>
  </si>
  <si>
    <t>OPPO A31</t>
  </si>
  <si>
    <t>Office Equipment</t>
  </si>
  <si>
    <t>Office Equipments</t>
  </si>
  <si>
    <t xml:space="preserve">     PF Insurance Charges </t>
  </si>
  <si>
    <t>Export Insurance Policy</t>
  </si>
  <si>
    <t>Total Cost</t>
  </si>
  <si>
    <t>Foreign Remittance Charges</t>
  </si>
  <si>
    <t>Insurance Charges</t>
  </si>
  <si>
    <t>Loans to Arha Platforms Jewellery Trading LLC (UAE Subs)</t>
  </si>
  <si>
    <t>Foreign Exchange- Vaibhavi Shah</t>
  </si>
  <si>
    <t>JK  International</t>
  </si>
  <si>
    <t>Provision for Expenses</t>
  </si>
  <si>
    <t>HP PROBOOK 430 GB</t>
  </si>
  <si>
    <t>Freight &amp; forwarding Charges</t>
  </si>
  <si>
    <t>Spice testing expenses</t>
  </si>
  <si>
    <t>Niket Reimbursement</t>
  </si>
  <si>
    <t>Direct Expense</t>
  </si>
  <si>
    <t>Month</t>
  </si>
  <si>
    <t>Invoice Number</t>
  </si>
  <si>
    <t>Product</t>
  </si>
  <si>
    <t>Direct Expense P.U</t>
  </si>
  <si>
    <t>Customer Name</t>
  </si>
  <si>
    <t>Margin</t>
  </si>
  <si>
    <t>Qty (Measure)</t>
  </si>
  <si>
    <t>CHA Charges</t>
  </si>
  <si>
    <t>Diff</t>
  </si>
  <si>
    <t>Segment</t>
  </si>
  <si>
    <t>PL</t>
  </si>
  <si>
    <t>Advertisement &amp; Marketing Fees</t>
  </si>
  <si>
    <t>Refer Trade Receivable Annexure- BS1</t>
  </si>
  <si>
    <t>Refer BS Annexure - BS1</t>
  </si>
  <si>
    <t>Refer BS3</t>
  </si>
  <si>
    <t>Refer PL5</t>
  </si>
  <si>
    <t>GP %</t>
  </si>
  <si>
    <t>Refer BS Annexure- BS4</t>
  </si>
  <si>
    <t>Travelling Expenses (Cash &amp; Local)</t>
  </si>
  <si>
    <t xml:space="preserve">Audit Fees Payable </t>
  </si>
  <si>
    <t>DTL</t>
  </si>
  <si>
    <t>Duty Drawback</t>
  </si>
  <si>
    <t>Advance Salary to Prakash Chaudhary</t>
  </si>
  <si>
    <t>Deepanshu Reimbursement</t>
  </si>
  <si>
    <t>Suspense</t>
  </si>
  <si>
    <t>Krushang Boria (SC) Partly Paidup Shares</t>
  </si>
  <si>
    <t>Arpi Atul Mehta</t>
  </si>
  <si>
    <t>Jasmin Bhashkar Shah jointly with Siddharth Shah</t>
  </si>
  <si>
    <t>Jasmine Shah jointly with Priyanka Shah</t>
  </si>
  <si>
    <t>Krushang Boria (SC)</t>
  </si>
  <si>
    <t>Priyanka Shah ( SC )</t>
  </si>
  <si>
    <t>Siddharth Shah Family Trust</t>
  </si>
  <si>
    <t>Siddharth Shah (SC)</t>
  </si>
  <si>
    <t>Audit Fees Payable</t>
  </si>
  <si>
    <t>Loans to Arha Platforms General Trading LLC</t>
  </si>
  <si>
    <t>TCS</t>
  </si>
  <si>
    <t>Advance Salary</t>
  </si>
  <si>
    <t>CFS Charges</t>
  </si>
  <si>
    <t>COO Charges</t>
  </si>
  <si>
    <t>Health Certificate</t>
  </si>
  <si>
    <t>Insurance</t>
  </si>
  <si>
    <t>Transportation Charges</t>
  </si>
  <si>
    <t>Other Direct Expenses</t>
  </si>
  <si>
    <t>Export Duty</t>
  </si>
  <si>
    <t>Employer Contribution PF</t>
  </si>
  <si>
    <t>Audit Fees</t>
  </si>
  <si>
    <t>Group Health Insurance Policy</t>
  </si>
  <si>
    <t>Direct Income</t>
  </si>
  <si>
    <t>Customer Country</t>
  </si>
  <si>
    <t>ASP/EXP/22-23/12</t>
  </si>
  <si>
    <t>ESIC charges</t>
  </si>
  <si>
    <t>Licenses and Custodian Charges</t>
  </si>
  <si>
    <t>Refer BS Annexure- BS2</t>
  </si>
  <si>
    <t>Provisions and Other Current Liabilities</t>
  </si>
  <si>
    <t>ASP/EXP/22-23/24</t>
  </si>
  <si>
    <t>ASP/EXP/22-23/32</t>
  </si>
  <si>
    <t>Bonus</t>
  </si>
  <si>
    <t>Citi Bank</t>
  </si>
  <si>
    <t>Certificate of Origin</t>
  </si>
  <si>
    <t>Courier Charges</t>
  </si>
  <si>
    <t>Bank Charges Against Import/MTT Transaction</t>
  </si>
  <si>
    <t>Packing Charges</t>
  </si>
  <si>
    <t>Credit Rating Expenses</t>
  </si>
  <si>
    <t>Foreign Exchange Gain/(Loss)</t>
  </si>
  <si>
    <t>Legal Expense</t>
  </si>
  <si>
    <t>Salary Payable</t>
  </si>
  <si>
    <t>Pooja Mehra Reimbursement</t>
  </si>
  <si>
    <t>Investment in Arha Platforms Genral Trading LLC</t>
  </si>
  <si>
    <t xml:space="preserve">     Bonus</t>
  </si>
  <si>
    <t>Diwali Expenses</t>
  </si>
  <si>
    <t>Bank charges against Import/MTT Transaction</t>
  </si>
  <si>
    <t>Provision for Direct expense</t>
  </si>
  <si>
    <t>Provision for invoices yet to come</t>
  </si>
  <si>
    <t>100% Investment in Arha General Trading LLC</t>
  </si>
  <si>
    <t>Interest on Income Tax Refund</t>
  </si>
  <si>
    <t>Rishit Jaysukh Parekh</t>
  </si>
  <si>
    <t>Securities Premium</t>
  </si>
  <si>
    <t>Sangita Parekh</t>
  </si>
  <si>
    <t>Hiral Nilesh Gandhi</t>
  </si>
  <si>
    <t>Dhanashree Giri</t>
  </si>
  <si>
    <t>Ronak Kishor Morbia</t>
  </si>
  <si>
    <t>Rohan Ramesh Morbia</t>
  </si>
  <si>
    <t>Kousanee Pradeep Chheda</t>
  </si>
  <si>
    <t>Sumaali Pradeep Chheda</t>
  </si>
  <si>
    <t>Pradip Jethalal Morbia</t>
  </si>
  <si>
    <t>Nayna Pradeep Chheda</t>
  </si>
  <si>
    <t>Mr. Anuj</t>
  </si>
  <si>
    <t>Anand Nimesh Shah</t>
  </si>
  <si>
    <t>Series A1 CCPS Shares</t>
  </si>
  <si>
    <t>Peppermint Fashion LLC</t>
  </si>
  <si>
    <t>Goods Insurance Charges</t>
  </si>
  <si>
    <t>Karambir Reimbursement</t>
  </si>
  <si>
    <t>Foreign Exchange Gain/ (Loss)</t>
  </si>
  <si>
    <t>Cash Discount - Income</t>
  </si>
  <si>
    <t>Other Charges</t>
  </si>
  <si>
    <t>Foreign Exchange- Abhinav Boria</t>
  </si>
  <si>
    <t>Provision Payable</t>
  </si>
  <si>
    <t>Anand Shah</t>
  </si>
  <si>
    <t>Adjustment</t>
  </si>
  <si>
    <t>ASP/EXP/22-23/60</t>
  </si>
  <si>
    <t>QC Charges</t>
  </si>
  <si>
    <t>Sub Category</t>
  </si>
  <si>
    <t>Repair and Maintenance</t>
  </si>
  <si>
    <t>1218</t>
  </si>
  <si>
    <t>Arha Platform Jewellery Trading LLC (L)</t>
  </si>
  <si>
    <t>Duty Drawback Receivable</t>
  </si>
  <si>
    <t>Amendment Charges</t>
  </si>
  <si>
    <t>Stipend</t>
  </si>
  <si>
    <t>Investment in Arha Platforms Jewellery Trading LLC</t>
  </si>
  <si>
    <t>100% Investment in Arha Jewellery Trading LLC</t>
  </si>
  <si>
    <t>Prepaid Rent</t>
  </si>
  <si>
    <t>VAT 5%</t>
  </si>
  <si>
    <t>Amount (P)</t>
  </si>
  <si>
    <t>Direct Expenses Cost (F)</t>
  </si>
  <si>
    <t>Total After Adjustment (S)</t>
  </si>
  <si>
    <t>Gross Margin 2</t>
  </si>
  <si>
    <t>Gross Margin 1</t>
  </si>
  <si>
    <t>Revenue and Margin by Invoice</t>
  </si>
  <si>
    <t>AGT</t>
  </si>
  <si>
    <t>Expense</t>
  </si>
  <si>
    <t>ESOP</t>
  </si>
  <si>
    <t>Mohammad Yaseen</t>
  </si>
  <si>
    <t>Priyanka Medical Pvt Ltd</t>
  </si>
  <si>
    <t>Vichi Agro Products Pvt. Ltd.</t>
  </si>
  <si>
    <t>ASP/LOC/22-23/11</t>
  </si>
  <si>
    <t>ASP/LOC/22-23/13</t>
  </si>
  <si>
    <t>ASP/LOC/22-23/14</t>
  </si>
  <si>
    <t>ASP/LOC/22-23/15</t>
  </si>
  <si>
    <t>Indo Baltic Pte. Ltd</t>
  </si>
  <si>
    <t>Bill Discounting Interest Cost</t>
  </si>
  <si>
    <t>Foreign Exchange- Prakash Choudhary</t>
  </si>
  <si>
    <t>I - PAD</t>
  </si>
  <si>
    <t>PCFC Bank Charges</t>
  </si>
  <si>
    <t>Warehouse Rent</t>
  </si>
  <si>
    <t>Secured Loans</t>
  </si>
  <si>
    <t>Loan Under Bill Discounting</t>
  </si>
  <si>
    <t>PCFC Loan</t>
  </si>
  <si>
    <t>Unsecured Loan</t>
  </si>
  <si>
    <t>Prakash Choudhary</t>
  </si>
  <si>
    <t>Interest on Bill Discounting</t>
  </si>
  <si>
    <t>Interest on PCFC Loan</t>
  </si>
  <si>
    <t>Interest on late payment of TDS</t>
  </si>
  <si>
    <t>Interest on unsecured loan</t>
  </si>
  <si>
    <t>Loan Disbursement Charges -One Time</t>
  </si>
  <si>
    <t>Interest on CC/OD Loan</t>
  </si>
  <si>
    <t>Advance from customer</t>
  </si>
  <si>
    <t>Making Charges</t>
  </si>
  <si>
    <t>Car Deposit</t>
  </si>
  <si>
    <t>Shahid</t>
  </si>
  <si>
    <t>Contracted Employee</t>
  </si>
  <si>
    <t>Partner Name</t>
  </si>
  <si>
    <t>Arha Platforms General Trading LLC</t>
  </si>
  <si>
    <t>ASP/LOC/22-23/17</t>
  </si>
  <si>
    <t>ASP/LOC/22-23/19</t>
  </si>
  <si>
    <t>Interest on Unsecured Loan Payable- PS</t>
  </si>
  <si>
    <t>PCFC Interest Charges</t>
  </si>
  <si>
    <t>ARHA PLATFORMS JEWELLERY TRADING L.L.C</t>
  </si>
  <si>
    <t>Golden Rise Trading LLC</t>
  </si>
  <si>
    <t>Purplelabs Search Pvt Ltd Share Capital</t>
  </si>
  <si>
    <t>Interest on Unsecured Loan Payable- BS</t>
  </si>
  <si>
    <t>Interest on Unsecured Loan Payable- PMPL</t>
  </si>
  <si>
    <t>Interest on Unsecured Loan Payable- SS</t>
  </si>
  <si>
    <t>HP PROBOOK 440 GB</t>
  </si>
  <si>
    <t>HP PROBOOK 450 GB</t>
  </si>
  <si>
    <t>Foreign Exchange- Vishal Shah</t>
  </si>
  <si>
    <t>LC /Bills Guarantee Charges</t>
  </si>
  <si>
    <t>PCFC bank charges</t>
  </si>
  <si>
    <t>Bad Debt/Provision for Loss</t>
  </si>
  <si>
    <t>Provision for Expected future loss</t>
  </si>
  <si>
    <t>Provision for Doubtful debts</t>
  </si>
  <si>
    <t>Indirect Income</t>
  </si>
  <si>
    <t>Rodtep Income</t>
  </si>
  <si>
    <t>Expora</t>
  </si>
  <si>
    <t>Finance Cost</t>
  </si>
  <si>
    <t>Loss YTD</t>
  </si>
  <si>
    <t>Security Premium</t>
  </si>
  <si>
    <t>Funds infused till date</t>
  </si>
  <si>
    <t>Net Negative</t>
  </si>
  <si>
    <t>Face Reader Attendance Device</t>
  </si>
  <si>
    <t>EBRC Charges</t>
  </si>
  <si>
    <t>DT/PO/2023/045</t>
  </si>
  <si>
    <t>ASP/LOC/22-23/20</t>
  </si>
  <si>
    <t>ASP/LOC/22-23/21</t>
  </si>
  <si>
    <t>ASP/LOC/22-23/22</t>
  </si>
  <si>
    <t>ASP/LOC/22-23/23</t>
  </si>
  <si>
    <t>ASP/LOC/22-23/30</t>
  </si>
  <si>
    <t>ASP/LOC/22-23/31</t>
  </si>
  <si>
    <t>ASP/EXP/2223/104</t>
  </si>
  <si>
    <t>ASP/EXP/2223/106</t>
  </si>
  <si>
    <t>ASP/EXP/2223/105</t>
  </si>
  <si>
    <t>ASP/EXP/2223/112</t>
  </si>
  <si>
    <t>ASP/EXP/2223/111</t>
  </si>
  <si>
    <t>ASP/EXP/2223/113</t>
  </si>
  <si>
    <t>ASP/EXP/2223/108</t>
  </si>
  <si>
    <t>ASP/EXP/2223/110</t>
  </si>
  <si>
    <t>Advance from Customer</t>
  </si>
  <si>
    <t>Loan ASP/22-23/95- BD</t>
  </si>
  <si>
    <t>F02PCFC230825002</t>
  </si>
  <si>
    <t>Manoj Reimbursement</t>
  </si>
  <si>
    <t>IT Expenses</t>
  </si>
  <si>
    <t>Rates and Taxes</t>
  </si>
  <si>
    <t>Consultant Reimbursement</t>
  </si>
  <si>
    <t>Security Deposit - Xaviour Business Centre</t>
  </si>
  <si>
    <t>Short-term borrowings</t>
  </si>
  <si>
    <t>Fixed assets -Tangible</t>
  </si>
  <si>
    <t>Fixed assets -Intangible</t>
  </si>
  <si>
    <t>ASP/LOC/2324/001</t>
  </si>
  <si>
    <t>ASP/EXP/2324/001</t>
  </si>
  <si>
    <t>ASP/LOC/2324/002</t>
  </si>
  <si>
    <t>ASP/LOC/2324/003</t>
  </si>
  <si>
    <t>ASP/EXP/2324/002</t>
  </si>
  <si>
    <t>ASP/LOC/2324/004</t>
  </si>
  <si>
    <t>ASP/LOC/2324/005</t>
  </si>
  <si>
    <t>ASP/EXP/2324/004</t>
  </si>
  <si>
    <t>ASP/MKS/2324/001</t>
  </si>
  <si>
    <t>ASP/LOC/2324/006</t>
  </si>
  <si>
    <t>ASP/EXP/2324/005</t>
  </si>
  <si>
    <t>ASP/MKS/2324/002</t>
  </si>
  <si>
    <t>ASP/EXP/2324/006</t>
  </si>
  <si>
    <t>ASP/EXP/2324/007</t>
  </si>
  <si>
    <t>ASP/MKS/2324/004</t>
  </si>
  <si>
    <t>ASP/MKS/2324/008</t>
  </si>
  <si>
    <t>ASP/MKS/2324/013</t>
  </si>
  <si>
    <t>ASP/MKS/2324/018</t>
  </si>
  <si>
    <t>ASP/MKS/2324/007</t>
  </si>
  <si>
    <t>ASP/MKS/2324/009</t>
  </si>
  <si>
    <t>ASP/MKS/2324/016</t>
  </si>
  <si>
    <t>ASP/MKS/2324/015</t>
  </si>
  <si>
    <t>ASP/MKS/2324/005</t>
  </si>
  <si>
    <t>ASP/MKS/2324/006</t>
  </si>
  <si>
    <t>ASP/MKS/2324/012</t>
  </si>
  <si>
    <t>ASP/MKS/2324/014</t>
  </si>
  <si>
    <t>ASP/MKS/2324/010</t>
  </si>
  <si>
    <t>ASP/LOC/2324/012</t>
  </si>
  <si>
    <t>ASP/LOC/2324/013</t>
  </si>
  <si>
    <t>ASP/MKS/2324/003</t>
  </si>
  <si>
    <t>ASP/MKS/2324/017</t>
  </si>
  <si>
    <t>ASP/LOC/2324/014</t>
  </si>
  <si>
    <t>ASP/EXP/2324/008</t>
  </si>
  <si>
    <t>ASP/EXP/2324/009</t>
  </si>
  <si>
    <t>ASP/EXP/2324/010</t>
  </si>
  <si>
    <t>ASP/EXP/2324/011</t>
  </si>
  <si>
    <t>ASP/MKS/2324/011</t>
  </si>
  <si>
    <t>ASP/EXP/2324/003</t>
  </si>
  <si>
    <t>Bank Fees and Charges</t>
  </si>
  <si>
    <t>Custom Duty Payable</t>
  </si>
  <si>
    <t>Kaushal Jadhav Reimbursement</t>
  </si>
  <si>
    <t>Nilesh Reimbursement</t>
  </si>
  <si>
    <t>ASPIRARCH MARKET PLATFORMS PVT LTD- OD ACCOUNT CANARA</t>
  </si>
  <si>
    <t>4505060100457296</t>
  </si>
  <si>
    <t>4505060100457304</t>
  </si>
  <si>
    <t>COO Charge</t>
  </si>
  <si>
    <t>ECGC Premium</t>
  </si>
  <si>
    <t>Loan to Aspirarch Lanka (Pvt) Ltd</t>
  </si>
  <si>
    <t>ESIC Payable</t>
  </si>
  <si>
    <t>IT and Internet Expenses</t>
  </si>
  <si>
    <t>PF Payable</t>
  </si>
  <si>
    <t>Meals and Entertainment</t>
  </si>
  <si>
    <t>Harsh Deepak Shah</t>
  </si>
  <si>
    <t>Iqbal Ishak Khan</t>
  </si>
  <si>
    <t>Ankit Panchbhai Reimbursement.</t>
  </si>
  <si>
    <t>Petty Cash</t>
  </si>
  <si>
    <t>Payroll Tax Payable</t>
  </si>
  <si>
    <t>Rent Expense</t>
  </si>
  <si>
    <t>Prakash Reimbursement</t>
  </si>
  <si>
    <t>TDS Payable</t>
  </si>
  <si>
    <t>Kapur Family Trust</t>
  </si>
  <si>
    <t>MEMG FAMILY OFFICE LLP</t>
  </si>
  <si>
    <t>ASPIRARCH MARKET PLATFORMS PRIVATE LIMITED - AXIS BANK</t>
  </si>
  <si>
    <t>Sujan Jyot Singh Malhotra</t>
  </si>
  <si>
    <t>Travel Expense</t>
  </si>
  <si>
    <t>Advertising And Marketing</t>
  </si>
  <si>
    <t>Exchange Gain or Loss</t>
  </si>
  <si>
    <t>Account</t>
  </si>
  <si>
    <t>Assets</t>
  </si>
  <si>
    <t>Liabilities</t>
  </si>
  <si>
    <t>Equities</t>
  </si>
  <si>
    <t>Income</t>
  </si>
  <si>
    <t xml:space="preserve">ECGC Premium (Bank) </t>
  </si>
  <si>
    <t>Export Bill Collection Charges</t>
  </si>
  <si>
    <t>Other Bank Charges</t>
  </si>
  <si>
    <t>Deposits (Asset)</t>
  </si>
  <si>
    <t>ASP/EXP/2324/015</t>
  </si>
  <si>
    <t>ASP/EXP/2324/016</t>
  </si>
  <si>
    <t>ASP/EXP/2324/012</t>
  </si>
  <si>
    <t>ASP/LOC/2324/016</t>
  </si>
  <si>
    <t>ASP/LOC/2324/017</t>
  </si>
  <si>
    <t>ASP/EXP/2324/018</t>
  </si>
  <si>
    <t>ASP/EXP/2324/017</t>
  </si>
  <si>
    <t>ASP/EXP/2324/019</t>
  </si>
  <si>
    <t>ASP/EXP/2324/021</t>
  </si>
  <si>
    <t>ASP/EXP/2324/022</t>
  </si>
  <si>
    <t>ASP/EXP/2324/024</t>
  </si>
  <si>
    <t>ASP/EXP/2324/023</t>
  </si>
  <si>
    <t>ASP/EXP/2324/025</t>
  </si>
  <si>
    <t>ASP/EXP/2324/026</t>
  </si>
  <si>
    <t>ASP/EXP/2324/027</t>
  </si>
  <si>
    <t>ASP/EXP/2324/028</t>
  </si>
  <si>
    <t>ASP/EXP/2324/029</t>
  </si>
  <si>
    <t>Bank Charges Against Import/MTT Transaction.</t>
  </si>
  <si>
    <t>TCS Payable</t>
  </si>
  <si>
    <t>Ved Reimbursement</t>
  </si>
  <si>
    <t>ASPIRARCH MARKET PLATFORMS PVT LTD - CANARA BANK</t>
  </si>
  <si>
    <t>Canara Bank</t>
  </si>
  <si>
    <t>Loans to Arha Platforms Jewellery Trading LLC</t>
  </si>
  <si>
    <t>Priya Goel</t>
  </si>
  <si>
    <t>Kishor Dedhia Famity Trust</t>
  </si>
  <si>
    <t>Pranay Anil Shah</t>
  </si>
  <si>
    <t>Telephone Expense</t>
  </si>
  <si>
    <t>Accounts Receivable</t>
  </si>
  <si>
    <t>Advance TDS (FY21-22)</t>
  </si>
  <si>
    <t>Clearing GL</t>
  </si>
  <si>
    <t>Computers and Laptops</t>
  </si>
  <si>
    <t>Total for Computers and Laptops</t>
  </si>
  <si>
    <t>Employee Advance</t>
  </si>
  <si>
    <t>Total for Advance Salary</t>
  </si>
  <si>
    <t>Total for Employee Advance</t>
  </si>
  <si>
    <t>Foreign Exchange- Aditya Kaushal</t>
  </si>
  <si>
    <t>Foreign Exchange- Ajit Shah</t>
  </si>
  <si>
    <t>Total for Foreign Exchange</t>
  </si>
  <si>
    <t>Foreign Exchange - Krushang Boria</t>
  </si>
  <si>
    <t>Foreign Exchange - Prakash Chaudhary</t>
  </si>
  <si>
    <t>Foreign Exchange - Priyanka Shah</t>
  </si>
  <si>
    <t>Foreign Exchange - Saranya Ravikumar</t>
  </si>
  <si>
    <t>Foreign Exchange - Ved Shah</t>
  </si>
  <si>
    <t>Foreign Exchange - Viral Trivedi</t>
  </si>
  <si>
    <t>Input Tax Credits</t>
  </si>
  <si>
    <t>Input CGST</t>
  </si>
  <si>
    <t>Input IGST</t>
  </si>
  <si>
    <t>Input SGST</t>
  </si>
  <si>
    <t>Total for Input Tax Credits</t>
  </si>
  <si>
    <t>Intangible Asset</t>
  </si>
  <si>
    <t>Expora OS</t>
  </si>
  <si>
    <t>Total for Intangible Asset</t>
  </si>
  <si>
    <t>Inventory Asset</t>
  </si>
  <si>
    <t>Arha Platform General Trading LLC (L)</t>
  </si>
  <si>
    <t>Total for Loans &amp; Advances (Asset)</t>
  </si>
  <si>
    <t>Non Current Investment</t>
  </si>
  <si>
    <t>Arha Platform General Trading LLC (SC)</t>
  </si>
  <si>
    <t>Parnia Expora</t>
  </si>
  <si>
    <t>Total for Non Current Investment</t>
  </si>
  <si>
    <t>Total for Office Equipment</t>
  </si>
  <si>
    <t>Reverse Charge Tax Input but not due</t>
  </si>
  <si>
    <t>Security Deposit - CCD</t>
  </si>
  <si>
    <t>Security Deposit - Reliance Internet</t>
  </si>
  <si>
    <t>Security Deposit - Vidyavihar Office</t>
  </si>
  <si>
    <t>Accounts Payable</t>
  </si>
  <si>
    <t>Total for Advance from Customer</t>
  </si>
  <si>
    <t>Employee Reimbursements</t>
  </si>
  <si>
    <t>Total for Employee Reimbursements</t>
  </si>
  <si>
    <t>GST Payable</t>
  </si>
  <si>
    <t>Output CGST</t>
  </si>
  <si>
    <t>Output IGST</t>
  </si>
  <si>
    <t>Output SGST</t>
  </si>
  <si>
    <t>Total for GST Payable</t>
  </si>
  <si>
    <t>Total for Interest on Unsecured Loan Payable</t>
  </si>
  <si>
    <t>Payment received from the Vendor</t>
  </si>
  <si>
    <t>Total for Loan Under Bill Discounting</t>
  </si>
  <si>
    <t>PCFC Loans</t>
  </si>
  <si>
    <t>Total for F02PCFC230825002</t>
  </si>
  <si>
    <t>Total for PCFC Loans</t>
  </si>
  <si>
    <t>Total for Secured Loans</t>
  </si>
  <si>
    <t>Statutory Deductions Payable</t>
  </si>
  <si>
    <t>Profession Tax Payable</t>
  </si>
  <si>
    <t>Total for Statutory Deductions Payable</t>
  </si>
  <si>
    <t>Total for Unsecured Loans</t>
  </si>
  <si>
    <t>Retained Earnings</t>
  </si>
  <si>
    <t>Akarsh Bharadwaj</t>
  </si>
  <si>
    <t>Ashid Basheer</t>
  </si>
  <si>
    <t>Devika Menon</t>
  </si>
  <si>
    <t>Drashti Shriram Shah</t>
  </si>
  <si>
    <t>Ishita Bhavya Haria</t>
  </si>
  <si>
    <t>Rajesh Natwarlal Shah</t>
  </si>
  <si>
    <t>Saumil Girish Parekh</t>
  </si>
  <si>
    <t>Simmi Shankar Narayanan &amp; Shankar Narayanan Madhava Menon</t>
  </si>
  <si>
    <t>Tanavi Mohanty</t>
  </si>
  <si>
    <t>Total for Series A1 CCPS Shares</t>
  </si>
  <si>
    <t>Share Capital (Partly Paid up)</t>
  </si>
  <si>
    <t>Total for Share Capital (Partly Paid up)</t>
  </si>
  <si>
    <t>Total for Share Capital</t>
  </si>
  <si>
    <t>Consultant Expense</t>
  </si>
  <si>
    <t>Cost of Goods Sold</t>
  </si>
  <si>
    <t>ASP/EXP/2324/20</t>
  </si>
  <si>
    <t>Provision for direct expenses</t>
  </si>
  <si>
    <t>Total for Cost of Goods Sold</t>
  </si>
  <si>
    <t>Depreciation And Amortisation</t>
  </si>
  <si>
    <t>E-BRC Charges</t>
  </si>
  <si>
    <t>Employee Hiring Charges</t>
  </si>
  <si>
    <t>Total for Finance Cost</t>
  </si>
  <si>
    <t>Forex Service Charges</t>
  </si>
  <si>
    <t>General Insurance Charges</t>
  </si>
  <si>
    <t>Total for Other Expenses</t>
  </si>
  <si>
    <t>Postage</t>
  </si>
  <si>
    <t>Postage and Courier Charges</t>
  </si>
  <si>
    <t>Total for Postage</t>
  </si>
  <si>
    <t>Salary Expenses</t>
  </si>
  <si>
    <t>Arrears Salary</t>
  </si>
  <si>
    <t>Basic Salary.</t>
  </si>
  <si>
    <t>Conveyance Allowance.</t>
  </si>
  <si>
    <t>Employer Contribution PF.</t>
  </si>
  <si>
    <t>Fuel/ Motor Car Allowance.</t>
  </si>
  <si>
    <t>House Rent Allowance.</t>
  </si>
  <si>
    <t>Insurance Charges PF.</t>
  </si>
  <si>
    <t>Leave Travel Allowance.</t>
  </si>
  <si>
    <t>Medical Allowance.</t>
  </si>
  <si>
    <t>Special Allowance.</t>
  </si>
  <si>
    <t>Total for Salary Expenses</t>
  </si>
  <si>
    <t>ECGC Premium Direct Cost</t>
  </si>
  <si>
    <t>Current Year Earnings</t>
  </si>
  <si>
    <t>ARHA PLATFORMS GENERAL TRADING L.L.C (AED)</t>
  </si>
  <si>
    <t>ARHA PLATFORMS GENERAL TRADING L.L.C (Mashreq)</t>
  </si>
  <si>
    <t>ARHA PLATFORMS GENERAL TRADING L.L.C (USD A/c)</t>
  </si>
  <si>
    <t>Total for Deposits (Asset)</t>
  </si>
  <si>
    <t>Input VAT</t>
  </si>
  <si>
    <t>INDO BALTICE PTE LTD.</t>
  </si>
  <si>
    <t>Total for Prepaid Expenses</t>
  </si>
  <si>
    <t>Prepaid Telephone Charges</t>
  </si>
  <si>
    <t>Aspirach Market Platform Pvt Ltd</t>
  </si>
  <si>
    <t>Total for Duties &amp; Taxes</t>
  </si>
  <si>
    <t>Opening Balance Adjustments</t>
  </si>
  <si>
    <t>Output VAT</t>
  </si>
  <si>
    <t>Loans from Aspirach Platform Pvt Ltd</t>
  </si>
  <si>
    <t>Aspirach Market Platform Pvt Ltd (SC)</t>
  </si>
  <si>
    <t>Car Rental Charges</t>
  </si>
  <si>
    <t>Petrol Expenses</t>
  </si>
  <si>
    <t>Aadi International SDN BHD</t>
  </si>
  <si>
    <t>Incorrect Provision Adjustment</t>
  </si>
  <si>
    <t>Updated Gross Profit</t>
  </si>
  <si>
    <t>Revised GP %</t>
  </si>
  <si>
    <t>Salary Capitalised</t>
  </si>
  <si>
    <t>Adjusted EBITDA</t>
  </si>
  <si>
    <t>Abhinav &amp; Vishal - MOM-Chennai R (14-15 May)</t>
  </si>
  <si>
    <t>Jaimin - BOM-BLR - (29-30 June)</t>
  </si>
  <si>
    <t>ASP/EXP/2324/032</t>
  </si>
  <si>
    <t>ASP/LOC/2324/020</t>
  </si>
  <si>
    <t>ASP/LOC/2324/022</t>
  </si>
  <si>
    <t>ASP/EXP/2324/030</t>
  </si>
  <si>
    <t>ASP/EXP/2324/031</t>
  </si>
  <si>
    <t>ASP/LOC/2324/023</t>
  </si>
  <si>
    <t>ASP/EXP/2324/033</t>
  </si>
  <si>
    <t>ASP/EXP/2324/034</t>
  </si>
  <si>
    <t>ASP/EXP/2324/035</t>
  </si>
  <si>
    <t>ASP/EXP/2324/036</t>
  </si>
  <si>
    <t>ASP/EXP/2324/037</t>
  </si>
  <si>
    <t>ASP/EXP/2324/039</t>
  </si>
  <si>
    <t>ASP/EXP/2324/040</t>
  </si>
  <si>
    <t>ASP/EXP/2324/041</t>
  </si>
  <si>
    <t>ASP/LOC/2324/025</t>
  </si>
  <si>
    <t>ASP/EXP/2324/038</t>
  </si>
  <si>
    <t>Toor</t>
  </si>
  <si>
    <t>Import Duty</t>
  </si>
  <si>
    <t>Foreign Exchange - Manish Khiyani</t>
  </si>
  <si>
    <t>PREPAID EXPENSE FOR VENDOR</t>
  </si>
  <si>
    <t>Security Deposit - Delhi Office</t>
  </si>
  <si>
    <t>Saranya reimbursement</t>
  </si>
  <si>
    <t>Unearned Revenue</t>
  </si>
  <si>
    <t>Yogesh Shukla</t>
  </si>
  <si>
    <t>Other Income</t>
  </si>
  <si>
    <t>Commission &amp; Brokerage Charges</t>
  </si>
  <si>
    <t>ASP/EXP/22-23/107</t>
  </si>
  <si>
    <t>ASP/EXP/2324/044</t>
  </si>
  <si>
    <t>ASP/LOC/2324/026</t>
  </si>
  <si>
    <t>Round off</t>
  </si>
  <si>
    <t>Employer Contribution ESIC.</t>
  </si>
  <si>
    <t>Sample Charges</t>
  </si>
  <si>
    <t>Tax Paid Expense</t>
  </si>
  <si>
    <t>Transportation Expense</t>
  </si>
  <si>
    <t>Travel &amp; Hotel Expenses</t>
  </si>
  <si>
    <t>Ayan - Kolkata to MUM (15-16Apr)</t>
  </si>
  <si>
    <t>Kapil - DEL-BOM (1-2 June)</t>
  </si>
  <si>
    <t>Kapil- DEL to MUM (15Apr)</t>
  </si>
  <si>
    <t>Ketan - HYD-BLR (29 June 3 July)</t>
  </si>
  <si>
    <t>Manish - BOM-NAG (11-16 June)</t>
  </si>
  <si>
    <t>Mehul - BLR-BOM (10 May)</t>
  </si>
  <si>
    <t>Niket - BOM-BLR - 29 June to 1 July )</t>
  </si>
  <si>
    <t>Priyanka &amp; Krushang - BOM-AMD (13 June)</t>
  </si>
  <si>
    <t>Sanjith - BLR to MUM (15Apr)</t>
  </si>
  <si>
    <t>Sanjith - BLR-BOM-DEL-BLR (7-9 June)</t>
  </si>
  <si>
    <t>Sanjith - BLR-DXB (23 July )</t>
  </si>
  <si>
    <t>Sanjith - BLR-LKO (1May)</t>
  </si>
  <si>
    <t>Sanjith - BLR-MOM (23-25 May)</t>
  </si>
  <si>
    <t>Foreign Travel Expenses</t>
  </si>
  <si>
    <t>Lanka</t>
  </si>
  <si>
    <t>Abhinav Boria Reimbursement</t>
  </si>
  <si>
    <t>Custom registarion charges</t>
  </si>
  <si>
    <t>Interest from MKS</t>
  </si>
  <si>
    <t xml:space="preserve">Net Profit </t>
  </si>
  <si>
    <t>ALKAHEST ENTERPRISE SDN.BHD</t>
  </si>
  <si>
    <t>ASP/EXP/2324/045</t>
  </si>
  <si>
    <t>ASP/EXP/2324/046</t>
  </si>
  <si>
    <t>ASP/EXP/2324/047</t>
  </si>
  <si>
    <t>ASP/EXP/2324/048</t>
  </si>
  <si>
    <t>ASP/EXP/2324/049</t>
  </si>
  <si>
    <t>ASP/EXP/2324/050</t>
  </si>
  <si>
    <t>ASP/LOC/2324/027</t>
  </si>
  <si>
    <t>ASP/EXP/2324/051</t>
  </si>
  <si>
    <t>ASP/LOC/2324/031</t>
  </si>
  <si>
    <t>ASP/LOC/2324/032</t>
  </si>
  <si>
    <t>Lenovo ThinkPad E14 21E3S06C00</t>
  </si>
  <si>
    <t>ASP/EXP/2324/042</t>
  </si>
  <si>
    <t>ASP/EXP/2324/043</t>
  </si>
  <si>
    <t>Repairs and Maintenance</t>
  </si>
  <si>
    <t>Electricity and Water Deposit</t>
  </si>
  <si>
    <t>House Security Deposit</t>
  </si>
  <si>
    <t>Brokerage &amp; Commission</t>
  </si>
  <si>
    <t>Cleaning &amp; Packing</t>
  </si>
  <si>
    <t>Ejari Charges</t>
  </si>
  <si>
    <t>House Rent</t>
  </si>
  <si>
    <t>License Renewal Expenses</t>
  </si>
  <si>
    <t>Loading &amp; Unloading</t>
  </si>
  <si>
    <t>Transportation</t>
  </si>
  <si>
    <t>As per Zoho</t>
  </si>
  <si>
    <t>EBT(Including Salary Capitalised)</t>
  </si>
  <si>
    <t>ASP/EXP/2324/052</t>
  </si>
  <si>
    <t>ASP/LOC/2324/035</t>
  </si>
  <si>
    <t>ASP/EXP/2324/053</t>
  </si>
  <si>
    <t>Advance to Vendor</t>
  </si>
  <si>
    <t>Foreign Exchange-Sanjith</t>
  </si>
  <si>
    <t>Testing/Inspection charges</t>
  </si>
  <si>
    <t>Kapil - DEL - BOM - DEL (14 to 16 July)</t>
  </si>
  <si>
    <t>Khemi - IXB- BOM (13 July)</t>
  </si>
  <si>
    <t>KRUSHANG KENYA EXPENSE</t>
  </si>
  <si>
    <t>Manish - Nagpur - DXB ( 9 July)</t>
  </si>
  <si>
    <t>Srinivas - VGA-BOM-VGA (13 to 15 July)</t>
  </si>
  <si>
    <t>Vijay - HYD- BOM - HYD (13 to 15 July)</t>
  </si>
  <si>
    <t>Testing and Inspection Charges</t>
  </si>
  <si>
    <t>Air Conditioner</t>
  </si>
  <si>
    <t>ASPIRARCH LANKA (PVT) LTD (CB)</t>
  </si>
  <si>
    <t>ASPIRARCH PVT LTD (NDB)</t>
  </si>
  <si>
    <t>Loan From Aspirarch Market Platforms Limited</t>
  </si>
  <si>
    <t>Automobile Expense</t>
  </si>
  <si>
    <t>Custom Clearance Chg</t>
  </si>
  <si>
    <t>CUSTOMS DUTY</t>
  </si>
  <si>
    <t>LOADING UNLOAIDNG &amp; OTHER EXP</t>
  </si>
  <si>
    <t>RCT Charges</t>
  </si>
  <si>
    <t>Salaries and Employee Wages</t>
  </si>
  <si>
    <t>THC AND SHIPPING LINE CHG</t>
  </si>
  <si>
    <t>TRANSPORTATION CHG</t>
  </si>
  <si>
    <t>Weighment Chg</t>
  </si>
  <si>
    <t>Prepaid License Fees</t>
  </si>
  <si>
    <t>LOCAL ALLOWENCE</t>
  </si>
  <si>
    <t>MISCELLANEOUS EXPENSES FOR OFFICE PURPOSE</t>
  </si>
  <si>
    <t>100% Investment in Parnia Expora Pvt Ltd. Share Certificate Received.</t>
  </si>
  <si>
    <t>Custom Clearance Charges</t>
  </si>
  <si>
    <t xml:space="preserve">Custom Duty </t>
  </si>
  <si>
    <t>Provision for Expense</t>
  </si>
  <si>
    <t>Provision for Direct Expense</t>
  </si>
  <si>
    <t>Saving Account ( New )</t>
  </si>
  <si>
    <t>CUSTOMS ADDRESS ERROR CHG</t>
  </si>
  <si>
    <t>CUSTOMS REGISTRATION CHG</t>
  </si>
  <si>
    <t>DETENTION AND DEMMURAGE CHG</t>
  </si>
  <si>
    <t>Excess Weight Charges</t>
  </si>
  <si>
    <t>FDI CHG</t>
  </si>
  <si>
    <t>GS FORM CHG</t>
  </si>
  <si>
    <t>IRD CHARGES</t>
  </si>
  <si>
    <t>Legal and Professional Chg</t>
  </si>
  <si>
    <t>Visa and Other Expenses</t>
  </si>
  <si>
    <t>Other Rates and taxes</t>
  </si>
  <si>
    <t>ASP/EXP/2324/54</t>
  </si>
  <si>
    <t>ASP/EXP/2324/55</t>
  </si>
  <si>
    <t>ASP/LOC/2324/055</t>
  </si>
  <si>
    <t>ASP/LOC/2324/059</t>
  </si>
  <si>
    <t>ASP/MKS/2324/023</t>
  </si>
  <si>
    <t>Abhinav Boria BOB - COO (11-17 Sep)</t>
  </si>
  <si>
    <t>Ajit Shah BOM to CMB (22June)</t>
  </si>
  <si>
    <t>Ashay Shah BOB-COO (11-17 Sep)</t>
  </si>
  <si>
    <t>Black Pepper</t>
  </si>
  <si>
    <t>Loan to Arha Benin</t>
  </si>
  <si>
    <t>Abhishek Todkari Reimbursement</t>
  </si>
  <si>
    <t>Viral Reimbursement</t>
  </si>
  <si>
    <t>Discount</t>
  </si>
  <si>
    <t>Audit Expenses</t>
  </si>
  <si>
    <t>AMPPL/BP/01</t>
  </si>
  <si>
    <t>Foreign Remittance Crystallisation</t>
  </si>
  <si>
    <t>Interest On Crystallisation</t>
  </si>
  <si>
    <t>Employee Local Allowance</t>
  </si>
  <si>
    <t>Employee Reimbursements Exp</t>
  </si>
  <si>
    <t>Employee Re-imbursementExpense</t>
  </si>
  <si>
    <t>Golden Rice Trading L.L.C. ( USD )</t>
  </si>
  <si>
    <t>Aditya Petty Cash</t>
  </si>
  <si>
    <t>Office Rent Payable</t>
  </si>
  <si>
    <t>Internet and Telephone Chg</t>
  </si>
  <si>
    <t>Water Bill</t>
  </si>
  <si>
    <t>Actual Loss</t>
  </si>
  <si>
    <t>Provisions not considered</t>
  </si>
  <si>
    <t>Final Loss</t>
  </si>
  <si>
    <t>Foreign Exchange- Ashay Shah</t>
  </si>
  <si>
    <t>ASP/EXP/2324/056</t>
  </si>
  <si>
    <t>ASP/EXP/2324/057</t>
  </si>
  <si>
    <t>ASP/EXP/2324/058</t>
  </si>
  <si>
    <t>ASP/EXP/2324/059</t>
  </si>
  <si>
    <t>ASP/LOC/2324/061 TO 065</t>
  </si>
  <si>
    <t>ASP/LOC/2324/54 TO 060</t>
  </si>
  <si>
    <t>MB-893</t>
  </si>
  <si>
    <t>SA_043</t>
  </si>
  <si>
    <t>Crystallisation Expenses</t>
  </si>
  <si>
    <t>Subscription Charges</t>
  </si>
  <si>
    <t>Siddharth Shah Reimbursement</t>
  </si>
  <si>
    <t>Interest on late payment of Interest</t>
  </si>
  <si>
    <t>Shahid M</t>
  </si>
  <si>
    <t>Employee Insurance</t>
  </si>
  <si>
    <t>Ajit Ji Petty Cash</t>
  </si>
  <si>
    <t>RRR FOR NEW SHOP</t>
  </si>
  <si>
    <t>Ofiice Misc expense</t>
  </si>
  <si>
    <t>BS</t>
  </si>
  <si>
    <t>Rodtep Receivable</t>
  </si>
  <si>
    <t>ASP/EXP/2324/073</t>
  </si>
  <si>
    <t>ASP/EXP/2324/074</t>
  </si>
  <si>
    <t>Rice - Basmati - 1509 Steam Rice</t>
  </si>
  <si>
    <t>ASP/EXP/2324/060</t>
  </si>
  <si>
    <t>ARHA PLATFORMS GENERAL TRADING LLC (USD A/c)</t>
  </si>
  <si>
    <t>GCC VAT Payable</t>
  </si>
  <si>
    <t>Agency Charges ( CHA )</t>
  </si>
  <si>
    <t>Inspection Charges</t>
  </si>
  <si>
    <t>Port Charges ( CFS )</t>
  </si>
  <si>
    <t>THC ( Shipping Company Chg)</t>
  </si>
  <si>
    <t>ICE Gate E- Wallet ( Custom Duty )</t>
  </si>
  <si>
    <t>Tradearch Market Platforms Pvt Ltd -OD ACCOUNT AXIS</t>
  </si>
  <si>
    <t>Cash Discount</t>
  </si>
  <si>
    <t>CC Late Payment fees</t>
  </si>
  <si>
    <t>ASP/EXP/23-24/061</t>
  </si>
  <si>
    <t>E1001A</t>
  </si>
  <si>
    <t>Foreign Currency Exposure Charges</t>
  </si>
  <si>
    <t>Labour</t>
  </si>
  <si>
    <t>Local Conveyance</t>
  </si>
  <si>
    <t>Working Capital Renewal Exp.</t>
  </si>
  <si>
    <t>TDS Receivable</t>
  </si>
  <si>
    <t>Interest on Loan given to subsidiaries</t>
  </si>
  <si>
    <t>ASP/PV/2324/003</t>
  </si>
  <si>
    <t>ASP/EXP/2324/062</t>
  </si>
  <si>
    <t>RICE BASMATI 1121 STEEM</t>
  </si>
  <si>
    <t>HMW General Trading LLC ( Loan)</t>
  </si>
  <si>
    <t>Gulf-Food Registration fees</t>
  </si>
  <si>
    <t>Sampling Charges</t>
  </si>
  <si>
    <t>Toll &amp; Parking Charges</t>
  </si>
  <si>
    <t>Warehousing charges</t>
  </si>
  <si>
    <t>ECGC Premium Advance</t>
  </si>
  <si>
    <t>WAREHOUSING FINANCE</t>
  </si>
  <si>
    <t>Rodtep</t>
  </si>
  <si>
    <t>ASP/EXP/2324/054</t>
  </si>
  <si>
    <t>Interest On Import Duty</t>
  </si>
  <si>
    <t>Warehousing fund processing charges</t>
  </si>
  <si>
    <t>Electricity charges payable</t>
  </si>
  <si>
    <t>PL/BS</t>
  </si>
  <si>
    <t>Selling &amp; Distribution exp</t>
  </si>
  <si>
    <t>Gratuity Expense</t>
  </si>
  <si>
    <t>Impairment of susbsidary</t>
  </si>
  <si>
    <t>ASP/EXP/2324/063</t>
  </si>
  <si>
    <t>ASP/EXP/2324/064</t>
  </si>
  <si>
    <t>ASP/EXP/2324/065</t>
  </si>
  <si>
    <t>ASP/EXP/2324/066</t>
  </si>
  <si>
    <t>ASP/LOC/2324/094</t>
  </si>
  <si>
    <t>ASP/LOC/2324/095</t>
  </si>
  <si>
    <t>ASP/LOC/2324/096</t>
  </si>
  <si>
    <t>ASP/LOC/2324/097</t>
  </si>
  <si>
    <t>ASP/LOC/2324/099</t>
  </si>
  <si>
    <t>ASP/EXP/23-24/00012</t>
  </si>
  <si>
    <t>ASP/EXP/23-24/067</t>
  </si>
  <si>
    <t>Selling &amp; Distribution</t>
  </si>
  <si>
    <t>Interest on PF late payment</t>
  </si>
  <si>
    <t>Bad Debt</t>
  </si>
  <si>
    <t>Gulf-Food stall charges</t>
  </si>
  <si>
    <t>PP Bags Expenses</t>
  </si>
  <si>
    <t>ASP/LOC/2324/100</t>
  </si>
  <si>
    <t>ASP/LOC/2324/108</t>
  </si>
  <si>
    <t>ASP/LOC/2324/109</t>
  </si>
  <si>
    <t>ASP/LOC/2324/110</t>
  </si>
  <si>
    <t>ASP/LOC/2324/116</t>
  </si>
  <si>
    <t>ASP/EXP/2324/069</t>
  </si>
  <si>
    <t>AXIS BANK CC OD</t>
  </si>
  <si>
    <t>Advance Salary to Pravin Arora</t>
  </si>
  <si>
    <t>Loan to MKS EXPORA</t>
  </si>
  <si>
    <t>Gratuity Payable- Current</t>
  </si>
  <si>
    <t>Gratuity Payable- Non Current</t>
  </si>
  <si>
    <t>Harman Reimbursement</t>
  </si>
  <si>
    <t>Loan ASP/EXP/23-24/063 BD</t>
  </si>
  <si>
    <t>ASP/EXP/2324/068</t>
  </si>
  <si>
    <t>ASP/EXP/2324/070</t>
  </si>
  <si>
    <t>Loan Processing fees</t>
  </si>
  <si>
    <t>Labour Charges for Gulf Food</t>
  </si>
  <si>
    <t>Tea Food Refreshment Chg</t>
  </si>
  <si>
    <t>Office Supplies</t>
  </si>
  <si>
    <t>Tradearch</t>
  </si>
  <si>
    <t>Aspirach Lanka</t>
  </si>
  <si>
    <t>Arha General Trading Co (AGT)</t>
  </si>
  <si>
    <t>Warehouse Security Deposit</t>
  </si>
  <si>
    <t>Hiten Kataria</t>
  </si>
  <si>
    <t>Kamlesh Solanki</t>
  </si>
  <si>
    <t>ASP/EXP/2324/071</t>
  </si>
  <si>
    <t>ASP/EXP/2324/072</t>
  </si>
  <si>
    <t>ASP/LOC/2324/139</t>
  </si>
  <si>
    <t>ASP/LOC/2324/140</t>
  </si>
  <si>
    <t>ASP/EXP/2324/076</t>
  </si>
  <si>
    <t>ASP/EXP/2324/075</t>
  </si>
  <si>
    <t>ASP/EXP/2324/077</t>
  </si>
  <si>
    <t>IGST Receivable</t>
  </si>
  <si>
    <t>Security Deposit (Shipping)</t>
  </si>
  <si>
    <t>Security Deposit-Guntur Office</t>
  </si>
  <si>
    <t>Tradearch Market Platforms Pvt Ltd- SC</t>
  </si>
  <si>
    <t>Provision for Doubtful Loan</t>
  </si>
  <si>
    <t>Loan ASP/EXP/23-24/067 BD</t>
  </si>
  <si>
    <t>Red Chilli</t>
  </si>
  <si>
    <t>Hansa Nikhil Shah</t>
  </si>
  <si>
    <t>Paresh Shah</t>
  </si>
  <si>
    <t>Ritesh Sejpal</t>
  </si>
  <si>
    <t>Warehouse Exp (Unja)</t>
  </si>
  <si>
    <t>Gulfood Expenses</t>
  </si>
  <si>
    <t>Interest on warehousing Finance</t>
  </si>
  <si>
    <t>Lonavala Offsite Expense</t>
  </si>
  <si>
    <t>Guntur Office Exp</t>
  </si>
  <si>
    <t>APR FILLING FEES</t>
  </si>
  <si>
    <t>ARGT/LOC/2023/80</t>
  </si>
  <si>
    <t>Total for Trial Balance</t>
  </si>
  <si>
    <t>ASP/LOC/2324/112 TO ASP/LOC/2324/121</t>
  </si>
  <si>
    <t>ASP/LOC/2324/122 TO ASP/LOC/2324/128</t>
  </si>
  <si>
    <t>ASP/LOC/2324/130 TO ASP/LOC/2324/137</t>
  </si>
  <si>
    <t>Security Deposit- New Apartment Dahiwala</t>
  </si>
  <si>
    <t>BROKERAGE</t>
  </si>
  <si>
    <t>Parking Expense</t>
  </si>
  <si>
    <t>TAEXP2425001</t>
  </si>
  <si>
    <t>TAEXP2425002</t>
  </si>
  <si>
    <t>TAEXP2425004</t>
  </si>
  <si>
    <t>TAEXP2425003</t>
  </si>
  <si>
    <t>TAEXP2425005</t>
  </si>
  <si>
    <t>TAEXP2425007</t>
  </si>
  <si>
    <t>TAEXP2425006</t>
  </si>
  <si>
    <t>TAEXP2425009</t>
  </si>
  <si>
    <t>TA/HSS/24-25/001</t>
  </si>
  <si>
    <t>TA/HSS/24-25/002</t>
  </si>
  <si>
    <t>TAEXP2425008</t>
  </si>
  <si>
    <t>TAEXP2425011</t>
  </si>
  <si>
    <t>TAEXP2425010</t>
  </si>
  <si>
    <t>Apple Mb Air 13.6 M3 8c 8GB 256gb</t>
  </si>
  <si>
    <t>Apple Mb Pro 14 M3 11c 512GB</t>
  </si>
  <si>
    <t>Loan TAEXP2425001 BD</t>
  </si>
  <si>
    <t>PC D13194971</t>
  </si>
  <si>
    <t>PC-D13183307</t>
  </si>
  <si>
    <t>PURCHASE/60/2024</t>
  </si>
  <si>
    <t>Service Charges on Purchase</t>
  </si>
  <si>
    <t>Fixed Allowance</t>
  </si>
  <si>
    <t>Deepak Sharma Reimbursment</t>
  </si>
  <si>
    <t>Ketan Pokar Reimbursements</t>
  </si>
  <si>
    <t>Sohelkumar Reimbursement</t>
  </si>
  <si>
    <t>F02EOBU240595002</t>
  </si>
  <si>
    <t>Other Deduction</t>
  </si>
  <si>
    <t>ARGT/LOC/2024/003</t>
  </si>
  <si>
    <t>ARGT/LOC/2024/004</t>
  </si>
  <si>
    <t>ARGT/LOC/2024/005</t>
  </si>
  <si>
    <t>Salary &amp; Wages</t>
  </si>
  <si>
    <t>ECGC Premium Payable</t>
  </si>
  <si>
    <t>MIS true-up impact</t>
  </si>
  <si>
    <t>F02EBOU241095001</t>
  </si>
  <si>
    <t>Inter Corporate Deposit</t>
  </si>
  <si>
    <t>F02EOBU241255003</t>
  </si>
  <si>
    <t>Loan TAEXP2425009 BD</t>
  </si>
  <si>
    <t>F02EOBU241255004</t>
  </si>
  <si>
    <t>Loan TAEXP2425011 BD</t>
  </si>
  <si>
    <t>F02EOBU240405001</t>
  </si>
  <si>
    <t>F02EOBU241365002</t>
  </si>
  <si>
    <t>Loan TAEXP2425008 BD</t>
  </si>
  <si>
    <t>Loan TAEXP2425010 - BD</t>
  </si>
  <si>
    <t>Loan TAEXP2425012- BD</t>
  </si>
  <si>
    <t>PC D13225260</t>
  </si>
  <si>
    <t>PC D13242117</t>
  </si>
  <si>
    <t>Warehouse Finance</t>
  </si>
  <si>
    <t>TAEXP2425012</t>
  </si>
  <si>
    <t>TAEXP2425013</t>
  </si>
  <si>
    <t>TAEXP2425014</t>
  </si>
  <si>
    <t>TAEXP2425015</t>
  </si>
  <si>
    <t>TALOC2324001</t>
  </si>
  <si>
    <t>TALOC2425004</t>
  </si>
  <si>
    <t>TALOC2425010</t>
  </si>
  <si>
    <t>TALOC2425035</t>
  </si>
  <si>
    <t>TALOC2425053</t>
  </si>
  <si>
    <t>Interest on warehouse financing</t>
  </si>
  <si>
    <t>Market Information Services</t>
  </si>
  <si>
    <t>Entity Name</t>
  </si>
  <si>
    <t>Concate</t>
  </si>
  <si>
    <t>Total for Employee Local Allowance</t>
  </si>
  <si>
    <t>Warehouse Pallets</t>
  </si>
  <si>
    <t>Retainership Charges Payable</t>
  </si>
  <si>
    <t>Container Disposal Chrages</t>
  </si>
  <si>
    <t>Container Handling Charges</t>
  </si>
  <si>
    <t>Storage charges</t>
  </si>
  <si>
    <t>Isham Salary</t>
  </si>
  <si>
    <t>TALOC2425037</t>
  </si>
  <si>
    <t>TALOC2425038</t>
  </si>
  <si>
    <t>TAEXP2425017</t>
  </si>
  <si>
    <t>TA/HSS/24-25/003</t>
  </si>
  <si>
    <t>PM-2402</t>
  </si>
  <si>
    <t>PM-2403</t>
  </si>
  <si>
    <t>Aspirarch Lanka</t>
  </si>
  <si>
    <t>ECL GST</t>
  </si>
  <si>
    <t>TAEXP24252017</t>
  </si>
  <si>
    <t>Ledger</t>
  </si>
  <si>
    <t>Share Issuer Demat</t>
  </si>
  <si>
    <t>ARGT/LOC/2024/007</t>
  </si>
  <si>
    <t>ARGT/LOC/2024/008</t>
  </si>
  <si>
    <t>ARGT/LOC/2024/012</t>
  </si>
  <si>
    <t>ARGT/LOC/2024/013</t>
  </si>
  <si>
    <t>ARGT/LOC/2024/014</t>
  </si>
  <si>
    <t>ARGT/LOC/2024/016</t>
  </si>
  <si>
    <t>ARGT/LOC/2024/017</t>
  </si>
  <si>
    <t>ARGT/LOC/2024/018</t>
  </si>
  <si>
    <t>ARGT/LOC/2024/020</t>
  </si>
  <si>
    <t>ARGT/LOC/2024/023</t>
  </si>
  <si>
    <t>ARGT/LOC/2024/026</t>
  </si>
  <si>
    <t>ARGT/LOC/2024/027</t>
  </si>
  <si>
    <t>ARGT/LOC/2024/028</t>
  </si>
  <si>
    <t>Group/Legder</t>
  </si>
  <si>
    <t>Group</t>
  </si>
  <si>
    <t>Total for Security Deposit</t>
  </si>
  <si>
    <t>Total for F02EBOU241095001</t>
  </si>
  <si>
    <t>Total for F02EOBU241255003</t>
  </si>
  <si>
    <t>Total for F02EOBU241255004</t>
  </si>
  <si>
    <t>Total for F02EOBU240405001</t>
  </si>
  <si>
    <t>Total for F02EOBU240595002</t>
  </si>
  <si>
    <t>Total for F02EOBU241365002</t>
  </si>
  <si>
    <t>Total for PC-D13183307</t>
  </si>
  <si>
    <t>Total for Canara Bank</t>
  </si>
  <si>
    <t>Total for Warehouse Finance</t>
  </si>
  <si>
    <t>Total for TDS Payable</t>
  </si>
  <si>
    <t>Total for Office Expenses</t>
  </si>
  <si>
    <t>Pl</t>
  </si>
  <si>
    <t>Zoho Books.</t>
  </si>
  <si>
    <t>PurchaseArha General Trading Co (AGT)</t>
  </si>
  <si>
    <t>Bill Discounting</t>
  </si>
  <si>
    <t>TALOC2425054</t>
  </si>
  <si>
    <t>TALOC2425055</t>
  </si>
  <si>
    <t>TALOC2425058</t>
  </si>
  <si>
    <t>TALOC2425060</t>
  </si>
  <si>
    <t>TA/HSS/24-25/004</t>
  </si>
  <si>
    <t>TA/HSS/24-25/005</t>
  </si>
  <si>
    <t>TALOC2425061</t>
  </si>
  <si>
    <t>TALOC2425062</t>
  </si>
  <si>
    <t>TALOC2425063</t>
  </si>
  <si>
    <t>TALOC2425064</t>
  </si>
  <si>
    <t>TAEXP2425018</t>
  </si>
  <si>
    <t>TAEXP2425019</t>
  </si>
  <si>
    <t>TALOC2425076</t>
  </si>
  <si>
    <t>TALOC2425077</t>
  </si>
  <si>
    <t>TALOC2425078</t>
  </si>
  <si>
    <t>TALOC2425081</t>
  </si>
  <si>
    <t>SE/2080/4470</t>
  </si>
  <si>
    <t>SE/2080/4500</t>
  </si>
  <si>
    <t>Ashay Shah Reimbursement</t>
  </si>
  <si>
    <t>Pravin Arora reimbursement</t>
  </si>
  <si>
    <t>Ramcharan Reimbursement</t>
  </si>
  <si>
    <t>TALOC2425060 to TALOC2425065</t>
  </si>
  <si>
    <t>Advance Salary Gyanu Yadav</t>
  </si>
  <si>
    <t>Interest Receivable From Arha Platforms General Trading LLC</t>
  </si>
  <si>
    <t>Guntur Electricity</t>
  </si>
  <si>
    <t>Quality Discount</t>
  </si>
  <si>
    <t>Lap - C02F4ACUMD6M</t>
  </si>
  <si>
    <t>Lap - SC02F2RZJMD6M</t>
  </si>
  <si>
    <t>Abhinav Petty Cash</t>
  </si>
  <si>
    <t>Interest Payable To Tradearch Market Platforms</t>
  </si>
  <si>
    <t>Warehouse Expenses</t>
  </si>
  <si>
    <t xml:space="preserve">          Loading  &amp; Unloading</t>
  </si>
  <si>
    <t xml:space="preserve">          PP Bags Expenses</t>
  </si>
  <si>
    <t>Nikhil Jitendra Shah (CCPS)</t>
  </si>
  <si>
    <t>Paresh Kantilal Shah (CCPS)</t>
  </si>
  <si>
    <t>Riten Mukund Sejpal (CCPS)</t>
  </si>
  <si>
    <t>Siddharth Shah (CCPS)</t>
  </si>
  <si>
    <t>To be added</t>
  </si>
  <si>
    <t>Employee Flexi Pay Reimbursement</t>
  </si>
  <si>
    <t>Abhinav Boria Flexi Reimbursement</t>
  </si>
  <si>
    <t>ADITYA KAUSHAL Flexi Pay Reimbursement</t>
  </si>
  <si>
    <t>Ashay Shah Flexi Reimbursement</t>
  </si>
  <si>
    <t>Devanshu Flexi Pay Reimbusement</t>
  </si>
  <si>
    <t>Ved Flexi Reimbursement</t>
  </si>
  <si>
    <t>Flexi Food Exp</t>
  </si>
  <si>
    <t>Internet Allowance</t>
  </si>
  <si>
    <t>Petrol Allowance</t>
  </si>
  <si>
    <t>Uniform Allowance</t>
  </si>
  <si>
    <t>Lap-C02FWC6FMDM</t>
  </si>
  <si>
    <t>Import IGST</t>
  </si>
  <si>
    <t>2312015963</t>
  </si>
  <si>
    <t>2405011114</t>
  </si>
  <si>
    <t>2407002378</t>
  </si>
  <si>
    <t>2407006674</t>
  </si>
  <si>
    <t>2407007162</t>
  </si>
  <si>
    <t>2407012664</t>
  </si>
  <si>
    <t>2407014908</t>
  </si>
  <si>
    <t>2407016027</t>
  </si>
  <si>
    <t>2407016180</t>
  </si>
  <si>
    <t>2407016185</t>
  </si>
  <si>
    <t>2407016191</t>
  </si>
  <si>
    <t>2407016204</t>
  </si>
  <si>
    <t>2407016205</t>
  </si>
  <si>
    <t>2407016206</t>
  </si>
  <si>
    <t>2407018029</t>
  </si>
  <si>
    <t>2407018256</t>
  </si>
  <si>
    <t>2407018257</t>
  </si>
  <si>
    <t>2407018529</t>
  </si>
  <si>
    <t>2407018532</t>
  </si>
  <si>
    <t>Total for Rodtep Receivable</t>
  </si>
  <si>
    <t>Total for Employee Flexi Pay Reimbursement</t>
  </si>
  <si>
    <t>Import Duty Payable</t>
  </si>
  <si>
    <t>Interest on ICD payble</t>
  </si>
  <si>
    <t>F02EBOU241845001</t>
  </si>
  <si>
    <t>Loan TAEXP2425017 BD</t>
  </si>
  <si>
    <t>Total for F02EBOU241845001</t>
  </si>
  <si>
    <t>F02PCFC242125002</t>
  </si>
  <si>
    <t>JGT/2024/12022</t>
  </si>
  <si>
    <t>Total for F02PCFC242125002</t>
  </si>
  <si>
    <t>JGT/2024/12019</t>
  </si>
  <si>
    <t>PC D13319029</t>
  </si>
  <si>
    <t>2024HF280</t>
  </si>
  <si>
    <t>FG24002AKM</t>
  </si>
  <si>
    <t>FG24003AKM</t>
  </si>
  <si>
    <t>SE/2080/4504</t>
  </si>
  <si>
    <t>TAEXP2324020</t>
  </si>
  <si>
    <t>TAEXP2425020</t>
  </si>
  <si>
    <t>TAEXP2425021</t>
  </si>
  <si>
    <t>TAEXP2425022</t>
  </si>
  <si>
    <t>TALOC2425096</t>
  </si>
  <si>
    <t>Interest On ICD</t>
  </si>
  <si>
    <t>Purchase Discounts</t>
  </si>
  <si>
    <t>RATE DIFFRANCE</t>
  </si>
  <si>
    <t>Interest on ICD</t>
  </si>
  <si>
    <t>Interest on ICD payable</t>
  </si>
  <si>
    <t>TALOC2425082</t>
  </si>
  <si>
    <t>TALOC2425084</t>
  </si>
  <si>
    <t>TALOC2425085</t>
  </si>
  <si>
    <t>TALOC2425086</t>
  </si>
  <si>
    <t>TALOC2425087</t>
  </si>
  <si>
    <t>TALOC2425088</t>
  </si>
  <si>
    <t>TALOC2425089</t>
  </si>
  <si>
    <t>TALOC2425090</t>
  </si>
  <si>
    <t>TALOC2425091</t>
  </si>
  <si>
    <t>TALOC2425092</t>
  </si>
  <si>
    <t>TALOC2425093</t>
  </si>
  <si>
    <t>TALOCJA2425098</t>
  </si>
  <si>
    <t>Sewerage Deposit</t>
  </si>
  <si>
    <t>Employment Visa Exp</t>
  </si>
  <si>
    <t>Prepaid Manish House Rent</t>
  </si>
  <si>
    <t>Total for Prepaid Rent</t>
  </si>
  <si>
    <t>Detention and Demurrage Chg</t>
  </si>
  <si>
    <t>PP bag charges</t>
  </si>
  <si>
    <t>Security Deposit- Home</t>
  </si>
  <si>
    <t>Security Deposit- Wi-Fi</t>
  </si>
  <si>
    <t>Suspense debtors</t>
  </si>
  <si>
    <t>Tradearch Market Platform Pvt Ltd</t>
  </si>
  <si>
    <t>62/2024</t>
  </si>
  <si>
    <t>81/24-25</t>
  </si>
  <si>
    <t>Total for COGS</t>
  </si>
  <si>
    <t>83/24-25</t>
  </si>
  <si>
    <t>85/24-25</t>
  </si>
  <si>
    <t>86/24-25</t>
  </si>
  <si>
    <t>87/24-25</t>
  </si>
  <si>
    <t>88/24-25</t>
  </si>
  <si>
    <t>89/24-25</t>
  </si>
  <si>
    <t>Vat Registration</t>
  </si>
  <si>
    <t>ARGT/LOC/2024/032</t>
  </si>
  <si>
    <t>ARGT/LOC/2024/033</t>
  </si>
  <si>
    <t>ARGT/LOC/2024/034</t>
  </si>
  <si>
    <t>ARGT/LOC/2024/037</t>
  </si>
  <si>
    <t>ARGT/LOC/2024/039</t>
  </si>
  <si>
    <t>ARGT/LOC/2024/045</t>
  </si>
  <si>
    <t>Elimination</t>
  </si>
  <si>
    <t>Tradearch Market Platforms Private Limited</t>
  </si>
  <si>
    <t>TALOC242599</t>
  </si>
  <si>
    <t>TALOC2425101</t>
  </si>
  <si>
    <t>TALOC2425103</t>
  </si>
  <si>
    <t>TALOC2425104</t>
  </si>
  <si>
    <t>TALOC2425105</t>
  </si>
  <si>
    <t>TA/HSS/24-25/007</t>
  </si>
  <si>
    <t>TAEXP2425023</t>
  </si>
  <si>
    <t>TAEXP2425024</t>
  </si>
  <si>
    <t>TAEXP2425025</t>
  </si>
  <si>
    <t>FG24004AKM</t>
  </si>
  <si>
    <t>Sample Testing Chg</t>
  </si>
  <si>
    <t>Advance Tax</t>
  </si>
  <si>
    <t>102/24-25</t>
  </si>
  <si>
    <t>91/2024</t>
  </si>
  <si>
    <t>92/2024</t>
  </si>
  <si>
    <t>93/2024</t>
  </si>
  <si>
    <t>94/2024-25</t>
  </si>
  <si>
    <t>95/24-25</t>
  </si>
  <si>
    <t>96/24-25</t>
  </si>
  <si>
    <t>97/24-25</t>
  </si>
  <si>
    <t>99/24-25</t>
  </si>
  <si>
    <t>2401005217</t>
  </si>
  <si>
    <t>2405021509</t>
  </si>
  <si>
    <t>2406001779</t>
  </si>
  <si>
    <t>2407003730</t>
  </si>
  <si>
    <t>2407004363</t>
  </si>
  <si>
    <t>2407022967</t>
  </si>
  <si>
    <t>2408000466</t>
  </si>
  <si>
    <t>2408004242</t>
  </si>
  <si>
    <t>2408004437</t>
  </si>
  <si>
    <t>2408008810</t>
  </si>
  <si>
    <t>2408008952</t>
  </si>
  <si>
    <t>2408009535</t>
  </si>
  <si>
    <t>2408009886</t>
  </si>
  <si>
    <t>2408011102</t>
  </si>
  <si>
    <t>Krushang Boria Reimbursement</t>
  </si>
  <si>
    <t>D13390532</t>
  </si>
  <si>
    <t>D13390574</t>
  </si>
  <si>
    <t>JGT/2024/12036</t>
  </si>
  <si>
    <t>D13390495</t>
  </si>
  <si>
    <t>Total for JGT/2024/12036</t>
  </si>
  <si>
    <t>PC D 13409027</t>
  </si>
  <si>
    <t>TDS on Interest</t>
  </si>
  <si>
    <t>RCN - 8</t>
  </si>
  <si>
    <t>TALOC24250103</t>
  </si>
  <si>
    <t>TALOC24250104</t>
  </si>
  <si>
    <t>Penalty On Late Payment Of Bill Of Entries</t>
  </si>
  <si>
    <t>Net Profit %</t>
  </si>
  <si>
    <t>Export Agency Charges</t>
  </si>
  <si>
    <t>FREIGHT &amp; FORWARDING</t>
  </si>
  <si>
    <t>LOAN TO SUBSIDIARIES(INTEREST)</t>
  </si>
  <si>
    <t>LOAN TO SUBSIDIARIES (OTHERS)</t>
  </si>
  <si>
    <t>LOAN TO SUBSIDIARIES(REGD.)</t>
  </si>
  <si>
    <t>Loan to SHREE MKS EXPORA PVT. LTD.</t>
  </si>
  <si>
    <t>Apple IPad 10.9 Wifi 256gb SLV - MPQ83HN/A</t>
  </si>
  <si>
    <t>Apple Magic Keyboard Folio- MQDP3HN/A</t>
  </si>
  <si>
    <t>Interest Receivable From Lanka</t>
  </si>
  <si>
    <t>Provision for doubtful debts</t>
  </si>
  <si>
    <t>F02EBOU242495001</t>
  </si>
  <si>
    <t>D13456538</t>
  </si>
  <si>
    <t>F02PCFC242505001</t>
  </si>
  <si>
    <t>F02PCFC242505005</t>
  </si>
  <si>
    <t>ESOP Reserve</t>
  </si>
  <si>
    <t>TAEXP2425026</t>
  </si>
  <si>
    <t>write off</t>
  </si>
  <si>
    <t>Zoho Books</t>
  </si>
  <si>
    <t>57/23-24</t>
  </si>
  <si>
    <t>110/24-25</t>
  </si>
  <si>
    <t>109/24-25</t>
  </si>
  <si>
    <t>107/24-25</t>
  </si>
  <si>
    <t>106/24-25</t>
  </si>
  <si>
    <t>104/24-25</t>
  </si>
  <si>
    <t>103/24-25</t>
  </si>
  <si>
    <t>100/24-25</t>
  </si>
  <si>
    <t>101/24-25</t>
  </si>
  <si>
    <t>Interest on Loan Payable to TMPPL</t>
  </si>
  <si>
    <t>Loan From Tradearch Market Platform Pvt Ltd</t>
  </si>
  <si>
    <t>Security Deposit- Office</t>
  </si>
  <si>
    <t>Security deposit- Comm Bank Locker opening</t>
  </si>
  <si>
    <t>Furniture and Equipment</t>
  </si>
  <si>
    <t>TALOC2425116</t>
  </si>
  <si>
    <t>TALOC2425118</t>
  </si>
  <si>
    <t>TALOC2425119</t>
  </si>
  <si>
    <t>TATUR24250161</t>
  </si>
  <si>
    <t>ARGT/LOC/2024/126</t>
  </si>
  <si>
    <t>ARGT/LOC/2024/127</t>
  </si>
  <si>
    <t>ARGT/LOC/2024/149</t>
  </si>
  <si>
    <t>Ejari charges</t>
  </si>
  <si>
    <t>105/24-25</t>
  </si>
  <si>
    <t>Reversal of COGS entry passed and new COGS recorded</t>
  </si>
  <si>
    <t>As per Zoho INR</t>
  </si>
  <si>
    <t>Provision taken in Mar-24 Financials</t>
  </si>
  <si>
    <t>GST Refund receivable</t>
  </si>
  <si>
    <t>Prepaid for Interest</t>
  </si>
  <si>
    <t>Abha Shah reimbursement</t>
  </si>
  <si>
    <t>Akash Reimbursement</t>
  </si>
  <si>
    <t>Saish reimbursement</t>
  </si>
  <si>
    <t>Provision for warehouse finance Interest</t>
  </si>
  <si>
    <t>Manpower Services</t>
  </si>
  <si>
    <t>AGT/2324/HSS/002</t>
  </si>
  <si>
    <t>ASP/EXP/2324/116</t>
  </si>
  <si>
    <t>Credit Card Expenses</t>
  </si>
  <si>
    <t>ESOP Expenses</t>
  </si>
  <si>
    <t>Ineligible GST</t>
  </si>
  <si>
    <t>Prior Period Expenses</t>
  </si>
  <si>
    <t>TALOC2425124</t>
  </si>
  <si>
    <t>TALOC2425125</t>
  </si>
  <si>
    <t>TALOC2425127</t>
  </si>
  <si>
    <t>TALOC2425128</t>
  </si>
  <si>
    <t>TAEXP2425027</t>
  </si>
  <si>
    <t>TALOC2425132</t>
  </si>
  <si>
    <t>TALOC2425133</t>
  </si>
  <si>
    <t>TALOC2425134</t>
  </si>
  <si>
    <t>TALOC2425135</t>
  </si>
  <si>
    <t>TAEXP2425028</t>
  </si>
  <si>
    <t>TAEXP2425029</t>
  </si>
  <si>
    <t>TAEXP2425030</t>
  </si>
  <si>
    <t>TAEXP2425031</t>
  </si>
  <si>
    <t>TAEXP2425032</t>
  </si>
  <si>
    <t>ARGT/LOC/2024/160</t>
  </si>
  <si>
    <t>ARGT/LOC/2024/169</t>
  </si>
  <si>
    <t>ARGT/LOC/2024/174</t>
  </si>
  <si>
    <t>ARGT/LOC/2024/185</t>
  </si>
  <si>
    <t>ARGT/LOC/2024/194</t>
  </si>
  <si>
    <t>ARGT/LOC/2024/195</t>
  </si>
  <si>
    <t>ARGT/LOC/2024/200</t>
  </si>
  <si>
    <t>ARGT/LOC/2024/203</t>
  </si>
  <si>
    <t>ARGT/LOC/2024/208</t>
  </si>
  <si>
    <t>ARGT/LOC/2024/211</t>
  </si>
  <si>
    <t>Advance Salary to Jaimin</t>
  </si>
  <si>
    <t>APPLE MB AIR 13.6 M3 8C 8GB 256 GB SPG MRXN 3NH/A</t>
  </si>
  <si>
    <t>DD RBI COMMISSIONER OF CUSTOMS NHAVA SHEVA</t>
  </si>
  <si>
    <t>Ram Bol Ja- Flexi Reimbursement</t>
  </si>
  <si>
    <t>D13503428</t>
  </si>
  <si>
    <t>F02PCFC243045004</t>
  </si>
  <si>
    <t>BLACK EYED BEANS</t>
  </si>
  <si>
    <t>BA no 170, 109, 217, 222,223,233</t>
  </si>
  <si>
    <t>BA170,209,217,222,223,233</t>
  </si>
  <si>
    <t>TAEXP2425034</t>
  </si>
  <si>
    <t>TAEXP2425042</t>
  </si>
  <si>
    <t>UNALLOCATED</t>
  </si>
  <si>
    <t>Tax Expense</t>
  </si>
  <si>
    <t>Credit Card Expense</t>
  </si>
  <si>
    <t>Exployee Costs</t>
  </si>
  <si>
    <t>Gratuity expense</t>
  </si>
  <si>
    <t>Prior Period Expense</t>
  </si>
  <si>
    <t>Employee Engagement Activity</t>
  </si>
  <si>
    <t>111/2024-25</t>
  </si>
  <si>
    <t>113/24-25</t>
  </si>
  <si>
    <t>114/24-25</t>
  </si>
  <si>
    <t>115/24025</t>
  </si>
  <si>
    <t>116/24-25</t>
  </si>
  <si>
    <t>117/24-25</t>
  </si>
  <si>
    <t>118/24-25</t>
  </si>
  <si>
    <t>119/24-25</t>
  </si>
  <si>
    <t>120/24-25</t>
  </si>
  <si>
    <t>98/24-25</t>
  </si>
  <si>
    <t>FOUNDERS VISIT EXP</t>
  </si>
  <si>
    <t>Interest Payable</t>
  </si>
  <si>
    <t>BA -189</t>
  </si>
  <si>
    <t>BA 170,209,217,222,223,233</t>
  </si>
  <si>
    <t>TALOC2425082.</t>
  </si>
  <si>
    <t>Profit and Loss for the period April 21 to October 2024</t>
  </si>
  <si>
    <t>As on 31st October 2024</t>
  </si>
  <si>
    <t>Finished Goods</t>
  </si>
  <si>
    <t>Diwali Gift</t>
  </si>
  <si>
    <t>Power and Fuel Charges</t>
  </si>
  <si>
    <t>GP Margin</t>
  </si>
  <si>
    <t xml:space="preserve">                       </t>
  </si>
  <si>
    <t>BA 189</t>
  </si>
  <si>
    <t>Back-dated entries in books</t>
  </si>
  <si>
    <t>Founder's Visit Expense</t>
  </si>
  <si>
    <t>Interest On Loan Tradearch Market Platforms</t>
  </si>
  <si>
    <t>Vat Out of Scope Reversal</t>
  </si>
  <si>
    <t>Shipping Charge</t>
  </si>
  <si>
    <t>Company Incorporation Charges</t>
  </si>
  <si>
    <t>Foreign Exchange Bank Charges</t>
  </si>
  <si>
    <t>Foreign Hotel &amp; Travel Exp</t>
  </si>
  <si>
    <t>.</t>
  </si>
  <si>
    <t>APPLE IPAD SMART KEYBOARD 10.5 -BLACK</t>
  </si>
  <si>
    <t>F02PCFC243105005</t>
  </si>
  <si>
    <t>F02PCFC243185001</t>
  </si>
  <si>
    <t>F02PCFC243185002</t>
  </si>
  <si>
    <t>F02PCFC243315001</t>
  </si>
  <si>
    <t>PC:D13548753</t>
  </si>
  <si>
    <t>Rice 1121 and 1401</t>
  </si>
  <si>
    <t>898GR</t>
  </si>
  <si>
    <t>899GR</t>
  </si>
  <si>
    <t>900GR</t>
  </si>
  <si>
    <t>902GR</t>
  </si>
  <si>
    <t>903GR</t>
  </si>
  <si>
    <t>Ajit Shah Reimbursement</t>
  </si>
  <si>
    <t>ASP/EXP/23-24/072</t>
  </si>
  <si>
    <t>ASP/EXP23-24/071</t>
  </si>
  <si>
    <t>BA 174</t>
  </si>
  <si>
    <t>BA 220</t>
  </si>
  <si>
    <t>BA 375</t>
  </si>
  <si>
    <t>BA 426</t>
  </si>
  <si>
    <t>BA 433</t>
  </si>
  <si>
    <t>BA 437</t>
  </si>
  <si>
    <t>BA-145,126,46,47,43</t>
  </si>
  <si>
    <t>BA-384</t>
  </si>
  <si>
    <t>BA-439</t>
  </si>
  <si>
    <t>TAEXP2425035</t>
  </si>
  <si>
    <t>EX/004/24-25</t>
  </si>
  <si>
    <t>TAEXP2425033</t>
  </si>
  <si>
    <t>TAEXP2425037</t>
  </si>
  <si>
    <t>TAEXP2425038</t>
  </si>
  <si>
    <t>TAEXP2425039</t>
  </si>
  <si>
    <t>TAEXP2425040</t>
  </si>
  <si>
    <t>TAEXP2425041</t>
  </si>
  <si>
    <t>TALOC2425137</t>
  </si>
  <si>
    <t>TALOC2425141</t>
  </si>
  <si>
    <t>TALOC2425142</t>
  </si>
  <si>
    <t>Inventorisation</t>
  </si>
  <si>
    <t>TALOC2425136</t>
  </si>
  <si>
    <t>TALOC2425138</t>
  </si>
  <si>
    <t>TALOC2425140</t>
  </si>
  <si>
    <t>TALOC2425139</t>
  </si>
  <si>
    <t>TAEXP2425036</t>
  </si>
  <si>
    <t>TALOC2425143</t>
  </si>
  <si>
    <t>TALOC2425144</t>
  </si>
  <si>
    <t>TALOC2425145</t>
  </si>
  <si>
    <t>TAEXP2425043</t>
  </si>
  <si>
    <t>TAEXP2425/044</t>
  </si>
  <si>
    <t>TAEXP2425-043</t>
  </si>
  <si>
    <t>TALOC2425147</t>
  </si>
  <si>
    <t>BA-386</t>
  </si>
  <si>
    <t>BA-426</t>
  </si>
  <si>
    <t>BA-436</t>
  </si>
  <si>
    <t>BA-437</t>
  </si>
  <si>
    <t>BA-462</t>
  </si>
  <si>
    <t>TAEXP2425136</t>
  </si>
  <si>
    <t>TAEXP2425142</t>
  </si>
  <si>
    <t>TAEXP2425143</t>
  </si>
  <si>
    <t>Expenses Inventorisation</t>
  </si>
  <si>
    <t>BA-165</t>
  </si>
  <si>
    <t>Prior Period</t>
  </si>
  <si>
    <t>TALOC2425156</t>
  </si>
  <si>
    <t>Warehouse Rent - Direct</t>
  </si>
  <si>
    <t>it is of 042</t>
  </si>
  <si>
    <t>Exps of Aug</t>
  </si>
  <si>
    <t>Exps of Sept</t>
  </si>
  <si>
    <t>Exps of Oct</t>
  </si>
  <si>
    <t>Exps of Nov</t>
  </si>
  <si>
    <t>Prior Month Exps</t>
  </si>
  <si>
    <t>APPLE I PAD 10.9" 64GB BLUE MPQ13HN/A</t>
  </si>
  <si>
    <t>Siddh Reimbursement</t>
  </si>
  <si>
    <t>Ram Reimbursement</t>
  </si>
  <si>
    <t>PC D13578009</t>
  </si>
  <si>
    <t>PC:D13588450</t>
  </si>
  <si>
    <t>PC:D13599262</t>
  </si>
  <si>
    <t>MLWB Payable</t>
  </si>
  <si>
    <t>Duty Drawback incentive</t>
  </si>
  <si>
    <t>TAEXP2425042 DDB</t>
  </si>
  <si>
    <t>TAEXP2425046 DDB</t>
  </si>
  <si>
    <t>TAEXP2425051 DDB</t>
  </si>
  <si>
    <t>TAEXP2425053 DDB</t>
  </si>
  <si>
    <t>TAEXP2425054 DDB</t>
  </si>
  <si>
    <t>TAEXP2425056 DDB</t>
  </si>
  <si>
    <t>Rodtap incentive</t>
  </si>
  <si>
    <t>TAEXP2425061-RODTEP.</t>
  </si>
  <si>
    <t>TAEXP2425042-RODTEP</t>
  </si>
  <si>
    <t>TAEXP2425044-RODTEP</t>
  </si>
  <si>
    <t>TAEXP2425045-RODTEP</t>
  </si>
  <si>
    <t>TAEXP2425046-RODTEP</t>
  </si>
  <si>
    <t>TAEXP2425047-RODTEP</t>
  </si>
  <si>
    <t>TAEXP2425048-RODTEP</t>
  </si>
  <si>
    <t>TAEXP2425050-RODTEP</t>
  </si>
  <si>
    <t>TAEXP2425051-RODTEP</t>
  </si>
  <si>
    <t>TAEXP2425053-RODTEP</t>
  </si>
  <si>
    <t>TAEXP2425054-RODTEP</t>
  </si>
  <si>
    <t>TAEXP2425056-RODTEP</t>
  </si>
  <si>
    <t>TAEXP2425059-RODTEP</t>
  </si>
  <si>
    <t>TAEXP2425060-RODTEP</t>
  </si>
  <si>
    <t>TAEXP2425062</t>
  </si>
  <si>
    <t>Spice Board Refund.</t>
  </si>
  <si>
    <t>BA -133</t>
  </si>
  <si>
    <t>BA 141</t>
  </si>
  <si>
    <t>BA 515</t>
  </si>
  <si>
    <t>BA-144</t>
  </si>
  <si>
    <t>BA-177 BLACK PEPPER</t>
  </si>
  <si>
    <t>BA-510</t>
  </si>
  <si>
    <t>BA-511</t>
  </si>
  <si>
    <t>BA-539</t>
  </si>
  <si>
    <t>BA-541</t>
  </si>
  <si>
    <t>BA-546</t>
  </si>
  <si>
    <t>BA-547</t>
  </si>
  <si>
    <t>BA-549</t>
  </si>
  <si>
    <t>BA-62</t>
  </si>
  <si>
    <t>BA-68</t>
  </si>
  <si>
    <t>BA-456</t>
  </si>
  <si>
    <t>TALOC2425148</t>
  </si>
  <si>
    <t>Mohammad Shariq Reimbursment</t>
  </si>
  <si>
    <t>Prior period expenses-Hotel services</t>
  </si>
  <si>
    <t>TAEXP2425044</t>
  </si>
  <si>
    <t>TAEXP2425045</t>
  </si>
  <si>
    <t>TAEXP2425046</t>
  </si>
  <si>
    <t>TAEXP2425047</t>
  </si>
  <si>
    <t>TAEXP2425048</t>
  </si>
  <si>
    <t>TAEXP2425049</t>
  </si>
  <si>
    <t>TAEXP2425050</t>
  </si>
  <si>
    <t>TAEXP2425051</t>
  </si>
  <si>
    <t>TAEXP2425053</t>
  </si>
  <si>
    <t>TAEXP2425054</t>
  </si>
  <si>
    <t>TAEXP2425056</t>
  </si>
  <si>
    <t>TAEXP2425057</t>
  </si>
  <si>
    <t>TAEXP2425059</t>
  </si>
  <si>
    <t>TALOC2425149</t>
  </si>
  <si>
    <t>TALOC2425155</t>
  </si>
  <si>
    <t>TALOC2425157</t>
  </si>
  <si>
    <t>Discount on Sales</t>
  </si>
  <si>
    <t>Discount on Purchase</t>
  </si>
  <si>
    <t>DDB</t>
  </si>
  <si>
    <t>Net Sales</t>
  </si>
  <si>
    <t>Interest on FD Receivable</t>
  </si>
  <si>
    <t>SE/2080/4470 DDB</t>
  </si>
  <si>
    <t>SE/2080/4500 DDB</t>
  </si>
  <si>
    <t>TAEXP2425001 DDB</t>
  </si>
  <si>
    <t>TAEXP2425006 DDB</t>
  </si>
  <si>
    <t>TAEXP2425007 DDB</t>
  </si>
  <si>
    <t>TAEXP2425008 DDB</t>
  </si>
  <si>
    <t>TAEXP2425009 DDB</t>
  </si>
  <si>
    <t>TAEXP2425011 DDB</t>
  </si>
  <si>
    <t>TAEXP2425014 DDB</t>
  </si>
  <si>
    <t>TAEXP2425020 DDB</t>
  </si>
  <si>
    <t>TAEXP2425022 DDB</t>
  </si>
  <si>
    <t>TAEXP2425023 DDB</t>
  </si>
  <si>
    <t>TAEXP2425026 DDB</t>
  </si>
  <si>
    <t>TAEXP2425029 DDB</t>
  </si>
  <si>
    <t>TAEXP2425030 DDB</t>
  </si>
  <si>
    <t>TAEXP2425031 DDB</t>
  </si>
  <si>
    <t>TAEXP2425032 DDB</t>
  </si>
  <si>
    <t>TAEXP2425033 DDB</t>
  </si>
  <si>
    <t>TAEXP2425034 DDB</t>
  </si>
  <si>
    <t>TAEXP2425035 DDB</t>
  </si>
  <si>
    <t>TAEXP2425036 DDB</t>
  </si>
  <si>
    <t>TAEXP2425037 DDB</t>
  </si>
  <si>
    <t>TAEXP2425041 DDB</t>
  </si>
  <si>
    <t>SE/2080/4470 RODTEP.</t>
  </si>
  <si>
    <t>SE/2080/4500 RODTEP.</t>
  </si>
  <si>
    <t>SE/2080/4504 RODTEP.</t>
  </si>
  <si>
    <t>TAEXP2425-043 RODTEP.</t>
  </si>
  <si>
    <t>TAEXP2425/044 RODTEP.</t>
  </si>
  <si>
    <t>TAEXP2425001 RODTEP.</t>
  </si>
  <si>
    <t>TAEXP2425006 RODTEP.</t>
  </si>
  <si>
    <t>TAEXP2425007 RODTEP.</t>
  </si>
  <si>
    <t>TAEXP2425008 RODTEP.</t>
  </si>
  <si>
    <t>TAEXP2425009 RODTEP.</t>
  </si>
  <si>
    <t>TAEXP2425011 RODTEP.</t>
  </si>
  <si>
    <t>TAEXP2425014 RODTEP.</t>
  </si>
  <si>
    <t>TAEXP2425017 RODTEP.</t>
  </si>
  <si>
    <t>TAEXP2425019 RODTEP.</t>
  </si>
  <si>
    <t>TAEXP2425020 RODTEP.</t>
  </si>
  <si>
    <t>TAEXP2425022 RODTEP.</t>
  </si>
  <si>
    <t>TAEXP2425023 RODTEP.</t>
  </si>
  <si>
    <t>TAEXP2425024 RODTEP.</t>
  </si>
  <si>
    <t>TAEXP2425025 RODTEP.</t>
  </si>
  <si>
    <t>TAEXP2425026 RODTEP.</t>
  </si>
  <si>
    <t>TAEXP2425027 RODTEP.</t>
  </si>
  <si>
    <t>TAEXP2425028 RODTEP.</t>
  </si>
  <si>
    <t>TAEXP2425029 RODTEP.</t>
  </si>
  <si>
    <t>TAEXP2425030 RODTEP.</t>
  </si>
  <si>
    <t>TAEXP2425033 RODTEP.</t>
  </si>
  <si>
    <t>TAEXP2425034 RODTEP.</t>
  </si>
  <si>
    <t>TAEXP2425035 RODTEP.</t>
  </si>
  <si>
    <t>TAEXP2425036 RODTEP.</t>
  </si>
  <si>
    <t>TAEXP2425037 RODTEP.</t>
  </si>
  <si>
    <t>TAEXP2425038 RODTEP.</t>
  </si>
  <si>
    <t>TAEXP2425039 RODTEP.</t>
  </si>
  <si>
    <t>TAEXP2425040 RODTEP.</t>
  </si>
  <si>
    <t>TAEXP2425041 RODTEP.</t>
  </si>
  <si>
    <t>TAEXP2425042 RODTEP.</t>
  </si>
  <si>
    <t>TAEXP2425043 RODTEP.</t>
  </si>
  <si>
    <t>TAEXP2425044 RODTEP.</t>
  </si>
  <si>
    <t>TAEXP2425045 RODTEP.</t>
  </si>
  <si>
    <t>TAEXP2425046 RODTEP.</t>
  </si>
  <si>
    <t>TAEXP2425047 RODTEP.</t>
  </si>
  <si>
    <t>TAEXP2425048 RODTEP.</t>
  </si>
  <si>
    <t>TAEXP2425049 RODTEP.</t>
  </si>
  <si>
    <t>TAEXP2425050 RODTEP.</t>
  </si>
  <si>
    <t>TAEXP2425051 RODTEP.</t>
  </si>
  <si>
    <t>TAEXP2425052 RODTEP.</t>
  </si>
  <si>
    <t>TAEXP2425053 RODTEP.</t>
  </si>
  <si>
    <t>TAEXP2425054 RODTEP.</t>
  </si>
  <si>
    <t>TAEXP2425056 RODTEP.</t>
  </si>
  <si>
    <t>TAEXP2425057 RODTEP.</t>
  </si>
  <si>
    <t>TAEXP2425059 RODTEP.</t>
  </si>
  <si>
    <t>TAEXP2425060 RODTEP.</t>
  </si>
  <si>
    <t>TAEXP2425062 RODTEP.</t>
  </si>
  <si>
    <t>MLWF Expense</t>
  </si>
  <si>
    <t>Testing and Inspection Charge</t>
  </si>
  <si>
    <t>Bank charges against Import/MTT Transactio</t>
  </si>
  <si>
    <t>Transportation Expense Indirect</t>
  </si>
  <si>
    <t>TALOC2425154</t>
  </si>
  <si>
    <t>Loan From Tradearch Market Platforms Pvt Ltd</t>
  </si>
  <si>
    <t>AGT/RCN/24-25/001</t>
  </si>
  <si>
    <t>AGT/RCN/24-25/002</t>
  </si>
  <si>
    <t>AGT/RCN/24-25/003</t>
  </si>
  <si>
    <t>AGT/RCN/24-25/004</t>
  </si>
  <si>
    <t>AGT/RCN/24-25/005</t>
  </si>
  <si>
    <t>AGT/RCN/24-25/006</t>
  </si>
  <si>
    <t>AGT/RCN/24-25/007</t>
  </si>
  <si>
    <t>AGT/RCN/24-25/008</t>
  </si>
  <si>
    <t>AGT/RCN/24-25/009</t>
  </si>
  <si>
    <t>AGT/RCN/24-25/010</t>
  </si>
  <si>
    <t>AGT/RCN/24-25/011</t>
  </si>
  <si>
    <t>AGT/RCN/24-25/012</t>
  </si>
  <si>
    <t>AGT/RCN/24-25/013</t>
  </si>
  <si>
    <t>AGT/RCN/24-25/014</t>
  </si>
  <si>
    <t>AGT/RCN/24-25/015</t>
  </si>
  <si>
    <t>AGT/RCN/24-25/016</t>
  </si>
  <si>
    <t>AGT/RCN/24-25/017</t>
  </si>
  <si>
    <t>AGT/RCN/24-25/018</t>
  </si>
  <si>
    <t>AGT/RCN/24-25/019</t>
  </si>
  <si>
    <t>AGT/RCN/24-25/020</t>
  </si>
  <si>
    <t>AGT/RCN/24-25/021</t>
  </si>
  <si>
    <t>AGT/RCN/24-25/022</t>
  </si>
  <si>
    <t>AGT/RCN/24-25/023</t>
  </si>
  <si>
    <t>AGT/RCN/24-25/024</t>
  </si>
  <si>
    <t>AGT/RCN/24-25/025</t>
  </si>
  <si>
    <t>AGT/RCN/24-25/026</t>
  </si>
  <si>
    <t>AGT/RCN/24-25/027</t>
  </si>
  <si>
    <t>AGT/RCN/24-25/028</t>
  </si>
  <si>
    <t>AGT/RCN/24-25/029</t>
  </si>
  <si>
    <t>AGT/RCN/24-25/030</t>
  </si>
  <si>
    <t>AGT/RCN/24-25/031</t>
  </si>
  <si>
    <t>AGT/RCN/24-25/032</t>
  </si>
  <si>
    <t>AGT/RCN/24-25/033</t>
  </si>
  <si>
    <t>AGT/RCN/24-25/034</t>
  </si>
  <si>
    <t>AGT/RCN/24-25/035</t>
  </si>
  <si>
    <t>AGT/RCN/24-25/036</t>
  </si>
  <si>
    <t>AGT/RCN/24-25/037</t>
  </si>
  <si>
    <t>ARGT/LOC/2024/226</t>
  </si>
  <si>
    <t>ARGT/LOC/2024/294</t>
  </si>
  <si>
    <t>ARGT/LOC/2024/319</t>
  </si>
  <si>
    <t>ARGT/LOC/2024/320</t>
  </si>
  <si>
    <t>Total INR</t>
  </si>
  <si>
    <t>cogs</t>
  </si>
  <si>
    <t>Net Purchase cost</t>
  </si>
  <si>
    <t>Gross Margin 1 (%)</t>
  </si>
  <si>
    <t>Gross Margin 2 (%)</t>
  </si>
  <si>
    <t>Advance salary to Avdhut Ghevdekar</t>
  </si>
  <si>
    <t>F02EOBU250075002</t>
  </si>
  <si>
    <t>MLWB (Maharashtra Labour Welfare Board)</t>
  </si>
  <si>
    <t>Cash Discount received</t>
  </si>
  <si>
    <t>DISCOUNT ALLOWED</t>
  </si>
  <si>
    <t>TALOC2425023 CDA</t>
  </si>
  <si>
    <t>TALOC2425034 CDA</t>
  </si>
  <si>
    <t>TALOC2425040 CDA</t>
  </si>
  <si>
    <t>TALOC2425043 CDA</t>
  </si>
  <si>
    <t>TALOC2425044 CDA</t>
  </si>
  <si>
    <t>TALOC2425045 CDA</t>
  </si>
  <si>
    <t>TALOC2425046 CDA</t>
  </si>
  <si>
    <t>TALOC2425047 CDA</t>
  </si>
  <si>
    <t>TALOC2425049 CDA</t>
  </si>
  <si>
    <t>TALOC2425050 CDA</t>
  </si>
  <si>
    <t>TALOC2425051 CDA</t>
  </si>
  <si>
    <t>TALOC2425053 CDA</t>
  </si>
  <si>
    <t>TALOC2425054 CDA</t>
  </si>
  <si>
    <t>TALOC2425057 CDA</t>
  </si>
  <si>
    <t>TALOC2425066 CDA</t>
  </si>
  <si>
    <t>TALOC2425067 CDA</t>
  </si>
  <si>
    <t>TALOC2425069 CDA</t>
  </si>
  <si>
    <t>TALOC2425072 CDA</t>
  </si>
  <si>
    <t>TALOC2425073 CDA</t>
  </si>
  <si>
    <t>TALOC2425074 CDA</t>
  </si>
  <si>
    <t>TALOC2425075 CDA</t>
  </si>
  <si>
    <t>TAEXP2425052 DDB</t>
  </si>
  <si>
    <t>TAEXP2425059 DDB</t>
  </si>
  <si>
    <t>TAEXP2425061 DDB</t>
  </si>
  <si>
    <t>TAEXP2425062 DDB</t>
  </si>
  <si>
    <t>TAEXP-2425044 RODTEP.</t>
  </si>
  <si>
    <t>TAEXP-2425058 RODTEP.</t>
  </si>
  <si>
    <t>BA -165</t>
  </si>
  <si>
    <t>BA 288</t>
  </si>
  <si>
    <t>BA-448</t>
  </si>
  <si>
    <t>BA-449</t>
  </si>
  <si>
    <t>BA-552</t>
  </si>
  <si>
    <t>TAEXP-2425044</t>
  </si>
  <si>
    <t>TAEXP-2425058</t>
  </si>
  <si>
    <t>TAEXP2425-044</t>
  </si>
  <si>
    <t>TAEXP2425-061</t>
  </si>
  <si>
    <t>TAEXP2425029 ( Int PCFC)</t>
  </si>
  <si>
    <t>TAEXP2425031 ( Int PCFC )</t>
  </si>
  <si>
    <t>TAEXP2425032 ( Int PCFC)</t>
  </si>
  <si>
    <t>TAEXP2425033 ( Int PCFC)</t>
  </si>
  <si>
    <t>TAEXP2425034 ( Int PCFC )</t>
  </si>
  <si>
    <t>TAEXP2425038 ( Int PCFC)</t>
  </si>
  <si>
    <t>TAEXP2425039 ( Int PCFC )</t>
  </si>
  <si>
    <t>TAEXP2425052</t>
  </si>
  <si>
    <t>TAEXP2425055</t>
  </si>
  <si>
    <t>TAEXP2425060</t>
  </si>
  <si>
    <t>TALOC2425158</t>
  </si>
  <si>
    <t>Investments in Subsidiary</t>
  </si>
  <si>
    <t xml:space="preserve">Interest on FD Receivable </t>
  </si>
  <si>
    <t xml:space="preserve">TCS Receivable </t>
  </si>
  <si>
    <t xml:space="preserve">TDS Receivable </t>
  </si>
  <si>
    <t xml:space="preserve">Security Deposit </t>
  </si>
  <si>
    <t xml:space="preserve">Rodtep Receivable </t>
  </si>
  <si>
    <t>GST Input tax Assets</t>
  </si>
  <si>
    <t xml:space="preserve">Prepaid Expenses </t>
  </si>
  <si>
    <t>LOAN TO SUBSIDIARIES</t>
  </si>
  <si>
    <t>Other Miscelenious Assets</t>
  </si>
  <si>
    <t xml:space="preserve">Employee Advance </t>
  </si>
  <si>
    <t xml:space="preserve">Foreign Exchange </t>
  </si>
  <si>
    <t xml:space="preserve">Duty Drawback Receivable </t>
  </si>
  <si>
    <t xml:space="preserve">ECL GST </t>
  </si>
  <si>
    <t>Cash Balance</t>
  </si>
  <si>
    <t>Bank Balance</t>
  </si>
  <si>
    <t>Equity Sahare Capital</t>
  </si>
  <si>
    <t>Preference Share Capital</t>
  </si>
  <si>
    <t>Retained earning</t>
  </si>
  <si>
    <t xml:space="preserve">Current Year Earnings </t>
  </si>
  <si>
    <t xml:space="preserve">Provision for doubtful debts </t>
  </si>
  <si>
    <t>Related Party Loan</t>
  </si>
  <si>
    <t>Bank anf NBFC Borrowings</t>
  </si>
  <si>
    <t xml:space="preserve">Warehouse Finance </t>
  </si>
  <si>
    <t>Gratuity Payable</t>
  </si>
  <si>
    <t xml:space="preserve">Salary Payable </t>
  </si>
  <si>
    <t>Other Provision Payable</t>
  </si>
  <si>
    <t xml:space="preserve">Employee Reimbursements </t>
  </si>
  <si>
    <t xml:space="preserve">Employee Flexi Reimbursements </t>
  </si>
  <si>
    <t xml:space="preserve">ECGC Premium Payable </t>
  </si>
  <si>
    <t>Credit Card Balance</t>
  </si>
  <si>
    <t>Total Capital &amp; Liabilities</t>
  </si>
  <si>
    <t>Total Assets</t>
  </si>
  <si>
    <t>ICD</t>
  </si>
  <si>
    <t>Deepak Motwani</t>
  </si>
  <si>
    <t>Provision on RCN Commission</t>
  </si>
  <si>
    <t>AGT/RCN/24-25/038</t>
  </si>
  <si>
    <t>AGT/RCN/24-25/039</t>
  </si>
  <si>
    <t>AGT/RCN/24-25/040</t>
  </si>
  <si>
    <t>ARGT/LOC/2024/356</t>
  </si>
  <si>
    <t>ARGT/LOC/2024/368</t>
  </si>
  <si>
    <t>Ineligible GST Toor</t>
  </si>
  <si>
    <t>Net diff</t>
  </si>
  <si>
    <t>Foreign Exchange Gain/(Loss) toor</t>
  </si>
  <si>
    <t>YTD FY26</t>
  </si>
  <si>
    <t>Apr-25</t>
  </si>
  <si>
    <t>May-25</t>
  </si>
  <si>
    <t>YTD Console Net</t>
  </si>
  <si>
    <t>ECL CGST</t>
  </si>
  <si>
    <t>ECL IGST</t>
  </si>
  <si>
    <t>ECL SGST</t>
  </si>
  <si>
    <t>FD - Shriram Finance Ltd.</t>
  </si>
  <si>
    <t>FD against AMC License</t>
  </si>
  <si>
    <t>Aashima Kapoor - Flexi Reimbursement</t>
  </si>
  <si>
    <t>Niket Karia - Flexi Reimbursement</t>
  </si>
  <si>
    <t>Interest on Unsecured Loan Payable - Shriram Finance</t>
  </si>
  <si>
    <t>F02PCFC251155002</t>
  </si>
  <si>
    <t>PC:D13657436</t>
  </si>
  <si>
    <t>PC:D13697581</t>
  </si>
  <si>
    <t>PC:D13804904</t>
  </si>
  <si>
    <t>Jasper Build-Tech Solutions Pvt. Ltd.</t>
  </si>
  <si>
    <t>Shriram Finance -unsecure loan</t>
  </si>
  <si>
    <t>TAEXP25262 DDB</t>
  </si>
  <si>
    <t>TAEXP25263 DDB</t>
  </si>
  <si>
    <t>TAEXP25261 RODTEP</t>
  </si>
  <si>
    <t>TAEXP25262 RODTEP</t>
  </si>
  <si>
    <t>TAEXP25263 RODTEP</t>
  </si>
  <si>
    <t>BA 631</t>
  </si>
  <si>
    <t>BA 634</t>
  </si>
  <si>
    <t>BA-150</t>
  </si>
  <si>
    <t>BA-177 &amp; 186</t>
  </si>
  <si>
    <t>BA-186</t>
  </si>
  <si>
    <t>BA-569</t>
  </si>
  <si>
    <t>BA-606</t>
  </si>
  <si>
    <t>BA-629</t>
  </si>
  <si>
    <t>BA-643</t>
  </si>
  <si>
    <t>SE/2081/2370</t>
  </si>
  <si>
    <t>TAEXP-2425068</t>
  </si>
  <si>
    <t>TAEXP2425063</t>
  </si>
  <si>
    <t>TAEXP2425065</t>
  </si>
  <si>
    <t>TAEXP2425066</t>
  </si>
  <si>
    <t>TAEXP2425067</t>
  </si>
  <si>
    <t>TAEXP2425070</t>
  </si>
  <si>
    <t>TAEXP2425072</t>
  </si>
  <si>
    <t>TAEXP2425075</t>
  </si>
  <si>
    <t>TAEXP2425076</t>
  </si>
  <si>
    <t>TAEXP2425077</t>
  </si>
  <si>
    <t>TAEXP2425080</t>
  </si>
  <si>
    <t>TAEXP2425081</t>
  </si>
  <si>
    <t>TAEXP25261</t>
  </si>
  <si>
    <t>TAEXP25262</t>
  </si>
  <si>
    <t>TAEXP25263</t>
  </si>
  <si>
    <t>TAEXP25264</t>
  </si>
  <si>
    <t>Aspirarch Lanka (Pvt) Ltd (Amana)</t>
  </si>
  <si>
    <t>Container Security Deposit</t>
  </si>
  <si>
    <t>0001/25-26</t>
  </si>
  <si>
    <t>0002/25-26</t>
  </si>
  <si>
    <t>0003/25-26</t>
  </si>
  <si>
    <t>0004/25-26</t>
  </si>
  <si>
    <t>0005/25-26</t>
  </si>
  <si>
    <t>0006/25-26</t>
  </si>
  <si>
    <t>0007/25-26</t>
  </si>
  <si>
    <t>0008/25-26</t>
  </si>
  <si>
    <t>0009/25-26</t>
  </si>
  <si>
    <t>0010/25-26</t>
  </si>
  <si>
    <t>0011/25-26</t>
  </si>
  <si>
    <t>0012/25-26</t>
  </si>
  <si>
    <t>0013/25-26</t>
  </si>
  <si>
    <t>0014/25-26</t>
  </si>
  <si>
    <t>0015/25-26</t>
  </si>
  <si>
    <t>0028/25-26</t>
  </si>
  <si>
    <t>0030/25-26</t>
  </si>
  <si>
    <t>193/24-25</t>
  </si>
  <si>
    <t>Audit Fee</t>
  </si>
  <si>
    <t>0016/25-26</t>
  </si>
  <si>
    <t>126/24-25</t>
  </si>
  <si>
    <t>135/24-25</t>
  </si>
  <si>
    <t>182/24-25</t>
  </si>
  <si>
    <t>190/24-25</t>
  </si>
  <si>
    <t>196/24-25</t>
  </si>
  <si>
    <t>Guest Exps.</t>
  </si>
  <si>
    <t>Apr-25 INR</t>
  </si>
  <si>
    <t>May-25 INR</t>
  </si>
  <si>
    <t>June-25 INR</t>
  </si>
  <si>
    <t>Jul-25 INR</t>
  </si>
  <si>
    <t>Aug-25 INR</t>
  </si>
  <si>
    <t>Deepak Motwani ( Cash Sales)</t>
  </si>
  <si>
    <t>Loan To Avoca (Hiten Bhai )</t>
  </si>
  <si>
    <t>Loan To Avoca (ODI)</t>
  </si>
  <si>
    <t>Manish Petty Cash</t>
  </si>
  <si>
    <t>ARGT/LOC/2024/458</t>
  </si>
  <si>
    <t>ARGT/LOC/2024/460</t>
  </si>
  <si>
    <t>ARGT/LOC/2024/463</t>
  </si>
  <si>
    <t>ARGT/LOC/2025/020</t>
  </si>
  <si>
    <t>RIC-0237</t>
  </si>
  <si>
    <t>TAEXP2425078</t>
  </si>
  <si>
    <t>Aprofit</t>
  </si>
  <si>
    <t>AXIS BANK</t>
  </si>
  <si>
    <t>BOPP BAGS</t>
  </si>
  <si>
    <t>PACKAGING CYLINDER</t>
  </si>
  <si>
    <t>Provision Payable flexi pay</t>
  </si>
  <si>
    <t>TAEXP25260001 RODTEP</t>
  </si>
  <si>
    <t>BA-630</t>
  </si>
  <si>
    <t>BA-674</t>
  </si>
  <si>
    <t>Gift Allowance</t>
  </si>
  <si>
    <t>Quality discount-Direct exp</t>
  </si>
  <si>
    <t>TAEXP-25265</t>
  </si>
  <si>
    <t>TAEXP25260001</t>
  </si>
  <si>
    <t>TAEXP25269</t>
  </si>
  <si>
    <t>TRAVEL EXP-INTERNATIONAL</t>
  </si>
  <si>
    <t>Salary capitalisation</t>
  </si>
  <si>
    <t>Bank OD</t>
  </si>
  <si>
    <t>AL</t>
  </si>
  <si>
    <t>Quality issue</t>
  </si>
  <si>
    <t>Quality issue income</t>
  </si>
  <si>
    <t>ARGT/LOC/2025/002</t>
  </si>
  <si>
    <t>ARGT/LOC/2025/008</t>
  </si>
  <si>
    <t>ARGT/LOC/2025/009</t>
  </si>
  <si>
    <t>ARGT/LOC/2025/010</t>
  </si>
  <si>
    <t>ARGT/LOC/2025/012A</t>
  </si>
  <si>
    <t>ARGT/LOC/2025/017</t>
  </si>
  <si>
    <t>Prior Period Direct Expense</t>
  </si>
  <si>
    <t>Interest receivable from Aspirarch Market Platforms Ltd. USA</t>
  </si>
  <si>
    <t>FX Gain/loss</t>
  </si>
  <si>
    <t>Foreign Exchange - Vishal Shah</t>
  </si>
  <si>
    <t>Interest on Unsecured Loan Payable - Jasper</t>
  </si>
  <si>
    <t>F02PCFC251415002</t>
  </si>
  <si>
    <t>F02PCFC251505001</t>
  </si>
  <si>
    <t>F02PCFC251555002</t>
  </si>
  <si>
    <t>PC:D13812658</t>
  </si>
  <si>
    <t>BBPS PAYMENT RECEIVED - EU015172T36722299038</t>
  </si>
  <si>
    <t>TAEXP252610 DDB</t>
  </si>
  <si>
    <t>TAEXP252611 DDB</t>
  </si>
  <si>
    <t>TAEXP252618 DDB</t>
  </si>
  <si>
    <t>TAEXP25266 DDB</t>
  </si>
  <si>
    <t>TAEXP252610 RODTEP</t>
  </si>
  <si>
    <t>TAEXP252611 RODTEP</t>
  </si>
  <si>
    <t>TAEXP252612 RODTEP</t>
  </si>
  <si>
    <t>TAEXP252613 RODTEP</t>
  </si>
  <si>
    <t>TAEXP252614 RODTEP</t>
  </si>
  <si>
    <t>TAEXP252615 RODTEP</t>
  </si>
  <si>
    <t>TAEXP252617 RODTEP</t>
  </si>
  <si>
    <t>TAEXP252618 RODTEP</t>
  </si>
  <si>
    <t>TAEXP252619 RODTEP</t>
  </si>
  <si>
    <t>TAEXP252620 RODTEP</t>
  </si>
  <si>
    <t>TAEXP252621 RODTEP</t>
  </si>
  <si>
    <t>TAEXP252622 RODTEP</t>
  </si>
  <si>
    <t>TAEXP25266 RODTEP</t>
  </si>
  <si>
    <t>BA NOT IDENTIFY</t>
  </si>
  <si>
    <t>BA-600</t>
  </si>
  <si>
    <t>BA-649</t>
  </si>
  <si>
    <t>BA-659</t>
  </si>
  <si>
    <t>BA-662</t>
  </si>
  <si>
    <t>BA-673</t>
  </si>
  <si>
    <t>BA-725</t>
  </si>
  <si>
    <t>BA-732</t>
  </si>
  <si>
    <t>Bill Discounting Interest Cost.</t>
  </si>
  <si>
    <t>Interest on warehouse financing.</t>
  </si>
  <si>
    <t>Interest on warehousing Finance..</t>
  </si>
  <si>
    <t>PCFC Interest Charges.</t>
  </si>
  <si>
    <t>Forward Booking Cancellation charges</t>
  </si>
  <si>
    <t>HOTEL EXP-INTERNATIONAL</t>
  </si>
  <si>
    <t>HOTEL EXP-LOCAL</t>
  </si>
  <si>
    <t>TAEXP252610</t>
  </si>
  <si>
    <t>TAEXP252611</t>
  </si>
  <si>
    <t>TAEXP252612</t>
  </si>
  <si>
    <t>TAEXP252613</t>
  </si>
  <si>
    <t>TAEXP252614</t>
  </si>
  <si>
    <t>TAEXP252615</t>
  </si>
  <si>
    <t>TAEXP252616</t>
  </si>
  <si>
    <t>TAEXP252617</t>
  </si>
  <si>
    <t>TAEXP252618</t>
  </si>
  <si>
    <t>TAEXP252619</t>
  </si>
  <si>
    <t>TAEXP252620</t>
  </si>
  <si>
    <t>TAEXP252621</t>
  </si>
  <si>
    <t>TAEXP252622</t>
  </si>
  <si>
    <t>TAEXP252627</t>
  </si>
  <si>
    <t>TAEXP25266</t>
  </si>
  <si>
    <t>TAEXP25267</t>
  </si>
  <si>
    <t>TRAVEL EXP-LOCAL</t>
  </si>
  <si>
    <t>Warehouse Finance Charges</t>
  </si>
  <si>
    <t>June-25</t>
  </si>
  <si>
    <t>July-25</t>
  </si>
  <si>
    <t>Undeposited Funds</t>
  </si>
  <si>
    <t>YASEEN-SALARY ADVANCE</t>
  </si>
  <si>
    <t>Commission &amp; Brokerage Charges.</t>
  </si>
  <si>
    <t>Late Fee Income</t>
  </si>
  <si>
    <t>AGS/2025/225</t>
  </si>
  <si>
    <t>AGS/24-25/280</t>
  </si>
  <si>
    <t>ARGT/LOC/2024/416</t>
  </si>
  <si>
    <t>ARGT/LOC/2025/085</t>
  </si>
  <si>
    <t>RIC-0023</t>
  </si>
  <si>
    <t>RIC-0025</t>
  </si>
  <si>
    <t>RIC-0029</t>
  </si>
  <si>
    <t>RIC0018</t>
  </si>
  <si>
    <t>Ledger Name</t>
  </si>
  <si>
    <t>BA-769</t>
  </si>
  <si>
    <t>TAEXP252629</t>
  </si>
  <si>
    <t>TALOC25260032</t>
  </si>
  <si>
    <t>BL</t>
  </si>
  <si>
    <t>Aditya Fixed allowance</t>
  </si>
  <si>
    <t>Ganesh salary</t>
  </si>
  <si>
    <t>Saish Fixed allowance</t>
  </si>
  <si>
    <t>Sanjay Fixed allowance</t>
  </si>
  <si>
    <t>0017/25-26</t>
  </si>
  <si>
    <t>0018/25-26</t>
  </si>
  <si>
    <t>0019/25-26</t>
  </si>
  <si>
    <t>0020/25-26</t>
  </si>
  <si>
    <t>0021/25-26</t>
  </si>
  <si>
    <t>0022/25-26</t>
  </si>
  <si>
    <t>0023/25-26</t>
  </si>
  <si>
    <t>0024/25-26</t>
  </si>
  <si>
    <t>0025/25-26</t>
  </si>
  <si>
    <t>0026/25-26</t>
  </si>
  <si>
    <t>0027/25-26</t>
  </si>
  <si>
    <t>0029/25-26</t>
  </si>
  <si>
    <t>0031/25-26</t>
  </si>
  <si>
    <t>0032/25-26</t>
  </si>
  <si>
    <t>0033/25-26</t>
  </si>
  <si>
    <t>0034/25-26</t>
  </si>
  <si>
    <t>0035/25-26</t>
  </si>
  <si>
    <t>0036/25-26</t>
  </si>
  <si>
    <t>0037/25-26</t>
  </si>
  <si>
    <t>0038/25-26</t>
  </si>
  <si>
    <t>0039/25-26</t>
  </si>
  <si>
    <t>0040/25-26</t>
  </si>
  <si>
    <t>0041/25-26</t>
  </si>
  <si>
    <t>0042/25-26</t>
  </si>
  <si>
    <t>0043/25-26</t>
  </si>
  <si>
    <t>0044/25-26</t>
  </si>
  <si>
    <t>0045/25-26</t>
  </si>
  <si>
    <t>0046/25-26</t>
  </si>
  <si>
    <t>0047/25-26</t>
  </si>
  <si>
    <t>0048/25-26</t>
  </si>
  <si>
    <t>0049/25-26</t>
  </si>
  <si>
    <t>0050/25-26</t>
  </si>
  <si>
    <t>0051/25-26</t>
  </si>
  <si>
    <t>0052/25-26</t>
  </si>
  <si>
    <t>0054/25-26</t>
  </si>
  <si>
    <t>0056/25-26</t>
  </si>
  <si>
    <t>179/24-25</t>
  </si>
  <si>
    <t>Diff INR</t>
  </si>
  <si>
    <t>Diff FC</t>
  </si>
  <si>
    <t>TALOC25260017</t>
  </si>
  <si>
    <t>TRADEARCH MARKET PLATFORMS PVT LTD - CANARA BANK</t>
  </si>
  <si>
    <t>TRADEARCH MARKET PLATFORMS PVT LTD- AXIS BANK</t>
  </si>
  <si>
    <t>TRADEARCH MARKET PLATFORMS PVT LTD- OD ACCOUNT CANARA</t>
  </si>
  <si>
    <t>F02PCFC251985001</t>
  </si>
  <si>
    <t>Shivani Hiten kataria</t>
  </si>
  <si>
    <t>Aug-25</t>
  </si>
  <si>
    <t>Input ISD CGST</t>
  </si>
  <si>
    <t>Input ISD SGST</t>
  </si>
  <si>
    <t>AMI Agrotech Private Limited 51%</t>
  </si>
  <si>
    <t>Shubham Jain-Flexi reimbursement</t>
  </si>
  <si>
    <t>Viral Flexi Reimbursement</t>
  </si>
  <si>
    <t>Interest on Unsecured Loan Payable- Aspire</t>
  </si>
  <si>
    <t>Kaushal-advance salary</t>
  </si>
  <si>
    <t>D14081008</t>
  </si>
  <si>
    <t>D14086380</t>
  </si>
  <si>
    <t>F02PCFC251915003</t>
  </si>
  <si>
    <t>F02PCFC252695001</t>
  </si>
  <si>
    <t>F02PCFC252895002</t>
  </si>
  <si>
    <t>F02PCFC252905002</t>
  </si>
  <si>
    <t>F02PCFC253035001</t>
  </si>
  <si>
    <t>PC-D14114766</t>
  </si>
  <si>
    <t>PC:D13955311</t>
  </si>
  <si>
    <t>PC:D14010888</t>
  </si>
  <si>
    <t>PC:D14037021 DUE DATE 07-02-2026</t>
  </si>
  <si>
    <t>PC:D14077066</t>
  </si>
  <si>
    <t>TDS on Commission/Brokerage</t>
  </si>
  <si>
    <t>TDS on Contract</t>
  </si>
  <si>
    <t>TDS on Purchase of Goods</t>
  </si>
  <si>
    <t>TDS on Rent</t>
  </si>
  <si>
    <t>Aspire Financial Consulting loan</t>
  </si>
  <si>
    <t>SE/2081/2499 DDB</t>
  </si>
  <si>
    <t>SE/2081/2569 DDB</t>
  </si>
  <si>
    <t>TAEXP252626 DDB</t>
  </si>
  <si>
    <t>TAEXP252628 DDB</t>
  </si>
  <si>
    <t>TAEXP252633 DDB</t>
  </si>
  <si>
    <t>TAEXP252638 DDB</t>
  </si>
  <si>
    <t>TAEXP252644 DDB</t>
  </si>
  <si>
    <t>TAEXP252646 DDB</t>
  </si>
  <si>
    <t>TAEXP252647 DDB</t>
  </si>
  <si>
    <t>SE/2081/2499 RODTEP</t>
  </si>
  <si>
    <t>SE/2081/2569 Rodtep</t>
  </si>
  <si>
    <t>TAEXP252623 RODTEP</t>
  </si>
  <si>
    <t>TAEXP252624 RODTEP</t>
  </si>
  <si>
    <t>TAEXP252625 RODTEP</t>
  </si>
  <si>
    <t>TAEXP252626 RODTEP</t>
  </si>
  <si>
    <t>TAEXP252627 RODTEP</t>
  </si>
  <si>
    <t>TAEXP252628 RODTEP</t>
  </si>
  <si>
    <t>TAEXP252629 RODTEP</t>
  </si>
  <si>
    <t>TAEXP252630 RODTEP</t>
  </si>
  <si>
    <t>TAEXP252631 RODTEP</t>
  </si>
  <si>
    <t>TAEXP252632 RODTEP</t>
  </si>
  <si>
    <t>TAEXP252633 RODTEP</t>
  </si>
  <si>
    <t>TAEXP252634 RODTEP</t>
  </si>
  <si>
    <t>TAEXP252635 RODTEP</t>
  </si>
  <si>
    <t>TAEXP252636 RODTEP</t>
  </si>
  <si>
    <t>TAEXP252637 RODTEP</t>
  </si>
  <si>
    <t>TAEXP252638 RODTEP</t>
  </si>
  <si>
    <t>TAEXP252639 RODTEP</t>
  </si>
  <si>
    <t>TAEXP252641 RODTEP</t>
  </si>
  <si>
    <t>TAEXP252642 RODTEP</t>
  </si>
  <si>
    <t>TAEXP252643 Rodtep</t>
  </si>
  <si>
    <t>TAEXP252644 RODTEP</t>
  </si>
  <si>
    <t>TAEXP252646 Rodtep</t>
  </si>
  <si>
    <t>TAEXP252647 Rodtep</t>
  </si>
  <si>
    <t>TAEXP252648 Rodtep</t>
  </si>
  <si>
    <t>TAEXP252623 DDB</t>
  </si>
  <si>
    <t>APMC -CESS</t>
  </si>
  <si>
    <t>BA 811</t>
  </si>
  <si>
    <t>BA-606 &amp; 674</t>
  </si>
  <si>
    <t>Commission &amp; Brokerage</t>
  </si>
  <si>
    <t>Interest on Hiten Partner</t>
  </si>
  <si>
    <t>Interest On Unsecured Loan Shriram Finance</t>
  </si>
  <si>
    <t>SE-2081-2569 INT</t>
  </si>
  <si>
    <t>SE/2081/2499 INT</t>
  </si>
  <si>
    <t>TAEXP25261 INT</t>
  </si>
  <si>
    <t>TAEXP252610 INT</t>
  </si>
  <si>
    <t>TAEXP252611 INT</t>
  </si>
  <si>
    <t>TAEXP252615 INT</t>
  </si>
  <si>
    <t>TAEXP252616 INT</t>
  </si>
  <si>
    <t>TAEXP252617 INT</t>
  </si>
  <si>
    <t>TAEXP252618 INT</t>
  </si>
  <si>
    <t>TAEXP252620 INT</t>
  </si>
  <si>
    <t>TAEXP252622 INT</t>
  </si>
  <si>
    <t>TAEXP252623 INT</t>
  </si>
  <si>
    <t>TAEXP252624 INT</t>
  </si>
  <si>
    <t>TAEXP252625 INT</t>
  </si>
  <si>
    <t>TAEXP252626 INT</t>
  </si>
  <si>
    <t>TAEXP252627 INT</t>
  </si>
  <si>
    <t>TAEXP252628 INT</t>
  </si>
  <si>
    <t>TAEXP252629 INT</t>
  </si>
  <si>
    <t>TAEXP25263 INT</t>
  </si>
  <si>
    <t>TAEXP252630 INT</t>
  </si>
  <si>
    <t>TAEXP252631 INT</t>
  </si>
  <si>
    <t>TAEXP252632 INT</t>
  </si>
  <si>
    <t>TAEXP252633 INT</t>
  </si>
  <si>
    <t>TAEXP252634 INT</t>
  </si>
  <si>
    <t>TAEXP252635 INT</t>
  </si>
  <si>
    <t>TAEXP252636 INT</t>
  </si>
  <si>
    <t>TAEXP252637 INT</t>
  </si>
  <si>
    <t>TAEXP252639 INT</t>
  </si>
  <si>
    <t>TAEXP25264 INT</t>
  </si>
  <si>
    <t>TAEXP252642 INT</t>
  </si>
  <si>
    <t>TAEXP252643 INT</t>
  </si>
  <si>
    <t>TAEXP252644 INT</t>
  </si>
  <si>
    <t>TAEXP252646 INT</t>
  </si>
  <si>
    <t>TAEXP252647 INT</t>
  </si>
  <si>
    <t>TAEXP252648 INT</t>
  </si>
  <si>
    <t>TAEXP25265 INT</t>
  </si>
  <si>
    <t>TAEXP25266 INT</t>
  </si>
  <si>
    <t>TALOC25260017 INT</t>
  </si>
  <si>
    <t>TALOC25260018 INT</t>
  </si>
  <si>
    <t>TALOC25260019 INT</t>
  </si>
  <si>
    <t>TALOC25260020 INT</t>
  </si>
  <si>
    <t>TALOC25260032 INT</t>
  </si>
  <si>
    <t>TALOC25260033 INT</t>
  </si>
  <si>
    <t>TALOC25260038 INT</t>
  </si>
  <si>
    <t>TALOC25260040 INT</t>
  </si>
  <si>
    <t>TALOC25260041 INT</t>
  </si>
  <si>
    <t>TALOC25260043 INT</t>
  </si>
  <si>
    <t>TALOC25260044 INT</t>
  </si>
  <si>
    <t>TALOC25260045 INT</t>
  </si>
  <si>
    <t>TALOC25260046 INT</t>
  </si>
  <si>
    <t>TALOC25260047 INT</t>
  </si>
  <si>
    <t>TALOC25260048 INT</t>
  </si>
  <si>
    <t>TALOC25260049 INT</t>
  </si>
  <si>
    <t>TALOC25260050 INT</t>
  </si>
  <si>
    <t>TALOC25260051 INT</t>
  </si>
  <si>
    <t>TALOC25260053 INT</t>
  </si>
  <si>
    <t>TALOC25260057 INT</t>
  </si>
  <si>
    <t>TALOC25260058 INT</t>
  </si>
  <si>
    <t>TALOC25260059 INT</t>
  </si>
  <si>
    <t>TALOC25260061 INT</t>
  </si>
  <si>
    <t>TALOC25260062 INT</t>
  </si>
  <si>
    <t>TALOC25260065 INT</t>
  </si>
  <si>
    <t>TALOC25260066 INT</t>
  </si>
  <si>
    <t>TALOC25260067 INT</t>
  </si>
  <si>
    <t>TALOC25260068 INT</t>
  </si>
  <si>
    <t>TALOC25260070 INT</t>
  </si>
  <si>
    <t>TALOC25260071 INT</t>
  </si>
  <si>
    <t>TALOC25260072 INT</t>
  </si>
  <si>
    <t>TALOC25260073 INT</t>
  </si>
  <si>
    <t>TALOC25260074 INT</t>
  </si>
  <si>
    <t>TALOC25260075 INT</t>
  </si>
  <si>
    <t>TALOC25260076 INT</t>
  </si>
  <si>
    <t>TALOC25260077 INT</t>
  </si>
  <si>
    <t>TALOC25260078 INT</t>
  </si>
  <si>
    <t>TALOC25260079 INT</t>
  </si>
  <si>
    <t>TALOC25260081 INT</t>
  </si>
  <si>
    <t>TALOC25260083 INT</t>
  </si>
  <si>
    <t>TALOC25260084 INT</t>
  </si>
  <si>
    <t>TALOC25260085 INT</t>
  </si>
  <si>
    <t>TALOC25260086 INT</t>
  </si>
  <si>
    <t>TALOC25260087 INT</t>
  </si>
  <si>
    <t>TALOC25260088 INT</t>
  </si>
  <si>
    <t>TALOC25260089 INT</t>
  </si>
  <si>
    <t>TALOC25260090 INT</t>
  </si>
  <si>
    <t>TALOC25260091 INT</t>
  </si>
  <si>
    <t>GST Late fees</t>
  </si>
  <si>
    <t>INELIGIBLE CGST</t>
  </si>
  <si>
    <t>INELIGIBLE IGST</t>
  </si>
  <si>
    <t>INELIGIBLE SGST</t>
  </si>
  <si>
    <t>Performance variable FY-25-26</t>
  </si>
  <si>
    <t>SE/2081/2499</t>
  </si>
  <si>
    <t>SE/2081/2569</t>
  </si>
  <si>
    <t>software license</t>
  </si>
  <si>
    <t>TAEXP252623</t>
  </si>
  <si>
    <t>TAEXP252624</t>
  </si>
  <si>
    <t>TAEXP252625</t>
  </si>
  <si>
    <t>TAEXP252626</t>
  </si>
  <si>
    <t>TAEXP252628</t>
  </si>
  <si>
    <t>TAEXP252630</t>
  </si>
  <si>
    <t>TAEXP252631</t>
  </si>
  <si>
    <t>TAEXP252632</t>
  </si>
  <si>
    <t>TAEXP252633</t>
  </si>
  <si>
    <t>TAEXP252634</t>
  </si>
  <si>
    <t>TAEXP252635</t>
  </si>
  <si>
    <t>TAEXP252636</t>
  </si>
  <si>
    <t>TAEXP252637</t>
  </si>
  <si>
    <t>TAEXP252638</t>
  </si>
  <si>
    <t>TAEXP252639</t>
  </si>
  <si>
    <t>TAEXP252640</t>
  </si>
  <si>
    <t>TAEXP252641</t>
  </si>
  <si>
    <t>TAEXP252642</t>
  </si>
  <si>
    <t>TAEXP252643</t>
  </si>
  <si>
    <t>TAEXP252644</t>
  </si>
  <si>
    <t>TAEXP252645</t>
  </si>
  <si>
    <t>TAEXP252646</t>
  </si>
  <si>
    <t>TAEXP252647</t>
  </si>
  <si>
    <t>TAEXP252648</t>
  </si>
  <si>
    <t>TAEXP252651</t>
  </si>
  <si>
    <t>TALOC25260026</t>
  </si>
  <si>
    <t>TALOC25260029</t>
  </si>
  <si>
    <t>TALOC25260033</t>
  </si>
  <si>
    <t>TALOC25260038</t>
  </si>
  <si>
    <t>TALOC25260040</t>
  </si>
  <si>
    <t>TALOC25260041</t>
  </si>
  <si>
    <t>TALOC25260057</t>
  </si>
  <si>
    <t>TALOC25260058</t>
  </si>
  <si>
    <t>TALOC25260059</t>
  </si>
  <si>
    <t>TALOC25260060</t>
  </si>
  <si>
    <t>TALOC25260066</t>
  </si>
  <si>
    <t>TALOC25260067</t>
  </si>
  <si>
    <t>TALOC25260068</t>
  </si>
  <si>
    <t>TALOC25260074</t>
  </si>
  <si>
    <t>TALOC25260083</t>
  </si>
  <si>
    <t>TALOC25260084</t>
  </si>
  <si>
    <t>Investment in AMI AGRO</t>
  </si>
  <si>
    <t>Ajit hiralal shah</t>
  </si>
  <si>
    <t>Aspirach Market Platform (PVT) Ltd</t>
  </si>
  <si>
    <t>chandan kumar kewlani</t>
  </si>
  <si>
    <t>Gaurntee Deposit</t>
  </si>
  <si>
    <t>Printer FA</t>
  </si>
  <si>
    <t>Receivable from Bhavin</t>
  </si>
  <si>
    <t>stated capital</t>
  </si>
  <si>
    <t>Accumulated Depriciation total</t>
  </si>
  <si>
    <t>Audit fees Payable</t>
  </si>
  <si>
    <t>Income Tax Payable</t>
  </si>
  <si>
    <t>Provision for shipment no: 0092</t>
  </si>
  <si>
    <t>Provision for shipment no: 0093</t>
  </si>
  <si>
    <t>Salish shah Loan</t>
  </si>
  <si>
    <t>VAT Payable</t>
  </si>
  <si>
    <t>0053/25-26</t>
  </si>
  <si>
    <t>0055/25-26</t>
  </si>
  <si>
    <t>0057/25-26</t>
  </si>
  <si>
    <t>0059/25-26</t>
  </si>
  <si>
    <t>0060/25-26</t>
  </si>
  <si>
    <t>0061/25-26</t>
  </si>
  <si>
    <t>0062/25-26</t>
  </si>
  <si>
    <t>0063/25-26</t>
  </si>
  <si>
    <t>0064/25-26</t>
  </si>
  <si>
    <t>0065/25-26</t>
  </si>
  <si>
    <t>0066/25-26</t>
  </si>
  <si>
    <t>0067/25-26</t>
  </si>
  <si>
    <t>0068/25-26</t>
  </si>
  <si>
    <t>0069/25-26</t>
  </si>
  <si>
    <t>0070/25-26</t>
  </si>
  <si>
    <t>0071/25-26</t>
  </si>
  <si>
    <t>0072/25-26</t>
  </si>
  <si>
    <t>0073/25-26</t>
  </si>
  <si>
    <t>0074/25-26</t>
  </si>
  <si>
    <t>0075/25-26</t>
  </si>
  <si>
    <t>0076/25-26</t>
  </si>
  <si>
    <t>0077/25-26</t>
  </si>
  <si>
    <t>0078/25-26</t>
  </si>
  <si>
    <t>0079/25-26</t>
  </si>
  <si>
    <t>0080/25-26</t>
  </si>
  <si>
    <t>0081/25-26</t>
  </si>
  <si>
    <t>0082/25-26</t>
  </si>
  <si>
    <t>0083/25-26</t>
  </si>
  <si>
    <t>0084/25-26</t>
  </si>
  <si>
    <t>0085/25-26</t>
  </si>
  <si>
    <t>0086/25-26</t>
  </si>
  <si>
    <t>0087/25-26</t>
  </si>
  <si>
    <t>0088/25-26</t>
  </si>
  <si>
    <t>0089/25-26</t>
  </si>
  <si>
    <t>0090/25-26</t>
  </si>
  <si>
    <t>0091/25-26</t>
  </si>
  <si>
    <t>0092/25-26</t>
  </si>
  <si>
    <t>0093/25-26</t>
  </si>
  <si>
    <t>0094/25-26</t>
  </si>
  <si>
    <t>0095/25-26</t>
  </si>
  <si>
    <t>AC Service Charges</t>
  </si>
  <si>
    <t>Lorry Charges</t>
  </si>
  <si>
    <t>Shifting Charges</t>
  </si>
  <si>
    <t>SLT Wifi Shifting Charges</t>
  </si>
  <si>
    <t>Loan and Advance</t>
  </si>
  <si>
    <t>ZENYUM PTE LTD</t>
  </si>
  <si>
    <t>Prepaid Warehouse Rent</t>
  </si>
  <si>
    <t>Prepaid Warehouse Insurance</t>
  </si>
  <si>
    <t>Toyota Hiace</t>
  </si>
  <si>
    <t>Weight &amp; Bag Stitching Machine</t>
  </si>
  <si>
    <t>Anwar M</t>
  </si>
  <si>
    <t>GANESH NATARAJAN</t>
  </si>
  <si>
    <t>Vehicle Loan (Emirates NBD )</t>
  </si>
  <si>
    <t>Yashim Iqbal</t>
  </si>
  <si>
    <t>4342</t>
  </si>
  <si>
    <t>AGS/2025/601</t>
  </si>
  <si>
    <t>ARGT/LOC/2025/0098</t>
  </si>
  <si>
    <t>ARGT/LOC/2025/0102</t>
  </si>
  <si>
    <t>ARGT/LOC/2025/0105</t>
  </si>
  <si>
    <t>ARGT/LOC/2025/0125</t>
  </si>
  <si>
    <t>ARGT/LOC/2025/0148</t>
  </si>
  <si>
    <t>ARGT/LOC/2025/0165</t>
  </si>
  <si>
    <t>ARGT/LOC/2025/0175</t>
  </si>
  <si>
    <t>ARGT/LOC/2025/0187</t>
  </si>
  <si>
    <t>ARGT/LOC/2025/0193</t>
  </si>
  <si>
    <t>ARGT/LOC/2025/0199</t>
  </si>
  <si>
    <t>ARGT/LOC/2025/0277</t>
  </si>
  <si>
    <t>ARGT/LOC/2025/148</t>
  </si>
  <si>
    <t>Employee Welfare</t>
  </si>
  <si>
    <t>EXP-0067A-24-25</t>
  </si>
  <si>
    <t>Interest in Vehicle Loan</t>
  </si>
  <si>
    <t>Inventory Writeoff</t>
  </si>
  <si>
    <t>Local Expenses</t>
  </si>
  <si>
    <t>MT/50107</t>
  </si>
  <si>
    <t>MT/50108</t>
  </si>
  <si>
    <t>Repair and Maintenance Chg</t>
  </si>
  <si>
    <t>RIC-0082</t>
  </si>
  <si>
    <t>RIC-0283</t>
  </si>
  <si>
    <t>RIC-0288</t>
  </si>
  <si>
    <t>SM/4/25-26</t>
  </si>
  <si>
    <t>staff walfare exp</t>
  </si>
  <si>
    <t>Vehicle Loan</t>
  </si>
  <si>
    <t>Vehicle loan processing charges</t>
  </si>
  <si>
    <t>Warehouse Pest Control Charges</t>
  </si>
  <si>
    <t>Conso</t>
  </si>
  <si>
    <t>Interest On Vehicle Loan</t>
  </si>
  <si>
    <t>Net Diff</t>
  </si>
  <si>
    <t>GP reco</t>
  </si>
  <si>
    <t>Advance salary to Ashay</t>
  </si>
  <si>
    <t>TALOC25260063</t>
  </si>
  <si>
    <t>ARGT/LOC/2025/053</t>
  </si>
  <si>
    <t>ARGT/LOC/2025/075</t>
  </si>
  <si>
    <t>ARGT/LOC/2025/083</t>
  </si>
  <si>
    <t>ARGT/LOC/2025/093</t>
  </si>
  <si>
    <t>ARGT/LOC/2025/0114</t>
  </si>
  <si>
    <t>ARGT/LOC/2025/0117</t>
  </si>
  <si>
    <t>ARGT/LOC/2025/0181</t>
  </si>
  <si>
    <t>ARGT/LOC/2025/0183</t>
  </si>
  <si>
    <t>ARGT/LOC/2025/0200</t>
  </si>
  <si>
    <t>ARGT/LOC/2025/0206</t>
  </si>
  <si>
    <t>ARGT/LOC/2025/0216</t>
  </si>
  <si>
    <t>ARGT/LOC/2025/0217</t>
  </si>
  <si>
    <t>ARGT/LOC/2025/0221</t>
  </si>
  <si>
    <t>ARGT/LOC/2025/0231</t>
  </si>
  <si>
    <t>ARGT/LOC/2025/0226</t>
  </si>
  <si>
    <t>ARGT/LOC/2025/0233</t>
  </si>
  <si>
    <t>ARGT/LOC/2025/0253</t>
  </si>
  <si>
    <t>ARGT/LOC/2025/0293</t>
  </si>
  <si>
    <t>ARGT/LOC/2025/0295</t>
  </si>
  <si>
    <t>ARGT/LOC/2025/305</t>
  </si>
  <si>
    <t>Onion Powder Write off</t>
  </si>
  <si>
    <t>Sample Stock</t>
  </si>
  <si>
    <t>Unallocated</t>
  </si>
  <si>
    <t xml:space="preserve">          Cleaning &amp; Packing</t>
  </si>
  <si>
    <t xml:space="preserve">          EXP-0067A-24-25</t>
  </si>
  <si>
    <t xml:space="preserve">          Inventory Writeoff</t>
  </si>
  <si>
    <t xml:space="preserve">          Onion Powder Write off</t>
  </si>
  <si>
    <t xml:space="preserve">          Sample Stock</t>
  </si>
  <si>
    <t xml:space="preserve">          ARGT/LOC/2024/416</t>
  </si>
  <si>
    <t>PY</t>
  </si>
  <si>
    <t xml:space="preserve">          ARGT/LOC/2024/458</t>
  </si>
  <si>
    <t xml:space="preserve">          ARGT/LOC/2024/460</t>
  </si>
  <si>
    <t xml:space="preserve">          ARGT/LOC/2024/463</t>
  </si>
  <si>
    <t>cogs diff</t>
  </si>
  <si>
    <t>BA-634</t>
  </si>
  <si>
    <t>BA-770</t>
  </si>
  <si>
    <t>Consolidated</t>
  </si>
  <si>
    <t>AL ANSARI EXCHANGE LLC-Account</t>
  </si>
  <si>
    <t>AL BAHR AL ASWAD ADV GIFTS TR LLC</t>
  </si>
  <si>
    <t>Ismail Shah</t>
  </si>
  <si>
    <t>Mohammad Hussain ( Visa )</t>
  </si>
  <si>
    <t>Prepaid Rates &amp; Taxes</t>
  </si>
  <si>
    <t>Prepaid Vat Payment</t>
  </si>
  <si>
    <t>corporate tax</t>
  </si>
  <si>
    <t>ARGT/LOC/2025/353</t>
  </si>
  <si>
    <t>ARGT/LOC/2025/368</t>
  </si>
  <si>
    <t>ARGT/LOC/2025/388B</t>
  </si>
  <si>
    <t>ARGT/LOC/2025/414</t>
  </si>
  <si>
    <t>ARGT/LOC/2025/419A</t>
  </si>
  <si>
    <t>ARGT/LOC/2025/549</t>
  </si>
  <si>
    <t>ARGT/LOC/2025/550</t>
  </si>
  <si>
    <t>CONVEYANCE EXP</t>
  </si>
  <si>
    <t>Warehouse Insurance</t>
  </si>
  <si>
    <t>GP ReCR</t>
  </si>
  <si>
    <t>NOKIA 105 DS-CHARCOAL(2023)</t>
  </si>
  <si>
    <t>D14313673/924080007496115</t>
  </si>
  <si>
    <t>F02PCFC253145001</t>
  </si>
  <si>
    <t>F02PCFC260225002</t>
  </si>
  <si>
    <t>PC:D14298893</t>
  </si>
  <si>
    <t>TALOC25260094 DIS</t>
  </si>
  <si>
    <t>TALOC25260099 DIS</t>
  </si>
  <si>
    <t>TALOC25260100 DIS</t>
  </si>
  <si>
    <t>TALOC25260101 DIS</t>
  </si>
  <si>
    <t>TALOC25260102 DIS</t>
  </si>
  <si>
    <t>TALOC25260104 DIS</t>
  </si>
  <si>
    <t>TALOC25260107 DIS</t>
  </si>
  <si>
    <t>TALOC25260109 DIS</t>
  </si>
  <si>
    <t>TALOC25260112 DIS</t>
  </si>
  <si>
    <t>SM/2025/1914 DDB</t>
  </si>
  <si>
    <t>TAEXP252650 DDB</t>
  </si>
  <si>
    <t>TAEXP252656 DDB</t>
  </si>
  <si>
    <t>other income</t>
  </si>
  <si>
    <t>SM/2025/1914 RODTEP</t>
  </si>
  <si>
    <t>TAEXP252645 Rodtep</t>
  </si>
  <si>
    <t>TAEXP252649 Rodtep</t>
  </si>
  <si>
    <t>TAEXP252650 Rodtep</t>
  </si>
  <si>
    <t>TAEXP252651 Rodtep</t>
  </si>
  <si>
    <t>TAEXP252652 Rodtep</t>
  </si>
  <si>
    <t>TAEXP252653 Rodtep</t>
  </si>
  <si>
    <t>TAEXP252654 Rodtep</t>
  </si>
  <si>
    <t>TAEXP252655 Rodtep</t>
  </si>
  <si>
    <t>TAEXP252656 Rodtep</t>
  </si>
  <si>
    <t>TAEXP252657 RODTEP</t>
  </si>
  <si>
    <t>TAEXP252658 RODTEP</t>
  </si>
  <si>
    <t>TAEXP252660 RODTEP</t>
  </si>
  <si>
    <t>TAEXP252661 RODTEP</t>
  </si>
  <si>
    <t>TAEXP252662 RODTEP</t>
  </si>
  <si>
    <t>TAEXP252663 RODTEP</t>
  </si>
  <si>
    <t>TAEXP252664 RODTEP</t>
  </si>
  <si>
    <t>TAEXP252665 RODTEP</t>
  </si>
  <si>
    <t>BA 170, 109, 217, 222,223,233</t>
  </si>
  <si>
    <t>BA-563</t>
  </si>
  <si>
    <t>BA-580</t>
  </si>
  <si>
    <t>BA-912</t>
  </si>
  <si>
    <t>BA-915</t>
  </si>
  <si>
    <t>BA-920</t>
  </si>
  <si>
    <t>BA-935</t>
  </si>
  <si>
    <t>SM/2025/1914 INT</t>
  </si>
  <si>
    <t>TAEXP-252660 INT</t>
  </si>
  <si>
    <t>TAEXP252645 INT</t>
  </si>
  <si>
    <t>TAEXP252650 INT</t>
  </si>
  <si>
    <t>TAEXP252651 INT</t>
  </si>
  <si>
    <t>TAEXP252652 INT</t>
  </si>
  <si>
    <t>TAEXP252654 INT</t>
  </si>
  <si>
    <t>TAEXP252657 INT</t>
  </si>
  <si>
    <t>TAEXP252663 INT</t>
  </si>
  <si>
    <t>TAEXP252664 INT</t>
  </si>
  <si>
    <t>TAEXP252665 INT</t>
  </si>
  <si>
    <t>TALOC25260093 INT</t>
  </si>
  <si>
    <t>Property Insurance Charges</t>
  </si>
  <si>
    <t>Miscellaneous Exps.</t>
  </si>
  <si>
    <t>SM/2025/1914</t>
  </si>
  <si>
    <t>TAEXP252649</t>
  </si>
  <si>
    <t>TAEXP252650</t>
  </si>
  <si>
    <t>TAEXP252652</t>
  </si>
  <si>
    <t>TAEXP252653</t>
  </si>
  <si>
    <t>TAEXP252654</t>
  </si>
  <si>
    <t>TAEXP252655</t>
  </si>
  <si>
    <t>TAEXP252656</t>
  </si>
  <si>
    <t>TAEXP252657</t>
  </si>
  <si>
    <t>TAEXP252658</t>
  </si>
  <si>
    <t>TAEXP252660</t>
  </si>
  <si>
    <t>TAEXP252661</t>
  </si>
  <si>
    <t>TAEXP252662</t>
  </si>
  <si>
    <t>TAEXP252663</t>
  </si>
  <si>
    <t>TAEXP252664</t>
  </si>
  <si>
    <t>TAEXP252665</t>
  </si>
  <si>
    <t>TALOC25260092</t>
  </si>
  <si>
    <t>TALOC25260095</t>
  </si>
  <si>
    <t>TALOC25260096</t>
  </si>
  <si>
    <t>TALOC25260103</t>
  </si>
  <si>
    <t>TALOC25260106</t>
  </si>
  <si>
    <t>TALOC25260108</t>
  </si>
  <si>
    <t>TALOC25260111</t>
  </si>
  <si>
    <t>TALOC25260120</t>
  </si>
  <si>
    <t>VISA EXP-SANJAY SRILANKA</t>
  </si>
  <si>
    <t>Toor related</t>
  </si>
  <si>
    <t>Geetanjali Reimbursement</t>
  </si>
  <si>
    <t>Inventory Asset 1</t>
  </si>
  <si>
    <t>Investment in Vishwa Hitay</t>
  </si>
  <si>
    <t>Nature Residence</t>
  </si>
  <si>
    <t>MKS Rohit Mehar</t>
  </si>
  <si>
    <t>MKS Zenum</t>
  </si>
  <si>
    <t>Printing Cylinder-CBR</t>
  </si>
  <si>
    <t>TDS Receivable FY 25-26</t>
  </si>
  <si>
    <t>Aditya Goyal Reimbursement</t>
  </si>
  <si>
    <t>Vidya &amp; Sanjay Varma Flexi Reimbursement</t>
  </si>
  <si>
    <t>Aashima Reimbursement</t>
  </si>
  <si>
    <t>Krisha Reimbursment</t>
  </si>
  <si>
    <t>Rohit Kumar Bhatti Reimbursement</t>
  </si>
  <si>
    <t>Ganesh Flexi Reimbursement.</t>
  </si>
  <si>
    <t>Ketan Flexi Reimbursement.</t>
  </si>
  <si>
    <t>Pravin Arora Flexi Reimbursement</t>
  </si>
  <si>
    <t>D14378282</t>
  </si>
  <si>
    <t>D14379035</t>
  </si>
  <si>
    <t>D14389297</t>
  </si>
  <si>
    <t>D14583630</t>
  </si>
  <si>
    <t>D14584528</t>
  </si>
  <si>
    <t>D14588758</t>
  </si>
  <si>
    <t>D14630812</t>
  </si>
  <si>
    <t>F02PCFC260365001</t>
  </si>
  <si>
    <t>F02PCFC260365002</t>
  </si>
  <si>
    <t>F02PCFC260375002</t>
  </si>
  <si>
    <t>F02PCFC260485001</t>
  </si>
  <si>
    <t>F02PCFC261885001</t>
  </si>
  <si>
    <t>F02PCFC261965001</t>
  </si>
  <si>
    <t>F02PCFC262125001</t>
  </si>
  <si>
    <t>F02PCFC262315001</t>
  </si>
  <si>
    <t>F02PCFC262325003</t>
  </si>
  <si>
    <t>PC:D14427050</t>
  </si>
  <si>
    <t>PC:D14435631</t>
  </si>
  <si>
    <t>PC:D14489517</t>
  </si>
  <si>
    <t>PC:D14512107</t>
  </si>
  <si>
    <t>PC:D14529867</t>
  </si>
  <si>
    <t>PC:D14542327</t>
  </si>
  <si>
    <t>PC:D14563767</t>
  </si>
  <si>
    <t>PC;D14428352</t>
  </si>
  <si>
    <t>TDS on Foreign payments</t>
  </si>
  <si>
    <t>SE/2082/6287 DDB</t>
  </si>
  <si>
    <t>TAEXP26271-DDB</t>
  </si>
  <si>
    <t>TAEXP26274 DDB</t>
  </si>
  <si>
    <t>TAEXP26275 DDB</t>
  </si>
  <si>
    <t>SE/2082/6287 Rodtep</t>
  </si>
  <si>
    <t>TAEXP26271-Rodtep</t>
  </si>
  <si>
    <t>TAEXP26272-Rodtep</t>
  </si>
  <si>
    <t>TAEXP26273-Rodtep</t>
  </si>
  <si>
    <t>TAEXP26274 Rodtep</t>
  </si>
  <si>
    <t>TAEXP26275 Rodtep</t>
  </si>
  <si>
    <t>TAEXP26276 Rodtep</t>
  </si>
  <si>
    <t>TAEXP26278 Rodtep</t>
  </si>
  <si>
    <t>Air Freight Charges COGS</t>
  </si>
  <si>
    <t>Amendment charges COGS</t>
  </si>
  <si>
    <t>Analysis Charges COGS</t>
  </si>
  <si>
    <t>BOPP BAGS COGS</t>
  </si>
  <si>
    <t>Cargo Handling Charges COGS</t>
  </si>
  <si>
    <t>CFS Charges COGS</t>
  </si>
  <si>
    <t>CHA Charges COGS</t>
  </si>
  <si>
    <t>Clearing Expenses Cogs</t>
  </si>
  <si>
    <t>Commission &amp; brokerage - Prior Period</t>
  </si>
  <si>
    <t>Container Insurance Chgs</t>
  </si>
  <si>
    <t>COO Charges COGS</t>
  </si>
  <si>
    <t>Courier Exps COGS</t>
  </si>
  <si>
    <t>Craft paper charges COGS</t>
  </si>
  <si>
    <t>Development Charges COGS</t>
  </si>
  <si>
    <t>Documentation COGS</t>
  </si>
  <si>
    <t>Door Plastic Charges COGS</t>
  </si>
  <si>
    <t>Freight charges COGS</t>
  </si>
  <si>
    <t>Fumigation charges COGS</t>
  </si>
  <si>
    <t>GOVT FEE</t>
  </si>
  <si>
    <t>GSTP Charges COGS</t>
  </si>
  <si>
    <t>Halting Exps COGS</t>
  </si>
  <si>
    <t>Health Certificate COGS</t>
  </si>
  <si>
    <t>Loading Charges</t>
  </si>
  <si>
    <t>Marine Insurance Cogs</t>
  </si>
  <si>
    <t>Miscellaneous Charges COGS</t>
  </si>
  <si>
    <t>MUC COGS</t>
  </si>
  <si>
    <t>Non Freight Charges COGS</t>
  </si>
  <si>
    <t>Ocean Freight COGS</t>
  </si>
  <si>
    <t>Packaging Exp COGS</t>
  </si>
  <si>
    <t>Phytosanitary charges COGS</t>
  </si>
  <si>
    <t>Plant Charges COGS</t>
  </si>
  <si>
    <t>Repository charges COGS</t>
  </si>
  <si>
    <t>Royalties</t>
  </si>
  <si>
    <t>SEAL CHARGES COGS</t>
  </si>
  <si>
    <t>SEAWAY BL CHARGES COGS</t>
  </si>
  <si>
    <t>SHIPPING LINE CHARGES</t>
  </si>
  <si>
    <t>SSR Charges COGS</t>
  </si>
  <si>
    <t>Stamp duty COGS</t>
  </si>
  <si>
    <t>STUFFING CHARGES</t>
  </si>
  <si>
    <t>TAEXP26273</t>
  </si>
  <si>
    <t>TALOC26270041</t>
  </si>
  <si>
    <t>TALOC26270042</t>
  </si>
  <si>
    <t>Testing/Inspection Charges Cogs</t>
  </si>
  <si>
    <t>THC Charges COGS</t>
  </si>
  <si>
    <t>Toll Fee COGS</t>
  </si>
  <si>
    <t>Transport Expenses COGS</t>
  </si>
  <si>
    <t>VISA EXP</t>
  </si>
  <si>
    <t>Weighment charges COGS</t>
  </si>
  <si>
    <t>Cooler</t>
  </si>
  <si>
    <t>Cycle</t>
  </si>
  <si>
    <t>Security Deposit With Shipping Lince</t>
  </si>
  <si>
    <t>DTDC Deposit (Warehouse)</t>
  </si>
  <si>
    <t>Hand Pallet Truck 3 Ton</t>
  </si>
  <si>
    <t>Irshad Ali (Visa)</t>
  </si>
  <si>
    <t>Ismail Shah (Visa)</t>
  </si>
  <si>
    <t>Muhammad Hussain ( Visa )</t>
  </si>
  <si>
    <t>Prepaid Employee Insurance</t>
  </si>
  <si>
    <t>Prepaid expenses - wastage</t>
  </si>
  <si>
    <t>Prepaid Visa Expense</t>
  </si>
  <si>
    <t>Printer</t>
  </si>
  <si>
    <t>Statching Machine</t>
  </si>
  <si>
    <t>Trolley</t>
  </si>
  <si>
    <t>Weight Machine</t>
  </si>
  <si>
    <t>Zahid Hussain (Visa)</t>
  </si>
  <si>
    <t>Employee Gratuity</t>
  </si>
  <si>
    <t>ARGT/LOC/2025/702G</t>
  </si>
  <si>
    <t>ARGT/LOC/2025/764</t>
  </si>
  <si>
    <t>ARGT/LOC/2025/772</t>
  </si>
  <si>
    <t>ARGT/LOC/2026/009A</t>
  </si>
  <si>
    <t>ARGT/LOC/2026/018</t>
  </si>
  <si>
    <t>ARGT/LOC/2026/143</t>
  </si>
  <si>
    <t>ARGT/LOC/2026/205</t>
  </si>
  <si>
    <t>ARGT/LOC/2026/230</t>
  </si>
  <si>
    <t>ARGT/LOC/2026/241</t>
  </si>
  <si>
    <t>ARGT/LOC/2026/259</t>
  </si>
  <si>
    <t>ARGT/LOC/2026/274</t>
  </si>
  <si>
    <t>ARGT/LOC/2026/275</t>
  </si>
  <si>
    <t>ARGT/LOC/2026/276</t>
  </si>
  <si>
    <t>ARGT/LOC/2026/283A</t>
  </si>
  <si>
    <t>ARGT/LOC/2026/284</t>
  </si>
  <si>
    <t>ARGT/LOC/2026/293</t>
  </si>
  <si>
    <t>ARGT/LOC/2026/304</t>
  </si>
  <si>
    <t>ARGT/LOC/2026/392</t>
  </si>
  <si>
    <t>BCPL/53/26</t>
  </si>
  <si>
    <t>Cleaning Expenses</t>
  </si>
  <si>
    <t>Interest on VAT</t>
  </si>
  <si>
    <t>KGT-IN-062053</t>
  </si>
  <si>
    <t>MT/50165</t>
  </si>
  <si>
    <t>Rate Difference</t>
  </si>
  <si>
    <t>Petrol Expenses (Salary)</t>
  </si>
  <si>
    <t>Salary and Wages</t>
  </si>
  <si>
    <t>Sales Promotion (Gift Voucher)</t>
  </si>
  <si>
    <t>SM/06/26-27</t>
  </si>
  <si>
    <t>Staff Welfare exp</t>
  </si>
  <si>
    <t>Warehouse Municipal Charges</t>
  </si>
  <si>
    <t>Wastage Expenses</t>
  </si>
  <si>
    <t>Water charges</t>
  </si>
  <si>
    <t>FD for DA Documents</t>
  </si>
  <si>
    <t>Mobile phone Ofc</t>
  </si>
  <si>
    <t>Opening Diff</t>
  </si>
  <si>
    <t>Ajit Shah Loan</t>
  </si>
  <si>
    <t>Arha General Trading LLC Loan</t>
  </si>
  <si>
    <t>PUWANESH SALARY</t>
  </si>
  <si>
    <t>Salary payable</t>
  </si>
  <si>
    <t>0001-26-27</t>
  </si>
  <si>
    <t>0002/26-27</t>
  </si>
  <si>
    <t>0003/26-27</t>
  </si>
  <si>
    <t>0004/26-27</t>
  </si>
  <si>
    <t>0005/26-27</t>
  </si>
  <si>
    <t>0006/26-27</t>
  </si>
  <si>
    <t>0007/26-27</t>
  </si>
  <si>
    <t>0008/26-27</t>
  </si>
  <si>
    <t>0009/26-27</t>
  </si>
  <si>
    <t>0010/26-27</t>
  </si>
  <si>
    <t>0011/26-27</t>
  </si>
  <si>
    <t>0012/26-27</t>
  </si>
  <si>
    <t>0013/26-27</t>
  </si>
  <si>
    <t>0014/26-27</t>
  </si>
  <si>
    <t>0015/26-27</t>
  </si>
  <si>
    <t>0016/26-27</t>
  </si>
  <si>
    <t>0017/26-2i7</t>
  </si>
  <si>
    <t>0018/26-27</t>
  </si>
  <si>
    <t>0019/26-27</t>
  </si>
  <si>
    <t>0020/26-27</t>
  </si>
  <si>
    <t>0021/26-27</t>
  </si>
  <si>
    <t>0022/26-27</t>
  </si>
  <si>
    <t>0023/26-27</t>
  </si>
  <si>
    <t>0024/26-27</t>
  </si>
  <si>
    <t>0025/26-27</t>
  </si>
  <si>
    <t>0026/26-27</t>
  </si>
  <si>
    <t>0027/26-27</t>
  </si>
  <si>
    <t>0028/26-27</t>
  </si>
  <si>
    <t>0029/26-27</t>
  </si>
  <si>
    <t>0030/26-27</t>
  </si>
  <si>
    <t>0032/26-27</t>
  </si>
  <si>
    <t>0033/26-27</t>
  </si>
  <si>
    <t>0034/26-27</t>
  </si>
  <si>
    <t>0035/26-27</t>
  </si>
  <si>
    <t>0038/26-27</t>
  </si>
  <si>
    <t>0039/26-27</t>
  </si>
  <si>
    <t>0040/26-27</t>
  </si>
  <si>
    <t>0041/26-27</t>
  </si>
  <si>
    <t>0147/25-26</t>
  </si>
  <si>
    <t>0150/25-26</t>
  </si>
  <si>
    <t>Colombo Muncipal Corporation</t>
  </si>
  <si>
    <t>RATE DIFFERENCE</t>
  </si>
  <si>
    <t>House Rent Exp.</t>
  </si>
  <si>
    <t>Manpower Services Exp.</t>
  </si>
  <si>
    <t>Salary &amp; Wages Exp.</t>
  </si>
  <si>
    <t>Travelling expense</t>
  </si>
  <si>
    <t>GM</t>
  </si>
  <si>
    <t>GM%</t>
  </si>
  <si>
    <t>CM</t>
  </si>
  <si>
    <t>CM%</t>
  </si>
  <si>
    <t>Fixed Expenses</t>
  </si>
  <si>
    <t>Depriciation</t>
  </si>
  <si>
    <t>EBITDA%</t>
  </si>
  <si>
    <t>YTD 2627</t>
  </si>
  <si>
    <r>
      <t xml:space="preserve">Currency </t>
    </r>
    <r>
      <rPr>
        <b/>
        <i/>
        <sz val="9"/>
        <color theme="1"/>
        <rFont val="Calibri"/>
        <family val="2"/>
      </rPr>
      <t>(Rs)</t>
    </r>
  </si>
  <si>
    <t>EXPORA MIS YTD AUG 2027</t>
  </si>
  <si>
    <t>Advance Irshad Ali</t>
  </si>
  <si>
    <t>Advance Ismail Shah</t>
  </si>
  <si>
    <t>Advance Muhammad Hussain</t>
  </si>
  <si>
    <t>Advance Zahid Hussain</t>
  </si>
  <si>
    <t>ARGT/LOC/2026/222</t>
  </si>
  <si>
    <t>ARGT/LOC/2026/250</t>
  </si>
  <si>
    <t>ARGT/LOC/2026/266</t>
  </si>
  <si>
    <t>ARGT/LOC/2026/268</t>
  </si>
  <si>
    <t>ARGT/LOC/2026/287</t>
  </si>
  <si>
    <t>ARGT/LOC/2026/289</t>
  </si>
  <si>
    <t>ARGT/LOC/2026/296</t>
  </si>
  <si>
    <t>ARGT/LOC/2026/309</t>
  </si>
  <si>
    <t>ARGT/LOC/2026/310</t>
  </si>
  <si>
    <t>ARGT/LOC/2026/321</t>
  </si>
  <si>
    <t>ARGT/LOC/2026/326</t>
  </si>
  <si>
    <t>ARGT/LOC/2026/340</t>
  </si>
  <si>
    <t>ARGT/LOC/2026/343</t>
  </si>
  <si>
    <t>ARGT/LOC/2026/345</t>
  </si>
  <si>
    <t>ARGT/LOC/2026/347</t>
  </si>
  <si>
    <t>ARGT/LOC/2026/349</t>
  </si>
  <si>
    <t>ARGT/LOC/2026/356</t>
  </si>
  <si>
    <t>ARGT/LOC/2026/412</t>
  </si>
  <si>
    <t>Disposable charges</t>
  </si>
  <si>
    <t>Written off</t>
  </si>
  <si>
    <t>Bhavin Bhai Sri Lanka</t>
  </si>
  <si>
    <t>FD 140195701461 Canara</t>
  </si>
  <si>
    <t>FD 922040053013469 Axis</t>
  </si>
  <si>
    <t>FD 923040093603588 Axis</t>
  </si>
  <si>
    <t>FD 924040106039219 Axis</t>
  </si>
  <si>
    <t>FD 925040063893641 Axis</t>
  </si>
  <si>
    <t>Arha Platform General Trading LLC (ODI)</t>
  </si>
  <si>
    <t>12053 TDS</t>
  </si>
  <si>
    <t>15154 TDS94C</t>
  </si>
  <si>
    <t>16382 TDS94I</t>
  </si>
  <si>
    <t>16511 TDS94I</t>
  </si>
  <si>
    <t>16717 TDS94C</t>
  </si>
  <si>
    <t>16765 TDS94J</t>
  </si>
  <si>
    <t>16854 TDS94C</t>
  </si>
  <si>
    <t>17051 TDS94J</t>
  </si>
  <si>
    <t>17274 TDS94J</t>
  </si>
  <si>
    <t>23030 TDS94A</t>
  </si>
  <si>
    <t>23829 TDS94C</t>
  </si>
  <si>
    <t>25711 TDS94Q</t>
  </si>
  <si>
    <t>28889 TDS</t>
  </si>
  <si>
    <t>31643 TDS94C</t>
  </si>
  <si>
    <t>31905 TDS94A</t>
  </si>
  <si>
    <t>3507 TDS</t>
  </si>
  <si>
    <t>47588 TDS94Q</t>
  </si>
  <si>
    <t>48412 TDS195</t>
  </si>
  <si>
    <t>54018 TDS94A</t>
  </si>
  <si>
    <t>57730 TDS94J</t>
  </si>
  <si>
    <t>61094 TDS</t>
  </si>
  <si>
    <t>61920 TDS</t>
  </si>
  <si>
    <t>62636 TDS94J</t>
  </si>
  <si>
    <t>65662 TDS94A</t>
  </si>
  <si>
    <t>66159 TDS</t>
  </si>
  <si>
    <t>66758 TDS</t>
  </si>
  <si>
    <t>70842 TDS94C</t>
  </si>
  <si>
    <t>72229 TDS94Q</t>
  </si>
  <si>
    <t>74401 TDS94C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</si>
</sst>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7" formatCode="_(* #,##0_);_(* \(#,##0\);_(* &quot;-&quot;??_);_(@_)"/>
    <numFmt numFmtId="168" formatCode="#,##0;\(#,##0\);&quot;-&quot;"/>
    <numFmt numFmtId="169" formatCode="#,##0.000000_);\(#,##0.000000\)"/>
    <numFmt numFmtId="171" formatCode="_ * #,##0_ ;_ * \-#,##0_ ;_ * &quot;-&quot;??_ ;_ @_ "/>
    <numFmt numFmtId="182" formatCode="0.0%"/>
    <numFmt numFmtId="184" formatCode="_-* #,##0_-;\-* #,##0_-;_-* &quot;-&quot;??_-;_-@_-"/>
    <numFmt numFmtId="191" formatCode="_(* #,##0.000_);_(* \(#,##0.000\);_(* &quot;-&quot;??_);_(@_)"/>
  </numFmts>
  <fonts count="107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1"/>
      <color rgb="FF000000"/>
      <name val="Calibri"/>
      <family val="2"/>
      <charset val="1"/>
    </font>
    <font>
      <b/>
      <sz val="10"/>
      <name val="Arial Narrow"/>
      <family val="2"/>
    </font>
    <font>
      <u/>
      <sz val="10"/>
      <name val="Arial Narrow"/>
      <family val="2"/>
    </font>
    <font>
      <sz val="10"/>
      <color rgb="FF000000"/>
      <name val="Arial Narrow"/>
      <family val="2"/>
    </font>
    <font>
      <i/>
      <sz val="10"/>
      <color indexed="25"/>
      <name val="Arial Narrow"/>
      <family val="2"/>
    </font>
    <font>
      <b/>
      <sz val="10"/>
      <color theme="0" tint="-0.499984740745262"/>
      <name val="Arial Narrow"/>
      <family val="2"/>
    </font>
    <font>
      <b/>
      <i/>
      <sz val="10"/>
      <color theme="0" tint="-0.499984740745262"/>
      <name val="Arial Narrow"/>
      <family val="2"/>
    </font>
    <font>
      <b/>
      <sz val="10"/>
      <color rgb="FF000000"/>
      <name val="Arial Narrow"/>
      <family val="2"/>
    </font>
    <font>
      <b/>
      <u/>
      <sz val="10"/>
      <name val="Arial Narrow"/>
      <family val="2"/>
    </font>
    <font>
      <sz val="12"/>
      <name val="SWISS"/>
      <family val="2"/>
    </font>
    <font>
      <u/>
      <sz val="11"/>
      <color theme="10"/>
      <name val="Calibri"/>
      <family val="2"/>
      <charset val="1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 tint="4.9989318521683403E-2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theme="0"/>
      <name val="Arial Narrow"/>
      <family val="2"/>
    </font>
    <font>
      <sz val="11"/>
      <color rgb="FF000000"/>
      <name val="Calibri"/>
      <family val="2"/>
      <scheme val="minor"/>
    </font>
    <font>
      <sz val="9"/>
      <color rgb="FF000000"/>
      <name val="Source Sans Pro"/>
      <family val="2"/>
    </font>
    <font>
      <sz val="8"/>
      <name val="Calibri"/>
      <family val="2"/>
      <charset val="1"/>
    </font>
    <font>
      <sz val="11"/>
      <color rgb="FF00000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  <font>
      <b/>
      <sz val="9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62">
    <border>
      <left/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808080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808080"/>
      </right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808080"/>
      </left>
      <right style="thin">
        <color indexed="64"/>
      </right>
      <top/>
      <bottom/>
      <diagonal/>
    </border>
    <border>
      <left style="thin">
        <color rgb="FF808080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808080"/>
      </right>
      <top style="thin">
        <color indexed="64"/>
      </top>
      <bottom style="double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indexed="64"/>
      </top>
      <bottom style="double">
        <color indexed="64"/>
      </bottom>
      <diagonal/>
    </border>
    <border>
      <left style="thin">
        <color rgb="FFD5D5D5"/>
      </left>
      <right style="thin">
        <color rgb="FFD5D5D5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764">
    <xf numFmtId="0" fontId="0" fillId="0" borderId="0"/>
    <xf numFmtId="165" fontId="73" fillId="0" borderId="0" applyFont="0" applyFill="0" applyBorder="0" applyAlignment="0" applyProtection="0"/>
    <xf numFmtId="0" fontId="71" fillId="0" borderId="0"/>
    <xf numFmtId="0" fontId="71" fillId="0" borderId="0"/>
    <xf numFmtId="165" fontId="71" fillId="0" borderId="0" applyFont="0" applyFill="0" applyBorder="0" applyAlignment="0" applyProtection="0"/>
    <xf numFmtId="0" fontId="71" fillId="0" borderId="0"/>
    <xf numFmtId="0" fontId="71" fillId="0" borderId="0"/>
    <xf numFmtId="0" fontId="71" fillId="0" borderId="0"/>
    <xf numFmtId="165" fontId="73" fillId="0" borderId="0" applyFont="0" applyFill="0" applyBorder="0" applyAlignment="0" applyProtection="0"/>
    <xf numFmtId="168" fontId="77" fillId="0" borderId="1">
      <alignment horizontal="left"/>
    </xf>
    <xf numFmtId="0" fontId="72" fillId="0" borderId="0" applyFill="0" applyBorder="0">
      <alignment horizontal="left" vertical="top" wrapText="1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9" fillId="0" borderId="0"/>
    <xf numFmtId="0" fontId="69" fillId="0" borderId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8" fillId="0" borderId="0"/>
    <xf numFmtId="0" fontId="68" fillId="0" borderId="0"/>
    <xf numFmtId="43" fontId="68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168" fontId="77" fillId="0" borderId="4">
      <alignment horizontal="left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44" fontId="73" fillId="0" borderId="0" applyFont="0" applyFill="0" applyBorder="0" applyAlignment="0" applyProtection="0"/>
    <xf numFmtId="0" fontId="67" fillId="0" borderId="0"/>
    <xf numFmtId="164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65" fillId="0" borderId="0"/>
    <xf numFmtId="0" fontId="65" fillId="0" borderId="0"/>
    <xf numFmtId="165" fontId="65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4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64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64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64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64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86" fillId="0" borderId="0"/>
    <xf numFmtId="0" fontId="86" fillId="0" borderId="0"/>
    <xf numFmtId="164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0" fontId="87" fillId="0" borderId="0" applyNumberFormat="0" applyFill="0" applyBorder="0" applyAlignment="0" applyProtection="0"/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62" fillId="0" borderId="0"/>
    <xf numFmtId="0" fontId="62" fillId="0" borderId="0"/>
    <xf numFmtId="0" fontId="88" fillId="0" borderId="0"/>
    <xf numFmtId="43" fontId="62" fillId="0" borderId="0" applyFont="0" applyFill="0" applyBorder="0" applyAlignment="0" applyProtection="0"/>
    <xf numFmtId="0" fontId="89" fillId="0" borderId="0"/>
    <xf numFmtId="0" fontId="89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1" fillId="0" borderId="0"/>
    <xf numFmtId="9" fontId="60" fillId="0" borderId="0" applyFont="0" applyFill="0" applyBorder="0" applyAlignment="0" applyProtection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9" fontId="73" fillId="0" borderId="0" applyFont="0" applyFill="0" applyBorder="0" applyAlignment="0" applyProtection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73" fillId="0" borderId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9" fontId="73" fillId="0" borderId="0" applyFont="0" applyFill="0" applyBorder="0" applyAlignment="0" applyProtection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168" fontId="77" fillId="0" borderId="10">
      <alignment horizontal="left"/>
    </xf>
    <xf numFmtId="168" fontId="77" fillId="0" borderId="10">
      <alignment horizontal="left"/>
    </xf>
    <xf numFmtId="0" fontId="58" fillId="0" borderId="0"/>
    <xf numFmtId="0" fontId="73" fillId="0" borderId="0"/>
    <xf numFmtId="9" fontId="58" fillId="0" borderId="0" applyFont="0" applyFill="0" applyBorder="0" applyAlignment="0" applyProtection="0"/>
    <xf numFmtId="0" fontId="57" fillId="0" borderId="0"/>
    <xf numFmtId="0" fontId="73" fillId="0" borderId="0"/>
    <xf numFmtId="0" fontId="83" fillId="0" borderId="0" applyNumberFormat="0" applyFill="0" applyBorder="0" applyAlignment="0" applyProtection="0"/>
    <xf numFmtId="9" fontId="57" fillId="0" borderId="0" applyFont="0" applyFill="0" applyBorder="0" applyAlignment="0" applyProtection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4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4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6" fillId="0" borderId="0"/>
    <xf numFmtId="0" fontId="55" fillId="0" borderId="0"/>
    <xf numFmtId="0" fontId="73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9" fontId="55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9" fontId="55" fillId="0" borderId="0" applyFont="0" applyFill="0" applyBorder="0" applyAlignment="0" applyProtection="0"/>
    <xf numFmtId="0" fontId="55" fillId="0" borderId="0"/>
    <xf numFmtId="9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64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5" fillId="0" borderId="0"/>
    <xf numFmtId="0" fontId="55" fillId="0" borderId="0"/>
    <xf numFmtId="0" fontId="54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51" fillId="0" borderId="0"/>
    <xf numFmtId="0" fontId="91" fillId="0" borderId="0"/>
    <xf numFmtId="43" fontId="49" fillId="0" borderId="0" applyFont="0" applyFill="0" applyBorder="0" applyAlignment="0" applyProtection="0"/>
    <xf numFmtId="0" fontId="48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47" fillId="0" borderId="0"/>
    <xf numFmtId="0" fontId="47" fillId="0" borderId="0"/>
    <xf numFmtId="165" fontId="47" fillId="0" borderId="0" applyFont="0" applyFill="0" applyBorder="0" applyAlignment="0" applyProtection="0"/>
    <xf numFmtId="0" fontId="47" fillId="0" borderId="0"/>
    <xf numFmtId="164" fontId="47" fillId="0" borderId="0" applyFont="0" applyFill="0" applyBorder="0" applyAlignment="0" applyProtection="0"/>
    <xf numFmtId="0" fontId="47" fillId="0" borderId="0"/>
    <xf numFmtId="43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0" fillId="0" borderId="0"/>
    <xf numFmtId="43" fontId="50" fillId="0" borderId="0" applyFont="0" applyFill="0" applyBorder="0" applyAlignment="0" applyProtection="0"/>
    <xf numFmtId="0" fontId="46" fillId="0" borderId="0"/>
    <xf numFmtId="0" fontId="46" fillId="0" borderId="0"/>
    <xf numFmtId="0" fontId="44" fillId="0" borderId="0"/>
    <xf numFmtId="0" fontId="45" fillId="0" borderId="0"/>
    <xf numFmtId="43" fontId="45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2" fillId="0" borderId="0"/>
    <xf numFmtId="9" fontId="42" fillId="0" borderId="0" applyFont="0" applyFill="0" applyBorder="0" applyAlignment="0" applyProtection="0"/>
    <xf numFmtId="0" fontId="41" fillId="0" borderId="0"/>
    <xf numFmtId="0" fontId="40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43" fontId="38" fillId="0" borderId="0" applyFont="0" applyFill="0" applyBorder="0" applyAlignment="0" applyProtection="0"/>
    <xf numFmtId="0" fontId="37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0" fontId="31" fillId="0" borderId="0"/>
    <xf numFmtId="0" fontId="29" fillId="0" borderId="0"/>
    <xf numFmtId="9" fontId="29" fillId="0" borderId="0" applyFont="0" applyFill="0" applyBorder="0" applyAlignment="0" applyProtection="0"/>
    <xf numFmtId="0" fontId="28" fillId="0" borderId="0"/>
    <xf numFmtId="0" fontId="30" fillId="0" borderId="0"/>
    <xf numFmtId="43" fontId="30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165" fontId="8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73" fillId="0" borderId="0" applyFon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30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30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19" fillId="0" borderId="0"/>
    <xf numFmtId="0" fontId="73" fillId="0" borderId="0"/>
    <xf numFmtId="43" fontId="73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7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73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43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43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21" fillId="0" borderId="0"/>
    <xf numFmtId="43" fontId="21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73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2" fillId="0" borderId="0"/>
    <xf numFmtId="0" fontId="17" fillId="0" borderId="0"/>
    <xf numFmtId="0" fontId="17" fillId="0" borderId="0"/>
    <xf numFmtId="43" fontId="9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8" fontId="77" fillId="0" borderId="23">
      <alignment horizontal="left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8" fontId="77" fillId="0" borderId="23">
      <alignment horizontal="left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73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8" fontId="77" fillId="0" borderId="25">
      <alignment horizontal="left"/>
    </xf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8" fontId="77" fillId="0" borderId="23">
      <alignment horizontal="left"/>
    </xf>
    <xf numFmtId="168" fontId="77" fillId="0" borderId="23">
      <alignment horizontal="left"/>
    </xf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73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73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73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73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4" fillId="0" borderId="0"/>
    <xf numFmtId="43" fontId="14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4" fontId="73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9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8" fontId="77" fillId="0" borderId="25">
      <alignment horizontal="left"/>
    </xf>
    <xf numFmtId="168" fontId="77" fillId="0" borderId="25">
      <alignment horizontal="left"/>
    </xf>
    <xf numFmtId="168" fontId="77" fillId="0" borderId="25">
      <alignment horizontal="left"/>
    </xf>
    <xf numFmtId="0" fontId="1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/>
  </cellStyleXfs>
  <cellXfs count="340">
    <xf numFmtId="0" fontId="0" fillId="0" borderId="0" xfId="0"/>
    <xf numFmtId="0" fontId="72" fillId="0" borderId="0" xfId="3" applyFont="1"/>
    <xf numFmtId="0" fontId="72" fillId="0" borderId="0" xfId="3" applyFont="1" applyAlignment="1">
      <alignment vertical="top"/>
    </xf>
    <xf numFmtId="0" fontId="74" fillId="0" borderId="0" xfId="3" applyFont="1"/>
    <xf numFmtId="0" fontId="72" fillId="0" borderId="0" xfId="3" applyFont="1" applyAlignment="1">
      <alignment horizontal="left" indent="2"/>
    </xf>
    <xf numFmtId="0" fontId="76" fillId="0" borderId="0" xfId="0" applyFont="1"/>
    <xf numFmtId="0" fontId="74" fillId="0" borderId="0" xfId="10" applyFont="1" applyFill="1" applyBorder="1" applyAlignment="1">
      <alignment horizontal="left" vertical="top"/>
    </xf>
    <xf numFmtId="0" fontId="76" fillId="0" borderId="0" xfId="0" applyFont="1" applyAlignment="1">
      <alignment vertical="top"/>
    </xf>
    <xf numFmtId="0" fontId="80" fillId="0" borderId="0" xfId="0" applyFont="1"/>
    <xf numFmtId="43" fontId="76" fillId="0" borderId="0" xfId="0" applyNumberFormat="1" applyFont="1"/>
    <xf numFmtId="167" fontId="74" fillId="0" borderId="0" xfId="1" applyNumberFormat="1" applyFont="1" applyFill="1" applyBorder="1" applyAlignment="1">
      <alignment horizontal="right" vertical="top"/>
    </xf>
    <xf numFmtId="167" fontId="76" fillId="0" borderId="0" xfId="1" applyNumberFormat="1" applyFont="1"/>
    <xf numFmtId="167" fontId="72" fillId="0" borderId="0" xfId="3" applyNumberFormat="1" applyFont="1"/>
    <xf numFmtId="167" fontId="74" fillId="0" borderId="3" xfId="1" applyNumberFormat="1" applyFont="1" applyFill="1" applyBorder="1" applyAlignment="1">
      <alignment horizontal="right" vertical="top"/>
    </xf>
    <xf numFmtId="3" fontId="76" fillId="0" borderId="0" xfId="0" applyNumberFormat="1" applyFont="1"/>
    <xf numFmtId="167" fontId="76" fillId="0" borderId="0" xfId="1" applyNumberFormat="1" applyFont="1" applyBorder="1"/>
    <xf numFmtId="0" fontId="72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171" fontId="76" fillId="0" borderId="0" xfId="0" applyNumberFormat="1" applyFont="1"/>
    <xf numFmtId="0" fontId="84" fillId="0" borderId="0" xfId="0" applyFont="1"/>
    <xf numFmtId="0" fontId="72" fillId="0" borderId="0" xfId="3" applyFont="1" applyAlignment="1">
      <alignment vertical="center"/>
    </xf>
    <xf numFmtId="167" fontId="72" fillId="0" borderId="7" xfId="1" applyNumberFormat="1" applyFont="1" applyFill="1" applyBorder="1" applyAlignment="1">
      <alignment horizontal="center" vertical="center"/>
    </xf>
    <xf numFmtId="167" fontId="74" fillId="0" borderId="7" xfId="1" applyNumberFormat="1" applyFont="1" applyFill="1" applyBorder="1" applyAlignment="1">
      <alignment horizontal="center" vertical="center"/>
    </xf>
    <xf numFmtId="167" fontId="90" fillId="0" borderId="7" xfId="1" applyNumberFormat="1" applyFont="1" applyFill="1" applyBorder="1" applyAlignment="1">
      <alignment horizontal="center" vertical="center"/>
    </xf>
    <xf numFmtId="0" fontId="72" fillId="0" borderId="0" xfId="10" applyFill="1" applyBorder="1" applyAlignment="1">
      <alignment horizontal="left" vertical="top"/>
    </xf>
    <xf numFmtId="49" fontId="70" fillId="0" borderId="0" xfId="1930" applyNumberFormat="1" applyFont="1" applyAlignment="1">
      <alignment vertical="top"/>
    </xf>
    <xf numFmtId="167" fontId="80" fillId="0" borderId="0" xfId="1" applyNumberFormat="1" applyFont="1"/>
    <xf numFmtId="167" fontId="76" fillId="0" borderId="0" xfId="0" applyNumberFormat="1" applyFont="1"/>
    <xf numFmtId="167" fontId="72" fillId="0" borderId="0" xfId="1" applyNumberFormat="1" applyFont="1" applyFill="1" applyAlignment="1"/>
    <xf numFmtId="0" fontId="74" fillId="0" borderId="0" xfId="0" applyFont="1"/>
    <xf numFmtId="167" fontId="72" fillId="0" borderId="0" xfId="1" applyNumberFormat="1" applyFont="1" applyFill="1" applyBorder="1" applyAlignment="1"/>
    <xf numFmtId="167" fontId="0" fillId="0" borderId="0" xfId="1" applyNumberFormat="1" applyFont="1"/>
    <xf numFmtId="165" fontId="74" fillId="0" borderId="7" xfId="1" applyFont="1" applyFill="1" applyBorder="1" applyAlignment="1">
      <alignment horizontal="center" vertical="center"/>
    </xf>
    <xf numFmtId="0" fontId="80" fillId="0" borderId="14" xfId="0" applyFont="1" applyBorder="1"/>
    <xf numFmtId="167" fontId="74" fillId="0" borderId="0" xfId="3" applyNumberFormat="1" applyFont="1"/>
    <xf numFmtId="165" fontId="76" fillId="0" borderId="0" xfId="1" applyFont="1"/>
    <xf numFmtId="0" fontId="84" fillId="0" borderId="0" xfId="7867" applyFont="1"/>
    <xf numFmtId="165" fontId="72" fillId="0" borderId="0" xfId="1" applyFont="1"/>
    <xf numFmtId="167" fontId="74" fillId="0" borderId="19" xfId="1" applyNumberFormat="1" applyFont="1" applyFill="1" applyBorder="1" applyAlignment="1">
      <alignment horizontal="center" vertical="center"/>
    </xf>
    <xf numFmtId="167" fontId="74" fillId="0" borderId="9" xfId="1" applyNumberFormat="1" applyFont="1" applyFill="1" applyBorder="1" applyAlignment="1">
      <alignment horizontal="center" vertical="center"/>
    </xf>
    <xf numFmtId="167" fontId="74" fillId="0" borderId="0" xfId="1" applyNumberFormat="1" applyFont="1" applyAlignment="1">
      <alignment horizontal="center"/>
    </xf>
    <xf numFmtId="167" fontId="74" fillId="0" borderId="0" xfId="1" applyNumberFormat="1" applyFont="1" applyBorder="1" applyAlignment="1">
      <alignment horizontal="center"/>
    </xf>
    <xf numFmtId="167" fontId="74" fillId="0" borderId="0" xfId="1" applyNumberFormat="1" applyFont="1" applyFill="1" applyAlignment="1">
      <alignment vertical="top"/>
    </xf>
    <xf numFmtId="167" fontId="74" fillId="0" borderId="0" xfId="1" applyNumberFormat="1" applyFont="1" applyFill="1" applyAlignment="1"/>
    <xf numFmtId="167" fontId="72" fillId="0" borderId="0" xfId="1" applyNumberFormat="1" applyFont="1" applyFill="1" applyAlignment="1">
      <alignment vertical="top"/>
    </xf>
    <xf numFmtId="49" fontId="78" fillId="0" borderId="6" xfId="1" applyNumberFormat="1" applyFont="1" applyFill="1" applyBorder="1" applyAlignment="1">
      <alignment horizontal="center" vertical="center" wrapText="1"/>
    </xf>
    <xf numFmtId="167" fontId="76" fillId="0" borderId="0" xfId="1" applyNumberFormat="1" applyFont="1" applyFill="1" applyAlignment="1"/>
    <xf numFmtId="0" fontId="14" fillId="0" borderId="0" xfId="0" applyFont="1"/>
    <xf numFmtId="167" fontId="14" fillId="0" borderId="0" xfId="0" applyNumberFormat="1" applyFont="1"/>
    <xf numFmtId="43" fontId="84" fillId="0" borderId="0" xfId="7870" applyFont="1"/>
    <xf numFmtId="0" fontId="84" fillId="0" borderId="13" xfId="7867" applyFont="1" applyBorder="1"/>
    <xf numFmtId="0" fontId="14" fillId="0" borderId="0" xfId="1913" applyFont="1"/>
    <xf numFmtId="0" fontId="76" fillId="0" borderId="13" xfId="0" applyFont="1" applyBorder="1"/>
    <xf numFmtId="0" fontId="92" fillId="0" borderId="0" xfId="7867"/>
    <xf numFmtId="171" fontId="80" fillId="0" borderId="0" xfId="0" applyNumberFormat="1" applyFont="1"/>
    <xf numFmtId="0" fontId="14" fillId="0" borderId="0" xfId="7867" applyFont="1"/>
    <xf numFmtId="0" fontId="72" fillId="0" borderId="0" xfId="10" applyFill="1" applyBorder="1" applyAlignment="1">
      <alignment horizontal="left" vertical="top" indent="1"/>
    </xf>
    <xf numFmtId="167" fontId="72" fillId="0" borderId="0" xfId="1" applyNumberFormat="1" applyFont="1" applyFill="1"/>
    <xf numFmtId="167" fontId="74" fillId="0" borderId="24" xfId="1" applyNumberFormat="1" applyFont="1" applyFill="1" applyBorder="1" applyAlignment="1">
      <alignment horizontal="center" vertical="center"/>
    </xf>
    <xf numFmtId="0" fontId="84" fillId="4" borderId="0" xfId="7867" applyFont="1" applyFill="1"/>
    <xf numFmtId="167" fontId="76" fillId="0" borderId="0" xfId="1" applyNumberFormat="1" applyFont="1" applyFill="1" applyAlignment="1">
      <alignment horizontal="left"/>
    </xf>
    <xf numFmtId="167" fontId="76" fillId="0" borderId="0" xfId="1" applyNumberFormat="1" applyFont="1" applyFill="1" applyBorder="1" applyAlignment="1">
      <alignment horizontal="left"/>
    </xf>
    <xf numFmtId="167" fontId="74" fillId="0" borderId="7" xfId="1" applyNumberFormat="1" applyFont="1" applyFill="1" applyBorder="1"/>
    <xf numFmtId="167" fontId="74" fillId="0" borderId="12" xfId="1" applyNumberFormat="1" applyFont="1" applyFill="1" applyBorder="1" applyAlignment="1">
      <alignment horizontal="center" vertical="center"/>
    </xf>
    <xf numFmtId="167" fontId="74" fillId="0" borderId="33" xfId="1" applyNumberFormat="1" applyFont="1" applyFill="1" applyBorder="1" applyAlignment="1">
      <alignment horizontal="center" vertical="center"/>
    </xf>
    <xf numFmtId="0" fontId="80" fillId="0" borderId="32" xfId="0" applyFont="1" applyBorder="1"/>
    <xf numFmtId="167" fontId="76" fillId="0" borderId="0" xfId="1" applyNumberFormat="1" applyFont="1" applyFill="1" applyAlignment="1">
      <alignment horizontal="center"/>
    </xf>
    <xf numFmtId="0" fontId="14" fillId="0" borderId="13" xfId="0" applyFont="1" applyBorder="1"/>
    <xf numFmtId="171" fontId="84" fillId="0" borderId="0" xfId="7870" applyNumberFormat="1" applyFont="1" applyFill="1" applyBorder="1"/>
    <xf numFmtId="167" fontId="72" fillId="10" borderId="7" xfId="1" applyNumberFormat="1" applyFont="1" applyFill="1" applyBorder="1" applyAlignment="1">
      <alignment horizontal="center" vertical="center"/>
    </xf>
    <xf numFmtId="167" fontId="76" fillId="0" borderId="13" xfId="1" applyNumberFormat="1" applyFont="1" applyBorder="1"/>
    <xf numFmtId="0" fontId="74" fillId="0" borderId="5" xfId="3" applyFont="1" applyBorder="1"/>
    <xf numFmtId="167" fontId="72" fillId="0" borderId="0" xfId="0" applyNumberFormat="1" applyFont="1" applyAlignment="1">
      <alignment horizontal="left"/>
    </xf>
    <xf numFmtId="168" fontId="78" fillId="0" borderId="16" xfId="9" applyFont="1" applyBorder="1" applyAlignment="1">
      <alignment vertical="top" wrapText="1"/>
    </xf>
    <xf numFmtId="0" fontId="74" fillId="0" borderId="15" xfId="3" applyFont="1" applyBorder="1"/>
    <xf numFmtId="0" fontId="72" fillId="0" borderId="15" xfId="3" applyFont="1" applyBorder="1"/>
    <xf numFmtId="0" fontId="72" fillId="0" borderId="15" xfId="215" applyFont="1" applyBorder="1"/>
    <xf numFmtId="0" fontId="81" fillId="0" borderId="15" xfId="6" applyFont="1" applyBorder="1"/>
    <xf numFmtId="0" fontId="72" fillId="0" borderId="15" xfId="3" applyFont="1" applyBorder="1" applyAlignment="1">
      <alignment horizontal="left"/>
    </xf>
    <xf numFmtId="0" fontId="74" fillId="0" borderId="15" xfId="3" applyFont="1" applyBorder="1" applyAlignment="1">
      <alignment horizontal="left"/>
    </xf>
    <xf numFmtId="0" fontId="74" fillId="0" borderId="19" xfId="3" applyFont="1" applyBorder="1"/>
    <xf numFmtId="0" fontId="74" fillId="0" borderId="30" xfId="3" applyFont="1" applyBorder="1"/>
    <xf numFmtId="167" fontId="80" fillId="0" borderId="32" xfId="1" applyNumberFormat="1" applyFont="1" applyFill="1" applyBorder="1" applyAlignment="1"/>
    <xf numFmtId="167" fontId="80" fillId="0" borderId="14" xfId="1" applyNumberFormat="1" applyFont="1" applyFill="1" applyBorder="1" applyAlignment="1"/>
    <xf numFmtId="167" fontId="74" fillId="0" borderId="20" xfId="1" applyNumberFormat="1" applyFont="1" applyFill="1" applyBorder="1" applyAlignment="1">
      <alignment vertical="top"/>
    </xf>
    <xf numFmtId="167" fontId="72" fillId="0" borderId="20" xfId="1" applyNumberFormat="1" applyFont="1" applyFill="1" applyBorder="1" applyAlignment="1">
      <alignment vertical="top"/>
    </xf>
    <xf numFmtId="167" fontId="74" fillId="0" borderId="7" xfId="1" applyNumberFormat="1" applyFont="1" applyFill="1" applyBorder="1" applyAlignment="1">
      <alignment vertical="top"/>
    </xf>
    <xf numFmtId="167" fontId="74" fillId="0" borderId="0" xfId="1" applyNumberFormat="1" applyFont="1" applyFill="1" applyBorder="1" applyAlignment="1">
      <alignment vertical="top"/>
    </xf>
    <xf numFmtId="167" fontId="72" fillId="0" borderId="0" xfId="1" applyNumberFormat="1" applyFont="1" applyFill="1" applyBorder="1" applyAlignment="1">
      <alignment vertical="top"/>
    </xf>
    <xf numFmtId="167" fontId="74" fillId="0" borderId="0" xfId="1" applyNumberFormat="1" applyFont="1" applyFill="1" applyBorder="1" applyAlignment="1"/>
    <xf numFmtId="0" fontId="84" fillId="9" borderId="0" xfId="7867" applyFont="1" applyFill="1"/>
    <xf numFmtId="167" fontId="74" fillId="0" borderId="3" xfId="8" applyNumberFormat="1" applyFont="1" applyFill="1" applyBorder="1" applyAlignment="1">
      <alignment horizontal="left" vertical="top"/>
    </xf>
    <xf numFmtId="14" fontId="76" fillId="0" borderId="13" xfId="0" applyNumberFormat="1" applyFont="1" applyBorder="1"/>
    <xf numFmtId="167" fontId="72" fillId="0" borderId="13" xfId="1" applyNumberFormat="1" applyFont="1" applyFill="1" applyBorder="1" applyAlignment="1">
      <alignment vertical="top"/>
    </xf>
    <xf numFmtId="167" fontId="74" fillId="0" borderId="13" xfId="1" applyNumberFormat="1" applyFont="1" applyFill="1" applyBorder="1" applyAlignment="1">
      <alignment vertical="top"/>
    </xf>
    <xf numFmtId="0" fontId="72" fillId="0" borderId="13" xfId="13750" applyFont="1" applyBorder="1"/>
    <xf numFmtId="167" fontId="74" fillId="3" borderId="26" xfId="1" applyNumberFormat="1" applyFont="1" applyFill="1" applyBorder="1" applyAlignment="1">
      <alignment horizontal="left" vertical="center" wrapText="1"/>
    </xf>
    <xf numFmtId="17" fontId="76" fillId="0" borderId="13" xfId="0" applyNumberFormat="1" applyFont="1" applyBorder="1"/>
    <xf numFmtId="167" fontId="76" fillId="0" borderId="13" xfId="0" applyNumberFormat="1" applyFont="1" applyBorder="1"/>
    <xf numFmtId="0" fontId="85" fillId="0" borderId="14" xfId="7867" applyFont="1" applyBorder="1"/>
    <xf numFmtId="171" fontId="80" fillId="0" borderId="14" xfId="7870" applyNumberFormat="1" applyFont="1" applyFill="1" applyBorder="1" applyAlignment="1">
      <alignment horizontal="right"/>
    </xf>
    <xf numFmtId="43" fontId="84" fillId="0" borderId="0" xfId="7870" applyFont="1" applyFill="1" applyBorder="1"/>
    <xf numFmtId="167" fontId="72" fillId="0" borderId="12" xfId="3" applyNumberFormat="1" applyFont="1" applyBorder="1"/>
    <xf numFmtId="4" fontId="72" fillId="0" borderId="12" xfId="3" applyNumberFormat="1" applyFont="1" applyBorder="1"/>
    <xf numFmtId="43" fontId="72" fillId="0" borderId="12" xfId="3" applyNumberFormat="1" applyFont="1" applyBorder="1"/>
    <xf numFmtId="165" fontId="76" fillId="0" borderId="0" xfId="0" applyNumberFormat="1" applyFont="1"/>
    <xf numFmtId="0" fontId="81" fillId="0" borderId="15" xfId="3" applyFont="1" applyBorder="1"/>
    <xf numFmtId="0" fontId="75" fillId="0" borderId="15" xfId="3" applyFont="1" applyBorder="1"/>
    <xf numFmtId="0" fontId="81" fillId="0" borderId="15" xfId="215" applyFont="1" applyBorder="1"/>
    <xf numFmtId="0" fontId="72" fillId="0" borderId="15" xfId="3" applyFont="1" applyBorder="1" applyAlignment="1">
      <alignment horizontal="left" indent="2"/>
    </xf>
    <xf numFmtId="0" fontId="72" fillId="0" borderId="15" xfId="3" applyFont="1" applyBorder="1" applyAlignment="1">
      <alignment horizontal="left" vertical="center"/>
    </xf>
    <xf numFmtId="0" fontId="81" fillId="0" borderId="15" xfId="3" applyFont="1" applyBorder="1" applyAlignment="1">
      <alignment horizontal="left" vertical="center"/>
    </xf>
    <xf numFmtId="0" fontId="81" fillId="0" borderId="15" xfId="3" applyFont="1" applyBorder="1" applyAlignment="1">
      <alignment horizontal="left"/>
    </xf>
    <xf numFmtId="0" fontId="72" fillId="0" borderId="15" xfId="3" applyFont="1" applyBorder="1" applyAlignment="1">
      <alignment horizontal="left" vertical="center" indent="2"/>
    </xf>
    <xf numFmtId="0" fontId="72" fillId="0" borderId="15" xfId="3" applyFont="1" applyBorder="1" applyAlignment="1">
      <alignment vertical="center"/>
    </xf>
    <xf numFmtId="0" fontId="14" fillId="0" borderId="15" xfId="1913" applyFont="1" applyBorder="1"/>
    <xf numFmtId="49" fontId="78" fillId="0" borderId="2" xfId="1" applyNumberFormat="1" applyFont="1" applyFill="1" applyBorder="1" applyAlignment="1">
      <alignment horizontal="left" vertical="center" wrapText="1"/>
    </xf>
    <xf numFmtId="49" fontId="78" fillId="0" borderId="0" xfId="1" applyNumberFormat="1" applyFont="1" applyFill="1" applyBorder="1" applyAlignment="1">
      <alignment horizontal="left" vertical="center" wrapText="1"/>
    </xf>
    <xf numFmtId="165" fontId="76" fillId="0" borderId="13" xfId="1" applyFont="1" applyBorder="1"/>
    <xf numFmtId="49" fontId="70" fillId="0" borderId="0" xfId="15760" applyNumberFormat="1" applyFont="1" applyAlignment="1">
      <alignment vertical="top"/>
    </xf>
    <xf numFmtId="0" fontId="74" fillId="0" borderId="0" xfId="13750" applyFont="1"/>
    <xf numFmtId="0" fontId="74" fillId="0" borderId="0" xfId="13750" applyFont="1" applyAlignment="1">
      <alignment horizontal="center"/>
    </xf>
    <xf numFmtId="171" fontId="74" fillId="0" borderId="0" xfId="13751" applyNumberFormat="1" applyFont="1" applyBorder="1" applyAlignment="1">
      <alignment horizontal="center"/>
    </xf>
    <xf numFmtId="0" fontId="74" fillId="3" borderId="26" xfId="13750" applyFont="1" applyFill="1" applyBorder="1" applyAlignment="1">
      <alignment horizontal="left" vertical="center" wrapText="1"/>
    </xf>
    <xf numFmtId="171" fontId="74" fillId="3" borderId="26" xfId="13751" applyNumberFormat="1" applyFont="1" applyFill="1" applyBorder="1" applyAlignment="1">
      <alignment horizontal="left" vertical="center" wrapText="1"/>
    </xf>
    <xf numFmtId="182" fontId="76" fillId="0" borderId="13" xfId="15761" applyNumberFormat="1" applyFont="1" applyBorder="1"/>
    <xf numFmtId="167" fontId="72" fillId="0" borderId="17" xfId="1" applyNumberFormat="1" applyFont="1" applyFill="1" applyBorder="1" applyAlignment="1">
      <alignment vertical="top"/>
    </xf>
    <xf numFmtId="167" fontId="96" fillId="0" borderId="0" xfId="3" applyNumberFormat="1" applyFont="1" applyAlignment="1">
      <alignment horizontal="center"/>
    </xf>
    <xf numFmtId="0" fontId="14" fillId="0" borderId="29" xfId="7867" applyFont="1" applyBorder="1" applyAlignment="1">
      <alignment horizontal="left"/>
    </xf>
    <xf numFmtId="0" fontId="76" fillId="0" borderId="15" xfId="0" applyFont="1" applyBorder="1"/>
    <xf numFmtId="0" fontId="74" fillId="0" borderId="0" xfId="3" applyFont="1" applyAlignment="1">
      <alignment vertical="center"/>
    </xf>
    <xf numFmtId="0" fontId="72" fillId="0" borderId="15" xfId="6" applyFont="1" applyBorder="1" applyAlignment="1">
      <alignment horizontal="left" vertical="center" indent="2"/>
    </xf>
    <xf numFmtId="0" fontId="72" fillId="0" borderId="15" xfId="6" applyFont="1" applyBorder="1" applyAlignment="1">
      <alignment horizontal="left" indent="2"/>
    </xf>
    <xf numFmtId="0" fontId="74" fillId="0" borderId="34" xfId="3" applyFont="1" applyBorder="1"/>
    <xf numFmtId="0" fontId="74" fillId="0" borderId="35" xfId="3" applyFont="1" applyBorder="1"/>
    <xf numFmtId="0" fontId="72" fillId="0" borderId="15" xfId="28" applyFont="1" applyBorder="1"/>
    <xf numFmtId="0" fontId="74" fillId="0" borderId="15" xfId="3" quotePrefix="1" applyFont="1" applyBorder="1"/>
    <xf numFmtId="167" fontId="74" fillId="0" borderId="0" xfId="8" applyNumberFormat="1" applyFont="1" applyFill="1" applyBorder="1" applyAlignment="1">
      <alignment horizontal="left" vertical="top"/>
    </xf>
    <xf numFmtId="171" fontId="14" fillId="0" borderId="0" xfId="7870" applyNumberFormat="1" applyFont="1" applyFill="1" applyBorder="1"/>
    <xf numFmtId="171" fontId="14" fillId="0" borderId="13" xfId="7870" applyNumberFormat="1" applyFont="1" applyFill="1" applyBorder="1"/>
    <xf numFmtId="171" fontId="70" fillId="0" borderId="0" xfId="7870" applyNumberFormat="1" applyFont="1" applyFill="1" applyBorder="1"/>
    <xf numFmtId="171" fontId="14" fillId="0" borderId="0" xfId="7870" applyNumberFormat="1" applyFont="1" applyFill="1" applyBorder="1" applyAlignment="1">
      <alignment horizontal="left"/>
    </xf>
    <xf numFmtId="171" fontId="70" fillId="0" borderId="14" xfId="7870" applyNumberFormat="1" applyFont="1" applyFill="1" applyBorder="1" applyAlignment="1">
      <alignment horizontal="left"/>
    </xf>
    <xf numFmtId="171" fontId="72" fillId="0" borderId="0" xfId="1" applyNumberFormat="1" applyFont="1"/>
    <xf numFmtId="171" fontId="76" fillId="0" borderId="13" xfId="1" applyNumberFormat="1" applyFont="1" applyBorder="1"/>
    <xf numFmtId="4" fontId="83" fillId="0" borderId="0" xfId="46" applyNumberFormat="1"/>
    <xf numFmtId="0" fontId="78" fillId="0" borderId="0" xfId="7" applyFont="1"/>
    <xf numFmtId="168" fontId="78" fillId="0" borderId="2" xfId="9" applyFont="1" applyBorder="1" applyAlignment="1">
      <alignment vertical="top" wrapText="1"/>
    </xf>
    <xf numFmtId="168" fontId="78" fillId="0" borderId="2" xfId="9" applyFont="1" applyBorder="1" applyAlignment="1">
      <alignment vertical="center" wrapText="1"/>
    </xf>
    <xf numFmtId="0" fontId="76" fillId="0" borderId="0" xfId="0" applyFont="1" applyAlignment="1">
      <alignment vertical="center" wrapText="1"/>
    </xf>
    <xf numFmtId="169" fontId="72" fillId="0" borderId="0" xfId="0" applyNumberFormat="1" applyFont="1" applyAlignment="1">
      <alignment horizontal="left" vertical="top"/>
    </xf>
    <xf numFmtId="39" fontId="72" fillId="0" borderId="0" xfId="0" applyNumberFormat="1" applyFont="1" applyAlignment="1">
      <alignment horizontal="left"/>
    </xf>
    <xf numFmtId="167" fontId="76" fillId="0" borderId="0" xfId="0" applyNumberFormat="1" applyFont="1" applyAlignment="1">
      <alignment horizontal="left"/>
    </xf>
    <xf numFmtId="0" fontId="76" fillId="0" borderId="0" xfId="0" applyFont="1" applyAlignment="1">
      <alignment horizontal="left" indent="2"/>
    </xf>
    <xf numFmtId="165" fontId="74" fillId="2" borderId="37" xfId="1" applyFont="1" applyFill="1" applyBorder="1"/>
    <xf numFmtId="171" fontId="74" fillId="2" borderId="37" xfId="1" applyNumberFormat="1" applyFont="1" applyFill="1" applyBorder="1"/>
    <xf numFmtId="171" fontId="84" fillId="0" borderId="0" xfId="7870" applyNumberFormat="1" applyFont="1" applyFill="1" applyBorder="1" applyAlignment="1">
      <alignment horizontal="left"/>
    </xf>
    <xf numFmtId="43" fontId="84" fillId="0" borderId="38" xfId="7870" applyFont="1" applyBorder="1"/>
    <xf numFmtId="171" fontId="14" fillId="10" borderId="13" xfId="7870" applyNumberFormat="1" applyFont="1" applyFill="1" applyBorder="1"/>
    <xf numFmtId="167" fontId="90" fillId="10" borderId="7" xfId="1" applyNumberFormat="1" applyFont="1" applyFill="1" applyBorder="1" applyAlignment="1">
      <alignment horizontal="center" vertical="center"/>
    </xf>
    <xf numFmtId="167" fontId="74" fillId="10" borderId="7" xfId="1" applyNumberFormat="1" applyFont="1" applyFill="1" applyBorder="1" applyAlignment="1">
      <alignment horizontal="center" vertical="center"/>
    </xf>
    <xf numFmtId="167" fontId="74" fillId="4" borderId="13" xfId="1" applyNumberFormat="1" applyFont="1" applyFill="1" applyBorder="1" applyAlignment="1">
      <alignment horizontal="center" vertical="center"/>
    </xf>
    <xf numFmtId="0" fontId="84" fillId="0" borderId="36" xfId="7867" applyFont="1" applyBorder="1"/>
    <xf numFmtId="43" fontId="84" fillId="0" borderId="36" xfId="7870" applyFont="1" applyBorder="1"/>
    <xf numFmtId="43" fontId="84" fillId="0" borderId="39" xfId="7870" applyFont="1" applyBorder="1"/>
    <xf numFmtId="167" fontId="74" fillId="7" borderId="26" xfId="1" applyNumberFormat="1" applyFont="1" applyFill="1" applyBorder="1" applyAlignment="1">
      <alignment horizontal="left" vertical="center" wrapText="1"/>
    </xf>
    <xf numFmtId="167" fontId="74" fillId="7" borderId="37" xfId="1" applyNumberFormat="1" applyFont="1" applyFill="1" applyBorder="1"/>
    <xf numFmtId="165" fontId="74" fillId="7" borderId="37" xfId="1" applyFont="1" applyFill="1" applyBorder="1"/>
    <xf numFmtId="0" fontId="74" fillId="7" borderId="26" xfId="13750" applyFont="1" applyFill="1" applyBorder="1" applyAlignment="1">
      <alignment horizontal="left" vertical="center" wrapText="1"/>
    </xf>
    <xf numFmtId="0" fontId="74" fillId="7" borderId="26" xfId="13750" applyFont="1" applyFill="1" applyBorder="1" applyAlignment="1">
      <alignment horizontal="center" vertical="center" wrapText="1"/>
    </xf>
    <xf numFmtId="171" fontId="74" fillId="7" borderId="26" xfId="13751" applyNumberFormat="1" applyFont="1" applyFill="1" applyBorder="1" applyAlignment="1">
      <alignment horizontal="left" vertical="center" wrapText="1"/>
    </xf>
    <xf numFmtId="171" fontId="74" fillId="7" borderId="37" xfId="1" applyNumberFormat="1" applyFont="1" applyFill="1" applyBorder="1"/>
    <xf numFmtId="10" fontId="74" fillId="7" borderId="37" xfId="1" applyNumberFormat="1" applyFont="1" applyFill="1" applyBorder="1"/>
    <xf numFmtId="0" fontId="72" fillId="0" borderId="15" xfId="3" applyFont="1" applyBorder="1" applyAlignment="1">
      <alignment horizontal="left" vertical="center" indent="1"/>
    </xf>
    <xf numFmtId="10" fontId="72" fillId="0" borderId="0" xfId="261" quotePrefix="1" applyNumberFormat="1" applyFont="1" applyAlignment="1">
      <alignment horizontal="centerContinuous"/>
    </xf>
    <xf numFmtId="164" fontId="72" fillId="0" borderId="0" xfId="3" applyNumberFormat="1" applyFont="1"/>
    <xf numFmtId="0" fontId="0" fillId="4" borderId="0" xfId="0" applyFill="1"/>
    <xf numFmtId="167" fontId="74" fillId="4" borderId="0" xfId="1" applyNumberFormat="1" applyFont="1" applyFill="1"/>
    <xf numFmtId="0" fontId="98" fillId="0" borderId="0" xfId="0" applyFont="1"/>
    <xf numFmtId="0" fontId="93" fillId="5" borderId="18" xfId="0" applyFont="1" applyFill="1" applyBorder="1" applyAlignment="1">
      <alignment horizontal="left"/>
    </xf>
    <xf numFmtId="0" fontId="14" fillId="0" borderId="13" xfId="7870" applyNumberFormat="1" applyFont="1" applyFill="1" applyBorder="1"/>
    <xf numFmtId="171" fontId="84" fillId="0" borderId="13" xfId="7870" applyNumberFormat="1" applyFont="1" applyFill="1" applyBorder="1" applyAlignment="1">
      <alignment horizontal="left"/>
    </xf>
    <xf numFmtId="0" fontId="74" fillId="9" borderId="0" xfId="10" applyFont="1" applyFill="1" applyBorder="1" applyAlignment="1">
      <alignment horizontal="left" vertical="top"/>
    </xf>
    <xf numFmtId="0" fontId="94" fillId="5" borderId="0" xfId="0" applyFont="1" applyFill="1" applyAlignment="1">
      <alignment horizontal="left"/>
    </xf>
    <xf numFmtId="167" fontId="80" fillId="0" borderId="0" xfId="1" applyNumberFormat="1" applyFont="1" applyFill="1" applyAlignment="1"/>
    <xf numFmtId="43" fontId="84" fillId="8" borderId="39" xfId="7870" applyFont="1" applyFill="1" applyBorder="1"/>
    <xf numFmtId="0" fontId="93" fillId="5" borderId="0" xfId="0" applyFont="1" applyFill="1" applyAlignment="1">
      <alignment horizontal="left"/>
    </xf>
    <xf numFmtId="171" fontId="84" fillId="4" borderId="13" xfId="7870" applyNumberFormat="1" applyFont="1" applyFill="1" applyBorder="1" applyAlignment="1">
      <alignment horizontal="left"/>
    </xf>
    <xf numFmtId="171" fontId="84" fillId="4" borderId="0" xfId="7870" applyNumberFormat="1" applyFont="1" applyFill="1" applyBorder="1"/>
    <xf numFmtId="0" fontId="84" fillId="4" borderId="0" xfId="0" applyFont="1" applyFill="1"/>
    <xf numFmtId="165" fontId="74" fillId="0" borderId="0" xfId="1" applyFont="1" applyAlignment="1">
      <alignment horizontal="center"/>
    </xf>
    <xf numFmtId="167" fontId="80" fillId="0" borderId="0" xfId="1" applyNumberFormat="1" applyFont="1" applyFill="1" applyBorder="1" applyAlignment="1"/>
    <xf numFmtId="17" fontId="78" fillId="0" borderId="6" xfId="1" applyNumberFormat="1" applyFont="1" applyFill="1" applyBorder="1" applyAlignment="1">
      <alignment horizontal="center" vertical="center" wrapText="1"/>
    </xf>
    <xf numFmtId="171" fontId="84" fillId="4" borderId="0" xfId="7870" applyNumberFormat="1" applyFont="1" applyFill="1" applyBorder="1" applyAlignment="1">
      <alignment horizontal="left"/>
    </xf>
    <xf numFmtId="0" fontId="72" fillId="8" borderId="39" xfId="10" applyFill="1" applyBorder="1" applyAlignment="1">
      <alignment horizontal="left" vertical="top"/>
    </xf>
    <xf numFmtId="191" fontId="96" fillId="0" borderId="0" xfId="1" applyNumberFormat="1" applyFont="1" applyAlignment="1">
      <alignment horizontal="center"/>
    </xf>
    <xf numFmtId="167" fontId="14" fillId="0" borderId="0" xfId="1" applyNumberFormat="1" applyFont="1" applyFill="1" applyAlignment="1"/>
    <xf numFmtId="167" fontId="14" fillId="9" borderId="0" xfId="1" applyNumberFormat="1" applyFont="1" applyFill="1" applyBorder="1" applyAlignment="1"/>
    <xf numFmtId="167" fontId="78" fillId="6" borderId="40" xfId="1" applyNumberFormat="1" applyFont="1" applyFill="1" applyBorder="1" applyAlignment="1">
      <alignment horizontal="center" vertical="top" wrapText="1"/>
    </xf>
    <xf numFmtId="167" fontId="78" fillId="0" borderId="40" xfId="1" applyNumberFormat="1" applyFont="1" applyFill="1" applyBorder="1" applyAlignment="1">
      <alignment horizontal="center" vertical="top" wrapText="1"/>
    </xf>
    <xf numFmtId="167" fontId="78" fillId="0" borderId="40" xfId="1" applyNumberFormat="1" applyFont="1" applyBorder="1" applyAlignment="1">
      <alignment horizontal="center" vertical="top" wrapText="1"/>
    </xf>
    <xf numFmtId="167" fontId="78" fillId="0" borderId="0" xfId="1" applyNumberFormat="1" applyFont="1" applyBorder="1" applyAlignment="1">
      <alignment vertical="top" wrapText="1"/>
    </xf>
    <xf numFmtId="167" fontId="78" fillId="0" borderId="22" xfId="1" applyNumberFormat="1" applyFont="1" applyFill="1" applyBorder="1" applyAlignment="1">
      <alignment horizontal="center" vertical="center" wrapText="1"/>
    </xf>
    <xf numFmtId="167" fontId="78" fillId="0" borderId="6" xfId="1" applyNumberFormat="1" applyFont="1" applyFill="1" applyBorder="1" applyAlignment="1">
      <alignment horizontal="right" vertical="center" wrapText="1"/>
    </xf>
    <xf numFmtId="167" fontId="78" fillId="0" borderId="2" xfId="1" applyNumberFormat="1" applyFont="1" applyFill="1" applyBorder="1" applyAlignment="1">
      <alignment horizontal="right" vertical="center" wrapText="1"/>
    </xf>
    <xf numFmtId="167" fontId="70" fillId="0" borderId="13" xfId="1" applyNumberFormat="1" applyFont="1" applyFill="1" applyBorder="1" applyAlignment="1">
      <alignment vertical="top"/>
    </xf>
    <xf numFmtId="167" fontId="70" fillId="0" borderId="14" xfId="1" applyNumberFormat="1" applyFont="1" applyFill="1" applyBorder="1" applyAlignment="1"/>
    <xf numFmtId="167" fontId="70" fillId="0" borderId="32" xfId="1" applyNumberFormat="1" applyFont="1" applyFill="1" applyBorder="1" applyAlignment="1"/>
    <xf numFmtId="167" fontId="72" fillId="4" borderId="13" xfId="1" applyNumberFormat="1" applyFont="1" applyFill="1" applyBorder="1" applyAlignment="1">
      <alignment vertical="top"/>
    </xf>
    <xf numFmtId="167" fontId="74" fillId="4" borderId="13" xfId="1" applyNumberFormat="1" applyFont="1" applyFill="1" applyBorder="1" applyAlignment="1">
      <alignment vertical="top"/>
    </xf>
    <xf numFmtId="167" fontId="72" fillId="4" borderId="20" xfId="1" applyNumberFormat="1" applyFont="1" applyFill="1" applyBorder="1" applyAlignment="1">
      <alignment vertical="top"/>
    </xf>
    <xf numFmtId="0" fontId="74" fillId="0" borderId="32" xfId="10" applyFont="1" applyFill="1" applyBorder="1" applyAlignment="1">
      <alignment horizontal="left" vertical="top"/>
    </xf>
    <xf numFmtId="167" fontId="74" fillId="0" borderId="32" xfId="1" applyNumberFormat="1" applyFont="1" applyFill="1" applyBorder="1" applyAlignment="1">
      <alignment horizontal="right" vertical="top"/>
    </xf>
    <xf numFmtId="167" fontId="74" fillId="0" borderId="41" xfId="1" applyNumberFormat="1" applyFont="1" applyFill="1" applyBorder="1" applyAlignment="1">
      <alignment horizontal="right" vertical="top"/>
    </xf>
    <xf numFmtId="0" fontId="94" fillId="5" borderId="42" xfId="0" applyFont="1" applyFill="1" applyBorder="1" applyAlignment="1">
      <alignment horizontal="left"/>
    </xf>
    <xf numFmtId="167" fontId="94" fillId="5" borderId="42" xfId="1" applyNumberFormat="1" applyFont="1" applyFill="1" applyBorder="1" applyAlignment="1">
      <alignment horizontal="left"/>
    </xf>
    <xf numFmtId="167" fontId="93" fillId="5" borderId="42" xfId="1" applyNumberFormat="1" applyFont="1" applyFill="1" applyBorder="1" applyAlignment="1">
      <alignment horizontal="left"/>
    </xf>
    <xf numFmtId="167" fontId="74" fillId="12" borderId="0" xfId="1" applyNumberFormat="1" applyFont="1" applyFill="1" applyBorder="1" applyAlignment="1">
      <alignment vertical="top"/>
    </xf>
    <xf numFmtId="167" fontId="94" fillId="5" borderId="43" xfId="1" applyNumberFormat="1" applyFont="1" applyFill="1" applyBorder="1" applyAlignment="1">
      <alignment horizontal="left"/>
    </xf>
    <xf numFmtId="167" fontId="74" fillId="12" borderId="0" xfId="1" applyNumberFormat="1" applyFont="1" applyFill="1" applyBorder="1" applyAlignment="1"/>
    <xf numFmtId="167" fontId="74" fillId="12" borderId="9" xfId="1" applyNumberFormat="1" applyFont="1" applyFill="1" applyBorder="1" applyAlignment="1">
      <alignment vertical="top"/>
    </xf>
    <xf numFmtId="167" fontId="74" fillId="0" borderId="14" xfId="1" applyNumberFormat="1" applyFont="1" applyFill="1" applyBorder="1" applyAlignment="1">
      <alignment vertical="top"/>
    </xf>
    <xf numFmtId="167" fontId="74" fillId="12" borderId="9" xfId="1" applyNumberFormat="1" applyFont="1" applyFill="1" applyBorder="1" applyAlignment="1"/>
    <xf numFmtId="167" fontId="74" fillId="0" borderId="14" xfId="1" applyNumberFormat="1" applyFont="1" applyFill="1" applyBorder="1" applyAlignment="1"/>
    <xf numFmtId="167" fontId="74" fillId="12" borderId="27" xfId="1" applyNumberFormat="1" applyFont="1" applyFill="1" applyBorder="1" applyAlignment="1">
      <alignment vertical="top"/>
    </xf>
    <xf numFmtId="167" fontId="72" fillId="0" borderId="14" xfId="1" applyNumberFormat="1" applyFont="1" applyFill="1" applyBorder="1" applyAlignment="1">
      <alignment vertical="top"/>
    </xf>
    <xf numFmtId="0" fontId="94" fillId="5" borderId="43" xfId="0" applyFont="1" applyFill="1" applyBorder="1" applyAlignment="1">
      <alignment horizontal="left"/>
    </xf>
    <xf numFmtId="0" fontId="94" fillId="5" borderId="32" xfId="0" applyFont="1" applyFill="1" applyBorder="1" applyAlignment="1">
      <alignment horizontal="left"/>
    </xf>
    <xf numFmtId="167" fontId="76" fillId="0" borderId="32" xfId="1" applyNumberFormat="1" applyFont="1" applyFill="1" applyBorder="1" applyAlignment="1"/>
    <xf numFmtId="167" fontId="74" fillId="0" borderId="32" xfId="1" applyNumberFormat="1" applyFont="1" applyFill="1" applyBorder="1" applyAlignment="1">
      <alignment vertical="top"/>
    </xf>
    <xf numFmtId="0" fontId="76" fillId="0" borderId="32" xfId="0" applyFont="1" applyBorder="1" applyAlignment="1">
      <alignment horizontal="left"/>
    </xf>
    <xf numFmtId="0" fontId="76" fillId="0" borderId="32" xfId="0" applyFont="1" applyBorder="1"/>
    <xf numFmtId="165" fontId="74" fillId="3" borderId="26" xfId="1" applyFont="1" applyFill="1" applyBorder="1" applyAlignment="1">
      <alignment horizontal="left" vertical="center" wrapText="1"/>
    </xf>
    <xf numFmtId="167" fontId="72" fillId="4" borderId="0" xfId="3" applyNumberFormat="1" applyFont="1" applyFill="1"/>
    <xf numFmtId="165" fontId="80" fillId="0" borderId="0" xfId="1" applyFont="1"/>
    <xf numFmtId="9" fontId="76" fillId="0" borderId="0" xfId="261" applyFont="1"/>
    <xf numFmtId="9" fontId="74" fillId="0" borderId="0" xfId="261" applyFont="1" applyAlignment="1">
      <alignment horizontal="center"/>
    </xf>
    <xf numFmtId="9" fontId="74" fillId="7" borderId="26" xfId="261" applyFont="1" applyFill="1" applyBorder="1" applyAlignment="1">
      <alignment horizontal="left" vertical="center" wrapText="1"/>
    </xf>
    <xf numFmtId="9" fontId="76" fillId="0" borderId="13" xfId="261" applyFont="1" applyBorder="1"/>
    <xf numFmtId="9" fontId="74" fillId="7" borderId="37" xfId="261" applyFont="1" applyFill="1" applyBorder="1"/>
    <xf numFmtId="0" fontId="84" fillId="7" borderId="0" xfId="0" applyFont="1" applyFill="1"/>
    <xf numFmtId="14" fontId="92" fillId="0" borderId="0" xfId="7867" applyNumberFormat="1"/>
    <xf numFmtId="17" fontId="78" fillId="0" borderId="22" xfId="1" applyNumberFormat="1" applyFont="1" applyFill="1" applyBorder="1" applyAlignment="1">
      <alignment horizontal="center" vertical="center" wrapText="1"/>
    </xf>
    <xf numFmtId="0" fontId="84" fillId="8" borderId="0" xfId="7867" applyFont="1" applyFill="1"/>
    <xf numFmtId="171" fontId="84" fillId="0" borderId="44" xfId="7870" applyNumberFormat="1" applyFont="1" applyFill="1" applyBorder="1" applyAlignment="1">
      <alignment horizontal="left"/>
    </xf>
    <xf numFmtId="0" fontId="84" fillId="0" borderId="38" xfId="7867" applyFont="1" applyBorder="1"/>
    <xf numFmtId="43" fontId="84" fillId="8" borderId="0" xfId="7870" applyFont="1" applyFill="1" applyBorder="1"/>
    <xf numFmtId="43" fontId="84" fillId="0" borderId="0" xfId="7870" applyFont="1" applyBorder="1"/>
    <xf numFmtId="43" fontId="84" fillId="0" borderId="15" xfId="7870" applyFont="1" applyFill="1" applyBorder="1"/>
    <xf numFmtId="171" fontId="84" fillId="13" borderId="13" xfId="7870" applyNumberFormat="1" applyFont="1" applyFill="1" applyBorder="1" applyAlignment="1">
      <alignment horizontal="left"/>
    </xf>
    <xf numFmtId="171" fontId="84" fillId="13" borderId="0" xfId="7870" applyNumberFormat="1" applyFont="1" applyFill="1" applyBorder="1"/>
    <xf numFmtId="49" fontId="78" fillId="14" borderId="6" xfId="1" applyNumberFormat="1" applyFont="1" applyFill="1" applyBorder="1" applyAlignment="1">
      <alignment horizontal="center" vertical="center" wrapText="1"/>
    </xf>
    <xf numFmtId="167" fontId="74" fillId="14" borderId="7" xfId="1" applyNumberFormat="1" applyFont="1" applyFill="1" applyBorder="1" applyAlignment="1">
      <alignment horizontal="center" vertical="center"/>
    </xf>
    <xf numFmtId="171" fontId="14" fillId="4" borderId="0" xfId="7870" applyNumberFormat="1" applyFont="1" applyFill="1" applyBorder="1" applyAlignment="1">
      <alignment horizontal="left"/>
    </xf>
    <xf numFmtId="165" fontId="96" fillId="0" borderId="0" xfId="1" applyFont="1" applyAlignment="1">
      <alignment horizontal="center"/>
    </xf>
    <xf numFmtId="0" fontId="74" fillId="10" borderId="26" xfId="13750" applyFont="1" applyFill="1" applyBorder="1" applyAlignment="1">
      <alignment horizontal="left" vertical="center" wrapText="1"/>
    </xf>
    <xf numFmtId="0" fontId="76" fillId="10" borderId="13" xfId="0" applyFont="1" applyFill="1" applyBorder="1"/>
    <xf numFmtId="0" fontId="74" fillId="4" borderId="26" xfId="13750" applyFont="1" applyFill="1" applyBorder="1" applyAlignment="1">
      <alignment horizontal="left" vertical="center" wrapText="1"/>
    </xf>
    <xf numFmtId="0" fontId="74" fillId="4" borderId="26" xfId="13750" applyFont="1" applyFill="1" applyBorder="1" applyAlignment="1">
      <alignment horizontal="center" vertical="center" wrapText="1"/>
    </xf>
    <xf numFmtId="167" fontId="74" fillId="4" borderId="26" xfId="1" applyNumberFormat="1" applyFont="1" applyFill="1" applyBorder="1" applyAlignment="1">
      <alignment horizontal="left" vertical="center" wrapText="1"/>
    </xf>
    <xf numFmtId="17" fontId="76" fillId="10" borderId="0" xfId="0" applyNumberFormat="1" applyFont="1" applyFill="1"/>
    <xf numFmtId="0" fontId="93" fillId="5" borderId="18" xfId="0" applyFont="1" applyFill="1" applyBorder="1" applyAlignment="1">
      <alignment horizontal="right"/>
    </xf>
    <xf numFmtId="0" fontId="93" fillId="5" borderId="21" xfId="0" applyFont="1" applyFill="1" applyBorder="1" applyAlignment="1">
      <alignment horizontal="right"/>
    </xf>
    <xf numFmtId="184" fontId="95" fillId="0" borderId="32" xfId="1" applyNumberFormat="1" applyFont="1" applyBorder="1"/>
    <xf numFmtId="167" fontId="80" fillId="10" borderId="0" xfId="1" applyNumberFormat="1" applyFont="1" applyFill="1"/>
    <xf numFmtId="167" fontId="95" fillId="0" borderId="32" xfId="1" applyNumberFormat="1" applyFont="1" applyBorder="1"/>
    <xf numFmtId="43" fontId="84" fillId="9" borderId="0" xfId="7870" applyFont="1" applyFill="1"/>
    <xf numFmtId="43" fontId="84" fillId="9" borderId="0" xfId="7870" applyFont="1" applyFill="1" applyBorder="1"/>
    <xf numFmtId="0" fontId="92" fillId="9" borderId="0" xfId="7867" applyFill="1"/>
    <xf numFmtId="0" fontId="76" fillId="9" borderId="0" xfId="0" applyFont="1" applyFill="1"/>
    <xf numFmtId="14" fontId="0" fillId="10" borderId="0" xfId="0" applyNumberFormat="1" applyFill="1"/>
    <xf numFmtId="167" fontId="100" fillId="5" borderId="18" xfId="1" applyNumberFormat="1" applyFont="1" applyFill="1" applyBorder="1" applyAlignment="1">
      <alignment horizontal="right"/>
    </xf>
    <xf numFmtId="0" fontId="101" fillId="0" borderId="0" xfId="3" applyFont="1"/>
    <xf numFmtId="4" fontId="98" fillId="0" borderId="0" xfId="0" applyNumberFormat="1" applyFont="1" applyAlignment="1">
      <alignment horizontal="right" vertical="center" wrapText="1"/>
    </xf>
    <xf numFmtId="167" fontId="102" fillId="14" borderId="7" xfId="1" applyNumberFormat="1" applyFont="1" applyFill="1" applyBorder="1" applyAlignment="1">
      <alignment horizontal="center" vertical="center"/>
    </xf>
    <xf numFmtId="167" fontId="103" fillId="0" borderId="0" xfId="1" applyNumberFormat="1" applyFont="1"/>
    <xf numFmtId="167" fontId="104" fillId="0" borderId="13" xfId="1" applyNumberFormat="1" applyFont="1" applyBorder="1"/>
    <xf numFmtId="167" fontId="104" fillId="0" borderId="26" xfId="1" applyNumberFormat="1" applyFont="1" applyBorder="1"/>
    <xf numFmtId="167" fontId="103" fillId="0" borderId="0" xfId="1" applyNumberFormat="1" applyFont="1" applyBorder="1"/>
    <xf numFmtId="167" fontId="104" fillId="0" borderId="0" xfId="1" applyNumberFormat="1" applyFont="1" applyFill="1" applyBorder="1" applyAlignment="1">
      <alignment horizontal="center" vertical="center" wrapText="1"/>
    </xf>
    <xf numFmtId="167" fontId="104" fillId="0" borderId="0" xfId="1" applyNumberFormat="1" applyFont="1" applyBorder="1"/>
    <xf numFmtId="167" fontId="103" fillId="0" borderId="0" xfId="1" applyNumberFormat="1" applyFont="1" applyBorder="1" applyAlignment="1"/>
    <xf numFmtId="167" fontId="104" fillId="0" borderId="0" xfId="1" applyNumberFormat="1" applyFont="1" applyFill="1" applyBorder="1" applyAlignment="1">
      <alignment horizontal="center" vertical="center"/>
    </xf>
    <xf numFmtId="17" fontId="104" fillId="15" borderId="9" xfId="1" applyNumberFormat="1" applyFont="1" applyFill="1" applyBorder="1" applyAlignment="1">
      <alignment horizontal="center" vertical="center" wrapText="1"/>
    </xf>
    <xf numFmtId="167" fontId="103" fillId="0" borderId="0" xfId="1" applyNumberFormat="1" applyFont="1" applyAlignment="1"/>
    <xf numFmtId="167" fontId="104" fillId="0" borderId="13" xfId="1" applyNumberFormat="1" applyFont="1" applyBorder="1" applyAlignment="1"/>
    <xf numFmtId="167" fontId="104" fillId="0" borderId="26" xfId="1" applyNumberFormat="1" applyFont="1" applyBorder="1" applyAlignment="1"/>
    <xf numFmtId="167" fontId="104" fillId="11" borderId="0" xfId="1" applyNumberFormat="1" applyFont="1" applyFill="1" applyBorder="1" applyAlignment="1"/>
    <xf numFmtId="167" fontId="104" fillId="4" borderId="0" xfId="1" applyNumberFormat="1" applyFont="1" applyFill="1" applyBorder="1" applyAlignment="1"/>
    <xf numFmtId="167" fontId="103" fillId="10" borderId="0" xfId="1" applyNumberFormat="1" applyFont="1" applyFill="1" applyBorder="1" applyAlignment="1"/>
    <xf numFmtId="167" fontId="104" fillId="9" borderId="0" xfId="1" applyNumberFormat="1" applyFont="1" applyFill="1" applyBorder="1" applyAlignment="1"/>
    <xf numFmtId="167" fontId="106" fillId="10" borderId="0" xfId="1" applyNumberFormat="1" applyFont="1" applyFill="1" applyBorder="1" applyAlignment="1"/>
    <xf numFmtId="167" fontId="104" fillId="0" borderId="57" xfId="1" applyNumberFormat="1" applyFont="1" applyFill="1" applyBorder="1" applyAlignment="1">
      <alignment horizontal="center" vertical="center"/>
    </xf>
    <xf numFmtId="167" fontId="104" fillId="0" borderId="28" xfId="1" applyNumberFormat="1" applyFont="1" applyFill="1" applyBorder="1" applyAlignment="1">
      <alignment horizontal="center" vertical="center"/>
    </xf>
    <xf numFmtId="167" fontId="104" fillId="15" borderId="49" xfId="1" applyNumberFormat="1" applyFont="1" applyFill="1" applyBorder="1" applyAlignment="1">
      <alignment vertical="top"/>
    </xf>
    <xf numFmtId="167" fontId="104" fillId="15" borderId="51" xfId="1" applyNumberFormat="1" applyFont="1" applyFill="1" applyBorder="1" applyAlignment="1">
      <alignment vertical="top"/>
    </xf>
    <xf numFmtId="17" fontId="104" fillId="15" borderId="52" xfId="1" applyNumberFormat="1" applyFont="1" applyFill="1" applyBorder="1" applyAlignment="1">
      <alignment horizontal="center" vertical="center" wrapText="1"/>
    </xf>
    <xf numFmtId="167" fontId="104" fillId="0" borderId="53" xfId="1" applyNumberFormat="1" applyFont="1" applyBorder="1"/>
    <xf numFmtId="167" fontId="104" fillId="14" borderId="54" xfId="1" applyNumberFormat="1" applyFont="1" applyFill="1" applyBorder="1"/>
    <xf numFmtId="167" fontId="104" fillId="0" borderId="55" xfId="1" applyNumberFormat="1" applyFont="1" applyBorder="1"/>
    <xf numFmtId="167" fontId="104" fillId="0" borderId="49" xfId="1" applyNumberFormat="1" applyFont="1" applyBorder="1"/>
    <xf numFmtId="167" fontId="104" fillId="14" borderId="58" xfId="1" applyNumberFormat="1" applyFont="1" applyFill="1" applyBorder="1"/>
    <xf numFmtId="167" fontId="103" fillId="0" borderId="57" xfId="1" applyNumberFormat="1" applyFont="1" applyBorder="1"/>
    <xf numFmtId="167" fontId="103" fillId="0" borderId="28" xfId="1" applyNumberFormat="1" applyFont="1" applyBorder="1"/>
    <xf numFmtId="167" fontId="104" fillId="0" borderId="53" xfId="1" applyNumberFormat="1" applyFont="1" applyBorder="1" applyAlignment="1"/>
    <xf numFmtId="167" fontId="104" fillId="14" borderId="54" xfId="1" applyNumberFormat="1" applyFont="1" applyFill="1" applyBorder="1" applyAlignment="1"/>
    <xf numFmtId="167" fontId="103" fillId="10" borderId="57" xfId="1" applyNumberFormat="1" applyFont="1" applyFill="1" applyBorder="1" applyAlignment="1"/>
    <xf numFmtId="167" fontId="103" fillId="10" borderId="28" xfId="1" applyNumberFormat="1" applyFont="1" applyFill="1" applyBorder="1" applyAlignment="1"/>
    <xf numFmtId="167" fontId="104" fillId="0" borderId="57" xfId="1" applyNumberFormat="1" applyFont="1" applyBorder="1" applyAlignment="1">
      <alignment vertical="top"/>
    </xf>
    <xf numFmtId="167" fontId="104" fillId="4" borderId="28" xfId="1" applyNumberFormat="1" applyFont="1" applyFill="1" applyBorder="1" applyAlignment="1"/>
    <xf numFmtId="167" fontId="104" fillId="0" borderId="28" xfId="1" applyNumberFormat="1" applyFont="1" applyFill="1" applyBorder="1" applyAlignment="1">
      <alignment horizontal="center" vertical="center" wrapText="1"/>
    </xf>
    <xf numFmtId="167" fontId="104" fillId="0" borderId="57" xfId="1" applyNumberFormat="1" applyFont="1" applyBorder="1"/>
    <xf numFmtId="167" fontId="104" fillId="0" borderId="28" xfId="1" applyNumberFormat="1" applyFont="1" applyBorder="1"/>
    <xf numFmtId="167" fontId="104" fillId="0" borderId="55" xfId="1" applyNumberFormat="1" applyFont="1" applyBorder="1" applyAlignment="1"/>
    <xf numFmtId="167" fontId="104" fillId="0" borderId="49" xfId="1" applyNumberFormat="1" applyFont="1" applyBorder="1" applyAlignment="1"/>
    <xf numFmtId="167" fontId="104" fillId="14" borderId="58" xfId="1" applyNumberFormat="1" applyFont="1" applyFill="1" applyBorder="1" applyAlignment="1"/>
    <xf numFmtId="167" fontId="104" fillId="0" borderId="59" xfId="1" applyNumberFormat="1" applyFont="1" applyBorder="1" applyAlignment="1"/>
    <xf numFmtId="10" fontId="104" fillId="0" borderId="37" xfId="261" applyNumberFormat="1" applyFont="1" applyBorder="1"/>
    <xf numFmtId="10" fontId="104" fillId="14" borderId="56" xfId="261" applyNumberFormat="1" applyFont="1" applyFill="1" applyBorder="1"/>
    <xf numFmtId="10" fontId="104" fillId="0" borderId="37" xfId="261" applyNumberFormat="1" applyFont="1" applyBorder="1" applyAlignment="1"/>
    <xf numFmtId="10" fontId="104" fillId="14" borderId="56" xfId="261" applyNumberFormat="1" applyFont="1" applyFill="1" applyBorder="1" applyAlignment="1"/>
    <xf numFmtId="10" fontId="104" fillId="0" borderId="60" xfId="261" applyNumberFormat="1" applyFont="1" applyBorder="1"/>
    <xf numFmtId="10" fontId="104" fillId="14" borderId="61" xfId="261" applyNumberFormat="1" applyFont="1" applyFill="1" applyBorder="1"/>
    <xf numFmtId="171" fontId="14" fillId="14" borderId="13" xfId="7870" applyNumberFormat="1" applyFont="1" applyFill="1" applyBorder="1" applyAlignment="1">
      <alignment horizontal="left"/>
    </xf>
    <xf numFmtId="171" fontId="14" fillId="14" borderId="0" xfId="7870" applyNumberFormat="1" applyFont="1" applyFill="1" applyBorder="1"/>
    <xf numFmtId="0" fontId="76" fillId="14" borderId="13" xfId="0" applyFont="1" applyFill="1" applyBorder="1"/>
    <xf numFmtId="0" fontId="76" fillId="14" borderId="0" xfId="0" applyFont="1" applyFill="1"/>
    <xf numFmtId="167" fontId="104" fillId="15" borderId="45" xfId="1" applyNumberFormat="1" applyFont="1" applyFill="1" applyBorder="1" applyAlignment="1">
      <alignment horizontal="center" vertical="center"/>
    </xf>
    <xf numFmtId="167" fontId="104" fillId="15" borderId="46" xfId="1" applyNumberFormat="1" applyFont="1" applyFill="1" applyBorder="1" applyAlignment="1">
      <alignment horizontal="center" vertical="center"/>
    </xf>
    <xf numFmtId="167" fontId="104" fillId="15" borderId="47" xfId="1" applyNumberFormat="1" applyFont="1" applyFill="1" applyBorder="1" applyAlignment="1">
      <alignment horizontal="center" vertical="center"/>
    </xf>
    <xf numFmtId="167" fontId="104" fillId="15" borderId="57" xfId="1" applyNumberFormat="1" applyFont="1" applyFill="1" applyBorder="1" applyAlignment="1">
      <alignment horizontal="center" vertical="center"/>
    </xf>
    <xf numFmtId="167" fontId="104" fillId="15" borderId="0" xfId="1" applyNumberFormat="1" applyFont="1" applyFill="1" applyBorder="1" applyAlignment="1">
      <alignment horizontal="center" vertical="center"/>
    </xf>
    <xf numFmtId="167" fontId="104" fillId="15" borderId="28" xfId="1" applyNumberFormat="1" applyFont="1" applyFill="1" applyBorder="1" applyAlignment="1">
      <alignment horizontal="center" vertical="center"/>
    </xf>
    <xf numFmtId="167" fontId="104" fillId="15" borderId="8" xfId="1" applyNumberFormat="1" applyFont="1" applyFill="1" applyBorder="1" applyAlignment="1">
      <alignment horizontal="center"/>
    </xf>
    <xf numFmtId="167" fontId="104" fillId="15" borderId="11" xfId="1" applyNumberFormat="1" applyFont="1" applyFill="1" applyBorder="1" applyAlignment="1">
      <alignment horizontal="center"/>
    </xf>
    <xf numFmtId="167" fontId="104" fillId="15" borderId="48" xfId="1" applyNumberFormat="1" applyFont="1" applyFill="1" applyBorder="1" applyAlignment="1">
      <alignment horizontal="center"/>
    </xf>
    <xf numFmtId="167" fontId="104" fillId="15" borderId="24" xfId="1" applyNumberFormat="1" applyFont="1" applyFill="1" applyBorder="1" applyAlignment="1">
      <alignment horizontal="center"/>
    </xf>
    <xf numFmtId="167" fontId="104" fillId="15" borderId="14" xfId="1" applyNumberFormat="1" applyFont="1" applyFill="1" applyBorder="1" applyAlignment="1">
      <alignment horizontal="center"/>
    </xf>
    <xf numFmtId="167" fontId="104" fillId="15" borderId="50" xfId="1" applyNumberFormat="1" applyFont="1" applyFill="1" applyBorder="1" applyAlignment="1">
      <alignment horizontal="center"/>
    </xf>
    <xf numFmtId="167" fontId="74" fillId="9" borderId="31" xfId="3" applyNumberFormat="1" applyFont="1" applyFill="1" applyBorder="1" applyAlignment="1">
      <alignment horizontal="center"/>
    </xf>
  </cellXfs>
  <cellStyles count="15764">
    <cellStyle name="Comma" xfId="1" xr:uid="{00000000-0005-0000-0000-000000000000}"/>
    <cellStyle name="Comma 10" xfId="1801" xr:uid="{00000000-0005-0000-0000-000001000000}"/>
    <cellStyle name="Comma 10 2" xfId="1905" xr:uid="{00000000-0005-0000-0000-000002000000}"/>
    <cellStyle name="Comma 10 2 2" xfId="3858" xr:uid="{00000000-0005-0000-0000-000003000000}"/>
    <cellStyle name="Comma 10 2 2 2" xfId="7779" xr:uid="{6A727329-82D5-4C98-ACA3-2099E5B11E41}"/>
    <cellStyle name="Comma 10 2 2 2 2" xfId="15639" xr:uid="{D27CAF95-2DAB-4E48-B0F6-6376E6844195}"/>
    <cellStyle name="Comma 10 2 2 3" xfId="11719" xr:uid="{44B8175A-E5FE-42C4-8F99-E9F75C47118B}"/>
    <cellStyle name="Comma 10 2 3" xfId="5826" xr:uid="{359CDE84-62AB-4A88-B362-D86383EF16DA}"/>
    <cellStyle name="Comma 10 2 3 2" xfId="13686" xr:uid="{BE20B65C-CD20-46EF-A7EE-F5929629C7F1}"/>
    <cellStyle name="Comma 10 2 4" xfId="9767" xr:uid="{9853BF86-91F6-4C39-B0C8-A9184C436D9A}"/>
    <cellStyle name="Comma 10 3" xfId="3754" xr:uid="{00000000-0005-0000-0000-000004000000}"/>
    <cellStyle name="Comma 10 3 2" xfId="7675" xr:uid="{3C9E07DF-6BEB-4C85-9804-135166F55892}"/>
    <cellStyle name="Comma 10 3 2 2" xfId="15535" xr:uid="{BB6A5E10-9607-45DB-BB92-4DF5C08A30FA}"/>
    <cellStyle name="Comma 10 3 3" xfId="11615" xr:uid="{27B1D1A5-665E-4E4E-8E8B-8DA967725018}"/>
    <cellStyle name="Comma 10 4" xfId="5722" xr:uid="{12A27014-A7BF-400E-99FB-ED7AE80ED426}"/>
    <cellStyle name="Comma 10 4 2" xfId="13582" xr:uid="{E999930B-F8DB-4CEE-86FB-D00F6A3C64EA}"/>
    <cellStyle name="Comma 10 5" xfId="9663" xr:uid="{CB9B3174-265B-4B0D-BC55-E41048EE0703}"/>
    <cellStyle name="Comma 11" xfId="1759" xr:uid="{00000000-0005-0000-0000-000005000000}"/>
    <cellStyle name="Comma 11 2" xfId="1919" xr:uid="{00000000-0005-0000-0000-000006000000}"/>
    <cellStyle name="Comma 11 2 2" xfId="3872" xr:uid="{00000000-0005-0000-0000-000007000000}"/>
    <cellStyle name="Comma 11 2 2 2" xfId="7793" xr:uid="{088FB1A8-BA62-443A-92D7-112D1622D961}"/>
    <cellStyle name="Comma 11 2 2 2 2" xfId="15653" xr:uid="{9257DDF5-D726-4455-9EDB-7F8AD0D59CB2}"/>
    <cellStyle name="Comma 11 2 2 3" xfId="11733" xr:uid="{FBEF5A95-93CE-4947-AFFD-6362E9911C58}"/>
    <cellStyle name="Comma 11 2 3" xfId="5840" xr:uid="{20D45A75-2DE2-4141-8CC1-F1467739B428}"/>
    <cellStyle name="Comma 11 2 3 2" xfId="13700" xr:uid="{14D4F445-886D-45DD-A9CC-0DA72DA2BF25}"/>
    <cellStyle name="Comma 11 2 4" xfId="9781" xr:uid="{1BBB080C-766A-4E45-A685-76ECC1FD1BB8}"/>
    <cellStyle name="Comma 11 3" xfId="3713" xr:uid="{00000000-0005-0000-0000-000008000000}"/>
    <cellStyle name="Comma 11 3 2" xfId="7634" xr:uid="{B5801A05-8F83-46D3-8103-7875F59CAC1D}"/>
    <cellStyle name="Comma 11 3 2 2" xfId="15494" xr:uid="{47D289A3-80B0-4339-B9D8-CBF43E463C43}"/>
    <cellStyle name="Comma 11 3 3" xfId="11574" xr:uid="{790AFD94-2B14-43C3-928A-10CBE64B988C}"/>
    <cellStyle name="Comma 11 4" xfId="5680" xr:uid="{D49ABD2A-0306-4FFD-ABAE-54921E8C1031}"/>
    <cellStyle name="Comma 11 4 2" xfId="13540" xr:uid="{9D86543A-B7DF-4EA6-B546-5772CCDA63F2}"/>
    <cellStyle name="Comma 11 5" xfId="9621" xr:uid="{2D67A49F-36CB-4293-8CB9-C560B3579C18}"/>
    <cellStyle name="Comma 12" xfId="1761" xr:uid="{00000000-0005-0000-0000-000009000000}"/>
    <cellStyle name="Comma 12 2" xfId="3715" xr:uid="{00000000-0005-0000-0000-00000A000000}"/>
    <cellStyle name="Comma 12 2 2" xfId="7636" xr:uid="{36B948E9-B7F9-4FAF-802D-6B8B4FB5B8CC}"/>
    <cellStyle name="Comma 12 2 2 2" xfId="15496" xr:uid="{CB66B5DF-5B36-4E53-8C8D-D4C79730E5F1}"/>
    <cellStyle name="Comma 12 2 3" xfId="11576" xr:uid="{8AC8D547-867B-420C-9948-7C3E67305FDE}"/>
    <cellStyle name="Comma 12 3" xfId="5682" xr:uid="{C544853C-7184-4290-9BEA-5395267F9809}"/>
    <cellStyle name="Comma 12 3 2" xfId="13542" xr:uid="{A6036E21-1788-48E0-BD93-024312F60398}"/>
    <cellStyle name="Comma 12 4" xfId="9623" xr:uid="{94B1A091-D986-4BF1-B70A-A4D64285F596}"/>
    <cellStyle name="Comma 13" xfId="1763" xr:uid="{00000000-0005-0000-0000-00000B000000}"/>
    <cellStyle name="Comma 13 2" xfId="1929" xr:uid="{00000000-0005-0000-0000-00000C000000}"/>
    <cellStyle name="Comma 13 2 2" xfId="1934" xr:uid="{00000000-0005-0000-0000-00000D000000}"/>
    <cellStyle name="Comma 13 2 2 2" xfId="1970" xr:uid="{00000000-0005-0000-0000-00000E000000}"/>
    <cellStyle name="Comma 13 2 2 2 2" xfId="5891" xr:uid="{3B0C8745-6E55-44CB-AD86-636691F7561B}"/>
    <cellStyle name="Comma 13 2 2 2 2 2" xfId="13751" xr:uid="{56E02FAF-6375-420D-A7C4-E8A0149FC3CD}"/>
    <cellStyle name="Comma 13 2 2 2 3" xfId="9832" xr:uid="{740C3DEA-8510-4665-AC81-B7AFDEFE9720}"/>
    <cellStyle name="Comma 13 2 2 3" xfId="3885" xr:uid="{00000000-0005-0000-0000-00000F000000}"/>
    <cellStyle name="Comma 13 2 2 3 2" xfId="7806" xr:uid="{511C2FD7-46B9-414E-9535-479BC6C96F98}"/>
    <cellStyle name="Comma 13 2 2 3 2 2" xfId="15666" xr:uid="{02D77F6B-59AF-40B7-8244-67177EA78B71}"/>
    <cellStyle name="Comma 13 2 2 3 3" xfId="11746" xr:uid="{1B886FAF-B8AE-4029-8A35-4C4C630DFFAC}"/>
    <cellStyle name="Comma 13 2 2 4" xfId="5855" xr:uid="{C64A75F9-6AF0-460A-A6C5-B938732E3601}"/>
    <cellStyle name="Comma 13 2 2 4 2" xfId="13715" xr:uid="{B842515A-F49E-43D4-8EA3-82D7FA9793D3}"/>
    <cellStyle name="Comma 13 2 2 5" xfId="9796" xr:uid="{F206F4FC-2E3F-4BB0-9918-BA8DD2B7D668}"/>
    <cellStyle name="Comma 13 2 3" xfId="3881" xr:uid="{00000000-0005-0000-0000-000010000000}"/>
    <cellStyle name="Comma 13 2 3 2" xfId="7802" xr:uid="{2ADD56A3-6429-4383-B08C-D8F5554473AF}"/>
    <cellStyle name="Comma 13 2 3 2 2" xfId="15662" xr:uid="{14355F85-2730-4B18-A554-1BE0BDDD4C55}"/>
    <cellStyle name="Comma 13 2 3 3" xfId="11742" xr:uid="{FA037FCA-63D2-4664-A0CA-DAF886AE3740}"/>
    <cellStyle name="Comma 13 2 4" xfId="5850" xr:uid="{113697AF-05F2-46C3-A95B-501317A88D27}"/>
    <cellStyle name="Comma 13 2 4 2" xfId="13710" xr:uid="{4DFEF24B-5360-4A46-B84B-FE7DE5DA8B7A}"/>
    <cellStyle name="Comma 13 2 5" xfId="9791" xr:uid="{2B5FCC0D-DB17-4DDF-A029-459794B10CE0}"/>
    <cellStyle name="Comma 13 3" xfId="3716" xr:uid="{00000000-0005-0000-0000-000011000000}"/>
    <cellStyle name="Comma 13 3 2" xfId="7637" xr:uid="{9BDF9B05-3759-4E7A-8922-8BD60DFD071F}"/>
    <cellStyle name="Comma 13 3 2 2" xfId="15497" xr:uid="{BE6FDDD2-97E2-40C7-825F-BC8885F69D3A}"/>
    <cellStyle name="Comma 13 3 3" xfId="11577" xr:uid="{D4168861-B9E6-4BB6-9716-D00796977C7A}"/>
    <cellStyle name="Comma 13 4" xfId="5684" xr:uid="{1C899C3C-3110-4E0C-AF77-225D7FCBC730}"/>
    <cellStyle name="Comma 13 4 2" xfId="13544" xr:uid="{F76FDB50-DF49-44D9-A131-9CEDC3D9CE0D}"/>
    <cellStyle name="Comma 13 5" xfId="9625" xr:uid="{BAC4EEB6-748B-460C-898B-691D4112FB36}"/>
    <cellStyle name="Comma 14" xfId="1766" xr:uid="{00000000-0005-0000-0000-000012000000}"/>
    <cellStyle name="Comma 14 2" xfId="3719" xr:uid="{00000000-0005-0000-0000-000013000000}"/>
    <cellStyle name="Comma 14 2 2" xfId="7640" xr:uid="{AC090D14-148C-4338-9DDB-BAE2A4904F56}"/>
    <cellStyle name="Comma 14 2 2 2" xfId="15500" xr:uid="{EF86946B-E538-4085-8498-C2FD88796142}"/>
    <cellStyle name="Comma 14 2 3" xfId="11580" xr:uid="{D42EBDA8-EB35-4DC6-BAB6-A5ABC52DD0B2}"/>
    <cellStyle name="Comma 14 3" xfId="5687" xr:uid="{0F9044C9-24A0-4ABB-ADF1-EC40B6478856}"/>
    <cellStyle name="Comma 14 3 2" xfId="13547" xr:uid="{0BC23608-E1BC-4D35-8A9C-E94DA8BC6A46}"/>
    <cellStyle name="Comma 14 4" xfId="9628" xr:uid="{06A025EC-5A19-4DDE-9F30-E2B668004F61}"/>
    <cellStyle name="Comma 15" xfId="1946" xr:uid="{00000000-0005-0000-0000-000014000000}"/>
    <cellStyle name="Comma 15 2" xfId="1960" xr:uid="{00000000-0005-0000-0000-000015000000}"/>
    <cellStyle name="Comma 15 2 2" xfId="3911" xr:uid="{00000000-0005-0000-0000-000016000000}"/>
    <cellStyle name="Comma 15 2 2 2" xfId="7832" xr:uid="{CFC25B81-7674-4CA6-92DD-09ADABDA3FA5}"/>
    <cellStyle name="Comma 15 2 2 2 2" xfId="15692" xr:uid="{307D4D81-435B-4F8C-B2F9-560968FD4819}"/>
    <cellStyle name="Comma 15 2 2 3" xfId="11772" xr:uid="{39E37FC7-5BBA-4C40-B03B-3CEDA2144E45}"/>
    <cellStyle name="Comma 15 2 3" xfId="3929" xr:uid="{3D4B44FF-5998-4B06-A2A3-137B7B8B80EA}"/>
    <cellStyle name="Comma 15 2 3 2" xfId="7850" xr:uid="{0914C85D-23C1-4910-9972-AB676D13ED32}"/>
    <cellStyle name="Comma 15 2 3 2 2" xfId="15710" xr:uid="{337E9FC0-CF56-4622-8606-6C754FC93986}"/>
    <cellStyle name="Comma 15 2 3 3" xfId="11790" xr:uid="{AC21A94F-2B10-44C7-87C3-AE985DB97D35}"/>
    <cellStyle name="Comma 15 2 4" xfId="5881" xr:uid="{E6E90672-848A-4ECC-B71F-7627BE258E38}"/>
    <cellStyle name="Comma 15 2 4 2" xfId="13741" xr:uid="{610F4694-16EC-4D96-AE52-E6D987EF72AE}"/>
    <cellStyle name="Comma 15 2 5" xfId="9822" xr:uid="{65183F01-07B7-403F-A410-0E59B8DEE617}"/>
    <cellStyle name="Comma 15 3" xfId="3897" xr:uid="{00000000-0005-0000-0000-000017000000}"/>
    <cellStyle name="Comma 15 3 2" xfId="7818" xr:uid="{91AE98F2-BDAA-4097-A4E7-5DC0F8E6050A}"/>
    <cellStyle name="Comma 15 3 2 2" xfId="15678" xr:uid="{675C567C-034D-4E13-88C9-EDCED92D60F8}"/>
    <cellStyle name="Comma 15 3 3" xfId="11758" xr:uid="{6C8B22FF-C834-4526-84D9-B1B9D96859EF}"/>
    <cellStyle name="Comma 15 4" xfId="5867" xr:uid="{49337F69-FD2B-4535-BF40-B60858C2DBA5}"/>
    <cellStyle name="Comma 15 4 2" xfId="13727" xr:uid="{F8F649B7-EF0D-4D84-91CD-0AD11CE3AA44}"/>
    <cellStyle name="Comma 15 5" xfId="9808" xr:uid="{0D96E6BB-D43D-485C-B193-169AB2EA3E22}"/>
    <cellStyle name="Comma 16" xfId="1956" xr:uid="{00000000-0005-0000-0000-000018000000}"/>
    <cellStyle name="Comma 16 2" xfId="3907" xr:uid="{00000000-0005-0000-0000-000019000000}"/>
    <cellStyle name="Comma 16 2 2" xfId="7828" xr:uid="{102F7229-3887-4216-B932-2CF773F2B402}"/>
    <cellStyle name="Comma 16 2 2 2" xfId="15688" xr:uid="{84F32914-C1F3-4B43-93B5-4F6C0196866D}"/>
    <cellStyle name="Comma 16 2 3" xfId="11768" xr:uid="{63E5E72C-47F8-410B-A19C-E3AFA9B7EE88}"/>
    <cellStyle name="Comma 16 3" xfId="5877" xr:uid="{E5A756D3-E67B-4833-AEC9-493A6883DA05}"/>
    <cellStyle name="Comma 16 3 2" xfId="13737" xr:uid="{DE2BDEE4-F341-447F-97CC-CA3987ADA0E6}"/>
    <cellStyle name="Comma 16 4" xfId="9818" xr:uid="{A21117E3-F392-4270-8F9C-45BBA381E4C8}"/>
    <cellStyle name="Comma 17" xfId="1959" xr:uid="{00000000-0005-0000-0000-00001A000000}"/>
    <cellStyle name="Comma 17 2" xfId="3910" xr:uid="{00000000-0005-0000-0000-00001B000000}"/>
    <cellStyle name="Comma 17 2 2" xfId="7831" xr:uid="{BBD3D320-CD6E-49E9-8632-9ADD15E63865}"/>
    <cellStyle name="Comma 17 2 2 2" xfId="15691" xr:uid="{E7734030-A017-41F1-800B-F929586C5BA9}"/>
    <cellStyle name="Comma 17 2 3" xfId="11771" xr:uid="{6F38B6D2-1A46-41B1-BCCB-37B7F1A87945}"/>
    <cellStyle name="Comma 17 3" xfId="5880" xr:uid="{A35524D7-0418-4D24-8035-74995C2106E6}"/>
    <cellStyle name="Comma 17 3 2" xfId="13740" xr:uid="{64CCD03A-3EEF-44BD-8478-0C62970114A3}"/>
    <cellStyle name="Comma 17 4" xfId="9821" xr:uid="{5BA77596-913F-4369-9605-B1FE69ECB178}"/>
    <cellStyle name="Comma 18" xfId="1962" xr:uid="{00000000-0005-0000-0000-00001C000000}"/>
    <cellStyle name="Comma 18 2" xfId="3913" xr:uid="{00000000-0005-0000-0000-00001D000000}"/>
    <cellStyle name="Comma 18 2 2" xfId="7834" xr:uid="{24133E62-3587-4368-A32D-9F0AFA8AD0F2}"/>
    <cellStyle name="Comma 18 2 2 2" xfId="15694" xr:uid="{9D4591C5-F32E-4CFA-971E-53F4C17DB065}"/>
    <cellStyle name="Comma 18 2 3" xfId="11774" xr:uid="{0FC8D520-71A8-4643-8BEF-4B094E5BC909}"/>
    <cellStyle name="Comma 18 3" xfId="5883" xr:uid="{41682DC7-17D5-4272-BDB9-8B5CC3F62467}"/>
    <cellStyle name="Comma 18 3 2" xfId="13743" xr:uid="{B2A50AB0-0855-4BCF-867D-9676CD9275EC}"/>
    <cellStyle name="Comma 18 4" xfId="9824" xr:uid="{2828BF71-BC39-4369-849E-2E7AFBD88D46}"/>
    <cellStyle name="Comma 19" xfId="1974" xr:uid="{00000000-0005-0000-0000-00001E000000}"/>
    <cellStyle name="Comma 19 2" xfId="5895" xr:uid="{9EE81D02-62AD-410A-A268-9D1E8030F41C}"/>
    <cellStyle name="Comma 19 2 2" xfId="13755" xr:uid="{AB6C7716-2903-428E-8B61-580A5FD2B1FB}"/>
    <cellStyle name="Comma 19 3" xfId="9836" xr:uid="{C1B1F84D-BEA4-4776-8577-7DEEC7D5240E}"/>
    <cellStyle name="Comma 2" xfId="8" xr:uid="{00000000-0005-0000-0000-00001F000000}"/>
    <cellStyle name="Comma 2 2" xfId="1772" xr:uid="{00000000-0005-0000-0000-000020000000}"/>
    <cellStyle name="Comma 2 2 10" xfId="1876" xr:uid="{00000000-0005-0000-0000-000021000000}"/>
    <cellStyle name="Comma 2 2 10 2" xfId="3829" xr:uid="{00000000-0005-0000-0000-000022000000}"/>
    <cellStyle name="Comma 2 2 10 2 2" xfId="7750" xr:uid="{8136B8B8-6570-40A0-BADB-A83AA8C7D1E3}"/>
    <cellStyle name="Comma 2 2 10 2 2 2" xfId="15610" xr:uid="{D596B933-1D0E-448E-9D27-1D94877F5D96}"/>
    <cellStyle name="Comma 2 2 10 2 3" xfId="11690" xr:uid="{985D8DB8-3917-4479-A1E4-DB1797A3033F}"/>
    <cellStyle name="Comma 2 2 10 3" xfId="5797" xr:uid="{688EE048-0506-46D5-A9CC-3B3BDBBE4C10}"/>
    <cellStyle name="Comma 2 2 10 3 2" xfId="13657" xr:uid="{7A3F9493-7AA0-4EAD-8A13-250EE53969C7}"/>
    <cellStyle name="Comma 2 2 10 4" xfId="9738" xr:uid="{8FDFFB58-2D63-4BA4-8C59-CE3C96EB2B06}"/>
    <cellStyle name="Comma 2 2 11" xfId="3725" xr:uid="{00000000-0005-0000-0000-000023000000}"/>
    <cellStyle name="Comma 2 2 11 2" xfId="7646" xr:uid="{75A509F0-945D-48DF-AA1D-31ADE5C61AEB}"/>
    <cellStyle name="Comma 2 2 11 2 2" xfId="15506" xr:uid="{EE236333-7354-4592-BAD0-CEC2F24378F3}"/>
    <cellStyle name="Comma 2 2 11 3" xfId="11586" xr:uid="{4FE9C091-DFE1-42A4-9B6A-B76AE504A094}"/>
    <cellStyle name="Comma 2 2 12" xfId="5693" xr:uid="{29FF7044-4D8C-4804-BFDF-3DB2D5A2F071}"/>
    <cellStyle name="Comma 2 2 12 2" xfId="13553" xr:uid="{54FA015B-A671-4FF3-A3DF-DE73CD3AFDE2}"/>
    <cellStyle name="Comma 2 2 13" xfId="9634" xr:uid="{7401AB20-71F0-49A7-9FEE-85C11848DA28}"/>
    <cellStyle name="Comma 2 2 2" xfId="1775" xr:uid="{00000000-0005-0000-0000-000024000000}"/>
    <cellStyle name="Comma 2 2 2 10" xfId="5696" xr:uid="{C74C2A6D-FC58-4481-ABBC-68CB5BC51F0C}"/>
    <cellStyle name="Comma 2 2 2 10 2" xfId="13556" xr:uid="{109D31FD-39F6-4306-B861-7F1200373C5F}"/>
    <cellStyle name="Comma 2 2 2 11" xfId="9637" xr:uid="{109B219D-6314-4C39-AECA-6BB9248899D5}"/>
    <cellStyle name="Comma 2 2 2 2" xfId="1787" xr:uid="{00000000-0005-0000-0000-000025000000}"/>
    <cellStyle name="Comma 2 2 2 2 2" xfId="1824" xr:uid="{00000000-0005-0000-0000-000026000000}"/>
    <cellStyle name="Comma 2 2 2 2 2 2" xfId="3777" xr:uid="{00000000-0005-0000-0000-000027000000}"/>
    <cellStyle name="Comma 2 2 2 2 2 2 2" xfId="7698" xr:uid="{36806620-ADEE-4714-91C6-F08C3731F563}"/>
    <cellStyle name="Comma 2 2 2 2 2 2 2 2" xfId="15558" xr:uid="{92E44942-42A7-4F6A-A155-BD097B30A751}"/>
    <cellStyle name="Comma 2 2 2 2 2 2 3" xfId="11638" xr:uid="{97D57CEF-4CF3-4F62-B657-2D9393DCCCAD}"/>
    <cellStyle name="Comma 2 2 2 2 2 3" xfId="5745" xr:uid="{BFD96494-1B6F-4593-B987-3F741A4AD575}"/>
    <cellStyle name="Comma 2 2 2 2 2 3 2" xfId="13605" xr:uid="{D57C27E7-2CC5-4E97-A9DC-31230CD9A8EB}"/>
    <cellStyle name="Comma 2 2 2 2 2 4" xfId="9686" xr:uid="{06F27795-13EC-434F-AFCD-0F7491202CDF}"/>
    <cellStyle name="Comma 2 2 2 2 3" xfId="1858" xr:uid="{00000000-0005-0000-0000-000028000000}"/>
    <cellStyle name="Comma 2 2 2 2 3 2" xfId="3811" xr:uid="{00000000-0005-0000-0000-000029000000}"/>
    <cellStyle name="Comma 2 2 2 2 3 2 2" xfId="7732" xr:uid="{73529A6B-F965-47A0-BFE5-68A170197ACD}"/>
    <cellStyle name="Comma 2 2 2 2 3 2 2 2" xfId="15592" xr:uid="{44496FAE-6837-41CA-B982-C5E267240857}"/>
    <cellStyle name="Comma 2 2 2 2 3 2 3" xfId="11672" xr:uid="{30BD11A2-A0E5-44FC-BE1B-2CCE8C3A30AE}"/>
    <cellStyle name="Comma 2 2 2 2 3 3" xfId="5779" xr:uid="{3C3A401C-33E9-4735-91F8-2BA965ED3AA2}"/>
    <cellStyle name="Comma 2 2 2 2 3 3 2" xfId="13639" xr:uid="{69E615C8-C404-4E25-9FB8-E82817DBEB07}"/>
    <cellStyle name="Comma 2 2 2 2 3 4" xfId="9720" xr:uid="{2F6499E1-77DF-4A05-BB0E-C2A70192C962}"/>
    <cellStyle name="Comma 2 2 2 2 4" xfId="1891" xr:uid="{00000000-0005-0000-0000-00002A000000}"/>
    <cellStyle name="Comma 2 2 2 2 4 2" xfId="3844" xr:uid="{00000000-0005-0000-0000-00002B000000}"/>
    <cellStyle name="Comma 2 2 2 2 4 2 2" xfId="7765" xr:uid="{6CAFE65C-BAEA-420D-841E-7732F0279D6B}"/>
    <cellStyle name="Comma 2 2 2 2 4 2 2 2" xfId="15625" xr:uid="{9F664B85-BCC1-4848-AC4C-1186016BE115}"/>
    <cellStyle name="Comma 2 2 2 2 4 2 3" xfId="11705" xr:uid="{32EB4A8B-190B-4030-A262-A758AEBF6302}"/>
    <cellStyle name="Comma 2 2 2 2 4 3" xfId="5812" xr:uid="{0634F18C-8F74-4370-9664-A2AEF5A3AE2B}"/>
    <cellStyle name="Comma 2 2 2 2 4 3 2" xfId="13672" xr:uid="{727F3F55-3710-48B3-AE67-58F2EB04CF81}"/>
    <cellStyle name="Comma 2 2 2 2 4 4" xfId="9753" xr:uid="{62864D64-E2CE-43A5-8699-888141529814}"/>
    <cellStyle name="Comma 2 2 2 2 5" xfId="3740" xr:uid="{00000000-0005-0000-0000-00002C000000}"/>
    <cellStyle name="Comma 2 2 2 2 5 2" xfId="7661" xr:uid="{5301F0C1-15F4-4DAF-9D2D-B6901F6B7352}"/>
    <cellStyle name="Comma 2 2 2 2 5 2 2" xfId="15521" xr:uid="{483D8C25-0C3D-4B7A-8012-B11224DC313A}"/>
    <cellStyle name="Comma 2 2 2 2 5 3" xfId="11601" xr:uid="{F415A748-F1B9-49DD-9806-D018FA54E494}"/>
    <cellStyle name="Comma 2 2 2 2 6" xfId="5708" xr:uid="{355327F9-9C15-41A0-9CB5-1168E163C950}"/>
    <cellStyle name="Comma 2 2 2 2 6 2" xfId="13568" xr:uid="{76FF9399-1C4E-4BCC-A7A2-D7B509A5B36D}"/>
    <cellStyle name="Comma 2 2 2 2 7" xfId="9649" xr:uid="{7870EB83-EA8B-4EB8-9A0F-8920C72C808E}"/>
    <cellStyle name="Comma 2 2 2 3" xfId="1781" xr:uid="{00000000-0005-0000-0000-00002D000000}"/>
    <cellStyle name="Comma 2 2 2 3 2" xfId="1818" xr:uid="{00000000-0005-0000-0000-00002E000000}"/>
    <cellStyle name="Comma 2 2 2 3 2 2" xfId="3771" xr:uid="{00000000-0005-0000-0000-00002F000000}"/>
    <cellStyle name="Comma 2 2 2 3 2 2 2" xfId="7692" xr:uid="{FF1344A6-2E5E-4102-874A-8DE35E33334B}"/>
    <cellStyle name="Comma 2 2 2 3 2 2 2 2" xfId="15552" xr:uid="{79599814-E1E5-4FD5-95F7-D4E9FB74EA0A}"/>
    <cellStyle name="Comma 2 2 2 3 2 2 3" xfId="11632" xr:uid="{A3C5243D-C7C6-4B73-A72E-D3875A2C57D8}"/>
    <cellStyle name="Comma 2 2 2 3 2 3" xfId="5739" xr:uid="{777E413F-519D-4343-B8F1-34792D7B69AF}"/>
    <cellStyle name="Comma 2 2 2 3 2 3 2" xfId="13599" xr:uid="{28841E80-8690-464A-98BD-12B022D9875F}"/>
    <cellStyle name="Comma 2 2 2 3 2 4" xfId="9680" xr:uid="{C3155DEA-F19F-444D-B40F-9B0CB6C60F49}"/>
    <cellStyle name="Comma 2 2 2 3 3" xfId="1852" xr:uid="{00000000-0005-0000-0000-000030000000}"/>
    <cellStyle name="Comma 2 2 2 3 3 2" xfId="3805" xr:uid="{00000000-0005-0000-0000-000031000000}"/>
    <cellStyle name="Comma 2 2 2 3 3 2 2" xfId="7726" xr:uid="{2B5E706A-9925-4AF3-9E62-0E98B865C033}"/>
    <cellStyle name="Comma 2 2 2 3 3 2 2 2" xfId="15586" xr:uid="{57A077E7-D4C4-4A0E-B971-5F50FD121963}"/>
    <cellStyle name="Comma 2 2 2 3 3 2 3" xfId="11666" xr:uid="{DE9FACDE-685A-478E-8C04-CF2BC2EF6EAA}"/>
    <cellStyle name="Comma 2 2 2 3 3 3" xfId="5773" xr:uid="{EC86DA4B-575D-41FC-A39F-2D2D2ACCB89A}"/>
    <cellStyle name="Comma 2 2 2 3 3 3 2" xfId="13633" xr:uid="{3F983175-22A2-4204-8C5B-51A1C494459F}"/>
    <cellStyle name="Comma 2 2 2 3 3 4" xfId="9714" xr:uid="{C33DC0DE-F2D3-4870-9E68-78383569FED6}"/>
    <cellStyle name="Comma 2 2 2 3 4" xfId="1885" xr:uid="{00000000-0005-0000-0000-000032000000}"/>
    <cellStyle name="Comma 2 2 2 3 4 2" xfId="3838" xr:uid="{00000000-0005-0000-0000-000033000000}"/>
    <cellStyle name="Comma 2 2 2 3 4 2 2" xfId="7759" xr:uid="{D90EC2F3-166D-4F7A-B455-F7BB50F732D1}"/>
    <cellStyle name="Comma 2 2 2 3 4 2 2 2" xfId="15619" xr:uid="{513B996B-22B1-4239-912F-8895C0918389}"/>
    <cellStyle name="Comma 2 2 2 3 4 2 3" xfId="11699" xr:uid="{2C76EBC0-D6D8-44C1-A5C9-D51F9CD10DB3}"/>
    <cellStyle name="Comma 2 2 2 3 4 3" xfId="5806" xr:uid="{47D9BD51-8FD7-4099-925F-F1F7ADE6BF6A}"/>
    <cellStyle name="Comma 2 2 2 3 4 3 2" xfId="13666" xr:uid="{1DFD7DB4-5F3B-42EE-9DC0-A7DAE3482587}"/>
    <cellStyle name="Comma 2 2 2 3 4 4" xfId="9747" xr:uid="{B4900E77-B19F-46CC-B147-682C9F361A9C}"/>
    <cellStyle name="Comma 2 2 2 3 5" xfId="3734" xr:uid="{00000000-0005-0000-0000-000034000000}"/>
    <cellStyle name="Comma 2 2 2 3 5 2" xfId="7655" xr:uid="{BE86D327-5A33-425A-99F1-F524C3491EA8}"/>
    <cellStyle name="Comma 2 2 2 3 5 2 2" xfId="15515" xr:uid="{809C62D8-275F-4350-A9D9-CA17094DA7A3}"/>
    <cellStyle name="Comma 2 2 2 3 5 3" xfId="11595" xr:uid="{42EC59EF-D53C-4C17-8186-2A19FE282A10}"/>
    <cellStyle name="Comma 2 2 2 3 6" xfId="5702" xr:uid="{A46A3F5C-ED3F-4F7B-93E3-496D1888183A}"/>
    <cellStyle name="Comma 2 2 2 3 6 2" xfId="13562" xr:uid="{73586379-C848-4DB3-B718-D6A2F47B4C7B}"/>
    <cellStyle name="Comma 2 2 2 3 7" xfId="9643" xr:uid="{7D6AADC6-384D-4DF9-B5F3-CB5AFBBC16C4}"/>
    <cellStyle name="Comma 2 2 2 4" xfId="1794" xr:uid="{00000000-0005-0000-0000-000035000000}"/>
    <cellStyle name="Comma 2 2 2 4 2" xfId="1831" xr:uid="{00000000-0005-0000-0000-000036000000}"/>
    <cellStyle name="Comma 2 2 2 4 2 2" xfId="3784" xr:uid="{00000000-0005-0000-0000-000037000000}"/>
    <cellStyle name="Comma 2 2 2 4 2 2 2" xfId="7705" xr:uid="{C40FD8E9-619A-4BCD-8A33-56918B6A4A70}"/>
    <cellStyle name="Comma 2 2 2 4 2 2 2 2" xfId="15565" xr:uid="{6A2716B4-D82A-425D-A1EA-00D26F0C8FFE}"/>
    <cellStyle name="Comma 2 2 2 4 2 2 3" xfId="11645" xr:uid="{50443F4E-0468-438C-9BD1-A3A136042A59}"/>
    <cellStyle name="Comma 2 2 2 4 2 3" xfId="5752" xr:uid="{21514F58-E8C6-4DBF-BCDB-A0B76C5530C5}"/>
    <cellStyle name="Comma 2 2 2 4 2 3 2" xfId="13612" xr:uid="{2FE03586-432B-420A-A1F5-8BB48C8F5770}"/>
    <cellStyle name="Comma 2 2 2 4 2 4" xfId="9693" xr:uid="{971FADA7-E5AA-4F31-850C-3A0B01B7D9BF}"/>
    <cellStyle name="Comma 2 2 2 4 3" xfId="1865" xr:uid="{00000000-0005-0000-0000-000038000000}"/>
    <cellStyle name="Comma 2 2 2 4 3 2" xfId="3818" xr:uid="{00000000-0005-0000-0000-000039000000}"/>
    <cellStyle name="Comma 2 2 2 4 3 2 2" xfId="7739" xr:uid="{669DE5AD-B9B1-404D-8246-217D74030230}"/>
    <cellStyle name="Comma 2 2 2 4 3 2 2 2" xfId="15599" xr:uid="{C0894405-2AFF-4AA6-8208-2CA01CE25D1F}"/>
    <cellStyle name="Comma 2 2 2 4 3 2 3" xfId="11679" xr:uid="{2E272557-79F3-4F3D-9025-F0D1DC4C0925}"/>
    <cellStyle name="Comma 2 2 2 4 3 3" xfId="5786" xr:uid="{77070DE2-0502-4596-A2B9-9E7F29F3B056}"/>
    <cellStyle name="Comma 2 2 2 4 3 3 2" xfId="13646" xr:uid="{3DCEFF51-5B3A-45DF-844F-35D70F277BB1}"/>
    <cellStyle name="Comma 2 2 2 4 3 4" xfId="9727" xr:uid="{6E594278-46CC-41ED-858A-1F6461EB5B3F}"/>
    <cellStyle name="Comma 2 2 2 4 4" xfId="1898" xr:uid="{00000000-0005-0000-0000-00003A000000}"/>
    <cellStyle name="Comma 2 2 2 4 4 2" xfId="3851" xr:uid="{00000000-0005-0000-0000-00003B000000}"/>
    <cellStyle name="Comma 2 2 2 4 4 2 2" xfId="7772" xr:uid="{B31D1866-755B-4606-B56A-AE431C79ACBB}"/>
    <cellStyle name="Comma 2 2 2 4 4 2 2 2" xfId="15632" xr:uid="{C4EB141C-57C1-447B-92FE-4F13F6CA70BB}"/>
    <cellStyle name="Comma 2 2 2 4 4 2 3" xfId="11712" xr:uid="{591DCC75-1562-4537-8850-81A88DA6521C}"/>
    <cellStyle name="Comma 2 2 2 4 4 3" xfId="5819" xr:uid="{3413C187-8E7E-4BBD-A3BC-18CB5E29BA3E}"/>
    <cellStyle name="Comma 2 2 2 4 4 3 2" xfId="13679" xr:uid="{4558982F-82CC-47CF-A033-45A7EDC8AFA3}"/>
    <cellStyle name="Comma 2 2 2 4 4 4" xfId="9760" xr:uid="{16EBBA6B-7A94-4579-9F85-5B26A303BE70}"/>
    <cellStyle name="Comma 2 2 2 4 5" xfId="3747" xr:uid="{00000000-0005-0000-0000-00003C000000}"/>
    <cellStyle name="Comma 2 2 2 4 5 2" xfId="7668" xr:uid="{AF366C1D-C107-477B-BDA6-D3C806FB639A}"/>
    <cellStyle name="Comma 2 2 2 4 5 2 2" xfId="15528" xr:uid="{C6DC1A7B-62CA-4C14-A4E9-DE21BA2128D2}"/>
    <cellStyle name="Comma 2 2 2 4 5 3" xfId="11608" xr:uid="{9013642E-6B3B-4BA8-BF85-BAFE672938DA}"/>
    <cellStyle name="Comma 2 2 2 4 6" xfId="5715" xr:uid="{307FD9C3-6435-4F69-A96E-7098B25D55C8}"/>
    <cellStyle name="Comma 2 2 2 4 6 2" xfId="13575" xr:uid="{F3CE2746-9F20-4812-AA49-0ABF9EE02276}"/>
    <cellStyle name="Comma 2 2 2 4 7" xfId="9656" xr:uid="{FB974501-AD48-474D-8364-697ABF6E189D}"/>
    <cellStyle name="Comma 2 2 2 5" xfId="1800" xr:uid="{00000000-0005-0000-0000-00003D000000}"/>
    <cellStyle name="Comma 2 2 2 5 2" xfId="1837" xr:uid="{00000000-0005-0000-0000-00003E000000}"/>
    <cellStyle name="Comma 2 2 2 5 2 2" xfId="3790" xr:uid="{00000000-0005-0000-0000-00003F000000}"/>
    <cellStyle name="Comma 2 2 2 5 2 2 2" xfId="7711" xr:uid="{FF5D7E4B-A02B-45D4-960E-C1633483A0A8}"/>
    <cellStyle name="Comma 2 2 2 5 2 2 2 2" xfId="15571" xr:uid="{089B11D8-5BEB-4396-9813-A93130B919D9}"/>
    <cellStyle name="Comma 2 2 2 5 2 2 3" xfId="11651" xr:uid="{842859F9-A8D6-4531-8A15-853BC7988BFD}"/>
    <cellStyle name="Comma 2 2 2 5 2 3" xfId="5758" xr:uid="{232383BE-E7F6-48DE-B060-99FECB7EF0E5}"/>
    <cellStyle name="Comma 2 2 2 5 2 3 2" xfId="13618" xr:uid="{1562F3FD-806F-4777-8B19-7D4A7C18AA7A}"/>
    <cellStyle name="Comma 2 2 2 5 2 4" xfId="9699" xr:uid="{3B3CA383-4C22-4FAA-99E0-A734C916C14D}"/>
    <cellStyle name="Comma 2 2 2 5 3" xfId="1871" xr:uid="{00000000-0005-0000-0000-000040000000}"/>
    <cellStyle name="Comma 2 2 2 5 3 2" xfId="3824" xr:uid="{00000000-0005-0000-0000-000041000000}"/>
    <cellStyle name="Comma 2 2 2 5 3 2 2" xfId="7745" xr:uid="{214707BC-0CBA-4A8B-868F-45286A255B98}"/>
    <cellStyle name="Comma 2 2 2 5 3 2 2 2" xfId="15605" xr:uid="{473D0F07-0BAC-4BB1-96A1-4CE9C3CD597D}"/>
    <cellStyle name="Comma 2 2 2 5 3 2 3" xfId="11685" xr:uid="{7D007A01-FF4E-452C-9459-DA51FE3D0B54}"/>
    <cellStyle name="Comma 2 2 2 5 3 3" xfId="5792" xr:uid="{AD05CDFD-A60B-4CA5-8663-F58AC715C3FD}"/>
    <cellStyle name="Comma 2 2 2 5 3 3 2" xfId="13652" xr:uid="{9C0EAEC0-E1EA-4002-96E3-9B0F9E444F8D}"/>
    <cellStyle name="Comma 2 2 2 5 3 4" xfId="9733" xr:uid="{B329E621-3CA1-4087-9825-889F1FDC0177}"/>
    <cellStyle name="Comma 2 2 2 5 4" xfId="1904" xr:uid="{00000000-0005-0000-0000-000042000000}"/>
    <cellStyle name="Comma 2 2 2 5 4 2" xfId="3857" xr:uid="{00000000-0005-0000-0000-000043000000}"/>
    <cellStyle name="Comma 2 2 2 5 4 2 2" xfId="7778" xr:uid="{5F28B87B-93C2-4A41-BDFE-26B29F6F15F1}"/>
    <cellStyle name="Comma 2 2 2 5 4 2 2 2" xfId="15638" xr:uid="{CCD18940-5158-47F9-A992-254F727AE7C7}"/>
    <cellStyle name="Comma 2 2 2 5 4 2 3" xfId="11718" xr:uid="{C3621C8F-64F7-4E50-9DFD-BA9B7EDE8E21}"/>
    <cellStyle name="Comma 2 2 2 5 4 3" xfId="5825" xr:uid="{4584096A-8287-4C41-AE4E-57C82D14D474}"/>
    <cellStyle name="Comma 2 2 2 5 4 3 2" xfId="13685" xr:uid="{9C03DDF9-FE33-4FDE-BFD5-D6E5935F1ADF}"/>
    <cellStyle name="Comma 2 2 2 5 4 4" xfId="9766" xr:uid="{4883A987-9C2B-412B-A2C8-48DE44427910}"/>
    <cellStyle name="Comma 2 2 2 5 5" xfId="3753" xr:uid="{00000000-0005-0000-0000-000044000000}"/>
    <cellStyle name="Comma 2 2 2 5 5 2" xfId="7674" xr:uid="{660D8081-1A0A-459C-8D03-3852EC9D8BD1}"/>
    <cellStyle name="Comma 2 2 2 5 5 2 2" xfId="15534" xr:uid="{9D5C7B27-69AD-46B8-B68E-1192086F2793}"/>
    <cellStyle name="Comma 2 2 2 5 5 3" xfId="11614" xr:uid="{A8680A08-0C30-424B-BAFB-49DA4F2927BE}"/>
    <cellStyle name="Comma 2 2 2 5 6" xfId="5721" xr:uid="{3911E5FD-BA81-4C88-9D56-78DA14EC3706}"/>
    <cellStyle name="Comma 2 2 2 5 6 2" xfId="13581" xr:uid="{EDDA3BAC-5945-4EAD-866D-16E1AFFAFC70}"/>
    <cellStyle name="Comma 2 2 2 5 7" xfId="9662" xr:uid="{C9FCCC05-A3D4-44B9-BC02-BC5159E627AD}"/>
    <cellStyle name="Comma 2 2 2 6" xfId="1812" xr:uid="{00000000-0005-0000-0000-000045000000}"/>
    <cellStyle name="Comma 2 2 2 6 2" xfId="3765" xr:uid="{00000000-0005-0000-0000-000046000000}"/>
    <cellStyle name="Comma 2 2 2 6 2 2" xfId="7686" xr:uid="{C44CFB23-F695-47B3-8692-DE1724B4DF5C}"/>
    <cellStyle name="Comma 2 2 2 6 2 2 2" xfId="15546" xr:uid="{31644D58-E2DF-4F77-A42F-314A0A10FEE4}"/>
    <cellStyle name="Comma 2 2 2 6 2 3" xfId="11626" xr:uid="{4B793422-2275-4391-BBD0-A17D793B8DD1}"/>
    <cellStyle name="Comma 2 2 2 6 3" xfId="5733" xr:uid="{128D4B48-C40C-4115-9275-C67967724DC0}"/>
    <cellStyle name="Comma 2 2 2 6 3 2" xfId="13593" xr:uid="{DA2CA8D3-4626-4E87-897E-420330B3D488}"/>
    <cellStyle name="Comma 2 2 2 6 4" xfId="9674" xr:uid="{6446AFFD-8D79-408D-875F-69B8891D78D3}"/>
    <cellStyle name="Comma 2 2 2 7" xfId="1846" xr:uid="{00000000-0005-0000-0000-000047000000}"/>
    <cellStyle name="Comma 2 2 2 7 2" xfId="3799" xr:uid="{00000000-0005-0000-0000-000048000000}"/>
    <cellStyle name="Comma 2 2 2 7 2 2" xfId="7720" xr:uid="{582AFDE0-AF32-4E75-ACF9-E10F33524538}"/>
    <cellStyle name="Comma 2 2 2 7 2 2 2" xfId="15580" xr:uid="{F4F12BC4-71D1-4E91-96AD-1F887A78B8CB}"/>
    <cellStyle name="Comma 2 2 2 7 2 3" xfId="11660" xr:uid="{A34429F3-9948-4103-84F4-7C99F1EADEA3}"/>
    <cellStyle name="Comma 2 2 2 7 3" xfId="5767" xr:uid="{6040C2F7-554E-49E7-8CE0-FC31F7803B75}"/>
    <cellStyle name="Comma 2 2 2 7 3 2" xfId="13627" xr:uid="{CED1038D-BC6A-44BE-AEA2-64B1059A347E}"/>
    <cellStyle name="Comma 2 2 2 7 4" xfId="9708" xr:uid="{C3E296D2-A781-449D-9995-AFD660E7B44D}"/>
    <cellStyle name="Comma 2 2 2 8" xfId="1879" xr:uid="{00000000-0005-0000-0000-000049000000}"/>
    <cellStyle name="Comma 2 2 2 8 2" xfId="3832" xr:uid="{00000000-0005-0000-0000-00004A000000}"/>
    <cellStyle name="Comma 2 2 2 8 2 2" xfId="7753" xr:uid="{95949CEC-EEA2-46CA-9214-2C3902932587}"/>
    <cellStyle name="Comma 2 2 2 8 2 2 2" xfId="15613" xr:uid="{4B41E2BA-9296-48E3-ABA7-ACC1AE8C8A0C}"/>
    <cellStyle name="Comma 2 2 2 8 2 3" xfId="11693" xr:uid="{852E6F73-E2F3-48E1-A22E-DA8E2D447022}"/>
    <cellStyle name="Comma 2 2 2 8 3" xfId="5800" xr:uid="{87ED01F9-6EAC-4295-B6F3-A959800F6233}"/>
    <cellStyle name="Comma 2 2 2 8 3 2" xfId="13660" xr:uid="{F48164AB-A0C9-418F-B025-FEEDF9C2FC56}"/>
    <cellStyle name="Comma 2 2 2 8 4" xfId="9741" xr:uid="{D82DC550-F649-4BC6-8CE3-65CB4403B9DD}"/>
    <cellStyle name="Comma 2 2 2 9" xfId="3728" xr:uid="{00000000-0005-0000-0000-00004B000000}"/>
    <cellStyle name="Comma 2 2 2 9 2" xfId="7649" xr:uid="{371265EF-A828-457D-AC60-81C09A0A8961}"/>
    <cellStyle name="Comma 2 2 2 9 2 2" xfId="15509" xr:uid="{F9A482C4-E9F0-4BEE-AE8F-DDA829D6286B}"/>
    <cellStyle name="Comma 2 2 2 9 3" xfId="11589" xr:uid="{BF0806A7-708F-4640-9AAB-6C5D510B3CBE}"/>
    <cellStyle name="Comma 2 2 3" xfId="1784" xr:uid="{00000000-0005-0000-0000-00004C000000}"/>
    <cellStyle name="Comma 2 2 3 2" xfId="1821" xr:uid="{00000000-0005-0000-0000-00004D000000}"/>
    <cellStyle name="Comma 2 2 3 2 2" xfId="3774" xr:uid="{00000000-0005-0000-0000-00004E000000}"/>
    <cellStyle name="Comma 2 2 3 2 2 2" xfId="7695" xr:uid="{DD44EEEB-195D-4383-BC81-494A44AC3241}"/>
    <cellStyle name="Comma 2 2 3 2 2 2 2" xfId="15555" xr:uid="{494EC668-5D60-43C8-A5ED-8DF0B1160DAA}"/>
    <cellStyle name="Comma 2 2 3 2 2 3" xfId="11635" xr:uid="{234AF02A-A394-4225-99C4-29A1EA762183}"/>
    <cellStyle name="Comma 2 2 3 2 3" xfId="5742" xr:uid="{F421A652-47B4-4080-AD8E-EC8A2AC840FD}"/>
    <cellStyle name="Comma 2 2 3 2 3 2" xfId="13602" xr:uid="{56C9A6FB-D5EA-42D1-A5C8-772122DCB17E}"/>
    <cellStyle name="Comma 2 2 3 2 4" xfId="9683" xr:uid="{1173633A-42F1-4038-8C03-564A6B15EA23}"/>
    <cellStyle name="Comma 2 2 3 3" xfId="1855" xr:uid="{00000000-0005-0000-0000-00004F000000}"/>
    <cellStyle name="Comma 2 2 3 3 2" xfId="3808" xr:uid="{00000000-0005-0000-0000-000050000000}"/>
    <cellStyle name="Comma 2 2 3 3 2 2" xfId="7729" xr:uid="{9FF27549-636E-4818-8CC5-6869823AE920}"/>
    <cellStyle name="Comma 2 2 3 3 2 2 2" xfId="15589" xr:uid="{5710A104-1AA6-4EAE-89BB-29F06381229E}"/>
    <cellStyle name="Comma 2 2 3 3 2 3" xfId="11669" xr:uid="{3AEE7990-CD5A-432F-BF57-D8C48A90C8BB}"/>
    <cellStyle name="Comma 2 2 3 3 3" xfId="5776" xr:uid="{39BE0AD1-527E-491E-B464-8BFC72380E5A}"/>
    <cellStyle name="Comma 2 2 3 3 3 2" xfId="13636" xr:uid="{AF9E6DA8-FCFF-415B-AE79-1C7EC9FE338C}"/>
    <cellStyle name="Comma 2 2 3 3 4" xfId="9717" xr:uid="{F2B1A7E7-8FBE-4E4D-9CBB-0A6D62614030}"/>
    <cellStyle name="Comma 2 2 3 4" xfId="1888" xr:uid="{00000000-0005-0000-0000-000051000000}"/>
    <cellStyle name="Comma 2 2 3 4 2" xfId="3841" xr:uid="{00000000-0005-0000-0000-000052000000}"/>
    <cellStyle name="Comma 2 2 3 4 2 2" xfId="7762" xr:uid="{F6755F98-FAE9-44B5-B3F3-6DBBB08FB96E}"/>
    <cellStyle name="Comma 2 2 3 4 2 2 2" xfId="15622" xr:uid="{E3D9FB77-CD36-4767-B17E-2E6150E286B8}"/>
    <cellStyle name="Comma 2 2 3 4 2 3" xfId="11702" xr:uid="{E562DEFE-977F-42D8-85FE-416E752A8953}"/>
    <cellStyle name="Comma 2 2 3 4 3" xfId="5809" xr:uid="{8CC6E5B7-CA80-45DC-9267-9B0813265779}"/>
    <cellStyle name="Comma 2 2 3 4 3 2" xfId="13669" xr:uid="{5CCDF7A9-30BB-4159-A52C-F351C5A8AB13}"/>
    <cellStyle name="Comma 2 2 3 4 4" xfId="9750" xr:uid="{8EBC8D0E-40C7-4A67-954D-0B4D25E47776}"/>
    <cellStyle name="Comma 2 2 3 5" xfId="3737" xr:uid="{00000000-0005-0000-0000-000053000000}"/>
    <cellStyle name="Comma 2 2 3 5 2" xfId="7658" xr:uid="{8B678C71-A1B9-46F5-BDBB-E07E5800251B}"/>
    <cellStyle name="Comma 2 2 3 5 2 2" xfId="15518" xr:uid="{F3935826-1B63-4DD3-BA7B-BC2397FEA907}"/>
    <cellStyle name="Comma 2 2 3 5 3" xfId="11598" xr:uid="{337C4749-3ABA-43BB-8410-1778D4AF9F05}"/>
    <cellStyle name="Comma 2 2 3 6" xfId="5705" xr:uid="{ADE93C40-D133-4A53-A6AA-C8147DF17862}"/>
    <cellStyle name="Comma 2 2 3 6 2" xfId="13565" xr:uid="{C164AEC0-7431-4E85-B849-8E050EC0B8B2}"/>
    <cellStyle name="Comma 2 2 3 7" xfId="9646" xr:uid="{93464ECB-F839-49E5-AC2B-80DCB543B302}"/>
    <cellStyle name="Comma 2 2 4" xfId="1778" xr:uid="{00000000-0005-0000-0000-000054000000}"/>
    <cellStyle name="Comma 2 2 4 2" xfId="1815" xr:uid="{00000000-0005-0000-0000-000055000000}"/>
    <cellStyle name="Comma 2 2 4 2 2" xfId="3768" xr:uid="{00000000-0005-0000-0000-000056000000}"/>
    <cellStyle name="Comma 2 2 4 2 2 2" xfId="7689" xr:uid="{0579AFE1-EAF8-4254-9ABC-DBF13812D190}"/>
    <cellStyle name="Comma 2 2 4 2 2 2 2" xfId="15549" xr:uid="{870871F5-E367-445D-98E1-16F8ADEC0B3F}"/>
    <cellStyle name="Comma 2 2 4 2 2 3" xfId="11629" xr:uid="{0CE78299-185F-47AD-965D-92147B6B529B}"/>
    <cellStyle name="Comma 2 2 4 2 3" xfId="5736" xr:uid="{3BB990EF-80D7-446A-B47D-8CD7DDE306A3}"/>
    <cellStyle name="Comma 2 2 4 2 3 2" xfId="13596" xr:uid="{021C4CA2-10A3-4A56-B46C-78440B8840E8}"/>
    <cellStyle name="Comma 2 2 4 2 4" xfId="9677" xr:uid="{64DBCD87-76DC-4E8F-951A-AA6645E37B22}"/>
    <cellStyle name="Comma 2 2 4 3" xfId="1849" xr:uid="{00000000-0005-0000-0000-000057000000}"/>
    <cellStyle name="Comma 2 2 4 3 2" xfId="3802" xr:uid="{00000000-0005-0000-0000-000058000000}"/>
    <cellStyle name="Comma 2 2 4 3 2 2" xfId="7723" xr:uid="{F6E3FA8D-98E4-46A6-BDEC-30C5FAB1F68D}"/>
    <cellStyle name="Comma 2 2 4 3 2 2 2" xfId="15583" xr:uid="{FAD3F82B-6B97-4863-830C-7A1609EAFC7C}"/>
    <cellStyle name="Comma 2 2 4 3 2 3" xfId="11663" xr:uid="{1741F2EC-C1E3-4995-B778-FFD0A8D42770}"/>
    <cellStyle name="Comma 2 2 4 3 3" xfId="5770" xr:uid="{9239A7E0-546C-409C-92F6-0A3201C53152}"/>
    <cellStyle name="Comma 2 2 4 3 3 2" xfId="13630" xr:uid="{0488136D-8669-453D-B2A0-159EDAD11C0E}"/>
    <cellStyle name="Comma 2 2 4 3 4" xfId="9711" xr:uid="{3AE4B5E0-5C0D-4EF7-A641-0665B9A8DE87}"/>
    <cellStyle name="Comma 2 2 4 4" xfId="1882" xr:uid="{00000000-0005-0000-0000-000059000000}"/>
    <cellStyle name="Comma 2 2 4 4 2" xfId="3835" xr:uid="{00000000-0005-0000-0000-00005A000000}"/>
    <cellStyle name="Comma 2 2 4 4 2 2" xfId="7756" xr:uid="{6FB0BB2D-DB79-4050-9FD1-3726AE33DDA5}"/>
    <cellStyle name="Comma 2 2 4 4 2 2 2" xfId="15616" xr:uid="{2F200B4A-6FF9-471A-A8B2-9D40DFCD2219}"/>
    <cellStyle name="Comma 2 2 4 4 2 3" xfId="11696" xr:uid="{DFDA981F-0D51-4EFE-BF18-88C29F18C986}"/>
    <cellStyle name="Comma 2 2 4 4 3" xfId="5803" xr:uid="{FAE429E4-3B75-4F5B-AC92-4FA367426E65}"/>
    <cellStyle name="Comma 2 2 4 4 3 2" xfId="13663" xr:uid="{9846598D-E03D-404A-9ED0-A5F5B134B20E}"/>
    <cellStyle name="Comma 2 2 4 4 4" xfId="9744" xr:uid="{67C6795D-059D-4A9B-BD54-C082F63F5B5F}"/>
    <cellStyle name="Comma 2 2 4 5" xfId="3731" xr:uid="{00000000-0005-0000-0000-00005B000000}"/>
    <cellStyle name="Comma 2 2 4 5 2" xfId="7652" xr:uid="{14AC61D7-691A-47A9-B111-01CDBF6742AF}"/>
    <cellStyle name="Comma 2 2 4 5 2 2" xfId="15512" xr:uid="{4F0BE47D-62F6-4E2A-BC32-C4F9E1C0D91F}"/>
    <cellStyle name="Comma 2 2 4 5 3" xfId="11592" xr:uid="{40584117-D937-4269-9742-F494F53EC746}"/>
    <cellStyle name="Comma 2 2 4 6" xfId="5699" xr:uid="{AC4943DD-AE99-4A76-B9E0-A1021D787C87}"/>
    <cellStyle name="Comma 2 2 4 6 2" xfId="13559" xr:uid="{EC1AA04D-9310-48AD-B171-82C95F104BF8}"/>
    <cellStyle name="Comma 2 2 4 7" xfId="9640" xr:uid="{88D2C974-35A2-4393-9E66-943A786127EE}"/>
    <cellStyle name="Comma 2 2 5" xfId="247" xr:uid="{00000000-0005-0000-0000-00005C000000}"/>
    <cellStyle name="Comma 2 2 5 2" xfId="699" xr:uid="{00000000-0005-0000-0000-00005D000000}"/>
    <cellStyle name="Comma 2 2 5 2 2" xfId="2653" xr:uid="{00000000-0005-0000-0000-00005E000000}"/>
    <cellStyle name="Comma 2 2 5 2 2 2" xfId="6574" xr:uid="{3F1D11AB-2000-4E3F-91D5-4CC8581BCD22}"/>
    <cellStyle name="Comma 2 2 5 2 2 2 2" xfId="14434" xr:uid="{01F7BB06-B2AB-4417-9342-5F519CE3387B}"/>
    <cellStyle name="Comma 2 2 5 2 2 3" xfId="10514" xr:uid="{95EFE588-5B47-4ED1-B446-FB5A1E3CB71D}"/>
    <cellStyle name="Comma 2 2 5 2 3" xfId="4620" xr:uid="{1664A29B-8205-4D82-BD4A-A0F28EF9980A}"/>
    <cellStyle name="Comma 2 2 5 2 3 2" xfId="12480" xr:uid="{9ED04585-DA52-48C3-8A03-5BA24A964C4D}"/>
    <cellStyle name="Comma 2 2 5 2 4" xfId="8561" xr:uid="{C63D0C3C-2E43-4A25-BC67-76E1190A8684}"/>
    <cellStyle name="Comma 2 2 5 3" xfId="1136" xr:uid="{00000000-0005-0000-0000-00005F000000}"/>
    <cellStyle name="Comma 2 2 5 3 2" xfId="3090" xr:uid="{00000000-0005-0000-0000-000060000000}"/>
    <cellStyle name="Comma 2 2 5 3 2 2" xfId="7011" xr:uid="{3B44A408-797F-45C7-8934-6191EE260410}"/>
    <cellStyle name="Comma 2 2 5 3 2 2 2" xfId="14871" xr:uid="{A612D598-8657-4402-AD74-7AFC9014F5E0}"/>
    <cellStyle name="Comma 2 2 5 3 2 3" xfId="10951" xr:uid="{03940F97-AE66-4D82-AEC7-75808AADAC19}"/>
    <cellStyle name="Comma 2 2 5 3 3" xfId="5057" xr:uid="{B43E3AC1-1D84-465E-AAC4-D8C33BF73AB1}"/>
    <cellStyle name="Comma 2 2 5 3 3 2" xfId="12917" xr:uid="{9A8F92E1-F233-4966-8884-4BF6D78B2106}"/>
    <cellStyle name="Comma 2 2 5 3 4" xfId="8998" xr:uid="{4DE42609-B5ED-4801-A82F-EC7C12B04161}"/>
    <cellStyle name="Comma 2 2 5 4" xfId="1561" xr:uid="{00000000-0005-0000-0000-000061000000}"/>
    <cellStyle name="Comma 2 2 5 4 2" xfId="3515" xr:uid="{00000000-0005-0000-0000-000062000000}"/>
    <cellStyle name="Comma 2 2 5 4 2 2" xfId="7436" xr:uid="{96200F52-9207-4DFF-857E-900E3B4E1673}"/>
    <cellStyle name="Comma 2 2 5 4 2 2 2" xfId="15296" xr:uid="{5448D9D0-F13A-48FC-BE81-E7D0BBAC50E6}"/>
    <cellStyle name="Comma 2 2 5 4 2 3" xfId="11376" xr:uid="{341BF0FD-374C-4BD9-A483-3960A033D859}"/>
    <cellStyle name="Comma 2 2 5 4 3" xfId="5482" xr:uid="{2FB5BE57-786A-46E1-9C98-B076D49F9DAB}"/>
    <cellStyle name="Comma 2 2 5 4 3 2" xfId="13342" xr:uid="{24DCF5C5-BB28-4A70-BEC4-A47051ED5B00}"/>
    <cellStyle name="Comma 2 2 5 4 4" xfId="9423" xr:uid="{F825316D-1AE3-4CB9-B287-929FB24160B5}"/>
    <cellStyle name="Comma 2 2 5 5" xfId="2214" xr:uid="{00000000-0005-0000-0000-000063000000}"/>
    <cellStyle name="Comma 2 2 5 5 2" xfId="6135" xr:uid="{C3466D40-A83E-4745-96B8-5CC730BBEE17}"/>
    <cellStyle name="Comma 2 2 5 5 2 2" xfId="13995" xr:uid="{7D3E0354-E939-4478-A221-64C857F1BDB9}"/>
    <cellStyle name="Comma 2 2 5 5 3" xfId="10075" xr:uid="{BC462ECF-5BB5-4C6A-81F6-E2856F6A6DFC}"/>
    <cellStyle name="Comma 2 2 5 6" xfId="4181" xr:uid="{A5F0E0A6-E6DD-4D7A-B01B-8589A1EEC978}"/>
    <cellStyle name="Comma 2 2 5 6 2" xfId="12041" xr:uid="{AE8F844C-B3C3-4FF8-B2F0-31AAEE8B258E}"/>
    <cellStyle name="Comma 2 2 5 7" xfId="8120" xr:uid="{72066E8C-7FB5-4858-9729-F50EFAF672B2}"/>
    <cellStyle name="Comma 2 2 6" xfId="1790" xr:uid="{00000000-0005-0000-0000-000064000000}"/>
    <cellStyle name="Comma 2 2 6 2" xfId="1827" xr:uid="{00000000-0005-0000-0000-000065000000}"/>
    <cellStyle name="Comma 2 2 6 2 2" xfId="3780" xr:uid="{00000000-0005-0000-0000-000066000000}"/>
    <cellStyle name="Comma 2 2 6 2 2 2" xfId="7701" xr:uid="{0F1834D3-2253-4158-A5E1-19DC447B1FD8}"/>
    <cellStyle name="Comma 2 2 6 2 2 2 2" xfId="15561" xr:uid="{2A020E8C-04B3-4D99-8D40-8E2F6B3E4F31}"/>
    <cellStyle name="Comma 2 2 6 2 2 3" xfId="11641" xr:uid="{23BA32E6-97B1-4F6E-856C-C9E525AB5F44}"/>
    <cellStyle name="Comma 2 2 6 2 3" xfId="5748" xr:uid="{C7352263-9D7E-4AE4-8E32-4631B3A59E3B}"/>
    <cellStyle name="Comma 2 2 6 2 3 2" xfId="13608" xr:uid="{D76C4A8C-C0AB-4C47-A8F6-6574D5E2998E}"/>
    <cellStyle name="Comma 2 2 6 2 4" xfId="9689" xr:uid="{80EFF6A9-0DE6-47D0-9EA6-FEA24B344052}"/>
    <cellStyle name="Comma 2 2 6 3" xfId="1861" xr:uid="{00000000-0005-0000-0000-000067000000}"/>
    <cellStyle name="Comma 2 2 6 3 2" xfId="3814" xr:uid="{00000000-0005-0000-0000-000068000000}"/>
    <cellStyle name="Comma 2 2 6 3 2 2" xfId="7735" xr:uid="{73EC501A-1A86-4FE3-8B5B-E671BCF8AF55}"/>
    <cellStyle name="Comma 2 2 6 3 2 2 2" xfId="15595" xr:uid="{C8937A6B-0F07-43F7-B4E7-1430E13EF510}"/>
    <cellStyle name="Comma 2 2 6 3 2 3" xfId="11675" xr:uid="{A78A18E9-4687-4CE7-B2BF-22F3CDA9D6C6}"/>
    <cellStyle name="Comma 2 2 6 3 3" xfId="5782" xr:uid="{A2B1152A-CF5B-44C5-A509-A70A99D83B49}"/>
    <cellStyle name="Comma 2 2 6 3 3 2" xfId="13642" xr:uid="{04924D61-3E95-4A96-BA8F-CA71B88447FF}"/>
    <cellStyle name="Comma 2 2 6 3 4" xfId="9723" xr:uid="{DD082377-F792-42EB-B121-ABED450607AE}"/>
    <cellStyle name="Comma 2 2 6 4" xfId="1894" xr:uid="{00000000-0005-0000-0000-000069000000}"/>
    <cellStyle name="Comma 2 2 6 4 2" xfId="3847" xr:uid="{00000000-0005-0000-0000-00006A000000}"/>
    <cellStyle name="Comma 2 2 6 4 2 2" xfId="7768" xr:uid="{02F8F45D-DD48-46FC-873E-3049521696A6}"/>
    <cellStyle name="Comma 2 2 6 4 2 2 2" xfId="15628" xr:uid="{C79D8B83-9F50-4B0B-A631-FD8A5986AA1E}"/>
    <cellStyle name="Comma 2 2 6 4 2 3" xfId="11708" xr:uid="{B70CE076-4E78-47C8-9454-F302C9C14670}"/>
    <cellStyle name="Comma 2 2 6 4 3" xfId="5815" xr:uid="{1B0A6D18-7FCB-4C36-A4AB-02192128085E}"/>
    <cellStyle name="Comma 2 2 6 4 3 2" xfId="13675" xr:uid="{8FB72CB0-933D-4A73-B5E7-5578451B127E}"/>
    <cellStyle name="Comma 2 2 6 4 4" xfId="9756" xr:uid="{9527418F-3BED-4F9E-8290-F1521B63BC88}"/>
    <cellStyle name="Comma 2 2 6 5" xfId="3743" xr:uid="{00000000-0005-0000-0000-00006B000000}"/>
    <cellStyle name="Comma 2 2 6 5 2" xfId="7664" xr:uid="{B86DB683-F412-49F5-B637-01C0A787469C}"/>
    <cellStyle name="Comma 2 2 6 5 2 2" xfId="15524" xr:uid="{C85EB844-E23C-42C8-96DA-E47BA1210778}"/>
    <cellStyle name="Comma 2 2 6 5 3" xfId="11604" xr:uid="{3B364ECD-A005-4045-A73F-EA4B5FEB8655}"/>
    <cellStyle name="Comma 2 2 6 6" xfId="5711" xr:uid="{089DDE93-4EE0-47A2-8301-E6D06217B77B}"/>
    <cellStyle name="Comma 2 2 6 6 2" xfId="13571" xr:uid="{9F54EC62-4865-4F4A-811E-0774D3B9788E}"/>
    <cellStyle name="Comma 2 2 6 7" xfId="9652" xr:uid="{D225E4EB-BC31-4966-92D6-46C94961C0BE}"/>
    <cellStyle name="Comma 2 2 7" xfId="1796" xr:uid="{00000000-0005-0000-0000-00006C000000}"/>
    <cellStyle name="Comma 2 2 7 2" xfId="1833" xr:uid="{00000000-0005-0000-0000-00006D000000}"/>
    <cellStyle name="Comma 2 2 7 2 2" xfId="3786" xr:uid="{00000000-0005-0000-0000-00006E000000}"/>
    <cellStyle name="Comma 2 2 7 2 2 2" xfId="7707" xr:uid="{926BF7E8-8DD6-4FC2-A6A4-F6C2105DFC45}"/>
    <cellStyle name="Comma 2 2 7 2 2 2 2" xfId="15567" xr:uid="{27533A97-0280-4288-815F-3FA635CE9E79}"/>
    <cellStyle name="Comma 2 2 7 2 2 3" xfId="11647" xr:uid="{B89E9881-ACAB-4BE1-861E-780B896857A2}"/>
    <cellStyle name="Comma 2 2 7 2 3" xfId="5754" xr:uid="{ECD1EF10-7DA4-4FAA-BBE2-FC1C9C4922F3}"/>
    <cellStyle name="Comma 2 2 7 2 3 2" xfId="13614" xr:uid="{23234F80-F58F-4AE8-9C32-7D22243AEBC7}"/>
    <cellStyle name="Comma 2 2 7 2 4" xfId="9695" xr:uid="{B95F1B1E-4EFA-412C-B7B3-BEB090A8FD27}"/>
    <cellStyle name="Comma 2 2 7 3" xfId="1867" xr:uid="{00000000-0005-0000-0000-00006F000000}"/>
    <cellStyle name="Comma 2 2 7 3 2" xfId="3820" xr:uid="{00000000-0005-0000-0000-000070000000}"/>
    <cellStyle name="Comma 2 2 7 3 2 2" xfId="7741" xr:uid="{8415946C-A355-4488-9BC3-03DA168B2E36}"/>
    <cellStyle name="Comma 2 2 7 3 2 2 2" xfId="15601" xr:uid="{B954F95D-EC38-43C6-9FF7-B9F281D042FB}"/>
    <cellStyle name="Comma 2 2 7 3 2 3" xfId="11681" xr:uid="{D15BCAF3-D0CF-4B57-888D-368CA38F70B3}"/>
    <cellStyle name="Comma 2 2 7 3 3" xfId="5788" xr:uid="{7746ECAB-4897-43B8-9B84-266F39D09CEB}"/>
    <cellStyle name="Comma 2 2 7 3 3 2" xfId="13648" xr:uid="{23A7E2E1-9BDB-4F6E-ABAF-CDA18A81000C}"/>
    <cellStyle name="Comma 2 2 7 3 4" xfId="9729" xr:uid="{FF18B166-7AA2-4613-ACD0-5B62C5BA86DB}"/>
    <cellStyle name="Comma 2 2 7 4" xfId="1900" xr:uid="{00000000-0005-0000-0000-000071000000}"/>
    <cellStyle name="Comma 2 2 7 4 2" xfId="3853" xr:uid="{00000000-0005-0000-0000-000072000000}"/>
    <cellStyle name="Comma 2 2 7 4 2 2" xfId="7774" xr:uid="{95E560BB-8683-4691-9B14-7808685D736D}"/>
    <cellStyle name="Comma 2 2 7 4 2 2 2" xfId="15634" xr:uid="{5397104D-F268-4C4F-B817-3D177A480325}"/>
    <cellStyle name="Comma 2 2 7 4 2 3" xfId="11714" xr:uid="{4A7E1C3A-A118-423B-9169-095C7348D48C}"/>
    <cellStyle name="Comma 2 2 7 4 3" xfId="5821" xr:uid="{98E044B9-E61C-490F-851B-FA31A0D189F4}"/>
    <cellStyle name="Comma 2 2 7 4 3 2" xfId="13681" xr:uid="{7814E8E9-619B-4952-85A7-49C14852366D}"/>
    <cellStyle name="Comma 2 2 7 4 4" xfId="9762" xr:uid="{1773F1DF-A8CB-4505-80FD-9A62F2BC508C}"/>
    <cellStyle name="Comma 2 2 7 5" xfId="3749" xr:uid="{00000000-0005-0000-0000-000073000000}"/>
    <cellStyle name="Comma 2 2 7 5 2" xfId="7670" xr:uid="{F672D03D-9AFE-4300-B262-ED6E3AED4A82}"/>
    <cellStyle name="Comma 2 2 7 5 2 2" xfId="15530" xr:uid="{71E3EEE9-B0BC-4CBC-A19E-977D2F7F8E42}"/>
    <cellStyle name="Comma 2 2 7 5 3" xfId="11610" xr:uid="{4E48B596-2660-4BE9-9874-79D5295AEB6A}"/>
    <cellStyle name="Comma 2 2 7 6" xfId="5717" xr:uid="{DFEDC010-F5FB-4FE5-98DE-C11FC20A154E}"/>
    <cellStyle name="Comma 2 2 7 6 2" xfId="13577" xr:uid="{DEF2FCE6-E16C-4A7D-A735-A7C074B07FA8}"/>
    <cellStyle name="Comma 2 2 7 7" xfId="9658" xr:uid="{D3738FFE-53F6-447A-BD73-5CE37E6F97E6}"/>
    <cellStyle name="Comma 2 2 8" xfId="1809" xr:uid="{00000000-0005-0000-0000-000074000000}"/>
    <cellStyle name="Comma 2 2 8 2" xfId="3762" xr:uid="{00000000-0005-0000-0000-000075000000}"/>
    <cellStyle name="Comma 2 2 8 2 2" xfId="7683" xr:uid="{F79F0D9A-2DC9-4C4D-B14F-322F2A5CE598}"/>
    <cellStyle name="Comma 2 2 8 2 2 2" xfId="15543" xr:uid="{5550BD10-383B-462A-A60E-32EC5A865EC3}"/>
    <cellStyle name="Comma 2 2 8 2 3" xfId="11623" xr:uid="{47F3DB2B-C1EC-4916-93AB-FB21A50E30A0}"/>
    <cellStyle name="Comma 2 2 8 3" xfId="5730" xr:uid="{C762D4BA-3AC7-4CE4-BA4A-16EE26A619F1}"/>
    <cellStyle name="Comma 2 2 8 3 2" xfId="13590" xr:uid="{AF6BA2C5-F521-46EC-9997-4C861C28CC51}"/>
    <cellStyle name="Comma 2 2 8 4" xfId="9671" xr:uid="{24437C81-9CC6-4605-94AB-AC9F32FD66F2}"/>
    <cellStyle name="Comma 2 2 9" xfId="1843" xr:uid="{00000000-0005-0000-0000-000076000000}"/>
    <cellStyle name="Comma 2 2 9 2" xfId="3796" xr:uid="{00000000-0005-0000-0000-000077000000}"/>
    <cellStyle name="Comma 2 2 9 2 2" xfId="7717" xr:uid="{C78A3B42-DB3A-4CE4-B648-72D5282C850A}"/>
    <cellStyle name="Comma 2 2 9 2 2 2" xfId="15577" xr:uid="{4CA4A8FB-7DD4-4FDC-B2E1-9F8BB3727F35}"/>
    <cellStyle name="Comma 2 2 9 2 3" xfId="11657" xr:uid="{5612B5DE-E0FF-48F7-B286-22C7AFD47F4B}"/>
    <cellStyle name="Comma 2 2 9 3" xfId="5764" xr:uid="{AF640676-17C1-4293-9103-F7AB031D3163}"/>
    <cellStyle name="Comma 2 2 9 3 2" xfId="13624" xr:uid="{FAA4B840-0B4A-4BE8-B51C-CA5B09F162E4}"/>
    <cellStyle name="Comma 2 2 9 4" xfId="9705" xr:uid="{D2E6A2DB-B44D-4599-88EC-0A0C7545DAAC}"/>
    <cellStyle name="Comma 2 3" xfId="41" xr:uid="{00000000-0005-0000-0000-000078000000}"/>
    <cellStyle name="Comma 2 3 10" xfId="1910" xr:uid="{00000000-0005-0000-0000-000079000000}"/>
    <cellStyle name="Comma 2 3 10 2" xfId="3863" xr:uid="{00000000-0005-0000-0000-00007A000000}"/>
    <cellStyle name="Comma 2 3 10 2 2" xfId="7784" xr:uid="{20E4AF09-0D3B-4370-9207-4BF5CED8C0ED}"/>
    <cellStyle name="Comma 2 3 10 2 2 2" xfId="15644" xr:uid="{3694FD37-6A27-4AAA-A97C-7FEC22C086AC}"/>
    <cellStyle name="Comma 2 3 10 2 3" xfId="11724" xr:uid="{D4669AE0-C794-4022-A066-F38A15B14FF1}"/>
    <cellStyle name="Comma 2 3 10 3" xfId="5831" xr:uid="{E7CEAF20-3479-4A0D-8ADD-BD87C4CA603E}"/>
    <cellStyle name="Comma 2 3 10 3 2" xfId="13691" xr:uid="{7EBDB03C-1645-4000-92C5-D1FB78FA0D28}"/>
    <cellStyle name="Comma 2 3 10 4" xfId="9772" xr:uid="{5F0D5D90-8567-47C4-AC07-E29FAB5A2912}"/>
    <cellStyle name="Comma 2 3 11" xfId="2011" xr:uid="{00000000-0005-0000-0000-00007B000000}"/>
    <cellStyle name="Comma 2 3 11 2" xfId="5932" xr:uid="{069CC7B7-3149-4DA0-BD77-61F63939C7DE}"/>
    <cellStyle name="Comma 2 3 11 2 2" xfId="13792" xr:uid="{19888CB8-6B01-4FD1-8DD1-A91EECD3AC94}"/>
    <cellStyle name="Comma 2 3 11 3" xfId="9872" xr:uid="{C2F3FCD6-FE66-44A2-A63F-7CCEABF0C520}"/>
    <cellStyle name="Comma 2 3 12" xfId="3978" xr:uid="{CE838B12-5683-4AB9-9784-5E93FED9542B}"/>
    <cellStyle name="Comma 2 3 12 2" xfId="11838" xr:uid="{5AF324F0-543B-434A-B88F-992295B86F75}"/>
    <cellStyle name="Comma 2 3 13" xfId="7916" xr:uid="{50EA759A-5512-4C0F-BE74-32783B312934}"/>
    <cellStyle name="Comma 2 3 2" xfId="81" xr:uid="{00000000-0005-0000-0000-00007C000000}"/>
    <cellStyle name="Comma 2 3 2 10" xfId="4017" xr:uid="{77251E89-4D25-40A7-9CA5-31E6676B58D4}"/>
    <cellStyle name="Comma 2 3 2 10 2" xfId="11877" xr:uid="{02957F67-4A0D-4E69-B6DC-1B28CA503BB5}"/>
    <cellStyle name="Comma 2 3 2 11" xfId="7955" xr:uid="{528C094D-F21D-42CE-8B3C-B81516BCEE1C}"/>
    <cellStyle name="Comma 2 3 2 2" xfId="237" xr:uid="{00000000-0005-0000-0000-00007D000000}"/>
    <cellStyle name="Comma 2 3 2 2 2" xfId="689" xr:uid="{00000000-0005-0000-0000-00007E000000}"/>
    <cellStyle name="Comma 2 3 2 2 2 2" xfId="2643" xr:uid="{00000000-0005-0000-0000-00007F000000}"/>
    <cellStyle name="Comma 2 3 2 2 2 2 2" xfId="6564" xr:uid="{A0C32C1A-7D83-4371-8EE9-3F7F64363872}"/>
    <cellStyle name="Comma 2 3 2 2 2 2 2 2" xfId="14424" xr:uid="{4EC7084E-698D-400F-A415-78FD1E34A3CE}"/>
    <cellStyle name="Comma 2 3 2 2 2 2 3" xfId="10504" xr:uid="{1C0C113C-466F-48BC-AA58-53E007214624}"/>
    <cellStyle name="Comma 2 3 2 2 2 3" xfId="4610" xr:uid="{48EBD88C-E6F5-434A-BDAB-930287B5E76B}"/>
    <cellStyle name="Comma 2 3 2 2 2 3 2" xfId="12470" xr:uid="{B0CDC5E3-C476-44BC-A617-DEED7DAE7E1F}"/>
    <cellStyle name="Comma 2 3 2 2 2 4" xfId="8551" xr:uid="{AA7F73F1-DD25-4F14-A9A4-296BB9A1E0F3}"/>
    <cellStyle name="Comma 2 3 2 2 3" xfId="1126" xr:uid="{00000000-0005-0000-0000-000080000000}"/>
    <cellStyle name="Comma 2 3 2 2 3 2" xfId="3080" xr:uid="{00000000-0005-0000-0000-000081000000}"/>
    <cellStyle name="Comma 2 3 2 2 3 2 2" xfId="7001" xr:uid="{B0FC7770-583D-4B01-8016-4A4EE70E1074}"/>
    <cellStyle name="Comma 2 3 2 2 3 2 2 2" xfId="14861" xr:uid="{810A6A75-70B3-4110-A290-3A99543CB7EF}"/>
    <cellStyle name="Comma 2 3 2 2 3 2 3" xfId="10941" xr:uid="{05FC7FB3-8761-43A7-8911-24E1FA938051}"/>
    <cellStyle name="Comma 2 3 2 2 3 3" xfId="5047" xr:uid="{E773FA93-4B70-423D-8C47-E83ADFBBFFA5}"/>
    <cellStyle name="Comma 2 3 2 2 3 3 2" xfId="12907" xr:uid="{98C9DD1C-3C1B-4AAD-AEDC-59C3E877E44D}"/>
    <cellStyle name="Comma 2 3 2 2 3 4" xfId="8988" xr:uid="{8A0E96FD-9B4D-4BB4-85E0-8934F7271F2B}"/>
    <cellStyle name="Comma 2 3 2 2 4" xfId="1553" xr:uid="{00000000-0005-0000-0000-000082000000}"/>
    <cellStyle name="Comma 2 3 2 2 4 2" xfId="3507" xr:uid="{00000000-0005-0000-0000-000083000000}"/>
    <cellStyle name="Comma 2 3 2 2 4 2 2" xfId="7428" xr:uid="{5D370B3C-8391-423A-9AB8-6C543F9F32BE}"/>
    <cellStyle name="Comma 2 3 2 2 4 2 2 2" xfId="15288" xr:uid="{65E9BAEF-5B45-4BDB-A963-94A45C1FB8AA}"/>
    <cellStyle name="Comma 2 3 2 2 4 2 3" xfId="11368" xr:uid="{8EE2A940-C48B-4FC5-95F1-6D25095EC143}"/>
    <cellStyle name="Comma 2 3 2 2 4 3" xfId="5474" xr:uid="{831F219A-7C1D-4DCC-AF37-39E47AABD118}"/>
    <cellStyle name="Comma 2 3 2 2 4 3 2" xfId="13334" xr:uid="{2EC1744A-2E9D-46C6-8264-2BC95BEC82F7}"/>
    <cellStyle name="Comma 2 3 2 2 4 4" xfId="9415" xr:uid="{BA44E99B-3294-4EBD-8170-0CF47DB30043}"/>
    <cellStyle name="Comma 2 3 2 2 5" xfId="2206" xr:uid="{00000000-0005-0000-0000-000084000000}"/>
    <cellStyle name="Comma 2 3 2 2 5 2" xfId="6127" xr:uid="{D0B6595D-9C71-4BEE-BD54-FAA0FCB647CF}"/>
    <cellStyle name="Comma 2 3 2 2 5 2 2" xfId="13987" xr:uid="{406C0BE1-DD90-4234-8A7F-E86F3D4ADB56}"/>
    <cellStyle name="Comma 2 3 2 2 5 3" xfId="10067" xr:uid="{C24DEC81-63A2-43C3-95CD-249663107087}"/>
    <cellStyle name="Comma 2 3 2 2 6" xfId="4173" xr:uid="{9046D801-648E-4782-BB96-153D07D9D956}"/>
    <cellStyle name="Comma 2 3 2 2 6 2" xfId="12033" xr:uid="{C2B63CF6-1D06-4796-AE55-50A3473B4DEB}"/>
    <cellStyle name="Comma 2 3 2 2 7" xfId="8111" xr:uid="{559EB92D-E223-4AF0-9D94-270996D4DB3F}"/>
    <cellStyle name="Comma 2 3 2 3" xfId="159" xr:uid="{00000000-0005-0000-0000-000085000000}"/>
    <cellStyle name="Comma 2 3 2 3 2" xfId="611" xr:uid="{00000000-0005-0000-0000-000086000000}"/>
    <cellStyle name="Comma 2 3 2 3 2 2" xfId="2565" xr:uid="{00000000-0005-0000-0000-000087000000}"/>
    <cellStyle name="Comma 2 3 2 3 2 2 2" xfId="6486" xr:uid="{48770BF5-8780-4CAB-8821-149026C8FA4C}"/>
    <cellStyle name="Comma 2 3 2 3 2 2 2 2" xfId="14346" xr:uid="{383C3356-C06F-4128-9456-D2B6039C3490}"/>
    <cellStyle name="Comma 2 3 2 3 2 2 3" xfId="10426" xr:uid="{D481674B-A878-4559-82E5-87861DA9100F}"/>
    <cellStyle name="Comma 2 3 2 3 2 3" xfId="4532" xr:uid="{B702E97E-E180-4316-A95F-DC39DDB942D1}"/>
    <cellStyle name="Comma 2 3 2 3 2 3 2" xfId="12392" xr:uid="{CB5E0948-D770-4447-BB26-B61C67A19D87}"/>
    <cellStyle name="Comma 2 3 2 3 2 4" xfId="8473" xr:uid="{03D126C7-F14E-434A-BADD-00034D6258B3}"/>
    <cellStyle name="Comma 2 3 2 3 3" xfId="1048" xr:uid="{00000000-0005-0000-0000-000088000000}"/>
    <cellStyle name="Comma 2 3 2 3 3 2" xfId="3002" xr:uid="{00000000-0005-0000-0000-000089000000}"/>
    <cellStyle name="Comma 2 3 2 3 3 2 2" xfId="6923" xr:uid="{745D689E-F640-4E47-8348-0B84BDD72E4B}"/>
    <cellStyle name="Comma 2 3 2 3 3 2 2 2" xfId="14783" xr:uid="{B604F61C-A0D2-483D-827A-72C81D69E70E}"/>
    <cellStyle name="Comma 2 3 2 3 3 2 3" xfId="10863" xr:uid="{85BE9641-801D-4293-BD17-E8F57DBD99F9}"/>
    <cellStyle name="Comma 2 3 2 3 3 3" xfId="4969" xr:uid="{10923B9A-8D6C-4196-86CF-489238B03A9B}"/>
    <cellStyle name="Comma 2 3 2 3 3 3 2" xfId="12829" xr:uid="{E260130A-EFF2-4C3C-B185-603A24E9D294}"/>
    <cellStyle name="Comma 2 3 2 3 3 4" xfId="8910" xr:uid="{D722FDB2-2E9B-4041-A6B2-A8B938427797}"/>
    <cellStyle name="Comma 2 3 2 3 4" xfId="1475" xr:uid="{00000000-0005-0000-0000-00008A000000}"/>
    <cellStyle name="Comma 2 3 2 3 4 2" xfId="3429" xr:uid="{00000000-0005-0000-0000-00008B000000}"/>
    <cellStyle name="Comma 2 3 2 3 4 2 2" xfId="7350" xr:uid="{072D7478-6848-479D-851C-F632C4F53F14}"/>
    <cellStyle name="Comma 2 3 2 3 4 2 2 2" xfId="15210" xr:uid="{93D247AA-E3C0-4759-92B9-2B9A09590A23}"/>
    <cellStyle name="Comma 2 3 2 3 4 2 3" xfId="11290" xr:uid="{5F56BC6F-88FC-466F-9D8A-36264F15E23C}"/>
    <cellStyle name="Comma 2 3 2 3 4 3" xfId="5396" xr:uid="{A69E0648-C4CC-4351-9C44-2DBE46E39DFF}"/>
    <cellStyle name="Comma 2 3 2 3 4 3 2" xfId="13256" xr:uid="{6A3CD9A0-8ECF-464C-94F1-ACE7FD35A463}"/>
    <cellStyle name="Comma 2 3 2 3 4 4" xfId="9337" xr:uid="{A0B5B45F-8775-48E4-838E-5FD258DC77D3}"/>
    <cellStyle name="Comma 2 3 2 3 5" xfId="2128" xr:uid="{00000000-0005-0000-0000-00008C000000}"/>
    <cellStyle name="Comma 2 3 2 3 5 2" xfId="6049" xr:uid="{D2711DE3-A8A1-4AF2-8D2C-EB726B97F1DF}"/>
    <cellStyle name="Comma 2 3 2 3 5 2 2" xfId="13909" xr:uid="{32A9CFA3-469A-4842-B0E0-7CEE4E6A8908}"/>
    <cellStyle name="Comma 2 3 2 3 5 3" xfId="9989" xr:uid="{2FACCE94-B85F-4CB7-93EA-FF17F17B2BA4}"/>
    <cellStyle name="Comma 2 3 2 3 6" xfId="4095" xr:uid="{13C3B0F9-D67F-45CA-8552-8BD76B0B676D}"/>
    <cellStyle name="Comma 2 3 2 3 6 2" xfId="11955" xr:uid="{DC64513A-EA8E-4897-9CC0-08DEE08CCB18}"/>
    <cellStyle name="Comma 2 3 2 3 7" xfId="8033" xr:uid="{8A5D6496-B862-4C76-AF2F-077EAF02FFA0}"/>
    <cellStyle name="Comma 2 3 2 4" xfId="344" xr:uid="{00000000-0005-0000-0000-00008D000000}"/>
    <cellStyle name="Comma 2 3 2 4 2" xfId="796" xr:uid="{00000000-0005-0000-0000-00008E000000}"/>
    <cellStyle name="Comma 2 3 2 4 2 2" xfId="2750" xr:uid="{00000000-0005-0000-0000-00008F000000}"/>
    <cellStyle name="Comma 2 3 2 4 2 2 2" xfId="6671" xr:uid="{212D20B5-3C7D-4A00-B822-CC07BAC2DBF5}"/>
    <cellStyle name="Comma 2 3 2 4 2 2 2 2" xfId="14531" xr:uid="{A68C5428-FD8F-453F-B9FF-BB1B38F6A59F}"/>
    <cellStyle name="Comma 2 3 2 4 2 2 3" xfId="10611" xr:uid="{5C75DFA8-5309-49AB-8E19-5A6A58409D8A}"/>
    <cellStyle name="Comma 2 3 2 4 2 3" xfId="4717" xr:uid="{7C480128-7F94-40AD-80B3-8F8CDF90964B}"/>
    <cellStyle name="Comma 2 3 2 4 2 3 2" xfId="12577" xr:uid="{E2852194-1DC9-4F4C-90AE-390C6EED5DE6}"/>
    <cellStyle name="Comma 2 3 2 4 2 4" xfId="8658" xr:uid="{A309E2E1-BF3C-4388-996D-B81F2D02E30F}"/>
    <cellStyle name="Comma 2 3 2 4 3" xfId="1230" xr:uid="{00000000-0005-0000-0000-000090000000}"/>
    <cellStyle name="Comma 2 3 2 4 3 2" xfId="3184" xr:uid="{00000000-0005-0000-0000-000091000000}"/>
    <cellStyle name="Comma 2 3 2 4 3 2 2" xfId="7105" xr:uid="{5A7B46FE-6FD6-489D-889C-8C2EBD80B126}"/>
    <cellStyle name="Comma 2 3 2 4 3 2 2 2" xfId="14965" xr:uid="{ED3F2D14-C6BD-489B-9130-E7724FB474F4}"/>
    <cellStyle name="Comma 2 3 2 4 3 2 3" xfId="11045" xr:uid="{EBAEDE3C-A67E-4DA8-84F6-133147112C8A}"/>
    <cellStyle name="Comma 2 3 2 4 3 3" xfId="5151" xr:uid="{7E84E332-ED65-4E1F-BAE3-50325B5628C6}"/>
    <cellStyle name="Comma 2 3 2 4 3 3 2" xfId="13011" xr:uid="{D4433292-034E-40E5-916B-D04764DD8966}"/>
    <cellStyle name="Comma 2 3 2 4 3 4" xfId="9092" xr:uid="{F94407F7-FD1A-4928-9FA3-DA75294BE9D3}"/>
    <cellStyle name="Comma 2 3 2 4 4" xfId="1650" xr:uid="{00000000-0005-0000-0000-000092000000}"/>
    <cellStyle name="Comma 2 3 2 4 4 2" xfId="3604" xr:uid="{00000000-0005-0000-0000-000093000000}"/>
    <cellStyle name="Comma 2 3 2 4 4 2 2" xfId="7525" xr:uid="{FCBB4E61-67B4-4E71-972F-CF57B00DF134}"/>
    <cellStyle name="Comma 2 3 2 4 4 2 2 2" xfId="15385" xr:uid="{F65536C5-6CC8-482A-9445-7920B4C915A7}"/>
    <cellStyle name="Comma 2 3 2 4 4 2 3" xfId="11465" xr:uid="{A8F91606-DD1F-46D5-AE3D-9BD6701B846F}"/>
    <cellStyle name="Comma 2 3 2 4 4 3" xfId="5571" xr:uid="{8B186281-C18D-4DA8-A9BA-8582A74428CE}"/>
    <cellStyle name="Comma 2 3 2 4 4 3 2" xfId="13431" xr:uid="{6A896714-43BA-4C04-B439-CC0C1B6AC868}"/>
    <cellStyle name="Comma 2 3 2 4 4 4" xfId="9512" xr:uid="{A0321CE3-837A-479B-8B58-1E034387500D}"/>
    <cellStyle name="Comma 2 3 2 4 5" xfId="2304" xr:uid="{00000000-0005-0000-0000-000094000000}"/>
    <cellStyle name="Comma 2 3 2 4 5 2" xfId="6225" xr:uid="{9C0C7763-DFAB-4501-AE68-BE39AEE8A66B}"/>
    <cellStyle name="Comma 2 3 2 4 5 2 2" xfId="14085" xr:uid="{2816EA07-5D7E-4ED8-92D8-9E72CE8D3F8F}"/>
    <cellStyle name="Comma 2 3 2 4 5 3" xfId="10165" xr:uid="{A91EA32D-B70F-4756-AD9A-39B7B512D576}"/>
    <cellStyle name="Comma 2 3 2 4 6" xfId="4271" xr:uid="{214C4580-C5D2-413C-A573-C6B4EFA7F2E4}"/>
    <cellStyle name="Comma 2 3 2 4 6 2" xfId="12131" xr:uid="{363DA889-F188-4662-A4AB-CAAEE6DB5F7D}"/>
    <cellStyle name="Comma 2 3 2 4 7" xfId="8210" xr:uid="{16F7721A-E5CB-46A9-BDF7-02E1308AA127}"/>
    <cellStyle name="Comma 2 3 2 5" xfId="441" xr:uid="{00000000-0005-0000-0000-000095000000}"/>
    <cellStyle name="Comma 2 3 2 5 2" xfId="892" xr:uid="{00000000-0005-0000-0000-000096000000}"/>
    <cellStyle name="Comma 2 3 2 5 2 2" xfId="2846" xr:uid="{00000000-0005-0000-0000-000097000000}"/>
    <cellStyle name="Comma 2 3 2 5 2 2 2" xfId="6767" xr:uid="{E0F784E9-9A9F-4A50-8728-15A91F685E33}"/>
    <cellStyle name="Comma 2 3 2 5 2 2 2 2" xfId="14627" xr:uid="{930A6485-E0E6-4AF4-9179-656C5FA0CBF1}"/>
    <cellStyle name="Comma 2 3 2 5 2 2 3" xfId="10707" xr:uid="{6FDD5C85-D593-4327-BBE9-F504FAD829B3}"/>
    <cellStyle name="Comma 2 3 2 5 2 3" xfId="4813" xr:uid="{301E9861-409F-4DFB-B13A-45697C9AFF86}"/>
    <cellStyle name="Comma 2 3 2 5 2 3 2" xfId="12673" xr:uid="{ED1383AD-0C3D-4583-B0DB-6D0EC0463238}"/>
    <cellStyle name="Comma 2 3 2 5 2 4" xfId="8754" xr:uid="{BADEA575-0145-403F-9AA6-E9D5711BD37D}"/>
    <cellStyle name="Comma 2 3 2 5 3" xfId="1324" xr:uid="{00000000-0005-0000-0000-000098000000}"/>
    <cellStyle name="Comma 2 3 2 5 3 2" xfId="3278" xr:uid="{00000000-0005-0000-0000-000099000000}"/>
    <cellStyle name="Comma 2 3 2 5 3 2 2" xfId="7199" xr:uid="{16E5466F-CD01-4930-9619-4EA06C95892E}"/>
    <cellStyle name="Comma 2 3 2 5 3 2 2 2" xfId="15059" xr:uid="{1236AD8A-0C82-4AFA-8DD9-24428EA84992}"/>
    <cellStyle name="Comma 2 3 2 5 3 2 3" xfId="11139" xr:uid="{56AE002D-26CA-4F35-9E70-FA7E63642366}"/>
    <cellStyle name="Comma 2 3 2 5 3 3" xfId="5245" xr:uid="{10CF235B-23E7-41EC-9199-BF0B81C2F5F2}"/>
    <cellStyle name="Comma 2 3 2 5 3 3 2" xfId="13105" xr:uid="{A4337D9D-D681-4E61-93B5-9647713C1362}"/>
    <cellStyle name="Comma 2 3 2 5 3 4" xfId="9186" xr:uid="{20BA76DF-A3DE-4B0D-8FE1-25ECD724BFCF}"/>
    <cellStyle name="Comma 2 3 2 5 4" xfId="1742" xr:uid="{00000000-0005-0000-0000-00009A000000}"/>
    <cellStyle name="Comma 2 3 2 5 4 2" xfId="3696" xr:uid="{00000000-0005-0000-0000-00009B000000}"/>
    <cellStyle name="Comma 2 3 2 5 4 2 2" xfId="7617" xr:uid="{495C3C67-A39A-4634-BA1E-EBB0AFBF81EB}"/>
    <cellStyle name="Comma 2 3 2 5 4 2 2 2" xfId="15477" xr:uid="{34CA4EF5-C385-4FF0-BDE4-833BFCCAA47E}"/>
    <cellStyle name="Comma 2 3 2 5 4 2 3" xfId="11557" xr:uid="{446B1EC2-DEF8-4EB5-AF02-ECF1AB3883B4}"/>
    <cellStyle name="Comma 2 3 2 5 4 3" xfId="5663" xr:uid="{BEFF552A-9E83-46D3-9B40-3587BFF67E14}"/>
    <cellStyle name="Comma 2 3 2 5 4 3 2" xfId="13523" xr:uid="{99792A2C-67EA-46A8-B174-36027E3A0F88}"/>
    <cellStyle name="Comma 2 3 2 5 4 4" xfId="9604" xr:uid="{D0F05378-253D-4CC2-9FCD-01C2683B6AF0}"/>
    <cellStyle name="Comma 2 3 2 5 5" xfId="2396" xr:uid="{00000000-0005-0000-0000-00009C000000}"/>
    <cellStyle name="Comma 2 3 2 5 5 2" xfId="6317" xr:uid="{AD863437-90B6-4B3E-99F5-426E50685448}"/>
    <cellStyle name="Comma 2 3 2 5 5 2 2" xfId="14177" xr:uid="{5E42EF2B-B88D-4652-B716-48A4755DECFB}"/>
    <cellStyle name="Comma 2 3 2 5 5 3" xfId="10257" xr:uid="{65AFC154-834B-46AA-9D82-35C99BDE78DA}"/>
    <cellStyle name="Comma 2 3 2 5 6" xfId="4363" xr:uid="{C38DA0C2-13B5-44C9-BECB-C7A422763017}"/>
    <cellStyle name="Comma 2 3 2 5 6 2" xfId="12223" xr:uid="{FEE5D736-EEEB-40D9-8618-96FB0A126BAB}"/>
    <cellStyle name="Comma 2 3 2 5 7" xfId="8304" xr:uid="{EE567E45-FDE8-493C-B32A-BE87794621D7}"/>
    <cellStyle name="Comma 2 3 2 6" xfId="533" xr:uid="{00000000-0005-0000-0000-00009D000000}"/>
    <cellStyle name="Comma 2 3 2 6 2" xfId="2487" xr:uid="{00000000-0005-0000-0000-00009E000000}"/>
    <cellStyle name="Comma 2 3 2 6 2 2" xfId="6408" xr:uid="{369623DE-0AEB-437D-B8A7-0926A21BB72D}"/>
    <cellStyle name="Comma 2 3 2 6 2 2 2" xfId="14268" xr:uid="{F0B563C6-84FE-435B-9165-BF7F2142537E}"/>
    <cellStyle name="Comma 2 3 2 6 2 3" xfId="10348" xr:uid="{81E27144-E4F9-4D25-B356-258C630DD14A}"/>
    <cellStyle name="Comma 2 3 2 6 3" xfId="4454" xr:uid="{25A4C397-77DE-4936-A716-D3B82E798707}"/>
    <cellStyle name="Comma 2 3 2 6 3 2" xfId="12314" xr:uid="{F2B90B31-A007-430B-AD7E-CD841C276C9D}"/>
    <cellStyle name="Comma 2 3 2 6 4" xfId="8395" xr:uid="{CA8E0DF7-2514-4D12-AD0D-01AB3809936C}"/>
    <cellStyle name="Comma 2 3 2 7" xfId="970" xr:uid="{00000000-0005-0000-0000-00009F000000}"/>
    <cellStyle name="Comma 2 3 2 7 2" xfId="2924" xr:uid="{00000000-0005-0000-0000-0000A0000000}"/>
    <cellStyle name="Comma 2 3 2 7 2 2" xfId="6845" xr:uid="{B8F9292B-E0E8-4251-AB8C-E14DAC41E961}"/>
    <cellStyle name="Comma 2 3 2 7 2 2 2" xfId="14705" xr:uid="{0E6DAFAD-6FC8-4EEC-B2B5-2537215A952E}"/>
    <cellStyle name="Comma 2 3 2 7 2 3" xfId="10785" xr:uid="{1D8004D5-CDEA-432C-9E9B-3A772C56F394}"/>
    <cellStyle name="Comma 2 3 2 7 3" xfId="4891" xr:uid="{FC7EE5E6-6258-4A55-8C0B-0099832BF3B4}"/>
    <cellStyle name="Comma 2 3 2 7 3 2" xfId="12751" xr:uid="{38252543-7694-4BFB-9012-676A063A6D09}"/>
    <cellStyle name="Comma 2 3 2 7 4" xfId="8832" xr:uid="{81C365D8-E076-442C-A66D-BBAD55B4A3F7}"/>
    <cellStyle name="Comma 2 3 2 8" xfId="1397" xr:uid="{00000000-0005-0000-0000-0000A1000000}"/>
    <cellStyle name="Comma 2 3 2 8 2" xfId="3351" xr:uid="{00000000-0005-0000-0000-0000A2000000}"/>
    <cellStyle name="Comma 2 3 2 8 2 2" xfId="7272" xr:uid="{131BCD39-E89F-48A6-A19B-9940A1BEC761}"/>
    <cellStyle name="Comma 2 3 2 8 2 2 2" xfId="15132" xr:uid="{3EAF7DD7-EC07-4E0C-84EA-36FA795BE177}"/>
    <cellStyle name="Comma 2 3 2 8 2 3" xfId="11212" xr:uid="{536E7549-885A-41DC-88BC-CC729710D80F}"/>
    <cellStyle name="Comma 2 3 2 8 3" xfId="5318" xr:uid="{F236EF61-047B-4A82-B6B5-4DA8420C24F2}"/>
    <cellStyle name="Comma 2 3 2 8 3 2" xfId="13178" xr:uid="{9E7F11C8-FB77-4DA6-AA80-CD5AD70EF202}"/>
    <cellStyle name="Comma 2 3 2 8 4" xfId="9259" xr:uid="{3471BCDE-8B5A-4D9E-9596-33C2E64A8469}"/>
    <cellStyle name="Comma 2 3 2 9" xfId="2050" xr:uid="{00000000-0005-0000-0000-0000A3000000}"/>
    <cellStyle name="Comma 2 3 2 9 2" xfId="5971" xr:uid="{29A4558B-7EA4-4EF6-9761-82756445CD93}"/>
    <cellStyle name="Comma 2 3 2 9 2 2" xfId="13831" xr:uid="{11AF9572-49EC-4138-95B5-935F28202932}"/>
    <cellStyle name="Comma 2 3 2 9 3" xfId="9911" xr:uid="{7D87B62E-ACC4-41DC-8288-C0CC2D3C1812}"/>
    <cellStyle name="Comma 2 3 3" xfId="198" xr:uid="{00000000-0005-0000-0000-0000A4000000}"/>
    <cellStyle name="Comma 2 3 3 2" xfId="650" xr:uid="{00000000-0005-0000-0000-0000A5000000}"/>
    <cellStyle name="Comma 2 3 3 2 2" xfId="2604" xr:uid="{00000000-0005-0000-0000-0000A6000000}"/>
    <cellStyle name="Comma 2 3 3 2 2 2" xfId="6525" xr:uid="{B95E5D4B-3E9D-4C47-A04B-5ACCF6D29728}"/>
    <cellStyle name="Comma 2 3 3 2 2 2 2" xfId="14385" xr:uid="{F192C779-40D8-4DB0-8DDB-2524DA1537E5}"/>
    <cellStyle name="Comma 2 3 3 2 2 3" xfId="10465" xr:uid="{C8DA97E4-2A7F-4D47-AB9E-B67F9F65C65D}"/>
    <cellStyle name="Comma 2 3 3 2 3" xfId="4571" xr:uid="{7D4D4454-7610-45F1-A0A0-DDB246D963A1}"/>
    <cellStyle name="Comma 2 3 3 2 3 2" xfId="12431" xr:uid="{A4BB9B5E-5D70-4C61-89AB-BA969B5E9250}"/>
    <cellStyle name="Comma 2 3 3 2 4" xfId="8512" xr:uid="{AF2C01EA-058B-436A-8086-E2FD5DBF6544}"/>
    <cellStyle name="Comma 2 3 3 3" xfId="1087" xr:uid="{00000000-0005-0000-0000-0000A7000000}"/>
    <cellStyle name="Comma 2 3 3 3 2" xfId="3041" xr:uid="{00000000-0005-0000-0000-0000A8000000}"/>
    <cellStyle name="Comma 2 3 3 3 2 2" xfId="6962" xr:uid="{E97EC9EF-1EB7-4668-BB56-6E307C287830}"/>
    <cellStyle name="Comma 2 3 3 3 2 2 2" xfId="14822" xr:uid="{B9DF50EC-7083-4F70-834C-0D6A66C32330}"/>
    <cellStyle name="Comma 2 3 3 3 2 3" xfId="10902" xr:uid="{C2EAEEBF-09D6-47BB-AA50-62D388E09FF7}"/>
    <cellStyle name="Comma 2 3 3 3 3" xfId="5008" xr:uid="{CCD7CC35-B745-498F-A7B8-16CCCC51ECE8}"/>
    <cellStyle name="Comma 2 3 3 3 3 2" xfId="12868" xr:uid="{0FB5CD83-B2A8-427F-81E1-30E2034D62F1}"/>
    <cellStyle name="Comma 2 3 3 3 4" xfId="8949" xr:uid="{8FEA7B6D-5449-4181-8E9A-A27098132E91}"/>
    <cellStyle name="Comma 2 3 3 4" xfId="1514" xr:uid="{00000000-0005-0000-0000-0000A9000000}"/>
    <cellStyle name="Comma 2 3 3 4 2" xfId="3468" xr:uid="{00000000-0005-0000-0000-0000AA000000}"/>
    <cellStyle name="Comma 2 3 3 4 2 2" xfId="7389" xr:uid="{6F4E1407-D258-4007-B8A0-4C4281A9B19A}"/>
    <cellStyle name="Comma 2 3 3 4 2 2 2" xfId="15249" xr:uid="{DF3A7558-C398-466B-9D61-2F17A4ACA5C7}"/>
    <cellStyle name="Comma 2 3 3 4 2 3" xfId="11329" xr:uid="{563CC79D-1419-46C2-B086-F61056E53646}"/>
    <cellStyle name="Comma 2 3 3 4 3" xfId="5435" xr:uid="{44010A81-36AD-45AA-B961-0170527627F9}"/>
    <cellStyle name="Comma 2 3 3 4 3 2" xfId="13295" xr:uid="{80E6CF11-99FB-4C28-92EB-BB8E26A57D19}"/>
    <cellStyle name="Comma 2 3 3 4 4" xfId="9376" xr:uid="{0FC9781A-FAC3-40EE-BCE4-01FAED8BC8F3}"/>
    <cellStyle name="Comma 2 3 3 5" xfId="2167" xr:uid="{00000000-0005-0000-0000-0000AB000000}"/>
    <cellStyle name="Comma 2 3 3 5 2" xfId="6088" xr:uid="{50A0C677-0938-4DF6-AABD-F61656168AD4}"/>
    <cellStyle name="Comma 2 3 3 5 2 2" xfId="13948" xr:uid="{20481065-6656-4D0D-A4BC-CAD1B465B7B2}"/>
    <cellStyle name="Comma 2 3 3 5 3" xfId="10028" xr:uid="{F91F24FE-B3E2-4102-B935-B3D523CC8C4C}"/>
    <cellStyle name="Comma 2 3 3 6" xfId="4134" xr:uid="{BA96DD10-A04F-476C-B316-BDC244143378}"/>
    <cellStyle name="Comma 2 3 3 6 2" xfId="11994" xr:uid="{651930E9-0E58-44A3-A660-FFB9D26C9ADD}"/>
    <cellStyle name="Comma 2 3 3 7" xfId="8072" xr:uid="{D4D882CF-0772-4079-B2CD-961B44CD6E6E}"/>
    <cellStyle name="Comma 2 3 4" xfId="120" xr:uid="{00000000-0005-0000-0000-0000AC000000}"/>
    <cellStyle name="Comma 2 3 4 2" xfId="572" xr:uid="{00000000-0005-0000-0000-0000AD000000}"/>
    <cellStyle name="Comma 2 3 4 2 2" xfId="2526" xr:uid="{00000000-0005-0000-0000-0000AE000000}"/>
    <cellStyle name="Comma 2 3 4 2 2 2" xfId="6447" xr:uid="{6909B452-8374-43D7-A360-1A5882D21321}"/>
    <cellStyle name="Comma 2 3 4 2 2 2 2" xfId="14307" xr:uid="{BD9D69CF-B2F2-48A1-8A00-3E82D905943B}"/>
    <cellStyle name="Comma 2 3 4 2 2 3" xfId="10387" xr:uid="{D69AEE65-A8EC-4B91-BD35-833B3EBCF38D}"/>
    <cellStyle name="Comma 2 3 4 2 3" xfId="4493" xr:uid="{E1F01ACC-6EC2-47FF-99D6-74E78A353465}"/>
    <cellStyle name="Comma 2 3 4 2 3 2" xfId="12353" xr:uid="{E8B441ED-AF5C-48F3-9A39-1F61E7D13B1B}"/>
    <cellStyle name="Comma 2 3 4 2 4" xfId="8434" xr:uid="{FD7D8F69-2433-4320-B85B-7F8079097592}"/>
    <cellStyle name="Comma 2 3 4 3" xfId="1009" xr:uid="{00000000-0005-0000-0000-0000AF000000}"/>
    <cellStyle name="Comma 2 3 4 3 2" xfId="2963" xr:uid="{00000000-0005-0000-0000-0000B0000000}"/>
    <cellStyle name="Comma 2 3 4 3 2 2" xfId="6884" xr:uid="{11141544-292A-437F-9189-62D07CB67B50}"/>
    <cellStyle name="Comma 2 3 4 3 2 2 2" xfId="14744" xr:uid="{EB47B761-7FFD-417D-B63F-F35C7359CE6B}"/>
    <cellStyle name="Comma 2 3 4 3 2 3" xfId="10824" xr:uid="{1B640273-9636-424F-A95B-02C3F0839242}"/>
    <cellStyle name="Comma 2 3 4 3 3" xfId="4930" xr:uid="{32D028FB-64B0-4306-A2B2-4A0C3E9AC752}"/>
    <cellStyle name="Comma 2 3 4 3 3 2" xfId="12790" xr:uid="{AF5F93BA-79A9-420C-861B-1C457F7A9CE7}"/>
    <cellStyle name="Comma 2 3 4 3 4" xfId="8871" xr:uid="{A2FFED4F-90F3-4F42-BEC0-7F596411ECB8}"/>
    <cellStyle name="Comma 2 3 4 4" xfId="1436" xr:uid="{00000000-0005-0000-0000-0000B1000000}"/>
    <cellStyle name="Comma 2 3 4 4 2" xfId="3390" xr:uid="{00000000-0005-0000-0000-0000B2000000}"/>
    <cellStyle name="Comma 2 3 4 4 2 2" xfId="7311" xr:uid="{6F4C9CB0-E5C5-484F-801B-414710EC9CAE}"/>
    <cellStyle name="Comma 2 3 4 4 2 2 2" xfId="15171" xr:uid="{48892DF9-64BE-489E-B9C5-3FE163F5CF33}"/>
    <cellStyle name="Comma 2 3 4 4 2 3" xfId="11251" xr:uid="{FCF67004-04E4-4629-9F4B-33CA45D118ED}"/>
    <cellStyle name="Comma 2 3 4 4 3" xfId="5357" xr:uid="{AA6C1A11-1D18-4C72-A08C-B65D6D615036}"/>
    <cellStyle name="Comma 2 3 4 4 3 2" xfId="13217" xr:uid="{90A9EEDA-120D-4213-84FB-1842B0673800}"/>
    <cellStyle name="Comma 2 3 4 4 4" xfId="9298" xr:uid="{B84CAD37-2A19-4388-9311-61C4E53B5027}"/>
    <cellStyle name="Comma 2 3 4 5" xfId="2089" xr:uid="{00000000-0005-0000-0000-0000B3000000}"/>
    <cellStyle name="Comma 2 3 4 5 2" xfId="6010" xr:uid="{73EBB486-C80A-491D-9C5B-011778C8F2F3}"/>
    <cellStyle name="Comma 2 3 4 5 2 2" xfId="13870" xr:uid="{F70998CA-0EA9-46FF-9005-D33CA4CB4A67}"/>
    <cellStyle name="Comma 2 3 4 5 3" xfId="9950" xr:uid="{A40E4C55-8BCA-46B0-AF1F-B3AEBD26D9FC}"/>
    <cellStyle name="Comma 2 3 4 6" xfId="4056" xr:uid="{4442DEFB-7450-4F54-8795-6F4A6D926C37}"/>
    <cellStyle name="Comma 2 3 4 6 2" xfId="11916" xr:uid="{2B46CC56-6FD5-49AB-B144-FB7F8351AA97}"/>
    <cellStyle name="Comma 2 3 4 7" xfId="7994" xr:uid="{01BDFFFF-65F0-403F-B96B-B57D57177CA4}"/>
    <cellStyle name="Comma 2 3 5" xfId="297" xr:uid="{00000000-0005-0000-0000-0000B4000000}"/>
    <cellStyle name="Comma 2 3 5 2" xfId="749" xr:uid="{00000000-0005-0000-0000-0000B5000000}"/>
    <cellStyle name="Comma 2 3 5 2 2" xfId="2703" xr:uid="{00000000-0005-0000-0000-0000B6000000}"/>
    <cellStyle name="Comma 2 3 5 2 2 2" xfId="6624" xr:uid="{738CB245-0715-4C43-9FF9-615A955A8D23}"/>
    <cellStyle name="Comma 2 3 5 2 2 2 2" xfId="14484" xr:uid="{53342562-2DD4-44A4-A7CD-D766F4C59938}"/>
    <cellStyle name="Comma 2 3 5 2 2 3" xfId="10564" xr:uid="{985D491B-674F-4DCB-B90A-23E1501CACBB}"/>
    <cellStyle name="Comma 2 3 5 2 3" xfId="4670" xr:uid="{63435948-C5AE-4527-AEA7-A465A180C50A}"/>
    <cellStyle name="Comma 2 3 5 2 3 2" xfId="12530" xr:uid="{9943AE92-A1E8-455D-A7C2-1ECC83A05964}"/>
    <cellStyle name="Comma 2 3 5 2 4" xfId="8611" xr:uid="{6D76528C-8E28-4A7D-B2F5-B397C83FF098}"/>
    <cellStyle name="Comma 2 3 5 3" xfId="1185" xr:uid="{00000000-0005-0000-0000-0000B7000000}"/>
    <cellStyle name="Comma 2 3 5 3 2" xfId="3139" xr:uid="{00000000-0005-0000-0000-0000B8000000}"/>
    <cellStyle name="Comma 2 3 5 3 2 2" xfId="7060" xr:uid="{48608A88-3F7E-4BAD-9684-28B6F22DDA70}"/>
    <cellStyle name="Comma 2 3 5 3 2 2 2" xfId="14920" xr:uid="{3BDF4DE8-1496-4DA1-9F8F-4E1C6B8D11D2}"/>
    <cellStyle name="Comma 2 3 5 3 2 3" xfId="11000" xr:uid="{AC8781D9-B034-4091-B8D7-5EFA844ABC73}"/>
    <cellStyle name="Comma 2 3 5 3 3" xfId="5106" xr:uid="{88AAD880-1258-4515-B2A7-8E4D752447BB}"/>
    <cellStyle name="Comma 2 3 5 3 3 2" xfId="12966" xr:uid="{8439A270-DE50-4E19-9573-4E1BAAD9B1C0}"/>
    <cellStyle name="Comma 2 3 5 3 4" xfId="9047" xr:uid="{F3C163E4-62E8-48DE-81A0-028FB1AED279}"/>
    <cellStyle name="Comma 2 3 5 4" xfId="1605" xr:uid="{00000000-0005-0000-0000-0000B9000000}"/>
    <cellStyle name="Comma 2 3 5 4 2" xfId="3559" xr:uid="{00000000-0005-0000-0000-0000BA000000}"/>
    <cellStyle name="Comma 2 3 5 4 2 2" xfId="7480" xr:uid="{80BF462C-24E0-4D3F-AED7-19883C6FAABC}"/>
    <cellStyle name="Comma 2 3 5 4 2 2 2" xfId="15340" xr:uid="{2FF2E18D-3835-4664-9CED-745BAF8D02E4}"/>
    <cellStyle name="Comma 2 3 5 4 2 3" xfId="11420" xr:uid="{BD87AFEF-96F1-43A0-9F3A-07FCFE651746}"/>
    <cellStyle name="Comma 2 3 5 4 3" xfId="5526" xr:uid="{7D813C29-6FD3-4BE3-829D-482EF6B4D824}"/>
    <cellStyle name="Comma 2 3 5 4 3 2" xfId="13386" xr:uid="{CD1B7F56-2DB8-48F6-A8FA-715E3E89361D}"/>
    <cellStyle name="Comma 2 3 5 4 4" xfId="9467" xr:uid="{F308286C-8247-4FDB-A89F-5CC4E24E7B20}"/>
    <cellStyle name="Comma 2 3 5 5" xfId="2259" xr:uid="{00000000-0005-0000-0000-0000BB000000}"/>
    <cellStyle name="Comma 2 3 5 5 2" xfId="6180" xr:uid="{0051D3C8-AED8-4708-8E7D-7F4978BEF7BC}"/>
    <cellStyle name="Comma 2 3 5 5 2 2" xfId="14040" xr:uid="{A389AA89-3F13-480B-B0ED-980ED9CE9CC6}"/>
    <cellStyle name="Comma 2 3 5 5 3" xfId="10120" xr:uid="{0A31A1FF-6725-4C0A-8A91-1011C8D6469D}"/>
    <cellStyle name="Comma 2 3 5 6" xfId="4226" xr:uid="{F28E0ED3-FAAE-4801-9B46-999AE2F2A0E3}"/>
    <cellStyle name="Comma 2 3 5 6 2" xfId="12086" xr:uid="{3CBE5B97-6CA1-47F8-847E-F242A6C9B4C4}"/>
    <cellStyle name="Comma 2 3 5 7" xfId="8165" xr:uid="{2B0B7BEC-8050-467C-8B35-631BF254E93E}"/>
    <cellStyle name="Comma 2 3 6" xfId="396" xr:uid="{00000000-0005-0000-0000-0000BC000000}"/>
    <cellStyle name="Comma 2 3 6 2" xfId="847" xr:uid="{00000000-0005-0000-0000-0000BD000000}"/>
    <cellStyle name="Comma 2 3 6 2 2" xfId="2801" xr:uid="{00000000-0005-0000-0000-0000BE000000}"/>
    <cellStyle name="Comma 2 3 6 2 2 2" xfId="6722" xr:uid="{D8ECE23F-4036-40E7-9E1E-5F687E218D7C}"/>
    <cellStyle name="Comma 2 3 6 2 2 2 2" xfId="14582" xr:uid="{ADB92215-1CDE-40D8-B240-013A649BEC49}"/>
    <cellStyle name="Comma 2 3 6 2 2 3" xfId="10662" xr:uid="{4BA3A024-DAA2-4907-87AC-54739A0D82E0}"/>
    <cellStyle name="Comma 2 3 6 2 3" xfId="4768" xr:uid="{61D55818-401B-4D69-A218-B1719C46023E}"/>
    <cellStyle name="Comma 2 3 6 2 3 2" xfId="12628" xr:uid="{E3A72EAB-D439-4B21-9E54-FC07C312CD7B}"/>
    <cellStyle name="Comma 2 3 6 2 4" xfId="8709" xr:uid="{A894DFBE-F113-4571-8A90-FC4E606C775F}"/>
    <cellStyle name="Comma 2 3 6 3" xfId="1279" xr:uid="{00000000-0005-0000-0000-0000BF000000}"/>
    <cellStyle name="Comma 2 3 6 3 2" xfId="3233" xr:uid="{00000000-0005-0000-0000-0000C0000000}"/>
    <cellStyle name="Comma 2 3 6 3 2 2" xfId="7154" xr:uid="{C7D60CBD-5C8A-4520-A77B-F58EFFA9069E}"/>
    <cellStyle name="Comma 2 3 6 3 2 2 2" xfId="15014" xr:uid="{4075F4A1-A4AD-46A6-8662-FA79D67755EA}"/>
    <cellStyle name="Comma 2 3 6 3 2 3" xfId="11094" xr:uid="{77735285-826E-4509-BD4B-DFEBA769DF66}"/>
    <cellStyle name="Comma 2 3 6 3 3" xfId="5200" xr:uid="{332A6685-4D2E-4769-B206-38ECD9546A2E}"/>
    <cellStyle name="Comma 2 3 6 3 3 2" xfId="13060" xr:uid="{574FE999-B7D3-4402-B63C-926D1465FE33}"/>
    <cellStyle name="Comma 2 3 6 3 4" xfId="9141" xr:uid="{6CE5A06F-06B4-4556-9BAC-BAF0E79CF675}"/>
    <cellStyle name="Comma 2 3 6 4" xfId="1697" xr:uid="{00000000-0005-0000-0000-0000C1000000}"/>
    <cellStyle name="Comma 2 3 6 4 2" xfId="3651" xr:uid="{00000000-0005-0000-0000-0000C2000000}"/>
    <cellStyle name="Comma 2 3 6 4 2 2" xfId="7572" xr:uid="{81B6ADDE-546D-408B-A74D-AFE110133D05}"/>
    <cellStyle name="Comma 2 3 6 4 2 2 2" xfId="15432" xr:uid="{B731ED9E-4A25-41B9-AA7F-064C9E37A7D4}"/>
    <cellStyle name="Comma 2 3 6 4 2 3" xfId="11512" xr:uid="{0CEC3DAD-1B64-4A7C-A27A-8AC68A026547}"/>
    <cellStyle name="Comma 2 3 6 4 3" xfId="5618" xr:uid="{E9075CFD-A375-4EB1-BB8F-B2F87429D45B}"/>
    <cellStyle name="Comma 2 3 6 4 3 2" xfId="13478" xr:uid="{8A3801CD-C4D5-49BA-9366-D8AB5531D7D5}"/>
    <cellStyle name="Comma 2 3 6 4 4" xfId="9559" xr:uid="{10C684DE-A12F-4423-969E-67972BDD3827}"/>
    <cellStyle name="Comma 2 3 6 5" xfId="2351" xr:uid="{00000000-0005-0000-0000-0000C3000000}"/>
    <cellStyle name="Comma 2 3 6 5 2" xfId="6272" xr:uid="{E43FAFF2-F7BF-4D2B-9901-08FC74EB623C}"/>
    <cellStyle name="Comma 2 3 6 5 2 2" xfId="14132" xr:uid="{4A396585-63AA-4063-8F33-99479726D1AF}"/>
    <cellStyle name="Comma 2 3 6 5 3" xfId="10212" xr:uid="{ED95F4DA-745E-430F-8DAA-3C27288C37ED}"/>
    <cellStyle name="Comma 2 3 6 6" xfId="4318" xr:uid="{737171C4-EC18-4272-ADBB-B69EC02DD474}"/>
    <cellStyle name="Comma 2 3 6 6 2" xfId="12178" xr:uid="{85F98F7A-E41D-43DB-B126-6485DAA2EC65}"/>
    <cellStyle name="Comma 2 3 6 7" xfId="8259" xr:uid="{A9AE9B41-86A7-4FD0-8648-2859D66907D7}"/>
    <cellStyle name="Comma 2 3 7" xfId="494" xr:uid="{00000000-0005-0000-0000-0000C4000000}"/>
    <cellStyle name="Comma 2 3 7 2" xfId="2448" xr:uid="{00000000-0005-0000-0000-0000C5000000}"/>
    <cellStyle name="Comma 2 3 7 2 2" xfId="6369" xr:uid="{6706B035-5C6A-40B6-ADF3-180443CCDE6F}"/>
    <cellStyle name="Comma 2 3 7 2 2 2" xfId="14229" xr:uid="{8591FC2F-BE60-432A-BFA0-3527F9329914}"/>
    <cellStyle name="Comma 2 3 7 2 3" xfId="10309" xr:uid="{83A41593-97CC-491D-A30C-B7ECA6DE5133}"/>
    <cellStyle name="Comma 2 3 7 3" xfId="4415" xr:uid="{7FDEFDE2-F84C-4164-B6AE-6D2CE7D08855}"/>
    <cellStyle name="Comma 2 3 7 3 2" xfId="12275" xr:uid="{8FF25DA3-8A6F-408E-AF37-585D557D6EC6}"/>
    <cellStyle name="Comma 2 3 7 4" xfId="8356" xr:uid="{89188526-5005-43E5-B422-D6B746771D3F}"/>
    <cellStyle name="Comma 2 3 8" xfId="931" xr:uid="{00000000-0005-0000-0000-0000C6000000}"/>
    <cellStyle name="Comma 2 3 8 2" xfId="2885" xr:uid="{00000000-0005-0000-0000-0000C7000000}"/>
    <cellStyle name="Comma 2 3 8 2 2" xfId="6806" xr:uid="{49757762-CC62-4380-AEB4-B8BFADB38F41}"/>
    <cellStyle name="Comma 2 3 8 2 2 2" xfId="14666" xr:uid="{0CF145DE-1A39-47C6-A964-3DD03B493AD2}"/>
    <cellStyle name="Comma 2 3 8 2 3" xfId="10746" xr:uid="{D694C87F-8CB7-480C-8B7B-204D44873CB8}"/>
    <cellStyle name="Comma 2 3 8 3" xfId="4852" xr:uid="{BA1B202F-0932-4428-8DA4-0887FF11A9A3}"/>
    <cellStyle name="Comma 2 3 8 3 2" xfId="12712" xr:uid="{AD3ED2D9-F3D9-45D0-BEC6-437CB157AB36}"/>
    <cellStyle name="Comma 2 3 8 4" xfId="8793" xr:uid="{7665885E-11D6-433C-9BAB-18CB52DD21BE}"/>
    <cellStyle name="Comma 2 3 9" xfId="1358" xr:uid="{00000000-0005-0000-0000-0000C8000000}"/>
    <cellStyle name="Comma 2 3 9 2" xfId="3312" xr:uid="{00000000-0005-0000-0000-0000C9000000}"/>
    <cellStyle name="Comma 2 3 9 2 2" xfId="7233" xr:uid="{A598E727-A24B-4AFB-A0BD-DD2840C2D7BD}"/>
    <cellStyle name="Comma 2 3 9 2 2 2" xfId="15093" xr:uid="{A3FC2D23-75C9-4556-9AA9-2C9620F7AD0E}"/>
    <cellStyle name="Comma 2 3 9 2 3" xfId="11173" xr:uid="{0F91AE0A-AE9F-4497-BE56-7EAE76B62D31}"/>
    <cellStyle name="Comma 2 3 9 3" xfId="5279" xr:uid="{9C3FF939-264C-4EE0-B5A1-DC53C1B43F27}"/>
    <cellStyle name="Comma 2 3 9 3 2" xfId="13139" xr:uid="{09959E3C-63BA-4A5E-A5E2-11F0D7F11233}"/>
    <cellStyle name="Comma 2 3 9 4" xfId="9220" xr:uid="{0FB26E6A-1F62-4F1E-87A6-4AE45F2C2E17}"/>
    <cellStyle name="Comma 2 4" xfId="246" xr:uid="{00000000-0005-0000-0000-0000CA000000}"/>
    <cellStyle name="Comma 2 4 2" xfId="1792" xr:uid="{00000000-0005-0000-0000-0000CB000000}"/>
    <cellStyle name="Comma 2 4 2 2" xfId="1829" xr:uid="{00000000-0005-0000-0000-0000CC000000}"/>
    <cellStyle name="Comma 2 4 2 2 2" xfId="3782" xr:uid="{00000000-0005-0000-0000-0000CD000000}"/>
    <cellStyle name="Comma 2 4 2 2 2 2" xfId="7703" xr:uid="{8E5EC6FE-C388-42B0-81BC-8C3BB5E9757A}"/>
    <cellStyle name="Comma 2 4 2 2 2 2 2" xfId="15563" xr:uid="{F3CB99ED-655F-41B1-8673-4E7AA663882A}"/>
    <cellStyle name="Comma 2 4 2 2 2 3" xfId="11643" xr:uid="{28D9CB7F-7409-4F17-A299-9ECC8503B66B}"/>
    <cellStyle name="Comma 2 4 2 2 3" xfId="5750" xr:uid="{229949F3-4109-4999-90F1-7E01EE846EFC}"/>
    <cellStyle name="Comma 2 4 2 2 3 2" xfId="13610" xr:uid="{8C15C037-1C12-4000-A9DC-250CC491520C}"/>
    <cellStyle name="Comma 2 4 2 2 4" xfId="9691" xr:uid="{93DD895A-E98F-464E-9DD6-AA857943001D}"/>
    <cellStyle name="Comma 2 4 2 3" xfId="1863" xr:uid="{00000000-0005-0000-0000-0000CE000000}"/>
    <cellStyle name="Comma 2 4 2 3 2" xfId="3816" xr:uid="{00000000-0005-0000-0000-0000CF000000}"/>
    <cellStyle name="Comma 2 4 2 3 2 2" xfId="7737" xr:uid="{8460B5FB-9F66-45A1-A3DE-0D278380FB19}"/>
    <cellStyle name="Comma 2 4 2 3 2 2 2" xfId="15597" xr:uid="{D0FBCBD2-51CB-4FB9-B1AA-C605516B7F7F}"/>
    <cellStyle name="Comma 2 4 2 3 2 3" xfId="11677" xr:uid="{FFBA6108-4FE2-44D2-8D3B-61D512F24241}"/>
    <cellStyle name="Comma 2 4 2 3 3" xfId="5784" xr:uid="{63269FD3-8AE2-46BF-94D8-39785F877519}"/>
    <cellStyle name="Comma 2 4 2 3 3 2" xfId="13644" xr:uid="{1AA68332-B14E-4601-8B96-A79A7ED08776}"/>
    <cellStyle name="Comma 2 4 2 3 4" xfId="9725" xr:uid="{491297C2-CEFE-437C-BDC6-410C3F9F63FC}"/>
    <cellStyle name="Comma 2 4 2 4" xfId="1896" xr:uid="{00000000-0005-0000-0000-0000D0000000}"/>
    <cellStyle name="Comma 2 4 2 4 2" xfId="3849" xr:uid="{00000000-0005-0000-0000-0000D1000000}"/>
    <cellStyle name="Comma 2 4 2 4 2 2" xfId="7770" xr:uid="{FBFE3303-9B07-4688-8BDC-703CC227D4AF}"/>
    <cellStyle name="Comma 2 4 2 4 2 2 2" xfId="15630" xr:uid="{7AA29E63-2117-4A93-834B-02BAA6E890F0}"/>
    <cellStyle name="Comma 2 4 2 4 2 3" xfId="11710" xr:uid="{976A2D87-EB67-405D-AF2E-6178A6F2A230}"/>
    <cellStyle name="Comma 2 4 2 4 3" xfId="5817" xr:uid="{F4479C1B-F0B1-4FD7-B7AE-D70164628328}"/>
    <cellStyle name="Comma 2 4 2 4 3 2" xfId="13677" xr:uid="{8DDAE4FC-C06D-4232-90D2-03364881E75F}"/>
    <cellStyle name="Comma 2 4 2 4 4" xfId="9758" xr:uid="{6C7BDD34-C446-4332-85BB-2E7CFADFF735}"/>
    <cellStyle name="Comma 2 4 2 5" xfId="3745" xr:uid="{00000000-0005-0000-0000-0000D2000000}"/>
    <cellStyle name="Comma 2 4 2 5 2" xfId="7666" xr:uid="{F643D9E8-DC93-4BA4-A8F1-0C901C3916B7}"/>
    <cellStyle name="Comma 2 4 2 5 2 2" xfId="15526" xr:uid="{DD1C030A-A600-4662-8535-4FA30944F098}"/>
    <cellStyle name="Comma 2 4 2 5 3" xfId="11606" xr:uid="{1D050B9A-C73F-4328-9837-35DBEF3DC3AD}"/>
    <cellStyle name="Comma 2 4 2 6" xfId="5713" xr:uid="{9FB03A0A-80B5-418A-B4E1-AA27045EF3F9}"/>
    <cellStyle name="Comma 2 4 2 6 2" xfId="13573" xr:uid="{372AAA9A-BC98-4F2E-89B6-DBE311764375}"/>
    <cellStyle name="Comma 2 4 2 7" xfId="9654" xr:uid="{596B24FB-5DD6-4333-98D7-3D92B5AF454B}"/>
    <cellStyle name="Comma 2 4 3" xfId="1798" xr:uid="{00000000-0005-0000-0000-0000D3000000}"/>
    <cellStyle name="Comma 2 4 3 2" xfId="1835" xr:uid="{00000000-0005-0000-0000-0000D4000000}"/>
    <cellStyle name="Comma 2 4 3 2 2" xfId="3788" xr:uid="{00000000-0005-0000-0000-0000D5000000}"/>
    <cellStyle name="Comma 2 4 3 2 2 2" xfId="7709" xr:uid="{5479ADAD-FEEF-4A3E-BC54-C82AB8EA5188}"/>
    <cellStyle name="Comma 2 4 3 2 2 2 2" xfId="15569" xr:uid="{1BF3C5C0-1E0F-476B-BC2C-C28233E7AC2B}"/>
    <cellStyle name="Comma 2 4 3 2 2 3" xfId="11649" xr:uid="{B6F20616-841E-431D-AB15-33F7623D8C43}"/>
    <cellStyle name="Comma 2 4 3 2 3" xfId="5756" xr:uid="{A998E54A-4459-46C0-B258-819A1349F5E1}"/>
    <cellStyle name="Comma 2 4 3 2 3 2" xfId="13616" xr:uid="{A6CA2EA7-F51C-4304-88E9-5C2E02FB43AF}"/>
    <cellStyle name="Comma 2 4 3 2 4" xfId="9697" xr:uid="{9A0D2C0F-C0D7-4AD1-9D6F-C67CF7708407}"/>
    <cellStyle name="Comma 2 4 3 3" xfId="1869" xr:uid="{00000000-0005-0000-0000-0000D6000000}"/>
    <cellStyle name="Comma 2 4 3 3 2" xfId="3822" xr:uid="{00000000-0005-0000-0000-0000D7000000}"/>
    <cellStyle name="Comma 2 4 3 3 2 2" xfId="7743" xr:uid="{31BEAEBA-4BD0-4213-B046-A4FB90812410}"/>
    <cellStyle name="Comma 2 4 3 3 2 2 2" xfId="15603" xr:uid="{B57C8F3D-D267-4FF6-8643-C6CF6B99F03F}"/>
    <cellStyle name="Comma 2 4 3 3 2 3" xfId="11683" xr:uid="{92975666-3706-4D70-A370-70157ECFB578}"/>
    <cellStyle name="Comma 2 4 3 3 3" xfId="5790" xr:uid="{86A37117-44B6-4E2A-90A0-B7949D142E41}"/>
    <cellStyle name="Comma 2 4 3 3 3 2" xfId="13650" xr:uid="{CB9E0069-B160-48A8-8984-F404573B3EB4}"/>
    <cellStyle name="Comma 2 4 3 3 4" xfId="9731" xr:uid="{FED55E89-3265-4E43-968F-E44E8C1E6568}"/>
    <cellStyle name="Comma 2 4 3 4" xfId="1902" xr:uid="{00000000-0005-0000-0000-0000D8000000}"/>
    <cellStyle name="Comma 2 4 3 4 2" xfId="3855" xr:uid="{00000000-0005-0000-0000-0000D9000000}"/>
    <cellStyle name="Comma 2 4 3 4 2 2" xfId="7776" xr:uid="{AD95F418-B5BD-40E2-B135-64BDAD74BF4D}"/>
    <cellStyle name="Comma 2 4 3 4 2 2 2" xfId="15636" xr:uid="{D3273A62-6E0B-4AAE-BE9F-94004FC2BAD7}"/>
    <cellStyle name="Comma 2 4 3 4 2 3" xfId="11716" xr:uid="{0F46077D-8946-452A-81BB-4BB1AAB1EAD3}"/>
    <cellStyle name="Comma 2 4 3 4 3" xfId="5823" xr:uid="{F3E0004F-C9C2-4FF5-9FAC-DDF7141C7871}"/>
    <cellStyle name="Comma 2 4 3 4 3 2" xfId="13683" xr:uid="{40B188B8-88F9-4901-8A9C-30FA511EE6E7}"/>
    <cellStyle name="Comma 2 4 3 4 4" xfId="9764" xr:uid="{7D59FB5D-7480-4FEE-8AF1-A369D428FB25}"/>
    <cellStyle name="Comma 2 4 3 5" xfId="3751" xr:uid="{00000000-0005-0000-0000-0000DA000000}"/>
    <cellStyle name="Comma 2 4 3 5 2" xfId="7672" xr:uid="{9E8575AA-1E58-4218-865A-E52D23DD1B28}"/>
    <cellStyle name="Comma 2 4 3 5 2 2" xfId="15532" xr:uid="{81660652-BF8C-4D56-8CB8-B99319D9B0A3}"/>
    <cellStyle name="Comma 2 4 3 5 3" xfId="11612" xr:uid="{D916B46A-D0C7-4F21-B7B5-3BE09689CD31}"/>
    <cellStyle name="Comma 2 4 3 6" xfId="5719" xr:uid="{121AC279-164C-447C-9E21-AF4D4A236AE6}"/>
    <cellStyle name="Comma 2 4 3 6 2" xfId="13579" xr:uid="{244EAF26-CBC0-417A-9799-9946624F84D8}"/>
    <cellStyle name="Comma 2 4 3 7" xfId="9660" xr:uid="{A4C8F3DA-79FC-403D-8CB1-C09CA29DD3A9}"/>
    <cellStyle name="Comma 2 4 4" xfId="698" xr:uid="{00000000-0005-0000-0000-0000DB000000}"/>
    <cellStyle name="Comma 2 4 4 2" xfId="2652" xr:uid="{00000000-0005-0000-0000-0000DC000000}"/>
    <cellStyle name="Comma 2 4 4 2 2" xfId="6573" xr:uid="{6ACC697A-CACC-4867-8195-7A1A0E0F598B}"/>
    <cellStyle name="Comma 2 4 4 2 2 2" xfId="14433" xr:uid="{DA1F7EE5-91C9-4A7B-8894-CBBD752FE360}"/>
    <cellStyle name="Comma 2 4 4 2 3" xfId="10513" xr:uid="{C1FC7648-D8AB-4AB4-A810-FA5F12F6ABBB}"/>
    <cellStyle name="Comma 2 4 4 3" xfId="4619" xr:uid="{6A017F65-E30E-4114-9112-CC6D0E8F23B7}"/>
    <cellStyle name="Comma 2 4 4 3 2" xfId="12479" xr:uid="{3E690665-8275-4E2A-A57F-51FB6C80ABEC}"/>
    <cellStyle name="Comma 2 4 4 4" xfId="8560" xr:uid="{67DC75A1-AA91-4464-984B-03DFCB857F06}"/>
    <cellStyle name="Comma 2 4 5" xfId="1135" xr:uid="{00000000-0005-0000-0000-0000DD000000}"/>
    <cellStyle name="Comma 2 4 5 2" xfId="3089" xr:uid="{00000000-0005-0000-0000-0000DE000000}"/>
    <cellStyle name="Comma 2 4 5 2 2" xfId="7010" xr:uid="{0C00B643-73DD-4261-B14A-CB9C508FEFFE}"/>
    <cellStyle name="Comma 2 4 5 2 2 2" xfId="14870" xr:uid="{D311AEB7-29A4-4089-8F11-E72D0DFFD474}"/>
    <cellStyle name="Comma 2 4 5 2 3" xfId="10950" xr:uid="{7D342D23-CA15-45CD-88E1-931B62B0F1B8}"/>
    <cellStyle name="Comma 2 4 5 3" xfId="5056" xr:uid="{621F12DC-208B-46BA-898F-BB0D2C1178CC}"/>
    <cellStyle name="Comma 2 4 5 3 2" xfId="12916" xr:uid="{E4BC977F-944B-4852-B041-554A1CE30D4D}"/>
    <cellStyle name="Comma 2 4 5 4" xfId="8997" xr:uid="{985D1658-7048-4FA8-9147-DBEB6674679C}"/>
    <cellStyle name="Comma 2 4 6" xfId="1560" xr:uid="{00000000-0005-0000-0000-0000DF000000}"/>
    <cellStyle name="Comma 2 4 6 2" xfId="3514" xr:uid="{00000000-0005-0000-0000-0000E0000000}"/>
    <cellStyle name="Comma 2 4 6 2 2" xfId="7435" xr:uid="{FC5D3357-0911-45A9-B8DF-ACE93208EF26}"/>
    <cellStyle name="Comma 2 4 6 2 2 2" xfId="15295" xr:uid="{65AF3F61-7BC7-4431-BDBD-18F56772E2F5}"/>
    <cellStyle name="Comma 2 4 6 2 3" xfId="11375" xr:uid="{C751CFD2-01AC-4866-B181-A00F08247405}"/>
    <cellStyle name="Comma 2 4 6 3" xfId="5481" xr:uid="{3BD86B2B-12BC-4D74-84A1-2CF8D999347B}"/>
    <cellStyle name="Comma 2 4 6 3 2" xfId="13341" xr:uid="{E267E4A5-5240-4B99-B464-EC386679A898}"/>
    <cellStyle name="Comma 2 4 6 4" xfId="9422" xr:uid="{DE54CCAF-00A5-47E4-A945-19598496BE73}"/>
    <cellStyle name="Comma 2 4 7" xfId="2213" xr:uid="{00000000-0005-0000-0000-0000E1000000}"/>
    <cellStyle name="Comma 2 4 7 2" xfId="6134" xr:uid="{E5EE72AB-4E42-4D93-8F54-178BE90907DD}"/>
    <cellStyle name="Comma 2 4 7 2 2" xfId="13994" xr:uid="{63277E56-E969-4220-BA1E-6A12517B2017}"/>
    <cellStyle name="Comma 2 4 7 3" xfId="10074" xr:uid="{8EC45FDC-DB3B-433A-B88C-F07E10FC0223}"/>
    <cellStyle name="Comma 2 4 8" xfId="4180" xr:uid="{CC12A409-BA3C-4BDF-A6AC-0DF2F091AFD7}"/>
    <cellStyle name="Comma 2 4 8 2" xfId="12040" xr:uid="{92251F96-BFC2-4E1B-8A0B-37D1AFA5356B}"/>
    <cellStyle name="Comma 2 4 9" xfId="8119" xr:uid="{CFF97120-2A2C-4D87-8550-4BE33C40ADD9}"/>
    <cellStyle name="Comma 2 5" xfId="1802" xr:uid="{00000000-0005-0000-0000-0000E2000000}"/>
    <cellStyle name="Comma 2 5 2" xfId="3755" xr:uid="{00000000-0005-0000-0000-0000E3000000}"/>
    <cellStyle name="Comma 2 5 2 2" xfId="7676" xr:uid="{D8CEB0D6-6A83-496C-B452-AF27C28A2ACB}"/>
    <cellStyle name="Comma 2 5 2 2 2" xfId="15536" xr:uid="{3EC8382B-5FFB-47A0-A209-B883F3DA2C57}"/>
    <cellStyle name="Comma 2 5 2 3" xfId="11616" xr:uid="{4029CCC7-2DA2-475F-98F9-FEC5C2FE434C}"/>
    <cellStyle name="Comma 2 5 3" xfId="5723" xr:uid="{C77E1ABF-23BC-4AC1-AE9E-DFB53A836D26}"/>
    <cellStyle name="Comma 2 5 3 2" xfId="13583" xr:uid="{C3E3B233-6C56-440B-B0E6-8F3274C6CBDE}"/>
    <cellStyle name="Comma 2 5 4" xfId="9664" xr:uid="{E8230003-03FE-4F00-8218-292DE4B0E07D}"/>
    <cellStyle name="Comma 2 6" xfId="1804" xr:uid="{00000000-0005-0000-0000-0000E4000000}"/>
    <cellStyle name="Comma 2 6 2" xfId="3757" xr:uid="{00000000-0005-0000-0000-0000E5000000}"/>
    <cellStyle name="Comma 2 6 2 2" xfId="7678" xr:uid="{0B8DDCE4-E0AB-4C21-8BEE-1DAD4DE39944}"/>
    <cellStyle name="Comma 2 6 2 2 2" xfId="15538" xr:uid="{8B1BFD65-9E76-45C9-8B32-8D6E06BBD192}"/>
    <cellStyle name="Comma 2 6 2 3" xfId="11618" xr:uid="{4A3126E0-42AD-43F3-8470-3AF0C0FAFEFB}"/>
    <cellStyle name="Comma 2 6 3" xfId="5725" xr:uid="{2237909B-5969-4ED4-A2CD-3DCEA4D1DC9B}"/>
    <cellStyle name="Comma 2 6 3 2" xfId="13585" xr:uid="{8B37901B-4527-4697-BBF1-C169C7D7F6CF}"/>
    <cellStyle name="Comma 2 6 4" xfId="9666" xr:uid="{D4D67B02-32A5-490F-AB9B-EC91464C720B}"/>
    <cellStyle name="Comma 2 7" xfId="1838" xr:uid="{00000000-0005-0000-0000-0000E6000000}"/>
    <cellStyle name="Comma 2 7 2" xfId="3791" xr:uid="{00000000-0005-0000-0000-0000E7000000}"/>
    <cellStyle name="Comma 2 7 2 2" xfId="7712" xr:uid="{262E3643-EC37-4544-BFDA-5E9602A15646}"/>
    <cellStyle name="Comma 2 7 2 2 2" xfId="15572" xr:uid="{2478FB82-7FCD-4D0A-8CC6-A171D04EB5D9}"/>
    <cellStyle name="Comma 2 7 2 3" xfId="11652" xr:uid="{F4EB70EF-CA50-4988-A8E2-6BA9E53C5E25}"/>
    <cellStyle name="Comma 2 7 3" xfId="5759" xr:uid="{1E3671EB-EFA9-475D-BF4C-67C6BE910D1D}"/>
    <cellStyle name="Comma 2 7 3 2" xfId="13619" xr:uid="{E554AC2F-FB7E-41EB-BA07-542239871D70}"/>
    <cellStyle name="Comma 2 7 4" xfId="9700" xr:uid="{B7A47D1E-AF91-4483-9643-34C10B3B70E3}"/>
    <cellStyle name="Comma 2 8" xfId="3948" xr:uid="{A71412C9-B419-4BB5-A746-388DDD885878}"/>
    <cellStyle name="Comma 2 8 2" xfId="11808" xr:uid="{A3DB7821-5211-4CB7-B6A2-CE755C163A6C}"/>
    <cellStyle name="Comma 20" xfId="1975" xr:uid="{00000000-0005-0000-0000-0000E8000000}"/>
    <cellStyle name="Comma 20 2" xfId="5896" xr:uid="{25196AAD-BD58-46B3-9709-5B9E956937A1}"/>
    <cellStyle name="Comma 20 2 2" xfId="13756" xr:uid="{D05C9E20-DA79-45F3-8CBC-63B773A41198}"/>
    <cellStyle name="Comma 21" xfId="3928" xr:uid="{B9F3E1C8-56F2-4FD7-AE06-D8285C07B5BC}"/>
    <cellStyle name="Comma 21 2" xfId="7849" xr:uid="{536497F9-7A1E-4460-BF5C-0DB623FBD31E}"/>
    <cellStyle name="Comma 21 2 2" xfId="15709" xr:uid="{96948A02-DB15-44A9-A495-E6F12CC64533}"/>
    <cellStyle name="Comma 21 3" xfId="11789" xr:uid="{3A7B25BF-B911-4A46-8D64-1D031443CFA7}"/>
    <cellStyle name="Comma 22" xfId="3937" xr:uid="{8EC7D2BC-4574-425E-95C3-8076846909EE}"/>
    <cellStyle name="Comma 22 2" xfId="7858" xr:uid="{33C0E549-0314-4A7C-B48E-1EECC103BC8F}"/>
    <cellStyle name="Comma 22 2 2" xfId="15718" xr:uid="{3A46FB63-FAE5-4AA3-87C5-EE40F21C83BA}"/>
    <cellStyle name="Comma 22 3" xfId="11798" xr:uid="{50F806BE-7734-403D-AAAA-BFDC3B441BE1}"/>
    <cellStyle name="Comma 23" xfId="3941" xr:uid="{14B3950E-3601-40AF-8449-A1A32D5F78DF}"/>
    <cellStyle name="Comma 23 2" xfId="11801" xr:uid="{8D3AD579-9134-4E57-92BF-F8BD97DA9093}"/>
    <cellStyle name="Comma 24" xfId="7870" xr:uid="{AC0EB0E0-BF20-495A-8A38-7213663DF5C0}"/>
    <cellStyle name="Comma 24 2" xfId="15729" xr:uid="{2B49E87E-CC89-4178-B087-86E0FE2527D4}"/>
    <cellStyle name="Comma 25" xfId="7874" xr:uid="{E7259A1B-8467-4CFA-847C-5DAA65467973}"/>
    <cellStyle name="Comma 25 2" xfId="15733" xr:uid="{03E953F4-C5ED-4217-AD8A-851BA8DF826D}"/>
    <cellStyle name="Comma 26" xfId="7876" xr:uid="{F1DF5742-E907-429A-B34F-5E98818DD3D3}"/>
    <cellStyle name="Comma 26 2" xfId="15735" xr:uid="{E48F12D5-2F72-4A17-8DC1-D60EC2F94CC4}"/>
    <cellStyle name="Comma 27" xfId="7878" xr:uid="{154E94B3-CA91-495C-97C1-CE51A45BA659}"/>
    <cellStyle name="Comma 27 2" xfId="15737" xr:uid="{27639B8A-65F8-48D7-B7AD-088D9294EA12}"/>
    <cellStyle name="Comma 28" xfId="15744" xr:uid="{523180CE-B4BC-41CA-B8FF-CC1B3CFA129E}"/>
    <cellStyle name="Comma 29" xfId="15747" xr:uid="{5D78C53F-F85E-42BA-AFE5-301870670294}"/>
    <cellStyle name="Comma 3" xfId="1771" xr:uid="{00000000-0005-0000-0000-0000E9000000}"/>
    <cellStyle name="Comma 3 10" xfId="1875" xr:uid="{00000000-0005-0000-0000-0000EA000000}"/>
    <cellStyle name="Comma 3 10 2" xfId="3828" xr:uid="{00000000-0005-0000-0000-0000EB000000}"/>
    <cellStyle name="Comma 3 10 2 2" xfId="7749" xr:uid="{93059634-E757-4884-BABF-F868ECAFC715}"/>
    <cellStyle name="Comma 3 10 2 2 2" xfId="15609" xr:uid="{13E44E9C-CA06-4F7D-8D80-9E9ECCED7826}"/>
    <cellStyle name="Comma 3 10 2 3" xfId="11689" xr:uid="{0027708C-9C6D-42D9-943A-D513FE30ED44}"/>
    <cellStyle name="Comma 3 10 3" xfId="5796" xr:uid="{2E99C4A8-4D12-4252-982C-D446D7C799A1}"/>
    <cellStyle name="Comma 3 10 3 2" xfId="13656" xr:uid="{40FCA1D8-D73F-434C-BE00-1E90390CB31D}"/>
    <cellStyle name="Comma 3 10 4" xfId="9737" xr:uid="{D26B7A16-1118-45D5-809C-CBD7C7291C89}"/>
    <cellStyle name="Comma 3 11" xfId="3724" xr:uid="{00000000-0005-0000-0000-0000EC000000}"/>
    <cellStyle name="Comma 3 11 2" xfId="7645" xr:uid="{3D0A33F5-CDBB-4012-9B1C-C594912CE384}"/>
    <cellStyle name="Comma 3 11 2 2" xfId="15505" xr:uid="{ABBFD692-E073-4535-957A-D78B32C17FE6}"/>
    <cellStyle name="Comma 3 11 3" xfId="11585" xr:uid="{DB45AE0F-50F7-4C90-BFE7-F327C0A53A4D}"/>
    <cellStyle name="Comma 3 12" xfId="5692" xr:uid="{B98FC6A8-30E2-4C80-B57D-D41F5CDEEE64}"/>
    <cellStyle name="Comma 3 12 2" xfId="13552" xr:uid="{DB187A79-31A5-42BA-AC6A-A73D3D8EB80D}"/>
    <cellStyle name="Comma 3 13" xfId="9633" xr:uid="{9B4C523B-AF3E-4590-8977-0CEC4AAD5CA3}"/>
    <cellStyle name="Comma 3 2" xfId="1774" xr:uid="{00000000-0005-0000-0000-0000ED000000}"/>
    <cellStyle name="Comma 3 2 10" xfId="5695" xr:uid="{C906D508-B676-46BC-ADDF-DE17422F03D5}"/>
    <cellStyle name="Comma 3 2 10 2" xfId="13555" xr:uid="{E7E6DABE-17F8-4140-8CEE-B4320D232D26}"/>
    <cellStyle name="Comma 3 2 11" xfId="9636" xr:uid="{BFD4119A-B3D6-430C-8263-4655B7814A3B}"/>
    <cellStyle name="Comma 3 2 2" xfId="1786" xr:uid="{00000000-0005-0000-0000-0000EE000000}"/>
    <cellStyle name="Comma 3 2 2 2" xfId="1823" xr:uid="{00000000-0005-0000-0000-0000EF000000}"/>
    <cellStyle name="Comma 3 2 2 2 2" xfId="3776" xr:uid="{00000000-0005-0000-0000-0000F0000000}"/>
    <cellStyle name="Comma 3 2 2 2 2 2" xfId="7697" xr:uid="{FCD6BE6B-22EC-43C0-83E0-BBC82A25D092}"/>
    <cellStyle name="Comma 3 2 2 2 2 2 2" xfId="15557" xr:uid="{929432CD-1AB3-42A0-874B-632BB6772427}"/>
    <cellStyle name="Comma 3 2 2 2 2 3" xfId="11637" xr:uid="{DFF7DA71-04AD-4B16-AA71-E14E7AF5186A}"/>
    <cellStyle name="Comma 3 2 2 2 3" xfId="5744" xr:uid="{5F833E90-8155-4E3A-B45F-0D528BD0C6E3}"/>
    <cellStyle name="Comma 3 2 2 2 3 2" xfId="13604" xr:uid="{F6B35075-395A-400B-B32E-69462D39F9C0}"/>
    <cellStyle name="Comma 3 2 2 2 4" xfId="9685" xr:uid="{61B16AC6-4C47-4125-BE23-6E9080702DAA}"/>
    <cellStyle name="Comma 3 2 2 3" xfId="1857" xr:uid="{00000000-0005-0000-0000-0000F1000000}"/>
    <cellStyle name="Comma 3 2 2 3 2" xfId="3810" xr:uid="{00000000-0005-0000-0000-0000F2000000}"/>
    <cellStyle name="Comma 3 2 2 3 2 2" xfId="7731" xr:uid="{DEC2D34B-9778-4865-AE3C-D2F3878CCB49}"/>
    <cellStyle name="Comma 3 2 2 3 2 2 2" xfId="15591" xr:uid="{848B2FE5-C02F-4266-8A9C-2CBA14E5244F}"/>
    <cellStyle name="Comma 3 2 2 3 2 3" xfId="11671" xr:uid="{E9C08C28-7DAD-40C6-B3FA-70F51F02F3A1}"/>
    <cellStyle name="Comma 3 2 2 3 3" xfId="5778" xr:uid="{731A08BE-D121-4FA0-BDFD-077A70C6F334}"/>
    <cellStyle name="Comma 3 2 2 3 3 2" xfId="13638" xr:uid="{981E7D97-19AC-469D-87CE-432687142184}"/>
    <cellStyle name="Comma 3 2 2 3 4" xfId="9719" xr:uid="{A16049E3-B2CB-4F7A-AE99-4FB5942A5FA4}"/>
    <cellStyle name="Comma 3 2 2 4" xfId="1890" xr:uid="{00000000-0005-0000-0000-0000F3000000}"/>
    <cellStyle name="Comma 3 2 2 4 2" xfId="3843" xr:uid="{00000000-0005-0000-0000-0000F4000000}"/>
    <cellStyle name="Comma 3 2 2 4 2 2" xfId="7764" xr:uid="{2754026A-E108-43E7-BDA5-7E7DF7D24679}"/>
    <cellStyle name="Comma 3 2 2 4 2 2 2" xfId="15624" xr:uid="{BEE9C716-A593-4184-B57A-5D8784E941EA}"/>
    <cellStyle name="Comma 3 2 2 4 2 3" xfId="11704" xr:uid="{25F06FFF-E213-4FF7-9E1A-83011E28ABAE}"/>
    <cellStyle name="Comma 3 2 2 4 3" xfId="5811" xr:uid="{1F522AB0-85DF-4DE7-8512-C6090EA4B50D}"/>
    <cellStyle name="Comma 3 2 2 4 3 2" xfId="13671" xr:uid="{6D7FFBE3-C62E-4F36-B3F3-D68D375CC1D5}"/>
    <cellStyle name="Comma 3 2 2 4 4" xfId="9752" xr:uid="{8D51C725-A59C-4541-B8E0-23986FCF25E5}"/>
    <cellStyle name="Comma 3 2 2 5" xfId="3739" xr:uid="{00000000-0005-0000-0000-0000F5000000}"/>
    <cellStyle name="Comma 3 2 2 5 2" xfId="7660" xr:uid="{55B6F4EE-80E5-45E0-83AE-96392FCB2CE7}"/>
    <cellStyle name="Comma 3 2 2 5 2 2" xfId="15520" xr:uid="{5B49B61F-5073-4449-9808-3E63EEA2F3C2}"/>
    <cellStyle name="Comma 3 2 2 5 3" xfId="11600" xr:uid="{DADACE55-1708-4652-B2FB-4426BC571A61}"/>
    <cellStyle name="Comma 3 2 2 6" xfId="5707" xr:uid="{60100E2D-B3B2-4E9B-91AD-37D09CBF60F2}"/>
    <cellStyle name="Comma 3 2 2 6 2" xfId="13567" xr:uid="{EEA16237-E1D2-4885-BFDC-E667E2042983}"/>
    <cellStyle name="Comma 3 2 2 7" xfId="9648" xr:uid="{C6113187-9916-4B52-B922-786CE5836C64}"/>
    <cellStyle name="Comma 3 2 3" xfId="1780" xr:uid="{00000000-0005-0000-0000-0000F6000000}"/>
    <cellStyle name="Comma 3 2 3 2" xfId="1817" xr:uid="{00000000-0005-0000-0000-0000F7000000}"/>
    <cellStyle name="Comma 3 2 3 2 2" xfId="3770" xr:uid="{00000000-0005-0000-0000-0000F8000000}"/>
    <cellStyle name="Comma 3 2 3 2 2 2" xfId="7691" xr:uid="{3B3EDD4F-7A16-4F19-A621-A0EE762EDE20}"/>
    <cellStyle name="Comma 3 2 3 2 2 2 2" xfId="15551" xr:uid="{E5F54737-51D5-4BF2-AE78-CA924DA1EBF9}"/>
    <cellStyle name="Comma 3 2 3 2 2 3" xfId="11631" xr:uid="{36174F54-7379-46C4-AC3C-D7680695D364}"/>
    <cellStyle name="Comma 3 2 3 2 3" xfId="5738" xr:uid="{EA3C949C-D241-4909-B8AD-F93E6BAC31BF}"/>
    <cellStyle name="Comma 3 2 3 2 3 2" xfId="13598" xr:uid="{7704EAF5-E4E9-45E2-80E5-B376843E12D4}"/>
    <cellStyle name="Comma 3 2 3 2 4" xfId="9679" xr:uid="{7FF66005-1562-45B6-8EB0-4D593A5D027F}"/>
    <cellStyle name="Comma 3 2 3 3" xfId="1851" xr:uid="{00000000-0005-0000-0000-0000F9000000}"/>
    <cellStyle name="Comma 3 2 3 3 2" xfId="3804" xr:uid="{00000000-0005-0000-0000-0000FA000000}"/>
    <cellStyle name="Comma 3 2 3 3 2 2" xfId="7725" xr:uid="{2A54C7B1-0CF0-43A0-B932-8CFC276A7A7D}"/>
    <cellStyle name="Comma 3 2 3 3 2 2 2" xfId="15585" xr:uid="{477E9C50-C8EF-411C-BF75-8936385B8270}"/>
    <cellStyle name="Comma 3 2 3 3 2 3" xfId="11665" xr:uid="{24D8BA88-2330-455E-9A77-523881F93074}"/>
    <cellStyle name="Comma 3 2 3 3 3" xfId="5772" xr:uid="{3AACC259-7F3E-4FAC-8558-E71EEBB7E8D7}"/>
    <cellStyle name="Comma 3 2 3 3 3 2" xfId="13632" xr:uid="{015DC454-7278-4C5B-865D-E39D79B364CF}"/>
    <cellStyle name="Comma 3 2 3 3 4" xfId="9713" xr:uid="{3FD6BE00-7BAA-4096-A0CC-23403E306B6B}"/>
    <cellStyle name="Comma 3 2 3 4" xfId="1884" xr:uid="{00000000-0005-0000-0000-0000FB000000}"/>
    <cellStyle name="Comma 3 2 3 4 2" xfId="3837" xr:uid="{00000000-0005-0000-0000-0000FC000000}"/>
    <cellStyle name="Comma 3 2 3 4 2 2" xfId="7758" xr:uid="{1DE4804E-281B-4BBB-A0AE-BF9B3929182E}"/>
    <cellStyle name="Comma 3 2 3 4 2 2 2" xfId="15618" xr:uid="{4DB1AAAF-9D93-4C32-93E1-8615954F5D7F}"/>
    <cellStyle name="Comma 3 2 3 4 2 3" xfId="11698" xr:uid="{36C73BAC-DA2D-4E63-A2B3-8690EFF9BD39}"/>
    <cellStyle name="Comma 3 2 3 4 3" xfId="5805" xr:uid="{6DA3559D-68FE-4AF3-A46A-971334652BA5}"/>
    <cellStyle name="Comma 3 2 3 4 3 2" xfId="13665" xr:uid="{218DF3FD-742B-42C6-8D01-4BAFBAA666F4}"/>
    <cellStyle name="Comma 3 2 3 4 4" xfId="9746" xr:uid="{06330142-9660-4C42-9B7B-7C2BCC8A0D44}"/>
    <cellStyle name="Comma 3 2 3 5" xfId="3733" xr:uid="{00000000-0005-0000-0000-0000FD000000}"/>
    <cellStyle name="Comma 3 2 3 5 2" xfId="7654" xr:uid="{4FFC61A0-D4C6-46A4-ABC0-81C882B25029}"/>
    <cellStyle name="Comma 3 2 3 5 2 2" xfId="15514" xr:uid="{87E2C77F-6E16-4BEC-A199-D657693FE93F}"/>
    <cellStyle name="Comma 3 2 3 5 3" xfId="11594" xr:uid="{C0BCC6DB-A1B9-4C36-9210-A217F4C3CE95}"/>
    <cellStyle name="Comma 3 2 3 6" xfId="5701" xr:uid="{15A6BA9F-11BC-4DA4-A0EE-140FE41546B7}"/>
    <cellStyle name="Comma 3 2 3 6 2" xfId="13561" xr:uid="{AC099858-AF3C-46EE-8C68-B502305B13ED}"/>
    <cellStyle name="Comma 3 2 3 7" xfId="9642" xr:uid="{7B29468F-AED4-490E-90C8-06ACA3B4CA75}"/>
    <cellStyle name="Comma 3 2 4" xfId="1793" xr:uid="{00000000-0005-0000-0000-0000FE000000}"/>
    <cellStyle name="Comma 3 2 4 2" xfId="1830" xr:uid="{00000000-0005-0000-0000-0000FF000000}"/>
    <cellStyle name="Comma 3 2 4 2 2" xfId="3783" xr:uid="{00000000-0005-0000-0000-000000010000}"/>
    <cellStyle name="Comma 3 2 4 2 2 2" xfId="7704" xr:uid="{A4CD57DE-8DC4-4247-8AEA-996F807415CC}"/>
    <cellStyle name="Comma 3 2 4 2 2 2 2" xfId="15564" xr:uid="{504519BA-4109-475D-AA57-95AB41EC0FFE}"/>
    <cellStyle name="Comma 3 2 4 2 2 3" xfId="11644" xr:uid="{4791D38B-7FAC-40D1-BF94-F5D0F10F450A}"/>
    <cellStyle name="Comma 3 2 4 2 3" xfId="5751" xr:uid="{8F6120F1-AA10-4B82-B51F-EF99B8650CF8}"/>
    <cellStyle name="Comma 3 2 4 2 3 2" xfId="13611" xr:uid="{0C373A40-8D9A-4FBC-8263-8A369B966138}"/>
    <cellStyle name="Comma 3 2 4 2 4" xfId="9692" xr:uid="{E75D05CA-EB09-4382-88D4-E2991005CC3F}"/>
    <cellStyle name="Comma 3 2 4 3" xfId="1864" xr:uid="{00000000-0005-0000-0000-000001010000}"/>
    <cellStyle name="Comma 3 2 4 3 2" xfId="3817" xr:uid="{00000000-0005-0000-0000-000002010000}"/>
    <cellStyle name="Comma 3 2 4 3 2 2" xfId="7738" xr:uid="{FD062A84-5004-4F71-8116-B9CC259AA98E}"/>
    <cellStyle name="Comma 3 2 4 3 2 2 2" xfId="15598" xr:uid="{0A0DF41F-3356-465C-87D7-083CC00FCDFB}"/>
    <cellStyle name="Comma 3 2 4 3 2 3" xfId="11678" xr:uid="{FE19B317-3C63-4549-ACDA-7DD598F63A4D}"/>
    <cellStyle name="Comma 3 2 4 3 3" xfId="5785" xr:uid="{53387187-A0D1-4393-8207-54D16CED4216}"/>
    <cellStyle name="Comma 3 2 4 3 3 2" xfId="13645" xr:uid="{0BC08EFC-363A-4BD4-A0FD-03616D80C874}"/>
    <cellStyle name="Comma 3 2 4 3 4" xfId="9726" xr:uid="{73A96AF3-6F78-42FB-8822-E36576DD5F4A}"/>
    <cellStyle name="Comma 3 2 4 4" xfId="1897" xr:uid="{00000000-0005-0000-0000-000003010000}"/>
    <cellStyle name="Comma 3 2 4 4 2" xfId="3850" xr:uid="{00000000-0005-0000-0000-000004010000}"/>
    <cellStyle name="Comma 3 2 4 4 2 2" xfId="7771" xr:uid="{7D08018F-4B46-4311-87E1-953D2D1D05FC}"/>
    <cellStyle name="Comma 3 2 4 4 2 2 2" xfId="15631" xr:uid="{9E2941C3-1515-4749-B835-DDB969A4FFE7}"/>
    <cellStyle name="Comma 3 2 4 4 2 3" xfId="11711" xr:uid="{B5DA14E0-B5A5-4C0D-BA8E-C9E9328D4B14}"/>
    <cellStyle name="Comma 3 2 4 4 3" xfId="5818" xr:uid="{8F136200-6AD1-4081-BB1B-837850EFA940}"/>
    <cellStyle name="Comma 3 2 4 4 3 2" xfId="13678" xr:uid="{6F49AF13-9E64-41A6-B49F-D52ABA319EE7}"/>
    <cellStyle name="Comma 3 2 4 4 4" xfId="9759" xr:uid="{FB7E6F42-E55A-450C-8EE0-2293E6E65AB3}"/>
    <cellStyle name="Comma 3 2 4 5" xfId="3746" xr:uid="{00000000-0005-0000-0000-000005010000}"/>
    <cellStyle name="Comma 3 2 4 5 2" xfId="7667" xr:uid="{5947B42C-1BD2-4AEE-92F2-4FC0E646B4D1}"/>
    <cellStyle name="Comma 3 2 4 5 2 2" xfId="15527" xr:uid="{C73CD80A-93AA-4D10-BC7E-51F1A9817498}"/>
    <cellStyle name="Comma 3 2 4 5 3" xfId="11607" xr:uid="{AF5BEDC7-A5AC-494C-BB28-895FEC710AC8}"/>
    <cellStyle name="Comma 3 2 4 6" xfId="5714" xr:uid="{A4A99B47-F0FF-4927-B4A8-E587F35D3087}"/>
    <cellStyle name="Comma 3 2 4 6 2" xfId="13574" xr:uid="{09C054AF-4591-4E37-B9C7-14C8512F435D}"/>
    <cellStyle name="Comma 3 2 4 7" xfId="9655" xr:uid="{756C9F4D-F544-47C5-989C-AD0BD25EBBFC}"/>
    <cellStyle name="Comma 3 2 5" xfId="1799" xr:uid="{00000000-0005-0000-0000-000006010000}"/>
    <cellStyle name="Comma 3 2 5 2" xfId="1836" xr:uid="{00000000-0005-0000-0000-000007010000}"/>
    <cellStyle name="Comma 3 2 5 2 2" xfId="3789" xr:uid="{00000000-0005-0000-0000-000008010000}"/>
    <cellStyle name="Comma 3 2 5 2 2 2" xfId="7710" xr:uid="{63823354-DE19-4F0B-861E-A36B1F6784F9}"/>
    <cellStyle name="Comma 3 2 5 2 2 2 2" xfId="15570" xr:uid="{C2BC04CD-4A9D-4B2A-98ED-86BD1CBF9597}"/>
    <cellStyle name="Comma 3 2 5 2 2 3" xfId="11650" xr:uid="{A234BB88-61DE-4A7A-8C6A-0676D63D5F61}"/>
    <cellStyle name="Comma 3 2 5 2 3" xfId="5757" xr:uid="{3F9579AD-FE6B-4ED1-B409-0D9B10132389}"/>
    <cellStyle name="Comma 3 2 5 2 3 2" xfId="13617" xr:uid="{0E8AF217-CF4C-4CA9-AD21-48A59C132EAC}"/>
    <cellStyle name="Comma 3 2 5 2 4" xfId="9698" xr:uid="{B89EDFAE-C02C-4F65-A98B-94CDCF0AAA16}"/>
    <cellStyle name="Comma 3 2 5 3" xfId="1870" xr:uid="{00000000-0005-0000-0000-000009010000}"/>
    <cellStyle name="Comma 3 2 5 3 2" xfId="3823" xr:uid="{00000000-0005-0000-0000-00000A010000}"/>
    <cellStyle name="Comma 3 2 5 3 2 2" xfId="7744" xr:uid="{451D6B6A-6E77-4DF6-877B-A942EDD5CB76}"/>
    <cellStyle name="Comma 3 2 5 3 2 2 2" xfId="15604" xr:uid="{44E37BDC-5EC5-4781-BDF6-1D1D8122C4E3}"/>
    <cellStyle name="Comma 3 2 5 3 2 3" xfId="11684" xr:uid="{0EFCC2D5-CB9F-4CB9-8668-2B30F4FF7752}"/>
    <cellStyle name="Comma 3 2 5 3 3" xfId="5791" xr:uid="{5BD3DDB6-5F22-4A8F-9C29-4EC3823FA1C7}"/>
    <cellStyle name="Comma 3 2 5 3 3 2" xfId="13651" xr:uid="{E3B2F21F-BD07-4628-85B4-6EBBD0694A96}"/>
    <cellStyle name="Comma 3 2 5 3 4" xfId="9732" xr:uid="{333A11BB-2D8A-4D5D-AB61-A303CB7F7907}"/>
    <cellStyle name="Comma 3 2 5 4" xfId="1903" xr:uid="{00000000-0005-0000-0000-00000B010000}"/>
    <cellStyle name="Comma 3 2 5 4 2" xfId="3856" xr:uid="{00000000-0005-0000-0000-00000C010000}"/>
    <cellStyle name="Comma 3 2 5 4 2 2" xfId="7777" xr:uid="{D05CFCD3-5902-4C51-ADDB-2F845C131EFA}"/>
    <cellStyle name="Comma 3 2 5 4 2 2 2" xfId="15637" xr:uid="{64994B5D-7D51-4925-B7D8-3F84F8172075}"/>
    <cellStyle name="Comma 3 2 5 4 2 3" xfId="11717" xr:uid="{DA0C85B9-F5CB-4A35-A2FD-F46977190F57}"/>
    <cellStyle name="Comma 3 2 5 4 3" xfId="5824" xr:uid="{C672B98F-99B5-4FF2-BE19-BF6B7AAFB14B}"/>
    <cellStyle name="Comma 3 2 5 4 3 2" xfId="13684" xr:uid="{284BC5D9-A61F-46B1-BEF3-75718C325914}"/>
    <cellStyle name="Comma 3 2 5 4 4" xfId="9765" xr:uid="{350CA24C-5D6A-44AD-8371-EAC7F567BD94}"/>
    <cellStyle name="Comma 3 2 5 5" xfId="3752" xr:uid="{00000000-0005-0000-0000-00000D010000}"/>
    <cellStyle name="Comma 3 2 5 5 2" xfId="7673" xr:uid="{BC5D6789-F34C-4934-998F-1CCB8A82A2E1}"/>
    <cellStyle name="Comma 3 2 5 5 2 2" xfId="15533" xr:uid="{74D2EEA1-FABE-4293-80E2-3FE748FAE8F5}"/>
    <cellStyle name="Comma 3 2 5 5 3" xfId="11613" xr:uid="{530F0E9B-B96E-43D3-957D-C49BC0864FEE}"/>
    <cellStyle name="Comma 3 2 5 6" xfId="5720" xr:uid="{F080760B-F89D-4154-98EB-5735579FAB8B}"/>
    <cellStyle name="Comma 3 2 5 6 2" xfId="13580" xr:uid="{03C8F304-CEA4-46CD-9394-579387C55795}"/>
    <cellStyle name="Comma 3 2 5 7" xfId="9661" xr:uid="{DD1D3772-937E-4C1F-BA84-3F8AFE1B3C86}"/>
    <cellStyle name="Comma 3 2 6" xfId="1811" xr:uid="{00000000-0005-0000-0000-00000E010000}"/>
    <cellStyle name="Comma 3 2 6 2" xfId="3764" xr:uid="{00000000-0005-0000-0000-00000F010000}"/>
    <cellStyle name="Comma 3 2 6 2 2" xfId="7685" xr:uid="{D4D22075-41F1-4CF1-B049-D0CC38C37CE8}"/>
    <cellStyle name="Comma 3 2 6 2 2 2" xfId="15545" xr:uid="{56B61F05-0972-4D7F-8CC9-1BDFA3AF1354}"/>
    <cellStyle name="Comma 3 2 6 2 3" xfId="11625" xr:uid="{B9190D98-5BF0-476C-AEC9-AB4B2B132730}"/>
    <cellStyle name="Comma 3 2 6 3" xfId="5732" xr:uid="{BDAFD4FE-D3BD-4C77-ABE0-1EC5B16A244E}"/>
    <cellStyle name="Comma 3 2 6 3 2" xfId="13592" xr:uid="{9524366C-A572-4263-B28F-A0016F2A71BF}"/>
    <cellStyle name="Comma 3 2 6 4" xfId="9673" xr:uid="{290AF1D6-787B-4A0B-ADDB-1984267AC560}"/>
    <cellStyle name="Comma 3 2 7" xfId="1845" xr:uid="{00000000-0005-0000-0000-000010010000}"/>
    <cellStyle name="Comma 3 2 7 2" xfId="3798" xr:uid="{00000000-0005-0000-0000-000011010000}"/>
    <cellStyle name="Comma 3 2 7 2 2" xfId="7719" xr:uid="{58FAD77B-35EA-4291-92EA-9F826E1561CB}"/>
    <cellStyle name="Comma 3 2 7 2 2 2" xfId="15579" xr:uid="{03C09C6E-EDF2-4EB0-B058-CF1397BAA1E9}"/>
    <cellStyle name="Comma 3 2 7 2 3" xfId="11659" xr:uid="{8012A384-1AA8-474D-B709-B128FF1A6D8B}"/>
    <cellStyle name="Comma 3 2 7 3" xfId="5766" xr:uid="{D5A03975-B1D7-4973-A969-D87DE88A5F84}"/>
    <cellStyle name="Comma 3 2 7 3 2" xfId="13626" xr:uid="{45A95278-ECF1-4167-9808-3803F9BEA4C2}"/>
    <cellStyle name="Comma 3 2 7 4" xfId="9707" xr:uid="{76B09F86-E378-43F6-9C23-907BC4D88B20}"/>
    <cellStyle name="Comma 3 2 8" xfId="1878" xr:uid="{00000000-0005-0000-0000-000012010000}"/>
    <cellStyle name="Comma 3 2 8 2" xfId="3831" xr:uid="{00000000-0005-0000-0000-000013010000}"/>
    <cellStyle name="Comma 3 2 8 2 2" xfId="7752" xr:uid="{E3406762-9596-48E6-B40A-88290818F85E}"/>
    <cellStyle name="Comma 3 2 8 2 2 2" xfId="15612" xr:uid="{4AFBF354-3BA3-4B9D-950C-3D7BD5FE1D71}"/>
    <cellStyle name="Comma 3 2 8 2 3" xfId="11692" xr:uid="{82DF046D-9488-4FF9-8294-20CF6376FCE5}"/>
    <cellStyle name="Comma 3 2 8 3" xfId="5799" xr:uid="{5D0BC0F9-EB6F-4A4F-9C58-FB05C789D466}"/>
    <cellStyle name="Comma 3 2 8 3 2" xfId="13659" xr:uid="{6F4FA1EE-4BC1-4ED2-B9F5-480F72A273BA}"/>
    <cellStyle name="Comma 3 2 8 4" xfId="9740" xr:uid="{6F9D77B6-42AE-41AB-9782-03881873AFC1}"/>
    <cellStyle name="Comma 3 2 9" xfId="3727" xr:uid="{00000000-0005-0000-0000-000014010000}"/>
    <cellStyle name="Comma 3 2 9 2" xfId="7648" xr:uid="{6CFDD719-5888-41D4-8536-68EA772840E6}"/>
    <cellStyle name="Comma 3 2 9 2 2" xfId="15508" xr:uid="{22F6CA71-2546-4111-A85A-0196A98BF550}"/>
    <cellStyle name="Comma 3 2 9 3" xfId="11588" xr:uid="{21EB768E-F24D-43B8-8038-2ABB5439F0A3}"/>
    <cellStyle name="Comma 3 3" xfId="1783" xr:uid="{00000000-0005-0000-0000-000015010000}"/>
    <cellStyle name="Comma 3 3 2" xfId="1820" xr:uid="{00000000-0005-0000-0000-000016010000}"/>
    <cellStyle name="Comma 3 3 2 2" xfId="3773" xr:uid="{00000000-0005-0000-0000-000017010000}"/>
    <cellStyle name="Comma 3 3 2 2 2" xfId="7694" xr:uid="{A8562777-4D78-4D12-B3D2-401D55E58C0B}"/>
    <cellStyle name="Comma 3 3 2 2 2 2" xfId="15554" xr:uid="{A891A469-714D-4719-B3C9-C3AB5DF7766D}"/>
    <cellStyle name="Comma 3 3 2 2 3" xfId="11634" xr:uid="{6F4FFC21-781E-4717-8C27-28337AF77CAB}"/>
    <cellStyle name="Comma 3 3 2 3" xfId="5741" xr:uid="{1A4A69CC-EE8A-4F8E-B4AF-817CE85FF7C8}"/>
    <cellStyle name="Comma 3 3 2 3 2" xfId="13601" xr:uid="{C4723E5E-2B41-4AFC-A2FF-2507D336B1A3}"/>
    <cellStyle name="Comma 3 3 2 4" xfId="9682" xr:uid="{DEF1ED92-2FCF-4623-8286-8AC62489ADCC}"/>
    <cellStyle name="Comma 3 3 3" xfId="1854" xr:uid="{00000000-0005-0000-0000-000018010000}"/>
    <cellStyle name="Comma 3 3 3 2" xfId="3807" xr:uid="{00000000-0005-0000-0000-000019010000}"/>
    <cellStyle name="Comma 3 3 3 2 2" xfId="7728" xr:uid="{06ED5E9A-7917-4890-A703-E8577B835FE2}"/>
    <cellStyle name="Comma 3 3 3 2 2 2" xfId="15588" xr:uid="{B6AD11BD-2A5F-406A-A38C-9092976F10D5}"/>
    <cellStyle name="Comma 3 3 3 2 3" xfId="11668" xr:uid="{E3F8C14A-2682-4817-A794-7E31ED6DFB7D}"/>
    <cellStyle name="Comma 3 3 3 3" xfId="5775" xr:uid="{EADAFB4F-E187-4B68-81B7-11A1075DBEB0}"/>
    <cellStyle name="Comma 3 3 3 3 2" xfId="13635" xr:uid="{B8328995-6EA4-4BC0-A867-A4D63570F2B1}"/>
    <cellStyle name="Comma 3 3 3 4" xfId="9716" xr:uid="{9561D862-731A-4160-9F69-72059E4B52E0}"/>
    <cellStyle name="Comma 3 3 4" xfId="1887" xr:uid="{00000000-0005-0000-0000-00001A010000}"/>
    <cellStyle name="Comma 3 3 4 2" xfId="3840" xr:uid="{00000000-0005-0000-0000-00001B010000}"/>
    <cellStyle name="Comma 3 3 4 2 2" xfId="7761" xr:uid="{6169EC9A-F827-4EE0-BDF5-9E3260900269}"/>
    <cellStyle name="Comma 3 3 4 2 2 2" xfId="15621" xr:uid="{31DF9AE1-7B12-417A-ABEB-A2624710CEE9}"/>
    <cellStyle name="Comma 3 3 4 2 3" xfId="11701" xr:uid="{6764A4DA-4617-472B-BE89-D7243B2FF769}"/>
    <cellStyle name="Comma 3 3 4 3" xfId="5808" xr:uid="{67B15B33-EDAD-40AF-8AEB-24CA365FBD39}"/>
    <cellStyle name="Comma 3 3 4 3 2" xfId="13668" xr:uid="{2D0A19E7-210A-4468-8410-426D4AD1789E}"/>
    <cellStyle name="Comma 3 3 4 4" xfId="9749" xr:uid="{C22215CB-EDBA-41F5-9AE7-BAE2118A71FA}"/>
    <cellStyle name="Comma 3 3 5" xfId="3736" xr:uid="{00000000-0005-0000-0000-00001C010000}"/>
    <cellStyle name="Comma 3 3 5 2" xfId="7657" xr:uid="{FC0A9FA3-3678-4816-A6F7-1B1BE72F12D6}"/>
    <cellStyle name="Comma 3 3 5 2 2" xfId="15517" xr:uid="{7DDE3353-4259-4E22-8C5E-3548DBA705F4}"/>
    <cellStyle name="Comma 3 3 5 3" xfId="11597" xr:uid="{D41B5422-E6F3-4AAA-8591-EBC6201F04B0}"/>
    <cellStyle name="Comma 3 3 6" xfId="5704" xr:uid="{3CB33342-0506-45CC-80AE-9E8BBD2CB56A}"/>
    <cellStyle name="Comma 3 3 6 2" xfId="13564" xr:uid="{377EC5C3-1031-4377-AC99-D8E6EC68FA72}"/>
    <cellStyle name="Comma 3 3 7" xfId="9645" xr:uid="{5A061B57-5835-494D-B52F-B2825395F508}"/>
    <cellStyle name="Comma 3 4" xfId="1777" xr:uid="{00000000-0005-0000-0000-00001D010000}"/>
    <cellStyle name="Comma 3 4 2" xfId="1814" xr:uid="{00000000-0005-0000-0000-00001E010000}"/>
    <cellStyle name="Comma 3 4 2 2" xfId="3767" xr:uid="{00000000-0005-0000-0000-00001F010000}"/>
    <cellStyle name="Comma 3 4 2 2 2" xfId="7688" xr:uid="{01D7C6E3-5F53-40E3-9EE6-644434D6682B}"/>
    <cellStyle name="Comma 3 4 2 2 2 2" xfId="15548" xr:uid="{8CB37B79-7145-4A41-9DAC-C9837490230F}"/>
    <cellStyle name="Comma 3 4 2 2 3" xfId="11628" xr:uid="{D9F89DF8-998A-4F9C-B37B-55B833337E0D}"/>
    <cellStyle name="Comma 3 4 2 3" xfId="5735" xr:uid="{30E6CE45-6885-46B1-AA57-E3186DAB24A4}"/>
    <cellStyle name="Comma 3 4 2 3 2" xfId="13595" xr:uid="{689B79FA-ED9B-4B6F-8281-A298B16477DC}"/>
    <cellStyle name="Comma 3 4 2 4" xfId="9676" xr:uid="{8487D8E5-F4FA-478A-A39F-2C40D0DA8D13}"/>
    <cellStyle name="Comma 3 4 3" xfId="1848" xr:uid="{00000000-0005-0000-0000-000020010000}"/>
    <cellStyle name="Comma 3 4 3 2" xfId="3801" xr:uid="{00000000-0005-0000-0000-000021010000}"/>
    <cellStyle name="Comma 3 4 3 2 2" xfId="7722" xr:uid="{B67092CE-C5BF-4B55-B73F-873D02902ABC}"/>
    <cellStyle name="Comma 3 4 3 2 2 2" xfId="15582" xr:uid="{0041372A-53BC-422E-9107-84F725E67C53}"/>
    <cellStyle name="Comma 3 4 3 2 3" xfId="11662" xr:uid="{71C0C07B-9684-4C68-807F-9273117BA2E5}"/>
    <cellStyle name="Comma 3 4 3 3" xfId="5769" xr:uid="{23698CCE-9942-40E6-A213-C4A1EC1E0671}"/>
    <cellStyle name="Comma 3 4 3 3 2" xfId="13629" xr:uid="{F1A4C3EB-D182-49C6-8629-4FB55C066578}"/>
    <cellStyle name="Comma 3 4 3 4" xfId="9710" xr:uid="{E34526C7-0F01-4183-8F97-A8CD1AEFFCC2}"/>
    <cellStyle name="Comma 3 4 4" xfId="1881" xr:uid="{00000000-0005-0000-0000-000022010000}"/>
    <cellStyle name="Comma 3 4 4 2" xfId="3834" xr:uid="{00000000-0005-0000-0000-000023010000}"/>
    <cellStyle name="Comma 3 4 4 2 2" xfId="7755" xr:uid="{50856A41-7E34-41BD-9EBC-BBA1E0090835}"/>
    <cellStyle name="Comma 3 4 4 2 2 2" xfId="15615" xr:uid="{D7033319-4616-4838-9314-FD9826C0E10F}"/>
    <cellStyle name="Comma 3 4 4 2 3" xfId="11695" xr:uid="{3227927C-F333-4819-A571-B9188D1B8293}"/>
    <cellStyle name="Comma 3 4 4 3" xfId="5802" xr:uid="{50981A09-2209-4346-AEA9-65EEF61B74D0}"/>
    <cellStyle name="Comma 3 4 4 3 2" xfId="13662" xr:uid="{88009DEA-A6B9-4C56-9ACF-DF937C6C0D61}"/>
    <cellStyle name="Comma 3 4 4 4" xfId="9743" xr:uid="{73742905-B4B1-4312-8A3C-42EB015AA826}"/>
    <cellStyle name="Comma 3 4 5" xfId="3730" xr:uid="{00000000-0005-0000-0000-000024010000}"/>
    <cellStyle name="Comma 3 4 5 2" xfId="7651" xr:uid="{8BA19252-9182-49BF-B3C9-FB58B322848E}"/>
    <cellStyle name="Comma 3 4 5 2 2" xfId="15511" xr:uid="{454F1F5E-BFEC-4C73-94C3-7100BC5EFE8C}"/>
    <cellStyle name="Comma 3 4 5 3" xfId="11591" xr:uid="{08276C56-FD08-4515-A8B5-66EA1FD08C74}"/>
    <cellStyle name="Comma 3 4 6" xfId="5698" xr:uid="{81D2AB16-1E4A-4804-9FDC-A8CAAE70EE84}"/>
    <cellStyle name="Comma 3 4 6 2" xfId="13558" xr:uid="{B0A89DE1-46E8-4B85-9B0A-17A4179ADC17}"/>
    <cellStyle name="Comma 3 4 7" xfId="9639" xr:uid="{006F00D3-27C5-455C-BC8D-2B0A44AF37FA}"/>
    <cellStyle name="Comma 3 5" xfId="249" xr:uid="{00000000-0005-0000-0000-000025010000}"/>
    <cellStyle name="Comma 3 5 2" xfId="701" xr:uid="{00000000-0005-0000-0000-000026010000}"/>
    <cellStyle name="Comma 3 5 2 2" xfId="2655" xr:uid="{00000000-0005-0000-0000-000027010000}"/>
    <cellStyle name="Comma 3 5 2 2 2" xfId="6576" xr:uid="{DF4798DF-C9CF-430D-BEF5-C550EBC9FE1D}"/>
    <cellStyle name="Comma 3 5 2 2 2 2" xfId="14436" xr:uid="{CBB89B75-BE98-4F20-8CF7-AFC27CCBDD19}"/>
    <cellStyle name="Comma 3 5 2 2 3" xfId="10516" xr:uid="{21D09863-CC3B-4AED-B777-802F14F580DE}"/>
    <cellStyle name="Comma 3 5 2 3" xfId="4622" xr:uid="{B9D988F1-AD97-4258-8DC0-167A651CA355}"/>
    <cellStyle name="Comma 3 5 2 3 2" xfId="12482" xr:uid="{A0D51FEA-A1DA-44EA-B96E-ABAEBEEAB2DB}"/>
    <cellStyle name="Comma 3 5 2 4" xfId="8563" xr:uid="{A8621C3E-C03B-41AA-B15B-CDF4FA0BF4DC}"/>
    <cellStyle name="Comma 3 5 3" xfId="1138" xr:uid="{00000000-0005-0000-0000-000028010000}"/>
    <cellStyle name="Comma 3 5 3 2" xfId="3092" xr:uid="{00000000-0005-0000-0000-000029010000}"/>
    <cellStyle name="Comma 3 5 3 2 2" xfId="7013" xr:uid="{26329EC9-564E-4BB3-821B-15121E05D858}"/>
    <cellStyle name="Comma 3 5 3 2 2 2" xfId="14873" xr:uid="{598C3BCF-E31B-4866-897F-DD60E76D7AF9}"/>
    <cellStyle name="Comma 3 5 3 2 3" xfId="10953" xr:uid="{B454EC71-F496-48D2-BC6E-981078DE77C3}"/>
    <cellStyle name="Comma 3 5 3 3" xfId="5059" xr:uid="{6264ED7C-D5BD-40CD-85C6-367FB0351C2C}"/>
    <cellStyle name="Comma 3 5 3 3 2" xfId="12919" xr:uid="{5D7D5CD7-DA7B-476C-B00C-C31D60D7BD4B}"/>
    <cellStyle name="Comma 3 5 3 4" xfId="9000" xr:uid="{82AF1999-62F0-4219-9056-4E9AF41F648E}"/>
    <cellStyle name="Comma 3 5 4" xfId="1562" xr:uid="{00000000-0005-0000-0000-00002A010000}"/>
    <cellStyle name="Comma 3 5 4 2" xfId="3516" xr:uid="{00000000-0005-0000-0000-00002B010000}"/>
    <cellStyle name="Comma 3 5 4 2 2" xfId="7437" xr:uid="{7BDA82F7-6818-4EA5-A291-20B5A21C0A00}"/>
    <cellStyle name="Comma 3 5 4 2 2 2" xfId="15297" xr:uid="{FA159D15-2ACE-4946-B1BA-D0AA463DE2D9}"/>
    <cellStyle name="Comma 3 5 4 2 3" xfId="11377" xr:uid="{CF57B96F-6A9A-46DD-91DB-4CAD7A1CD444}"/>
    <cellStyle name="Comma 3 5 4 3" xfId="5483" xr:uid="{FD01784B-AD9F-4D3B-B240-B1C04CAEC83F}"/>
    <cellStyle name="Comma 3 5 4 3 2" xfId="13343" xr:uid="{1EECF7E8-9DF8-4E01-B5D9-62FF5AA836FD}"/>
    <cellStyle name="Comma 3 5 4 4" xfId="9424" xr:uid="{C7E5898D-14AF-41F4-A13C-BF38F969806B}"/>
    <cellStyle name="Comma 3 5 5" xfId="2215" xr:uid="{00000000-0005-0000-0000-00002C010000}"/>
    <cellStyle name="Comma 3 5 5 2" xfId="6136" xr:uid="{8B6D973D-07F8-4F61-933D-73B0FBCF003B}"/>
    <cellStyle name="Comma 3 5 5 2 2" xfId="13996" xr:uid="{B46CF9A9-FC0F-4777-B59E-7A78959D9EF5}"/>
    <cellStyle name="Comma 3 5 5 3" xfId="10076" xr:uid="{B0077B86-CF37-466C-A255-B9E19603E5D5}"/>
    <cellStyle name="Comma 3 5 6" xfId="4182" xr:uid="{C201F5B2-17F7-407D-AC42-6A61FBB928CF}"/>
    <cellStyle name="Comma 3 5 6 2" xfId="12042" xr:uid="{200A6E63-47F2-4C07-801E-243A0ABDC8EC}"/>
    <cellStyle name="Comma 3 5 7" xfId="8121" xr:uid="{DC670F0C-2F33-49E1-9D24-1264F744DBAA}"/>
    <cellStyle name="Comma 3 6" xfId="1789" xr:uid="{00000000-0005-0000-0000-00002D010000}"/>
    <cellStyle name="Comma 3 6 2" xfId="1826" xr:uid="{00000000-0005-0000-0000-00002E010000}"/>
    <cellStyle name="Comma 3 6 2 2" xfId="3779" xr:uid="{00000000-0005-0000-0000-00002F010000}"/>
    <cellStyle name="Comma 3 6 2 2 2" xfId="7700" xr:uid="{960907E5-90DE-40F3-BA62-7CAE4617802E}"/>
    <cellStyle name="Comma 3 6 2 2 2 2" xfId="15560" xr:uid="{57774433-498B-4EFC-BBDD-3DEF0522FFD8}"/>
    <cellStyle name="Comma 3 6 2 2 3" xfId="11640" xr:uid="{88069134-D517-4016-A9FC-3B17C1C7916D}"/>
    <cellStyle name="Comma 3 6 2 3" xfId="5747" xr:uid="{0C350640-CD3A-4AE1-8F6A-0AB53D908D1E}"/>
    <cellStyle name="Comma 3 6 2 3 2" xfId="13607" xr:uid="{22086F36-2265-457A-857D-D386F3FBFCFE}"/>
    <cellStyle name="Comma 3 6 2 4" xfId="9688" xr:uid="{285C9998-24BC-4B91-93B3-D29D4CF8CA8C}"/>
    <cellStyle name="Comma 3 6 3" xfId="1860" xr:uid="{00000000-0005-0000-0000-000030010000}"/>
    <cellStyle name="Comma 3 6 3 2" xfId="3813" xr:uid="{00000000-0005-0000-0000-000031010000}"/>
    <cellStyle name="Comma 3 6 3 2 2" xfId="7734" xr:uid="{EA8B2B56-9CAC-4552-B3F7-0ADB2144181F}"/>
    <cellStyle name="Comma 3 6 3 2 2 2" xfId="15594" xr:uid="{14E99452-9B3B-4243-9361-36A7923FD189}"/>
    <cellStyle name="Comma 3 6 3 2 3" xfId="11674" xr:uid="{5F19C048-A4BC-4DA0-B144-3762D98D3EDC}"/>
    <cellStyle name="Comma 3 6 3 3" xfId="5781" xr:uid="{D67B5359-09ED-4718-B74D-599FFE31ECD4}"/>
    <cellStyle name="Comma 3 6 3 3 2" xfId="13641" xr:uid="{78D3EB6E-6DE9-4A21-BC50-E43416B0C739}"/>
    <cellStyle name="Comma 3 6 3 4" xfId="9722" xr:uid="{7BC82C51-7D6F-47CE-B62F-5B30A624E15B}"/>
    <cellStyle name="Comma 3 6 4" xfId="1893" xr:uid="{00000000-0005-0000-0000-000032010000}"/>
    <cellStyle name="Comma 3 6 4 2" xfId="3846" xr:uid="{00000000-0005-0000-0000-000033010000}"/>
    <cellStyle name="Comma 3 6 4 2 2" xfId="7767" xr:uid="{2A10F751-734B-4A62-A257-D2A200A4198B}"/>
    <cellStyle name="Comma 3 6 4 2 2 2" xfId="15627" xr:uid="{77BF619C-6635-4E65-962A-9043FD44F56E}"/>
    <cellStyle name="Comma 3 6 4 2 3" xfId="11707" xr:uid="{F5436BD5-6C0B-4122-BE40-789F957E461E}"/>
    <cellStyle name="Comma 3 6 4 3" xfId="5814" xr:uid="{EA07DDB0-1A25-4928-87F3-AAC5CF3BDC11}"/>
    <cellStyle name="Comma 3 6 4 3 2" xfId="13674" xr:uid="{6334FC16-8313-4EFC-8DDB-D6D560D84E97}"/>
    <cellStyle name="Comma 3 6 4 4" xfId="9755" xr:uid="{488FFB7C-AA8E-44D7-9955-5F0DB6BDEC4C}"/>
    <cellStyle name="Comma 3 6 5" xfId="3742" xr:uid="{00000000-0005-0000-0000-000034010000}"/>
    <cellStyle name="Comma 3 6 5 2" xfId="7663" xr:uid="{D2C0DB6F-49C5-42FF-A49E-B74675B3B512}"/>
    <cellStyle name="Comma 3 6 5 2 2" xfId="15523" xr:uid="{63A3E3F2-3126-4976-8118-FFBC4BCC1B08}"/>
    <cellStyle name="Comma 3 6 5 3" xfId="11603" xr:uid="{EEDB5B75-0EA2-4416-8CE1-142B4238F482}"/>
    <cellStyle name="Comma 3 6 6" xfId="5710" xr:uid="{42B69A28-FCF6-472E-8143-AFD3BD758935}"/>
    <cellStyle name="Comma 3 6 6 2" xfId="13570" xr:uid="{595AC9BA-D05D-4FDA-9A38-52FCBD2BF25D}"/>
    <cellStyle name="Comma 3 6 7" xfId="9651" xr:uid="{4C12449F-C4C8-4471-8126-2882BABD8759}"/>
    <cellStyle name="Comma 3 7" xfId="1795" xr:uid="{00000000-0005-0000-0000-000035010000}"/>
    <cellStyle name="Comma 3 7 2" xfId="1832" xr:uid="{00000000-0005-0000-0000-000036010000}"/>
    <cellStyle name="Comma 3 7 2 2" xfId="3785" xr:uid="{00000000-0005-0000-0000-000037010000}"/>
    <cellStyle name="Comma 3 7 2 2 2" xfId="7706" xr:uid="{3DCBC11C-9D3A-4441-A792-24593401FDFD}"/>
    <cellStyle name="Comma 3 7 2 2 2 2" xfId="15566" xr:uid="{2199DB2D-5C38-461E-90D7-363B614DF210}"/>
    <cellStyle name="Comma 3 7 2 2 3" xfId="11646" xr:uid="{EA2682DC-5B4D-4488-94DA-2633FF75E9CE}"/>
    <cellStyle name="Comma 3 7 2 3" xfId="5753" xr:uid="{0E085117-B199-477A-A339-A3562C18939C}"/>
    <cellStyle name="Comma 3 7 2 3 2" xfId="13613" xr:uid="{17B54374-CA5A-49CC-BDED-43ACA49373BB}"/>
    <cellStyle name="Comma 3 7 2 4" xfId="9694" xr:uid="{CC6DD8CD-4D89-49E2-94F5-0E2C6A7F4063}"/>
    <cellStyle name="Comma 3 7 3" xfId="1866" xr:uid="{00000000-0005-0000-0000-000038010000}"/>
    <cellStyle name="Comma 3 7 3 2" xfId="3819" xr:uid="{00000000-0005-0000-0000-000039010000}"/>
    <cellStyle name="Comma 3 7 3 2 2" xfId="7740" xr:uid="{51A36C41-CE80-4CBC-902C-011C230D02C0}"/>
    <cellStyle name="Comma 3 7 3 2 2 2" xfId="15600" xr:uid="{5D89342F-E764-4ACA-8981-D906EDE62207}"/>
    <cellStyle name="Comma 3 7 3 2 3" xfId="11680" xr:uid="{A7FE4FB9-44FB-4562-A764-D81FF0986C8D}"/>
    <cellStyle name="Comma 3 7 3 3" xfId="5787" xr:uid="{2A676C28-373C-4A71-95C5-F647CC958DC3}"/>
    <cellStyle name="Comma 3 7 3 3 2" xfId="13647" xr:uid="{8332BDD9-9F38-4AE1-983D-743B1652E874}"/>
    <cellStyle name="Comma 3 7 3 4" xfId="9728" xr:uid="{A4FCF304-811E-4BE9-8E0E-9726ACD97156}"/>
    <cellStyle name="Comma 3 7 4" xfId="1899" xr:uid="{00000000-0005-0000-0000-00003A010000}"/>
    <cellStyle name="Comma 3 7 4 2" xfId="3852" xr:uid="{00000000-0005-0000-0000-00003B010000}"/>
    <cellStyle name="Comma 3 7 4 2 2" xfId="7773" xr:uid="{56609CC0-8C2A-4DCF-9331-EF9DDDEC87C5}"/>
    <cellStyle name="Comma 3 7 4 2 2 2" xfId="15633" xr:uid="{B9300264-DEC7-4ABE-A444-09CAAE66FA24}"/>
    <cellStyle name="Comma 3 7 4 2 3" xfId="11713" xr:uid="{41A4A815-12EE-40DD-95DC-624B5A96091B}"/>
    <cellStyle name="Comma 3 7 4 3" xfId="5820" xr:uid="{F8E829B1-1D94-408E-A813-C5E387AF49B6}"/>
    <cellStyle name="Comma 3 7 4 3 2" xfId="13680" xr:uid="{8BCA5EEE-5646-41C0-B8BF-ADB64A87B5C8}"/>
    <cellStyle name="Comma 3 7 4 4" xfId="9761" xr:uid="{75DE5833-FDA7-49D5-B5F2-997BBBBCF1E4}"/>
    <cellStyle name="Comma 3 7 5" xfId="3748" xr:uid="{00000000-0005-0000-0000-00003C010000}"/>
    <cellStyle name="Comma 3 7 5 2" xfId="7669" xr:uid="{49E51662-C695-44CB-AD4A-E52F2288F313}"/>
    <cellStyle name="Comma 3 7 5 2 2" xfId="15529" xr:uid="{1D9F392D-57DE-48B4-9FDF-13D1D00E549B}"/>
    <cellStyle name="Comma 3 7 5 3" xfId="11609" xr:uid="{C19DA7C1-D7F4-46AA-8FA3-F48129832F50}"/>
    <cellStyle name="Comma 3 7 6" xfId="5716" xr:uid="{12CB3D1B-1BBA-4FD0-B3C0-9A6831D7BB62}"/>
    <cellStyle name="Comma 3 7 6 2" xfId="13576" xr:uid="{01833E52-CAF5-4146-817D-635EBCE91727}"/>
    <cellStyle name="Comma 3 7 7" xfId="9657" xr:uid="{7DE1A648-33DE-471B-8267-6913209024A3}"/>
    <cellStyle name="Comma 3 8" xfId="1808" xr:uid="{00000000-0005-0000-0000-00003D010000}"/>
    <cellStyle name="Comma 3 8 2" xfId="3761" xr:uid="{00000000-0005-0000-0000-00003E010000}"/>
    <cellStyle name="Comma 3 8 2 2" xfId="7682" xr:uid="{8DB7077A-097C-48B4-AFEC-6F0C9DE4D706}"/>
    <cellStyle name="Comma 3 8 2 2 2" xfId="15542" xr:uid="{71B00FD6-6886-459D-80A0-C8D781649038}"/>
    <cellStyle name="Comma 3 8 2 3" xfId="11622" xr:uid="{74A290F8-DC37-41DB-8384-190ABD94CFFD}"/>
    <cellStyle name="Comma 3 8 3" xfId="5729" xr:uid="{4320C0EB-8A10-47DA-886A-B681BBD60861}"/>
    <cellStyle name="Comma 3 8 3 2" xfId="13589" xr:uid="{02612D4E-5AA8-4F59-B553-CA88AD1326BD}"/>
    <cellStyle name="Comma 3 8 4" xfId="9670" xr:uid="{9FB70A5C-2B35-4E60-AE93-340D61B29FD4}"/>
    <cellStyle name="Comma 3 9" xfId="1842" xr:uid="{00000000-0005-0000-0000-00003F010000}"/>
    <cellStyle name="Comma 3 9 2" xfId="3795" xr:uid="{00000000-0005-0000-0000-000040010000}"/>
    <cellStyle name="Comma 3 9 2 2" xfId="7716" xr:uid="{7177F3D9-7353-4264-935B-8CB0D6033C2E}"/>
    <cellStyle name="Comma 3 9 2 2 2" xfId="15576" xr:uid="{1CF68519-7B39-4AD9-9BD2-12AACE4E5F69}"/>
    <cellStyle name="Comma 3 9 2 3" xfId="11656" xr:uid="{1D6C1C0A-8109-480B-AF92-E1A5801FD5E4}"/>
    <cellStyle name="Comma 3 9 3" xfId="5763" xr:uid="{F3D5AD7D-850B-4862-84B6-9234C0FDF393}"/>
    <cellStyle name="Comma 3 9 3 2" xfId="13623" xr:uid="{80519471-F4D5-419B-83DA-BF0A956CD309}"/>
    <cellStyle name="Comma 3 9 4" xfId="9704" xr:uid="{87CB6E68-74D8-4D0C-BBB3-894C55F378AC}"/>
    <cellStyle name="Comma 30" xfId="15749" xr:uid="{46367D09-983A-4E67-9CB4-050B8A995810}"/>
    <cellStyle name="Comma 31" xfId="15762" xr:uid="{2F902F11-5DEC-46AA-9F90-5BA904BF28C8}"/>
    <cellStyle name="Comma 4" xfId="42" xr:uid="{00000000-0005-0000-0000-000041010000}"/>
    <cellStyle name="Comma 4 10" xfId="1359" xr:uid="{00000000-0005-0000-0000-000042010000}"/>
    <cellStyle name="Comma 4 10 2" xfId="3313" xr:uid="{00000000-0005-0000-0000-000043010000}"/>
    <cellStyle name="Comma 4 10 2 2" xfId="7234" xr:uid="{BF3EEDBC-EEB7-4C31-A949-272A78FCD88A}"/>
    <cellStyle name="Comma 4 10 2 2 2" xfId="15094" xr:uid="{6DF508EE-33B0-4955-8824-3FE010DAF5ED}"/>
    <cellStyle name="Comma 4 10 2 3" xfId="11174" xr:uid="{E7ECCC50-AFE8-43D6-887F-3F250EA0C23E}"/>
    <cellStyle name="Comma 4 10 3" xfId="5280" xr:uid="{A4A72190-5626-40BD-ABDF-897BBC389C2C}"/>
    <cellStyle name="Comma 4 10 3 2" xfId="13140" xr:uid="{EF620D62-98A8-410F-9492-2507BDD1FF08}"/>
    <cellStyle name="Comma 4 10 4" xfId="9221" xr:uid="{04A100F5-0EDC-4CD8-B5EA-F41A07601180}"/>
    <cellStyle name="Comma 4 11" xfId="1912" xr:uid="{00000000-0005-0000-0000-000044010000}"/>
    <cellStyle name="Comma 4 11 2" xfId="3865" xr:uid="{00000000-0005-0000-0000-000045010000}"/>
    <cellStyle name="Comma 4 11 2 2" xfId="7786" xr:uid="{56DA6A59-449E-4DD0-B549-47410E453B0B}"/>
    <cellStyle name="Comma 4 11 2 2 2" xfId="15646" xr:uid="{AD444511-7A82-4BC1-92B1-F3118D991740}"/>
    <cellStyle name="Comma 4 11 2 3" xfId="11726" xr:uid="{E0F18499-A41E-4140-B2BA-33FF5BB90F6E}"/>
    <cellStyle name="Comma 4 11 3" xfId="5833" xr:uid="{B9294568-BB9D-4FC0-8565-9EC819B8152C}"/>
    <cellStyle name="Comma 4 11 3 2" xfId="13693" xr:uid="{F08806F7-BE63-46C4-9419-0B2BB59468D5}"/>
    <cellStyle name="Comma 4 11 4" xfId="9774" xr:uid="{401E13EF-0C72-4D3A-A45B-ED878CAB39F9}"/>
    <cellStyle name="Comma 4 12" xfId="2012" xr:uid="{00000000-0005-0000-0000-000046010000}"/>
    <cellStyle name="Comma 4 12 2" xfId="5933" xr:uid="{2A54554F-ABDA-4458-AF05-DB62401CA2D1}"/>
    <cellStyle name="Comma 4 12 2 2" xfId="13793" xr:uid="{F69EA6AA-16ED-4561-9B6B-F1775957A086}"/>
    <cellStyle name="Comma 4 12 3" xfId="9873" xr:uid="{0C9CF6F2-1DC0-4DEC-B680-F5C186637EEB}"/>
    <cellStyle name="Comma 4 13" xfId="3979" xr:uid="{67F5EE03-3B82-481A-A3EF-AA666EFF0266}"/>
    <cellStyle name="Comma 4 13 2" xfId="11839" xr:uid="{910C716D-0125-42D3-AD9A-D06BA52ED3A5}"/>
    <cellStyle name="Comma 4 14" xfId="7917" xr:uid="{F2571B00-335B-43D0-8C8E-5EDB6E4BD9CD}"/>
    <cellStyle name="Comma 4 2" xfId="82" xr:uid="{00000000-0005-0000-0000-000047010000}"/>
    <cellStyle name="Comma 4 2 10" xfId="4018" xr:uid="{F9F88C01-556E-4E9B-9A2B-A9D89D2F2756}"/>
    <cellStyle name="Comma 4 2 10 2" xfId="11878" xr:uid="{BAE447DF-CD83-4837-8227-12F021035305}"/>
    <cellStyle name="Comma 4 2 11" xfId="7956" xr:uid="{EECE986E-2A13-4283-BF6B-2D1BC8E6AFA0}"/>
    <cellStyle name="Comma 4 2 2" xfId="238" xr:uid="{00000000-0005-0000-0000-000048010000}"/>
    <cellStyle name="Comma 4 2 2 2" xfId="690" xr:uid="{00000000-0005-0000-0000-000049010000}"/>
    <cellStyle name="Comma 4 2 2 2 2" xfId="2644" xr:uid="{00000000-0005-0000-0000-00004A010000}"/>
    <cellStyle name="Comma 4 2 2 2 2 2" xfId="6565" xr:uid="{2212E55A-E684-4ACE-ABFD-AE9D7F1AC3C3}"/>
    <cellStyle name="Comma 4 2 2 2 2 2 2" xfId="14425" xr:uid="{40AABF62-BB99-4160-96C6-F96E7E25A74B}"/>
    <cellStyle name="Comma 4 2 2 2 2 3" xfId="10505" xr:uid="{C05142C2-C141-489E-BE49-0E9AA0DE1805}"/>
    <cellStyle name="Comma 4 2 2 2 3" xfId="4611" xr:uid="{80B6339A-E709-4401-9CC9-0238F0F55D7F}"/>
    <cellStyle name="Comma 4 2 2 2 3 2" xfId="12471" xr:uid="{FF09E09A-D283-414E-8B84-186CC4C7079C}"/>
    <cellStyle name="Comma 4 2 2 2 4" xfId="8552" xr:uid="{92D14017-5DC6-4F35-88E9-B3910C868017}"/>
    <cellStyle name="Comma 4 2 2 3" xfId="1127" xr:uid="{00000000-0005-0000-0000-00004B010000}"/>
    <cellStyle name="Comma 4 2 2 3 2" xfId="3081" xr:uid="{00000000-0005-0000-0000-00004C010000}"/>
    <cellStyle name="Comma 4 2 2 3 2 2" xfId="7002" xr:uid="{AC3DF8A3-85BD-4757-9BC6-9A557EC3D274}"/>
    <cellStyle name="Comma 4 2 2 3 2 2 2" xfId="14862" xr:uid="{05A1C2B7-88C6-44CA-BBC7-0F135CC576D1}"/>
    <cellStyle name="Comma 4 2 2 3 2 3" xfId="10942" xr:uid="{CB5BA9DB-E4BB-4319-A929-DC20B2791357}"/>
    <cellStyle name="Comma 4 2 2 3 3" xfId="5048" xr:uid="{3A3FFF52-82DE-4483-B389-F5B7428B640C}"/>
    <cellStyle name="Comma 4 2 2 3 3 2" xfId="12908" xr:uid="{FE0AE94D-8576-4D9B-8EFC-98173D6C485B}"/>
    <cellStyle name="Comma 4 2 2 3 4" xfId="8989" xr:uid="{6C98E255-C1C4-4261-BC25-079B2CF052E7}"/>
    <cellStyle name="Comma 4 2 2 4" xfId="1554" xr:uid="{00000000-0005-0000-0000-00004D010000}"/>
    <cellStyle name="Comma 4 2 2 4 2" xfId="3508" xr:uid="{00000000-0005-0000-0000-00004E010000}"/>
    <cellStyle name="Comma 4 2 2 4 2 2" xfId="7429" xr:uid="{0C7F195E-BE24-4663-A1B5-D67E4A48E0F7}"/>
    <cellStyle name="Comma 4 2 2 4 2 2 2" xfId="15289" xr:uid="{1E581888-902B-48EC-ACE1-FABE10B7929E}"/>
    <cellStyle name="Comma 4 2 2 4 2 3" xfId="11369" xr:uid="{A56CBCEF-98A7-429D-8514-C51D1CBD4C66}"/>
    <cellStyle name="Comma 4 2 2 4 3" xfId="5475" xr:uid="{3C16CE41-D306-46B2-80AF-0718E58497F0}"/>
    <cellStyle name="Comma 4 2 2 4 3 2" xfId="13335" xr:uid="{8E870A77-F80B-4AD5-B604-F238134F2D63}"/>
    <cellStyle name="Comma 4 2 2 4 4" xfId="9416" xr:uid="{9E8046A9-4346-4EF2-8F6B-A883B5CE6521}"/>
    <cellStyle name="Comma 4 2 2 5" xfId="2207" xr:uid="{00000000-0005-0000-0000-00004F010000}"/>
    <cellStyle name="Comma 4 2 2 5 2" xfId="6128" xr:uid="{441A187B-428E-4F1E-80ED-43ABCBEB2D93}"/>
    <cellStyle name="Comma 4 2 2 5 2 2" xfId="13988" xr:uid="{8849D8A4-A3D2-4101-8161-DEBF67CDA788}"/>
    <cellStyle name="Comma 4 2 2 5 3" xfId="10068" xr:uid="{16613853-CD6D-4E3C-A1BC-031DD0AF26B8}"/>
    <cellStyle name="Comma 4 2 2 6" xfId="4174" xr:uid="{A72148B7-86FB-4B05-9007-8D83977C7E13}"/>
    <cellStyle name="Comma 4 2 2 6 2" xfId="12034" xr:uid="{8BFBF9D4-0B28-42A5-B145-BC5379414813}"/>
    <cellStyle name="Comma 4 2 2 7" xfId="8112" xr:uid="{EE6DBE0F-3B26-4552-9184-21146F878AF7}"/>
    <cellStyle name="Comma 4 2 3" xfId="160" xr:uid="{00000000-0005-0000-0000-000050010000}"/>
    <cellStyle name="Comma 4 2 3 2" xfId="612" xr:uid="{00000000-0005-0000-0000-000051010000}"/>
    <cellStyle name="Comma 4 2 3 2 2" xfId="2566" xr:uid="{00000000-0005-0000-0000-000052010000}"/>
    <cellStyle name="Comma 4 2 3 2 2 2" xfId="6487" xr:uid="{9848BF0C-706E-443B-A03F-2D565F2AFA60}"/>
    <cellStyle name="Comma 4 2 3 2 2 2 2" xfId="14347" xr:uid="{AC981812-4029-44A1-A84F-6D9B9F0A5E17}"/>
    <cellStyle name="Comma 4 2 3 2 2 3" xfId="10427" xr:uid="{9C8B7F38-301C-43CE-9613-E8CA61AA2FD3}"/>
    <cellStyle name="Comma 4 2 3 2 3" xfId="4533" xr:uid="{3D58AB12-C75A-4C51-A99E-D322BAE59557}"/>
    <cellStyle name="Comma 4 2 3 2 3 2" xfId="12393" xr:uid="{08CBFBDC-98C8-4FD3-9205-80ADE5EC001D}"/>
    <cellStyle name="Comma 4 2 3 2 4" xfId="8474" xr:uid="{C2BEE734-6E89-44DA-B872-47AC44CCB616}"/>
    <cellStyle name="Comma 4 2 3 3" xfId="1049" xr:uid="{00000000-0005-0000-0000-000053010000}"/>
    <cellStyle name="Comma 4 2 3 3 2" xfId="3003" xr:uid="{00000000-0005-0000-0000-000054010000}"/>
    <cellStyle name="Comma 4 2 3 3 2 2" xfId="6924" xr:uid="{CA3387E1-7118-4C34-BDB2-5A7C43755E24}"/>
    <cellStyle name="Comma 4 2 3 3 2 2 2" xfId="14784" xr:uid="{9714C8CB-B98E-4EFA-BE03-6018756B44DE}"/>
    <cellStyle name="Comma 4 2 3 3 2 3" xfId="10864" xr:uid="{20AAE226-D114-4A2A-9345-1AE29DEC8ECF}"/>
    <cellStyle name="Comma 4 2 3 3 3" xfId="4970" xr:uid="{498D1C8A-4F7D-43BE-BB3A-0549A83CE7B5}"/>
    <cellStyle name="Comma 4 2 3 3 3 2" xfId="12830" xr:uid="{C3A49251-8747-43B5-BAB1-1F2FEF8502DF}"/>
    <cellStyle name="Comma 4 2 3 3 4" xfId="8911" xr:uid="{44B5CBFD-4DFA-4CC0-B9FA-290E26C5A3CF}"/>
    <cellStyle name="Comma 4 2 3 4" xfId="1476" xr:uid="{00000000-0005-0000-0000-000055010000}"/>
    <cellStyle name="Comma 4 2 3 4 2" xfId="3430" xr:uid="{00000000-0005-0000-0000-000056010000}"/>
    <cellStyle name="Comma 4 2 3 4 2 2" xfId="7351" xr:uid="{F789FF60-653F-451A-BF69-7064F16A3A8F}"/>
    <cellStyle name="Comma 4 2 3 4 2 2 2" xfId="15211" xr:uid="{50495DA6-D744-488E-82B4-C422569BF172}"/>
    <cellStyle name="Comma 4 2 3 4 2 3" xfId="11291" xr:uid="{3105EAB0-BAC9-4F80-91FB-73E7C300EBDA}"/>
    <cellStyle name="Comma 4 2 3 4 3" xfId="5397" xr:uid="{0BE049CD-F328-4A23-8394-55BFC5A75B6D}"/>
    <cellStyle name="Comma 4 2 3 4 3 2" xfId="13257" xr:uid="{1AECBF83-27A4-4D9E-AA7D-BDF80E79A1F7}"/>
    <cellStyle name="Comma 4 2 3 4 4" xfId="9338" xr:uid="{ABAF6767-6AC2-4043-8F74-9D41CAF89697}"/>
    <cellStyle name="Comma 4 2 3 5" xfId="2129" xr:uid="{00000000-0005-0000-0000-000057010000}"/>
    <cellStyle name="Comma 4 2 3 5 2" xfId="6050" xr:uid="{73E1A045-C958-4D04-8D0E-8CC2C553AD20}"/>
    <cellStyle name="Comma 4 2 3 5 2 2" xfId="13910" xr:uid="{0DFFE221-3CCE-4EE1-A5B4-04D8ACEA3F41}"/>
    <cellStyle name="Comma 4 2 3 5 3" xfId="9990" xr:uid="{0B720B9F-5309-4D00-A23D-F9CA2D5D3879}"/>
    <cellStyle name="Comma 4 2 3 6" xfId="4096" xr:uid="{8EB79F79-D5F0-4A4F-9C82-DBBF1460AE00}"/>
    <cellStyle name="Comma 4 2 3 6 2" xfId="11956" xr:uid="{638A9492-FE1F-4DF0-8B92-38EAE85EFEC5}"/>
    <cellStyle name="Comma 4 2 3 7" xfId="8034" xr:uid="{FFF4D258-57E1-4E70-9686-0474A53E706D}"/>
    <cellStyle name="Comma 4 2 4" xfId="345" xr:uid="{00000000-0005-0000-0000-000058010000}"/>
    <cellStyle name="Comma 4 2 4 2" xfId="797" xr:uid="{00000000-0005-0000-0000-000059010000}"/>
    <cellStyle name="Comma 4 2 4 2 2" xfId="2751" xr:uid="{00000000-0005-0000-0000-00005A010000}"/>
    <cellStyle name="Comma 4 2 4 2 2 2" xfId="6672" xr:uid="{8CCDA9A5-631D-4089-A892-E8E95AB7AAD1}"/>
    <cellStyle name="Comma 4 2 4 2 2 2 2" xfId="14532" xr:uid="{C02673C9-7512-4243-B37E-41275521B73A}"/>
    <cellStyle name="Comma 4 2 4 2 2 3" xfId="10612" xr:uid="{22A70AC4-C66F-4E7C-AFF2-1F9B2BB7D457}"/>
    <cellStyle name="Comma 4 2 4 2 3" xfId="4718" xr:uid="{B6D86B86-152B-4133-AC65-D2251892BB89}"/>
    <cellStyle name="Comma 4 2 4 2 3 2" xfId="12578" xr:uid="{7D73E8CC-C302-4A90-993D-6330E5C88974}"/>
    <cellStyle name="Comma 4 2 4 2 4" xfId="8659" xr:uid="{1A6055FF-B826-4E8F-99DF-5BEDE02CF1FC}"/>
    <cellStyle name="Comma 4 2 4 3" xfId="1231" xr:uid="{00000000-0005-0000-0000-00005B010000}"/>
    <cellStyle name="Comma 4 2 4 3 2" xfId="3185" xr:uid="{00000000-0005-0000-0000-00005C010000}"/>
    <cellStyle name="Comma 4 2 4 3 2 2" xfId="7106" xr:uid="{D59E3BE7-EC06-45AA-8724-4E3808D48BBA}"/>
    <cellStyle name="Comma 4 2 4 3 2 2 2" xfId="14966" xr:uid="{4C41DA1F-6857-4B89-9039-633C2BF9F895}"/>
    <cellStyle name="Comma 4 2 4 3 2 3" xfId="11046" xr:uid="{B1A9188D-75B2-4383-92BE-2B3B29ADE0A3}"/>
    <cellStyle name="Comma 4 2 4 3 3" xfId="5152" xr:uid="{A289CA5A-184C-46FF-9BC3-75761153D09E}"/>
    <cellStyle name="Comma 4 2 4 3 3 2" xfId="13012" xr:uid="{B6730569-DB8B-4F9E-8341-009C05C5011D}"/>
    <cellStyle name="Comma 4 2 4 3 4" xfId="9093" xr:uid="{7374FA2A-F0DC-40BB-AADA-CACEEF6201F4}"/>
    <cellStyle name="Comma 4 2 4 4" xfId="1651" xr:uid="{00000000-0005-0000-0000-00005D010000}"/>
    <cellStyle name="Comma 4 2 4 4 2" xfId="3605" xr:uid="{00000000-0005-0000-0000-00005E010000}"/>
    <cellStyle name="Comma 4 2 4 4 2 2" xfId="7526" xr:uid="{2E4E53F4-BAD9-43D0-96E0-A54E0D11A0D2}"/>
    <cellStyle name="Comma 4 2 4 4 2 2 2" xfId="15386" xr:uid="{C5E53CFB-7851-496E-B555-707DDDFCBBCA}"/>
    <cellStyle name="Comma 4 2 4 4 2 3" xfId="11466" xr:uid="{FAED86F7-DF36-4BE6-890E-29106559985C}"/>
    <cellStyle name="Comma 4 2 4 4 3" xfId="5572" xr:uid="{F176C124-7141-4A1F-A8C9-4D5885E0174A}"/>
    <cellStyle name="Comma 4 2 4 4 3 2" xfId="13432" xr:uid="{57308F4C-24EA-4907-96D9-C626156F6B24}"/>
    <cellStyle name="Comma 4 2 4 4 4" xfId="9513" xr:uid="{B340DEE6-DDEF-456E-A7AB-F8E25D4A942B}"/>
    <cellStyle name="Comma 4 2 4 5" xfId="2305" xr:uid="{00000000-0005-0000-0000-00005F010000}"/>
    <cellStyle name="Comma 4 2 4 5 2" xfId="6226" xr:uid="{9080CBF5-A2CD-4B49-8D7E-A3CFD608E82C}"/>
    <cellStyle name="Comma 4 2 4 5 2 2" xfId="14086" xr:uid="{BCB53A9D-CA94-4520-AE2E-FA129D7557D4}"/>
    <cellStyle name="Comma 4 2 4 5 3" xfId="10166" xr:uid="{2DB7DF37-67FE-4A6C-BC6F-F05C498F7D59}"/>
    <cellStyle name="Comma 4 2 4 6" xfId="4272" xr:uid="{0CE4B831-91AE-44B8-8559-AC48E021D2A0}"/>
    <cellStyle name="Comma 4 2 4 6 2" xfId="12132" xr:uid="{392B87ED-93F0-4C64-9310-90C6451FBC3A}"/>
    <cellStyle name="Comma 4 2 4 7" xfId="8211" xr:uid="{9D2E54AB-038E-4B3F-A0D9-6E3123494414}"/>
    <cellStyle name="Comma 4 2 5" xfId="442" xr:uid="{00000000-0005-0000-0000-000060010000}"/>
    <cellStyle name="Comma 4 2 5 2" xfId="893" xr:uid="{00000000-0005-0000-0000-000061010000}"/>
    <cellStyle name="Comma 4 2 5 2 2" xfId="2847" xr:uid="{00000000-0005-0000-0000-000062010000}"/>
    <cellStyle name="Comma 4 2 5 2 2 2" xfId="6768" xr:uid="{6A9B646C-95CC-49ED-BE04-13F15340DBE9}"/>
    <cellStyle name="Comma 4 2 5 2 2 2 2" xfId="14628" xr:uid="{4164479A-B5CF-4607-BB4E-FC5FB19CDEFB}"/>
    <cellStyle name="Comma 4 2 5 2 2 3" xfId="10708" xr:uid="{8D13946D-7511-4C19-845D-A982E5E560CF}"/>
    <cellStyle name="Comma 4 2 5 2 3" xfId="4814" xr:uid="{0948C94D-472F-46DE-BF56-2FCDAF8CD33D}"/>
    <cellStyle name="Comma 4 2 5 2 3 2" xfId="12674" xr:uid="{0B3E1E10-C63A-4E38-841D-7C5EB56D85C1}"/>
    <cellStyle name="Comma 4 2 5 2 4" xfId="8755" xr:uid="{C7C44AB5-73C8-47AF-A88D-1E6A956DC60D}"/>
    <cellStyle name="Comma 4 2 5 3" xfId="1325" xr:uid="{00000000-0005-0000-0000-000063010000}"/>
    <cellStyle name="Comma 4 2 5 3 2" xfId="3279" xr:uid="{00000000-0005-0000-0000-000064010000}"/>
    <cellStyle name="Comma 4 2 5 3 2 2" xfId="7200" xr:uid="{95D4F67F-6148-4DF2-9584-815C6578AFCB}"/>
    <cellStyle name="Comma 4 2 5 3 2 2 2" xfId="15060" xr:uid="{14CFE1E5-71D8-4E5E-977D-491EE5CB7E9C}"/>
    <cellStyle name="Comma 4 2 5 3 2 3" xfId="11140" xr:uid="{436AEA3F-3D3E-4DDE-A801-9A29E5B09150}"/>
    <cellStyle name="Comma 4 2 5 3 3" xfId="5246" xr:uid="{2D44FAC2-9322-409A-897E-755479E93D53}"/>
    <cellStyle name="Comma 4 2 5 3 3 2" xfId="13106" xr:uid="{13503D25-C692-4C1F-8237-6E3E980FA8C9}"/>
    <cellStyle name="Comma 4 2 5 3 4" xfId="9187" xr:uid="{3581D6D5-748C-4241-B480-57EB2DF7B45D}"/>
    <cellStyle name="Comma 4 2 5 4" xfId="1743" xr:uid="{00000000-0005-0000-0000-000065010000}"/>
    <cellStyle name="Comma 4 2 5 4 2" xfId="3697" xr:uid="{00000000-0005-0000-0000-000066010000}"/>
    <cellStyle name="Comma 4 2 5 4 2 2" xfId="7618" xr:uid="{3E884BB6-97C3-4121-9271-79E734AF0456}"/>
    <cellStyle name="Comma 4 2 5 4 2 2 2" xfId="15478" xr:uid="{8DF79D8C-22A0-4DAC-86F5-7E0F72FB2225}"/>
    <cellStyle name="Comma 4 2 5 4 2 3" xfId="11558" xr:uid="{97AB4245-1E46-42B4-A088-DE46FD3B93F6}"/>
    <cellStyle name="Comma 4 2 5 4 3" xfId="5664" xr:uid="{FC926710-FC41-4536-AFFB-33CC69E05D1A}"/>
    <cellStyle name="Comma 4 2 5 4 3 2" xfId="13524" xr:uid="{93E29ED7-C5DC-43BB-96AC-81F710FFB34C}"/>
    <cellStyle name="Comma 4 2 5 4 4" xfId="9605" xr:uid="{D04FEDBC-DF91-4782-B9A3-0409393979C8}"/>
    <cellStyle name="Comma 4 2 5 5" xfId="2397" xr:uid="{00000000-0005-0000-0000-000067010000}"/>
    <cellStyle name="Comma 4 2 5 5 2" xfId="6318" xr:uid="{23DC0A28-276B-49D7-9713-3626958826E4}"/>
    <cellStyle name="Comma 4 2 5 5 2 2" xfId="14178" xr:uid="{05B749BF-C17C-4E9A-92C1-DB4EE6832B2C}"/>
    <cellStyle name="Comma 4 2 5 5 3" xfId="10258" xr:uid="{B3EC95AF-1CBE-4446-84C5-52A3730AA0A2}"/>
    <cellStyle name="Comma 4 2 5 6" xfId="4364" xr:uid="{E6BAAB23-3B87-4590-9DB6-714940C73CC8}"/>
    <cellStyle name="Comma 4 2 5 6 2" xfId="12224" xr:uid="{8775D527-EB4E-4BA8-9C00-08E1A4D490A7}"/>
    <cellStyle name="Comma 4 2 5 7" xfId="8305" xr:uid="{AB41BAFE-005D-4120-9A13-1ECF165D5F50}"/>
    <cellStyle name="Comma 4 2 6" xfId="534" xr:uid="{00000000-0005-0000-0000-000068010000}"/>
    <cellStyle name="Comma 4 2 6 2" xfId="2488" xr:uid="{00000000-0005-0000-0000-000069010000}"/>
    <cellStyle name="Comma 4 2 6 2 2" xfId="6409" xr:uid="{5AA4699D-8590-4160-8479-AC4F4E55AA04}"/>
    <cellStyle name="Comma 4 2 6 2 2 2" xfId="14269" xr:uid="{AD8AB16F-4DED-40FB-91C5-A2A3D4D134BC}"/>
    <cellStyle name="Comma 4 2 6 2 3" xfId="10349" xr:uid="{2CAD6ABA-1EF2-4360-B156-8DE3F1F976FB}"/>
    <cellStyle name="Comma 4 2 6 3" xfId="4455" xr:uid="{09AF6020-8053-4091-A2F3-C6682E35F455}"/>
    <cellStyle name="Comma 4 2 6 3 2" xfId="12315" xr:uid="{59A321DC-D386-4E17-B7C1-03BC6551E005}"/>
    <cellStyle name="Comma 4 2 6 4" xfId="8396" xr:uid="{F037CE19-C340-4C56-87AE-F7F6D97F6015}"/>
    <cellStyle name="Comma 4 2 7" xfId="971" xr:uid="{00000000-0005-0000-0000-00006A010000}"/>
    <cellStyle name="Comma 4 2 7 2" xfId="2925" xr:uid="{00000000-0005-0000-0000-00006B010000}"/>
    <cellStyle name="Comma 4 2 7 2 2" xfId="6846" xr:uid="{C31744CA-74B8-44C8-B9EA-A07DE4F330E4}"/>
    <cellStyle name="Comma 4 2 7 2 2 2" xfId="14706" xr:uid="{5742FBA1-15BB-4843-B3EB-DC0E4446798F}"/>
    <cellStyle name="Comma 4 2 7 2 3" xfId="10786" xr:uid="{F319EBB1-11F9-4698-9BCA-78F7CBB89B67}"/>
    <cellStyle name="Comma 4 2 7 3" xfId="4892" xr:uid="{6EC24228-1814-4E52-A7EC-04F9A367324A}"/>
    <cellStyle name="Comma 4 2 7 3 2" xfId="12752" xr:uid="{5746F1D2-F540-4481-874A-2C30EBF4D8B3}"/>
    <cellStyle name="Comma 4 2 7 4" xfId="8833" xr:uid="{6551DCBE-55BE-4833-B0E1-0E948A582366}"/>
    <cellStyle name="Comma 4 2 8" xfId="1398" xr:uid="{00000000-0005-0000-0000-00006C010000}"/>
    <cellStyle name="Comma 4 2 8 2" xfId="3352" xr:uid="{00000000-0005-0000-0000-00006D010000}"/>
    <cellStyle name="Comma 4 2 8 2 2" xfId="7273" xr:uid="{AC66A4D1-9725-4C83-BE51-025144B4339F}"/>
    <cellStyle name="Comma 4 2 8 2 2 2" xfId="15133" xr:uid="{1C5AECCD-F498-4E88-B5D4-8D5B8D3B2551}"/>
    <cellStyle name="Comma 4 2 8 2 3" xfId="11213" xr:uid="{02918D2F-1DA6-4448-9BE2-F00290DDD864}"/>
    <cellStyle name="Comma 4 2 8 3" xfId="5319" xr:uid="{C8E081B8-8A69-4FF5-AE37-49416FD57477}"/>
    <cellStyle name="Comma 4 2 8 3 2" xfId="13179" xr:uid="{7A049D75-E5BB-4B1A-AE66-998CD85F4324}"/>
    <cellStyle name="Comma 4 2 8 4" xfId="9260" xr:uid="{B4B6851A-3DF0-4306-BF4F-0A6004351F9A}"/>
    <cellStyle name="Comma 4 2 9" xfId="2051" xr:uid="{00000000-0005-0000-0000-00006E010000}"/>
    <cellStyle name="Comma 4 2 9 2" xfId="5972" xr:uid="{09A0E4EE-2FF9-4557-808A-0F922E9BF512}"/>
    <cellStyle name="Comma 4 2 9 2 2" xfId="13832" xr:uid="{24158AA2-3085-4537-8849-E102A1618708}"/>
    <cellStyle name="Comma 4 2 9 3" xfId="9912" xr:uid="{A33A83B1-11D6-4CFC-9727-0E48E0751865}"/>
    <cellStyle name="Comma 4 3" xfId="199" xr:uid="{00000000-0005-0000-0000-00006F010000}"/>
    <cellStyle name="Comma 4 3 2" xfId="651" xr:uid="{00000000-0005-0000-0000-000070010000}"/>
    <cellStyle name="Comma 4 3 2 2" xfId="2605" xr:uid="{00000000-0005-0000-0000-000071010000}"/>
    <cellStyle name="Comma 4 3 2 2 2" xfId="6526" xr:uid="{6E9A8C10-731B-445F-98A7-F77C8208C871}"/>
    <cellStyle name="Comma 4 3 2 2 2 2" xfId="14386" xr:uid="{729AD25F-F233-4565-AF15-8258AC8120AF}"/>
    <cellStyle name="Comma 4 3 2 2 3" xfId="10466" xr:uid="{2A78D83E-3EC2-4C51-AE9D-4AD7994D3F1E}"/>
    <cellStyle name="Comma 4 3 2 3" xfId="4572" xr:uid="{782EC431-26FD-4E3B-8298-8B1CF2CF8405}"/>
    <cellStyle name="Comma 4 3 2 3 2" xfId="12432" xr:uid="{AB0D1767-6D11-4A7B-9850-E2110782DBEC}"/>
    <cellStyle name="Comma 4 3 2 4" xfId="8513" xr:uid="{B534A3B9-5EE2-4E16-A9D5-5EC8C1E60130}"/>
    <cellStyle name="Comma 4 3 3" xfId="1088" xr:uid="{00000000-0005-0000-0000-000072010000}"/>
    <cellStyle name="Comma 4 3 3 2" xfId="3042" xr:uid="{00000000-0005-0000-0000-000073010000}"/>
    <cellStyle name="Comma 4 3 3 2 2" xfId="6963" xr:uid="{A54AEC9C-0187-4FC1-B909-C85EE7AB6756}"/>
    <cellStyle name="Comma 4 3 3 2 2 2" xfId="14823" xr:uid="{7FD87AA5-A126-4156-B3F5-370EF2C4EB14}"/>
    <cellStyle name="Comma 4 3 3 2 3" xfId="10903" xr:uid="{FD971B66-F37B-4949-976B-DBD776C8A6EF}"/>
    <cellStyle name="Comma 4 3 3 3" xfId="5009" xr:uid="{04E42590-1DC2-45F4-9664-4B0B76DAD971}"/>
    <cellStyle name="Comma 4 3 3 3 2" xfId="12869" xr:uid="{A44774DE-F638-450A-8C64-1CD959B0053E}"/>
    <cellStyle name="Comma 4 3 3 4" xfId="8950" xr:uid="{BAA43033-3322-4D1F-A25B-5873ED735397}"/>
    <cellStyle name="Comma 4 3 4" xfId="1515" xr:uid="{00000000-0005-0000-0000-000074010000}"/>
    <cellStyle name="Comma 4 3 4 2" xfId="3469" xr:uid="{00000000-0005-0000-0000-000075010000}"/>
    <cellStyle name="Comma 4 3 4 2 2" xfId="7390" xr:uid="{53A4BF29-404B-4444-9053-BDFA826DC17B}"/>
    <cellStyle name="Comma 4 3 4 2 2 2" xfId="15250" xr:uid="{EF45E39D-5BF3-4275-8F7D-E85E7C2A8F51}"/>
    <cellStyle name="Comma 4 3 4 2 3" xfId="11330" xr:uid="{E9F664BC-9577-4FA8-9F5A-683383DF6EDA}"/>
    <cellStyle name="Comma 4 3 4 3" xfId="5436" xr:uid="{4F34B88E-22CE-49FF-8228-270AB1988762}"/>
    <cellStyle name="Comma 4 3 4 3 2" xfId="13296" xr:uid="{D5ACAC88-F3AE-480D-AF3C-DB0F06788DE6}"/>
    <cellStyle name="Comma 4 3 4 4" xfId="9377" xr:uid="{9D2BD284-EA43-4F36-AC71-BA315BA0A933}"/>
    <cellStyle name="Comma 4 3 5" xfId="2168" xr:uid="{00000000-0005-0000-0000-000076010000}"/>
    <cellStyle name="Comma 4 3 5 2" xfId="6089" xr:uid="{BF434A7E-57DC-4C64-AB41-F4171CC7C531}"/>
    <cellStyle name="Comma 4 3 5 2 2" xfId="13949" xr:uid="{4CDCBD15-5F61-4903-9C6D-5B4319C68819}"/>
    <cellStyle name="Comma 4 3 5 3" xfId="10029" xr:uid="{2E43183F-CE36-4E28-BF78-3DBF164E9900}"/>
    <cellStyle name="Comma 4 3 6" xfId="4135" xr:uid="{33E1149A-87D3-4CA0-8F4F-C61A2EFAB900}"/>
    <cellStyle name="Comma 4 3 6 2" xfId="11995" xr:uid="{418A6B5C-EADB-4F08-B7F0-18BC8508C046}"/>
    <cellStyle name="Comma 4 3 7" xfId="8073" xr:uid="{D07F03F0-7B9D-4C58-9694-39C2619AA584}"/>
    <cellStyle name="Comma 4 4" xfId="121" xr:uid="{00000000-0005-0000-0000-000077010000}"/>
    <cellStyle name="Comma 4 4 2" xfId="573" xr:uid="{00000000-0005-0000-0000-000078010000}"/>
    <cellStyle name="Comma 4 4 2 2" xfId="2527" xr:uid="{00000000-0005-0000-0000-000079010000}"/>
    <cellStyle name="Comma 4 4 2 2 2" xfId="6448" xr:uid="{2FCC320C-3877-4282-8B8F-AB0781BB83ED}"/>
    <cellStyle name="Comma 4 4 2 2 2 2" xfId="14308" xr:uid="{0349FBEF-0A52-41C1-91F7-970569C59DAE}"/>
    <cellStyle name="Comma 4 4 2 2 3" xfId="10388" xr:uid="{FEE4DD59-7A24-478B-AB79-E66E0872F888}"/>
    <cellStyle name="Comma 4 4 2 3" xfId="4494" xr:uid="{3D9B3060-A242-4019-B1FC-E0506180B53C}"/>
    <cellStyle name="Comma 4 4 2 3 2" xfId="12354" xr:uid="{1E447A36-2BAE-41DE-B3EB-2634DC7DF5E7}"/>
    <cellStyle name="Comma 4 4 2 4" xfId="8435" xr:uid="{3013B218-1253-4529-BAE7-B7C209C18BF9}"/>
    <cellStyle name="Comma 4 4 3" xfId="1010" xr:uid="{00000000-0005-0000-0000-00007A010000}"/>
    <cellStyle name="Comma 4 4 3 2" xfId="2964" xr:uid="{00000000-0005-0000-0000-00007B010000}"/>
    <cellStyle name="Comma 4 4 3 2 2" xfId="6885" xr:uid="{CA49E06E-AAB5-49AC-A7DC-1165631C9D4E}"/>
    <cellStyle name="Comma 4 4 3 2 2 2" xfId="14745" xr:uid="{ABF0424B-997B-4D91-943B-9CE1067E9609}"/>
    <cellStyle name="Comma 4 4 3 2 3" xfId="10825" xr:uid="{AD090EB8-87C1-4015-9032-D2B1A214B783}"/>
    <cellStyle name="Comma 4 4 3 3" xfId="4931" xr:uid="{7849CD97-E8DD-4775-BEE4-D7F1B28A8EAE}"/>
    <cellStyle name="Comma 4 4 3 3 2" xfId="12791" xr:uid="{CB19F681-157B-4B03-A29D-88229F0C4913}"/>
    <cellStyle name="Comma 4 4 3 4" xfId="8872" xr:uid="{D2A2EBCB-E9FE-4CAD-AC48-7A513F0DC5ED}"/>
    <cellStyle name="Comma 4 4 4" xfId="1437" xr:uid="{00000000-0005-0000-0000-00007C010000}"/>
    <cellStyle name="Comma 4 4 4 2" xfId="3391" xr:uid="{00000000-0005-0000-0000-00007D010000}"/>
    <cellStyle name="Comma 4 4 4 2 2" xfId="7312" xr:uid="{0EAFCD10-911C-4DC3-80CC-0138011253BE}"/>
    <cellStyle name="Comma 4 4 4 2 2 2" xfId="15172" xr:uid="{475B4728-CC71-48E2-8BAA-3AEFFBEDA72D}"/>
    <cellStyle name="Comma 4 4 4 2 3" xfId="11252" xr:uid="{A3D50CFE-8C22-44EB-A0F4-13A4585AA70F}"/>
    <cellStyle name="Comma 4 4 4 3" xfId="5358" xr:uid="{057C0DC1-36F8-4B61-BCF2-0C9DA5A220C3}"/>
    <cellStyle name="Comma 4 4 4 3 2" xfId="13218" xr:uid="{99E05F98-680E-452F-845E-D12B545AE2E3}"/>
    <cellStyle name="Comma 4 4 4 4" xfId="9299" xr:uid="{63292F56-7763-460F-AE9E-1B24F962F688}"/>
    <cellStyle name="Comma 4 4 5" xfId="2090" xr:uid="{00000000-0005-0000-0000-00007E010000}"/>
    <cellStyle name="Comma 4 4 5 2" xfId="6011" xr:uid="{953B7457-15C0-4C0D-98FA-DC2AC000E24C}"/>
    <cellStyle name="Comma 4 4 5 2 2" xfId="13871" xr:uid="{91D94BCB-0D90-4824-9662-7DF802CB76CC}"/>
    <cellStyle name="Comma 4 4 5 3" xfId="9951" xr:uid="{8572FBC1-C8E7-4F24-A983-9CF8357DFDF1}"/>
    <cellStyle name="Comma 4 4 6" xfId="4057" xr:uid="{BBFE6CE1-4997-40E1-A823-9ABBD38AECC4}"/>
    <cellStyle name="Comma 4 4 6 2" xfId="11917" xr:uid="{1CA4439A-0982-43E3-A883-6946A12E90B6}"/>
    <cellStyle name="Comma 4 4 7" xfId="7995" xr:uid="{89C6BEB5-8C83-4399-976F-DBEDF9266FD9}"/>
    <cellStyle name="Comma 4 5" xfId="254" xr:uid="{00000000-0005-0000-0000-00007F010000}"/>
    <cellStyle name="Comma 4 5 2" xfId="706" xr:uid="{00000000-0005-0000-0000-000080010000}"/>
    <cellStyle name="Comma 4 5 2 2" xfId="2660" xr:uid="{00000000-0005-0000-0000-000081010000}"/>
    <cellStyle name="Comma 4 5 2 2 2" xfId="6581" xr:uid="{1BD7DCFB-1527-44D2-B821-93284FCE1A95}"/>
    <cellStyle name="Comma 4 5 2 2 2 2" xfId="14441" xr:uid="{45351060-6EC7-4519-8544-B2CE86964C82}"/>
    <cellStyle name="Comma 4 5 2 2 3" xfId="10521" xr:uid="{5681EB6B-5E37-43A5-9E98-C78FE8C07F3D}"/>
    <cellStyle name="Comma 4 5 2 3" xfId="4627" xr:uid="{338CEC16-9612-42E9-94DF-000871146121}"/>
    <cellStyle name="Comma 4 5 2 3 2" xfId="12487" xr:uid="{88FAFBAF-7B37-40EB-8CC0-8DC19A7B3E15}"/>
    <cellStyle name="Comma 4 5 2 4" xfId="8568" xr:uid="{AF5C4ED3-BD06-4B3D-B3F2-70469625BEA5}"/>
    <cellStyle name="Comma 4 5 3" xfId="1143" xr:uid="{00000000-0005-0000-0000-000082010000}"/>
    <cellStyle name="Comma 4 5 3 2" xfId="3097" xr:uid="{00000000-0005-0000-0000-000083010000}"/>
    <cellStyle name="Comma 4 5 3 2 2" xfId="7018" xr:uid="{A3B1DC6A-AB17-42F6-9B34-B74368F21B19}"/>
    <cellStyle name="Comma 4 5 3 2 2 2" xfId="14878" xr:uid="{A1B54287-FC6B-417B-99F6-2C21963ED858}"/>
    <cellStyle name="Comma 4 5 3 2 3" xfId="10958" xr:uid="{1F4C5D8C-6DA8-40C3-A595-E5E8AB56129F}"/>
    <cellStyle name="Comma 4 5 3 3" xfId="5064" xr:uid="{C8E6466F-E5B8-47E0-902A-66D99C67FA3D}"/>
    <cellStyle name="Comma 4 5 3 3 2" xfId="12924" xr:uid="{6E122655-AFE5-45CA-88E6-F105AB7DF80B}"/>
    <cellStyle name="Comma 4 5 3 4" xfId="9005" xr:uid="{3A13FE78-8272-4478-8497-EEB9A7B68CE2}"/>
    <cellStyle name="Comma 4 5 4" xfId="1566" xr:uid="{00000000-0005-0000-0000-000084010000}"/>
    <cellStyle name="Comma 4 5 4 2" xfId="3520" xr:uid="{00000000-0005-0000-0000-000085010000}"/>
    <cellStyle name="Comma 4 5 4 2 2" xfId="7441" xr:uid="{6FE4BA70-E34C-4ADC-B64C-C39A67411100}"/>
    <cellStyle name="Comma 4 5 4 2 2 2" xfId="15301" xr:uid="{C4EC195F-4A28-4A1D-882B-17729C891005}"/>
    <cellStyle name="Comma 4 5 4 2 3" xfId="11381" xr:uid="{CC772167-8227-4540-AD0F-5456CCC07C3B}"/>
    <cellStyle name="Comma 4 5 4 3" xfId="5487" xr:uid="{2AE37072-5D8C-4CF5-BF95-34B758172E46}"/>
    <cellStyle name="Comma 4 5 4 3 2" xfId="13347" xr:uid="{37A85E34-CF9D-4316-A62E-73F90FD8DA1D}"/>
    <cellStyle name="Comma 4 5 4 4" xfId="9428" xr:uid="{B84DCED5-F20C-4B67-836F-3D799EB9A9CF}"/>
    <cellStyle name="Comma 4 5 5" xfId="2219" xr:uid="{00000000-0005-0000-0000-000086010000}"/>
    <cellStyle name="Comma 4 5 5 2" xfId="6140" xr:uid="{AB65C8EF-7DDD-48E6-A07D-50D6A85C6277}"/>
    <cellStyle name="Comma 4 5 5 2 2" xfId="14000" xr:uid="{51AB8A4A-92FD-498B-8D8E-45D06F0F1BE4}"/>
    <cellStyle name="Comma 4 5 5 3" xfId="10080" xr:uid="{C1B6D264-7521-4E0D-987F-6DE4F7B26CDF}"/>
    <cellStyle name="Comma 4 5 6" xfId="4186" xr:uid="{93DD69ED-B0FB-4D45-AD42-F12EEA99A783}"/>
    <cellStyle name="Comma 4 5 6 2" xfId="12046" xr:uid="{C5C19BEF-BDBB-41FC-9D5D-94FBC67DC272}"/>
    <cellStyle name="Comma 4 5 7" xfId="8125" xr:uid="{C67E6E90-F270-4457-B41E-47D20CCE7E4D}"/>
    <cellStyle name="Comma 4 6" xfId="298" xr:uid="{00000000-0005-0000-0000-000087010000}"/>
    <cellStyle name="Comma 4 6 2" xfId="750" xr:uid="{00000000-0005-0000-0000-000088010000}"/>
    <cellStyle name="Comma 4 6 2 2" xfId="2704" xr:uid="{00000000-0005-0000-0000-000089010000}"/>
    <cellStyle name="Comma 4 6 2 2 2" xfId="6625" xr:uid="{84F51971-B745-48AD-AC2B-4EDCBD6488A5}"/>
    <cellStyle name="Comma 4 6 2 2 2 2" xfId="14485" xr:uid="{CC6FCBEF-FD59-43C3-9A3D-CF1388919B29}"/>
    <cellStyle name="Comma 4 6 2 2 3" xfId="10565" xr:uid="{093340ED-C607-4D78-B5B3-35D4A85BA2C7}"/>
    <cellStyle name="Comma 4 6 2 3" xfId="4671" xr:uid="{45F07C6D-9C84-4E42-BBE9-AAAD71A6301B}"/>
    <cellStyle name="Comma 4 6 2 3 2" xfId="12531" xr:uid="{E08CBC0C-DC90-43E9-9DDA-FA50D917C8B2}"/>
    <cellStyle name="Comma 4 6 2 4" xfId="8612" xr:uid="{E79DBEF8-5F5B-42BD-B2BC-C80EA3EC53CD}"/>
    <cellStyle name="Comma 4 6 3" xfId="1186" xr:uid="{00000000-0005-0000-0000-00008A010000}"/>
    <cellStyle name="Comma 4 6 3 2" xfId="3140" xr:uid="{00000000-0005-0000-0000-00008B010000}"/>
    <cellStyle name="Comma 4 6 3 2 2" xfId="7061" xr:uid="{355A066B-5CC2-4489-A4B9-54F541E43169}"/>
    <cellStyle name="Comma 4 6 3 2 2 2" xfId="14921" xr:uid="{31D0080A-8E30-4202-8142-738EABEEC98D}"/>
    <cellStyle name="Comma 4 6 3 2 3" xfId="11001" xr:uid="{DA65EFD8-7C1C-4279-A667-62E0C02AFFD8}"/>
    <cellStyle name="Comma 4 6 3 3" xfId="5107" xr:uid="{2FAE6A4A-4411-4D2D-9B94-CD6060F34D60}"/>
    <cellStyle name="Comma 4 6 3 3 2" xfId="12967" xr:uid="{C6F8B851-7402-4EA3-B732-A8F4C02DE4C4}"/>
    <cellStyle name="Comma 4 6 3 4" xfId="9048" xr:uid="{5AB34F54-38CE-4982-A697-6D2A91BEC111}"/>
    <cellStyle name="Comma 4 6 4" xfId="1606" xr:uid="{00000000-0005-0000-0000-00008C010000}"/>
    <cellStyle name="Comma 4 6 4 2" xfId="3560" xr:uid="{00000000-0005-0000-0000-00008D010000}"/>
    <cellStyle name="Comma 4 6 4 2 2" xfId="7481" xr:uid="{7AB40A5F-5156-4D95-ABE3-9745FA6A02A5}"/>
    <cellStyle name="Comma 4 6 4 2 2 2" xfId="15341" xr:uid="{5EAF5BEF-057B-4F1D-A909-A66069F7B857}"/>
    <cellStyle name="Comma 4 6 4 2 3" xfId="11421" xr:uid="{18F863CB-7A20-43BA-84BB-0C109272E8FA}"/>
    <cellStyle name="Comma 4 6 4 3" xfId="5527" xr:uid="{EFE35C51-795A-4283-B771-B5EBF521F80F}"/>
    <cellStyle name="Comma 4 6 4 3 2" xfId="13387" xr:uid="{0FCFE780-F9DA-4028-A015-954BB68AB0FD}"/>
    <cellStyle name="Comma 4 6 4 4" xfId="9468" xr:uid="{506CE041-B478-46E7-94A7-B1C914872EAE}"/>
    <cellStyle name="Comma 4 6 5" xfId="2260" xr:uid="{00000000-0005-0000-0000-00008E010000}"/>
    <cellStyle name="Comma 4 6 5 2" xfId="6181" xr:uid="{0DDA49A4-1362-411B-9928-5351ED722C7D}"/>
    <cellStyle name="Comma 4 6 5 2 2" xfId="14041" xr:uid="{FC3BF6B3-514F-495A-982F-7169BFAED70F}"/>
    <cellStyle name="Comma 4 6 5 3" xfId="10121" xr:uid="{C155EC1B-1C63-4E73-8D22-AA4325E71E4B}"/>
    <cellStyle name="Comma 4 6 6" xfId="4227" xr:uid="{8944CBE6-D0FE-4EEE-90AE-D9ECF9F3C3BB}"/>
    <cellStyle name="Comma 4 6 6 2" xfId="12087" xr:uid="{66F599CD-69AC-417D-A75F-AF1BAFBBBFFA}"/>
    <cellStyle name="Comma 4 6 7" xfId="8166" xr:uid="{D36FB8FA-3794-4BAD-8AC3-6D766FC25966}"/>
    <cellStyle name="Comma 4 7" xfId="397" xr:uid="{00000000-0005-0000-0000-00008F010000}"/>
    <cellStyle name="Comma 4 7 2" xfId="848" xr:uid="{00000000-0005-0000-0000-000090010000}"/>
    <cellStyle name="Comma 4 7 2 2" xfId="2802" xr:uid="{00000000-0005-0000-0000-000091010000}"/>
    <cellStyle name="Comma 4 7 2 2 2" xfId="6723" xr:uid="{ADA07E84-B08D-4A91-9983-1A445F7968B3}"/>
    <cellStyle name="Comma 4 7 2 2 2 2" xfId="14583" xr:uid="{E985ABA5-68D5-4B38-8A66-97B6E299251B}"/>
    <cellStyle name="Comma 4 7 2 2 3" xfId="10663" xr:uid="{EE762F3B-4F08-4A73-BB67-FAF030F2B73B}"/>
    <cellStyle name="Comma 4 7 2 3" xfId="4769" xr:uid="{1C0BB748-FB78-48AF-843D-53C4D083E461}"/>
    <cellStyle name="Comma 4 7 2 3 2" xfId="12629" xr:uid="{E2CAF08A-9659-4E93-A292-78308E1E2F13}"/>
    <cellStyle name="Comma 4 7 2 4" xfId="8710" xr:uid="{7A602166-3B85-49CD-A686-D4ACBF45CDAA}"/>
    <cellStyle name="Comma 4 7 3" xfId="1280" xr:uid="{00000000-0005-0000-0000-000092010000}"/>
    <cellStyle name="Comma 4 7 3 2" xfId="3234" xr:uid="{00000000-0005-0000-0000-000093010000}"/>
    <cellStyle name="Comma 4 7 3 2 2" xfId="7155" xr:uid="{64178E43-ACD9-462F-8BD6-E1241D9FF2C0}"/>
    <cellStyle name="Comma 4 7 3 2 2 2" xfId="15015" xr:uid="{4E03DCF1-C63C-4766-9E91-80106B1A4989}"/>
    <cellStyle name="Comma 4 7 3 2 3" xfId="11095" xr:uid="{AF5B16B2-3535-4461-A563-04E6D9E9C24D}"/>
    <cellStyle name="Comma 4 7 3 3" xfId="5201" xr:uid="{682BABC4-F4CA-46E4-97F6-A904B538DC90}"/>
    <cellStyle name="Comma 4 7 3 3 2" xfId="13061" xr:uid="{D1EE6284-6593-4105-9531-81BDA1700D48}"/>
    <cellStyle name="Comma 4 7 3 4" xfId="9142" xr:uid="{7DE1685D-C7CF-4AFE-8CE0-5AC4CD805496}"/>
    <cellStyle name="Comma 4 7 4" xfId="1698" xr:uid="{00000000-0005-0000-0000-000094010000}"/>
    <cellStyle name="Comma 4 7 4 2" xfId="3652" xr:uid="{00000000-0005-0000-0000-000095010000}"/>
    <cellStyle name="Comma 4 7 4 2 2" xfId="7573" xr:uid="{08DB6301-49AC-42C7-B831-64491DAA8AE8}"/>
    <cellStyle name="Comma 4 7 4 2 2 2" xfId="15433" xr:uid="{EC457F5E-BC21-49A9-B53A-BD4704E12803}"/>
    <cellStyle name="Comma 4 7 4 2 3" xfId="11513" xr:uid="{D1ADD881-17C9-4ADD-8388-F3809CEB3B3E}"/>
    <cellStyle name="Comma 4 7 4 3" xfId="5619" xr:uid="{0B6967C9-5B1B-4179-B857-C8F8D26CF2C6}"/>
    <cellStyle name="Comma 4 7 4 3 2" xfId="13479" xr:uid="{B49FC597-CB67-45D1-9C80-0C398E61DAEB}"/>
    <cellStyle name="Comma 4 7 4 4" xfId="9560" xr:uid="{21765237-77E2-4BA2-AA77-7FA9D60D809D}"/>
    <cellStyle name="Comma 4 7 5" xfId="2352" xr:uid="{00000000-0005-0000-0000-000096010000}"/>
    <cellStyle name="Comma 4 7 5 2" xfId="6273" xr:uid="{47FC8670-88F6-41DE-8BBC-F4BB53CC4738}"/>
    <cellStyle name="Comma 4 7 5 2 2" xfId="14133" xr:uid="{D2B166F5-3ED9-4B3A-B72B-F33D04B9F762}"/>
    <cellStyle name="Comma 4 7 5 3" xfId="10213" xr:uid="{3F18A6C9-F8AC-4945-95E8-D2968B62D8C8}"/>
    <cellStyle name="Comma 4 7 6" xfId="4319" xr:uid="{C016CDFF-A85C-4675-B2B2-D96A44BBF788}"/>
    <cellStyle name="Comma 4 7 6 2" xfId="12179" xr:uid="{A6D8CFB8-C031-4F38-85DF-9C443BF8274A}"/>
    <cellStyle name="Comma 4 7 7" xfId="8260" xr:uid="{7416A70B-5BB6-42B3-8F79-CC639000B6F6}"/>
    <cellStyle name="Comma 4 8" xfId="495" xr:uid="{00000000-0005-0000-0000-000097010000}"/>
    <cellStyle name="Comma 4 8 2" xfId="2449" xr:uid="{00000000-0005-0000-0000-000098010000}"/>
    <cellStyle name="Comma 4 8 2 2" xfId="6370" xr:uid="{008D9B5B-9B8D-4E26-BF3E-8639CA1C0D00}"/>
    <cellStyle name="Comma 4 8 2 2 2" xfId="14230" xr:uid="{10ADA391-71EF-41D9-A14A-ACCCC80CF8B8}"/>
    <cellStyle name="Comma 4 8 2 3" xfId="10310" xr:uid="{9740615E-681F-47CC-98D5-864AA73380A7}"/>
    <cellStyle name="Comma 4 8 3" xfId="4416" xr:uid="{DB532CAC-A82D-456A-B6EA-0928F9F8A66A}"/>
    <cellStyle name="Comma 4 8 3 2" xfId="12276" xr:uid="{4732C6F2-B802-4EA1-B150-CA2F772411A7}"/>
    <cellStyle name="Comma 4 8 4" xfId="8357" xr:uid="{AE488244-AFBA-4308-88DF-504DB4D470A7}"/>
    <cellStyle name="Comma 4 9" xfId="932" xr:uid="{00000000-0005-0000-0000-000099010000}"/>
    <cellStyle name="Comma 4 9 2" xfId="2886" xr:uid="{00000000-0005-0000-0000-00009A010000}"/>
    <cellStyle name="Comma 4 9 2 2" xfId="6807" xr:uid="{EDBB5410-047F-40D3-B088-77B1488663D4}"/>
    <cellStyle name="Comma 4 9 2 2 2" xfId="14667" xr:uid="{F9166213-8606-48C9-B3D7-60C74A45807C}"/>
    <cellStyle name="Comma 4 9 2 3" xfId="10747" xr:uid="{F092DB59-BA98-4E06-9B55-6592CD1489FB}"/>
    <cellStyle name="Comma 4 9 3" xfId="4853" xr:uid="{54F58FAC-901E-4FCC-B2FE-5DE39DA99636}"/>
    <cellStyle name="Comma 4 9 3 2" xfId="12713" xr:uid="{21FC2F55-93E4-4307-AB0E-87901CA7CD05}"/>
    <cellStyle name="Comma 4 9 4" xfId="8794" xr:uid="{CCBE223C-440C-4389-9B07-580FFADB75CC}"/>
    <cellStyle name="Comma 5" xfId="243" xr:uid="{00000000-0005-0000-0000-00009B010000}"/>
    <cellStyle name="Comma 5 10" xfId="8117" xr:uid="{3E9D0A27-16B7-4ABA-9A9B-08090C693D01}"/>
    <cellStyle name="Comma 5 2" xfId="349" xr:uid="{00000000-0005-0000-0000-00009C010000}"/>
    <cellStyle name="Comma 5 2 2" xfId="446" xr:uid="{00000000-0005-0000-0000-00009D010000}"/>
    <cellStyle name="Comma 5 2 2 2" xfId="897" xr:uid="{00000000-0005-0000-0000-00009E010000}"/>
    <cellStyle name="Comma 5 2 2 2 2" xfId="45" xr:uid="{00000000-0005-0000-0000-00009F010000}"/>
    <cellStyle name="Comma 5 2 2 2 2 10" xfId="1908" xr:uid="{00000000-0005-0000-0000-0000A0010000}"/>
    <cellStyle name="Comma 5 2 2 2 2 10 2" xfId="3861" xr:uid="{00000000-0005-0000-0000-0000A1010000}"/>
    <cellStyle name="Comma 5 2 2 2 2 10 2 2" xfId="7782" xr:uid="{7847D466-9750-406C-AAE4-14232FA774E1}"/>
    <cellStyle name="Comma 5 2 2 2 2 10 2 2 2" xfId="15642" xr:uid="{FC2F94BA-F7DF-49F4-9CC6-66E45F98A3EB}"/>
    <cellStyle name="Comma 5 2 2 2 2 10 2 3" xfId="11722" xr:uid="{DC6D3404-F568-4B10-9F09-1742087A34F7}"/>
    <cellStyle name="Comma 5 2 2 2 2 10 3" xfId="5829" xr:uid="{7052C289-F991-49AF-9F89-0CC279F0E5FB}"/>
    <cellStyle name="Comma 5 2 2 2 2 10 3 2" xfId="13689" xr:uid="{A6B98A93-26E2-44EB-B8B6-67D7DA9937F8}"/>
    <cellStyle name="Comma 5 2 2 2 2 10 4" xfId="9770" xr:uid="{808F8DEA-E49D-4950-8383-371C4D29C710}"/>
    <cellStyle name="Comma 5 2 2 2 2 10 5" xfId="15759" xr:uid="{1B7334B9-5AE6-43E4-AAFB-65E4D9385B65}"/>
    <cellStyle name="Comma 5 2 2 2 2 11" xfId="2015" xr:uid="{00000000-0005-0000-0000-0000A2010000}"/>
    <cellStyle name="Comma 5 2 2 2 2 11 2" xfId="5936" xr:uid="{EE533F9C-9E6A-4B80-8542-588A1DD0087F}"/>
    <cellStyle name="Comma 5 2 2 2 2 11 2 2" xfId="13796" xr:uid="{ABA4409D-0131-4CB4-A987-72366A2D3832}"/>
    <cellStyle name="Comma 5 2 2 2 2 11 3" xfId="9876" xr:uid="{3E32EBD4-7E60-44B1-9AA2-8BCE9F298E1D}"/>
    <cellStyle name="Comma 5 2 2 2 2 12" xfId="3982" xr:uid="{53D18063-3B7F-46FF-80B5-0AF4DDDBB81F}"/>
    <cellStyle name="Comma 5 2 2 2 2 12 2" xfId="11842" xr:uid="{979F1BAB-6A82-4842-AAEE-37A950626F65}"/>
    <cellStyle name="Comma 5 2 2 2 2 13" xfId="7920" xr:uid="{095DE26B-D8E3-4D72-8D70-BA8E4F588EF8}"/>
    <cellStyle name="Comma 5 2 2 2 2 2" xfId="85" xr:uid="{00000000-0005-0000-0000-0000A3010000}"/>
    <cellStyle name="Comma 5 2 2 2 2 2 10" xfId="4021" xr:uid="{CD52757A-F16A-4DD4-892D-BF382001D8B7}"/>
    <cellStyle name="Comma 5 2 2 2 2 2 10 2" xfId="11881" xr:uid="{B43FE689-F6CF-412B-8D7B-87251492236A}"/>
    <cellStyle name="Comma 5 2 2 2 2 2 11" xfId="7959" xr:uid="{256DE93D-B8FB-4C99-A202-6AB4ED8D1DD5}"/>
    <cellStyle name="Comma 5 2 2 2 2 2 2" xfId="241" xr:uid="{00000000-0005-0000-0000-0000A4010000}"/>
    <cellStyle name="Comma 5 2 2 2 2 2 2 2" xfId="693" xr:uid="{00000000-0005-0000-0000-0000A5010000}"/>
    <cellStyle name="Comma 5 2 2 2 2 2 2 2 2" xfId="2647" xr:uid="{00000000-0005-0000-0000-0000A6010000}"/>
    <cellStyle name="Comma 5 2 2 2 2 2 2 2 2 2" xfId="6568" xr:uid="{27C0133E-B003-4C06-97EF-70557D792900}"/>
    <cellStyle name="Comma 5 2 2 2 2 2 2 2 2 2 2" xfId="14428" xr:uid="{45493DE4-4075-49FA-BBCB-FB9D03EE18B5}"/>
    <cellStyle name="Comma 5 2 2 2 2 2 2 2 2 3" xfId="10508" xr:uid="{47442603-3BA4-4F53-BC57-B0C9FD31F95F}"/>
    <cellStyle name="Comma 5 2 2 2 2 2 2 2 3" xfId="4614" xr:uid="{C2845928-2D8E-47F6-A358-2B49C4FEF538}"/>
    <cellStyle name="Comma 5 2 2 2 2 2 2 2 3 2" xfId="12474" xr:uid="{6E58B576-F100-453F-9E7F-975505AD288B}"/>
    <cellStyle name="Comma 5 2 2 2 2 2 2 2 4" xfId="8555" xr:uid="{F0469C2B-DCDC-475C-AFEE-CD4E46989213}"/>
    <cellStyle name="Comma 5 2 2 2 2 2 2 3" xfId="1130" xr:uid="{00000000-0005-0000-0000-0000A7010000}"/>
    <cellStyle name="Comma 5 2 2 2 2 2 2 3 2" xfId="3084" xr:uid="{00000000-0005-0000-0000-0000A8010000}"/>
    <cellStyle name="Comma 5 2 2 2 2 2 2 3 2 2" xfId="7005" xr:uid="{8EF235A5-F0B3-4F75-B04E-7DB29F13BFEA}"/>
    <cellStyle name="Comma 5 2 2 2 2 2 2 3 2 2 2" xfId="14865" xr:uid="{789099F2-FE69-4593-8ACB-E3057B00A5B4}"/>
    <cellStyle name="Comma 5 2 2 2 2 2 2 3 2 3" xfId="10945" xr:uid="{F62F1771-2DA0-446A-BE6D-E38C3618B082}"/>
    <cellStyle name="Comma 5 2 2 2 2 2 2 3 3" xfId="5051" xr:uid="{51F305AB-9A9B-4AC4-AA6B-CFEC619B35B9}"/>
    <cellStyle name="Comma 5 2 2 2 2 2 2 3 3 2" xfId="12911" xr:uid="{E28FB379-BCC3-4C83-B32E-2FAC336F3D1B}"/>
    <cellStyle name="Comma 5 2 2 2 2 2 2 3 4" xfId="8992" xr:uid="{E3543BD3-39C8-4AF0-867A-135C67287F80}"/>
    <cellStyle name="Comma 5 2 2 2 2 2 2 4" xfId="1557" xr:uid="{00000000-0005-0000-0000-0000A9010000}"/>
    <cellStyle name="Comma 5 2 2 2 2 2 2 4 2" xfId="3511" xr:uid="{00000000-0005-0000-0000-0000AA010000}"/>
    <cellStyle name="Comma 5 2 2 2 2 2 2 4 2 2" xfId="7432" xr:uid="{E42A821F-E60D-4E2E-82B5-4119F758BA86}"/>
    <cellStyle name="Comma 5 2 2 2 2 2 2 4 2 2 2" xfId="15292" xr:uid="{AB39CA37-1DBA-4D9C-84DF-E00514DFB18B}"/>
    <cellStyle name="Comma 5 2 2 2 2 2 2 4 2 3" xfId="11372" xr:uid="{9461F194-0B5C-45F5-B212-AA1D55568A22}"/>
    <cellStyle name="Comma 5 2 2 2 2 2 2 4 3" xfId="5478" xr:uid="{AF9D4422-9B2F-40D1-8FAE-902BCAEC5D74}"/>
    <cellStyle name="Comma 5 2 2 2 2 2 2 4 3 2" xfId="13338" xr:uid="{C7666653-6937-4D91-A0D1-07310D004C71}"/>
    <cellStyle name="Comma 5 2 2 2 2 2 2 4 4" xfId="9419" xr:uid="{226FDA26-84C0-4199-9390-746FE264013D}"/>
    <cellStyle name="Comma 5 2 2 2 2 2 2 5" xfId="2210" xr:uid="{00000000-0005-0000-0000-0000AB010000}"/>
    <cellStyle name="Comma 5 2 2 2 2 2 2 5 2" xfId="6131" xr:uid="{A19C5321-D054-46D4-BFC3-C6417F538948}"/>
    <cellStyle name="Comma 5 2 2 2 2 2 2 5 2 2" xfId="13991" xr:uid="{CDBA4E6A-8619-4774-95CA-C664C5FBE8B7}"/>
    <cellStyle name="Comma 5 2 2 2 2 2 2 5 3" xfId="10071" xr:uid="{C4F306D2-1ACF-4AEE-A590-21B6F71C87AE}"/>
    <cellStyle name="Comma 5 2 2 2 2 2 2 6" xfId="4177" xr:uid="{3D29F1F7-DBFD-4A1F-8C47-56C90796FB74}"/>
    <cellStyle name="Comma 5 2 2 2 2 2 2 6 2" xfId="12037" xr:uid="{43BC5D88-0AD1-4DD2-855D-6EA6BB36532D}"/>
    <cellStyle name="Comma 5 2 2 2 2 2 2 7" xfId="8115" xr:uid="{CF26DA19-69AB-4E17-B336-710F6A489AD7}"/>
    <cellStyle name="Comma 5 2 2 2 2 2 3" xfId="163" xr:uid="{00000000-0005-0000-0000-0000AC010000}"/>
    <cellStyle name="Comma 5 2 2 2 2 2 3 2" xfId="615" xr:uid="{00000000-0005-0000-0000-0000AD010000}"/>
    <cellStyle name="Comma 5 2 2 2 2 2 3 2 2" xfId="2569" xr:uid="{00000000-0005-0000-0000-0000AE010000}"/>
    <cellStyle name="Comma 5 2 2 2 2 2 3 2 2 2" xfId="6490" xr:uid="{8440B15E-6051-4C27-AA30-FB2AEF2CEEB6}"/>
    <cellStyle name="Comma 5 2 2 2 2 2 3 2 2 2 2" xfId="14350" xr:uid="{6D093489-E62B-45F7-AE9A-B40B640F965A}"/>
    <cellStyle name="Comma 5 2 2 2 2 2 3 2 2 3" xfId="10430" xr:uid="{822EF117-89DE-4B41-AEA5-6C8923C573E4}"/>
    <cellStyle name="Comma 5 2 2 2 2 2 3 2 3" xfId="4536" xr:uid="{160CF815-0D35-4848-B633-E20C416E425C}"/>
    <cellStyle name="Comma 5 2 2 2 2 2 3 2 3 2" xfId="12396" xr:uid="{9712418E-2F52-4AFD-9D7D-BEB646A598E5}"/>
    <cellStyle name="Comma 5 2 2 2 2 2 3 2 4" xfId="8477" xr:uid="{8F46F7CC-F5DA-431A-B114-07F98DBA22EB}"/>
    <cellStyle name="Comma 5 2 2 2 2 2 3 3" xfId="1052" xr:uid="{00000000-0005-0000-0000-0000AF010000}"/>
    <cellStyle name="Comma 5 2 2 2 2 2 3 3 2" xfId="3006" xr:uid="{00000000-0005-0000-0000-0000B0010000}"/>
    <cellStyle name="Comma 5 2 2 2 2 2 3 3 2 2" xfId="6927" xr:uid="{8D4002DE-92DE-4491-9570-EF991196D5BF}"/>
    <cellStyle name="Comma 5 2 2 2 2 2 3 3 2 2 2" xfId="14787" xr:uid="{7D9ED1CB-7154-4CDD-BE86-D87D2E62A934}"/>
    <cellStyle name="Comma 5 2 2 2 2 2 3 3 2 3" xfId="10867" xr:uid="{CD04D69F-EE91-4854-B550-6605EB5FFF23}"/>
    <cellStyle name="Comma 5 2 2 2 2 2 3 3 3" xfId="4973" xr:uid="{945A6942-20A9-42A6-A6FE-34EDD1ADD0ED}"/>
    <cellStyle name="Comma 5 2 2 2 2 2 3 3 3 2" xfId="12833" xr:uid="{7915A6D1-F881-4D72-AEFC-AD88B1143B27}"/>
    <cellStyle name="Comma 5 2 2 2 2 2 3 3 4" xfId="8914" xr:uid="{C1FE8193-BDB5-415C-A05C-FA1BF6321CCA}"/>
    <cellStyle name="Comma 5 2 2 2 2 2 3 4" xfId="1479" xr:uid="{00000000-0005-0000-0000-0000B1010000}"/>
    <cellStyle name="Comma 5 2 2 2 2 2 3 4 2" xfId="3433" xr:uid="{00000000-0005-0000-0000-0000B2010000}"/>
    <cellStyle name="Comma 5 2 2 2 2 2 3 4 2 2" xfId="7354" xr:uid="{99638056-7737-4902-8527-C5AEFA53720A}"/>
    <cellStyle name="Comma 5 2 2 2 2 2 3 4 2 2 2" xfId="15214" xr:uid="{DEFB5554-975B-4189-9077-19C7BB6BBEFA}"/>
    <cellStyle name="Comma 5 2 2 2 2 2 3 4 2 3" xfId="11294" xr:uid="{DFBF6E7B-CC2C-4ECA-B511-C6F03FB730C4}"/>
    <cellStyle name="Comma 5 2 2 2 2 2 3 4 3" xfId="5400" xr:uid="{606DBFEB-97D5-491E-8D8B-7E8FC6FC2133}"/>
    <cellStyle name="Comma 5 2 2 2 2 2 3 4 3 2" xfId="13260" xr:uid="{FB0A3FB9-1185-4930-AACC-A6222A7EEFCF}"/>
    <cellStyle name="Comma 5 2 2 2 2 2 3 4 4" xfId="9341" xr:uid="{7EA8DFCB-510D-4BCA-B58D-1522C6C59C60}"/>
    <cellStyle name="Comma 5 2 2 2 2 2 3 5" xfId="2132" xr:uid="{00000000-0005-0000-0000-0000B3010000}"/>
    <cellStyle name="Comma 5 2 2 2 2 2 3 5 2" xfId="6053" xr:uid="{6E700142-69D3-450C-98FF-A52CD35823DF}"/>
    <cellStyle name="Comma 5 2 2 2 2 2 3 5 2 2" xfId="13913" xr:uid="{ACB84AEF-5A6C-416D-A97A-6FD80727CB4E}"/>
    <cellStyle name="Comma 5 2 2 2 2 2 3 5 3" xfId="9993" xr:uid="{D8452595-BD37-45D2-A320-6A285386BEF4}"/>
    <cellStyle name="Comma 5 2 2 2 2 2 3 6" xfId="4099" xr:uid="{BFB06A8E-C0EE-4032-B9A8-7F19DA7FCB8D}"/>
    <cellStyle name="Comma 5 2 2 2 2 2 3 6 2" xfId="11959" xr:uid="{C05364FF-00F8-4934-AB12-109C5AC8A72A}"/>
    <cellStyle name="Comma 5 2 2 2 2 2 3 7" xfId="8037" xr:uid="{7063EDA5-A292-42DC-9894-B1D3961A2860}"/>
    <cellStyle name="Comma 5 2 2 2 2 2 4" xfId="348" xr:uid="{00000000-0005-0000-0000-0000B4010000}"/>
    <cellStyle name="Comma 5 2 2 2 2 2 4 2" xfId="800" xr:uid="{00000000-0005-0000-0000-0000B5010000}"/>
    <cellStyle name="Comma 5 2 2 2 2 2 4 2 2" xfId="2754" xr:uid="{00000000-0005-0000-0000-0000B6010000}"/>
    <cellStyle name="Comma 5 2 2 2 2 2 4 2 2 2" xfId="6675" xr:uid="{3A8FE11B-FD8C-4C4C-94E9-610017583BAC}"/>
    <cellStyle name="Comma 5 2 2 2 2 2 4 2 2 2 2" xfId="14535" xr:uid="{6FA0098E-C149-4893-8C83-B79AE0AD6EBE}"/>
    <cellStyle name="Comma 5 2 2 2 2 2 4 2 2 3" xfId="10615" xr:uid="{A5AB7AC2-BFC7-4A32-8CBF-D1E66827AC1E}"/>
    <cellStyle name="Comma 5 2 2 2 2 2 4 2 3" xfId="4721" xr:uid="{20B1BE2D-EB37-4D44-B085-77B48FB36DD0}"/>
    <cellStyle name="Comma 5 2 2 2 2 2 4 2 3 2" xfId="12581" xr:uid="{7AD3E129-186A-4B24-BE45-5759FD82E8AA}"/>
    <cellStyle name="Comma 5 2 2 2 2 2 4 2 4" xfId="8662" xr:uid="{0DB2E670-5416-4F66-B7AE-749C61770166}"/>
    <cellStyle name="Comma 5 2 2 2 2 2 4 3" xfId="1234" xr:uid="{00000000-0005-0000-0000-0000B7010000}"/>
    <cellStyle name="Comma 5 2 2 2 2 2 4 3 2" xfId="3188" xr:uid="{00000000-0005-0000-0000-0000B8010000}"/>
    <cellStyle name="Comma 5 2 2 2 2 2 4 3 2 2" xfId="7109" xr:uid="{4216975E-D0BB-45EA-ABA4-5CF32DD79E5B}"/>
    <cellStyle name="Comma 5 2 2 2 2 2 4 3 2 2 2" xfId="14969" xr:uid="{F6F5128E-E620-4DEA-92F4-61EE4A01E63B}"/>
    <cellStyle name="Comma 5 2 2 2 2 2 4 3 2 3" xfId="11049" xr:uid="{FC39D6E1-731F-4007-8FB1-60C592A98A41}"/>
    <cellStyle name="Comma 5 2 2 2 2 2 4 3 3" xfId="5155" xr:uid="{03BCB288-1C55-438F-A19F-C37C16D5C765}"/>
    <cellStyle name="Comma 5 2 2 2 2 2 4 3 3 2" xfId="13015" xr:uid="{E99EDDBB-0087-4041-B516-DD7723179BAE}"/>
    <cellStyle name="Comma 5 2 2 2 2 2 4 3 4" xfId="9096" xr:uid="{CF20039F-4287-4EC4-BFD9-8554CDEEDDC0}"/>
    <cellStyle name="Comma 5 2 2 2 2 2 4 4" xfId="1654" xr:uid="{00000000-0005-0000-0000-0000B9010000}"/>
    <cellStyle name="Comma 5 2 2 2 2 2 4 4 2" xfId="3608" xr:uid="{00000000-0005-0000-0000-0000BA010000}"/>
    <cellStyle name="Comma 5 2 2 2 2 2 4 4 2 2" xfId="7529" xr:uid="{1D4AA1E1-56EF-4770-BECE-2FAD4E804848}"/>
    <cellStyle name="Comma 5 2 2 2 2 2 4 4 2 2 2" xfId="15389" xr:uid="{D3F4E068-173F-47E5-926E-26EC3FA01BDC}"/>
    <cellStyle name="Comma 5 2 2 2 2 2 4 4 2 3" xfId="11469" xr:uid="{31ABB41B-7B46-4E42-8333-9E9AB2A00564}"/>
    <cellStyle name="Comma 5 2 2 2 2 2 4 4 3" xfId="5575" xr:uid="{3A972600-31B0-4980-B1FC-260C4E497C05}"/>
    <cellStyle name="Comma 5 2 2 2 2 2 4 4 3 2" xfId="13435" xr:uid="{D43501E3-E86D-4871-A356-42E682DD196F}"/>
    <cellStyle name="Comma 5 2 2 2 2 2 4 4 4" xfId="9516" xr:uid="{CF61AA6A-6BE6-4308-BC13-37D7D8861042}"/>
    <cellStyle name="Comma 5 2 2 2 2 2 4 5" xfId="2308" xr:uid="{00000000-0005-0000-0000-0000BB010000}"/>
    <cellStyle name="Comma 5 2 2 2 2 2 4 5 2" xfId="6229" xr:uid="{04098F39-FBDB-4AF9-9FF9-D996F4065955}"/>
    <cellStyle name="Comma 5 2 2 2 2 2 4 5 2 2" xfId="14089" xr:uid="{44E26C3D-54EF-4F38-9430-DF6C4A25FB96}"/>
    <cellStyle name="Comma 5 2 2 2 2 2 4 5 3" xfId="10169" xr:uid="{60C13C87-7171-49FB-AE31-C2543318A2B7}"/>
    <cellStyle name="Comma 5 2 2 2 2 2 4 6" xfId="4275" xr:uid="{D3AB851E-8234-4B14-90C5-508745886F31}"/>
    <cellStyle name="Comma 5 2 2 2 2 2 4 6 2" xfId="12135" xr:uid="{234B9954-95BC-454A-8C74-4F4A649C9F1F}"/>
    <cellStyle name="Comma 5 2 2 2 2 2 4 7" xfId="8214" xr:uid="{280CA208-979D-439D-A278-C660125B10B7}"/>
    <cellStyle name="Comma 5 2 2 2 2 2 5" xfId="445" xr:uid="{00000000-0005-0000-0000-0000BC010000}"/>
    <cellStyle name="Comma 5 2 2 2 2 2 5 2" xfId="896" xr:uid="{00000000-0005-0000-0000-0000BD010000}"/>
    <cellStyle name="Comma 5 2 2 2 2 2 5 2 2" xfId="2850" xr:uid="{00000000-0005-0000-0000-0000BE010000}"/>
    <cellStyle name="Comma 5 2 2 2 2 2 5 2 2 2" xfId="6771" xr:uid="{26B57676-4624-4522-AE6D-9C30BA8519B2}"/>
    <cellStyle name="Comma 5 2 2 2 2 2 5 2 2 2 2" xfId="14631" xr:uid="{DFCF5E7F-734F-47C8-8523-BEFAC998830E}"/>
    <cellStyle name="Comma 5 2 2 2 2 2 5 2 2 3" xfId="10711" xr:uid="{A36AAAE9-936F-414E-9382-A394FE842639}"/>
    <cellStyle name="Comma 5 2 2 2 2 2 5 2 3" xfId="4817" xr:uid="{134E2B88-C898-49B8-9B01-F04614595F2E}"/>
    <cellStyle name="Comma 5 2 2 2 2 2 5 2 3 2" xfId="12677" xr:uid="{81FFDA2F-D919-423D-B92C-FA05BD7B130D}"/>
    <cellStyle name="Comma 5 2 2 2 2 2 5 2 4" xfId="8758" xr:uid="{2B5F625B-4CA4-4F14-8511-5743357B0C19}"/>
    <cellStyle name="Comma 5 2 2 2 2 2 5 3" xfId="1328" xr:uid="{00000000-0005-0000-0000-0000BF010000}"/>
    <cellStyle name="Comma 5 2 2 2 2 2 5 3 2" xfId="3282" xr:uid="{00000000-0005-0000-0000-0000C0010000}"/>
    <cellStyle name="Comma 5 2 2 2 2 2 5 3 2 2" xfId="7203" xr:uid="{07936370-BFDC-4265-9710-45F686766503}"/>
    <cellStyle name="Comma 5 2 2 2 2 2 5 3 2 2 2" xfId="15063" xr:uid="{1C591F91-2ACA-4A99-B62B-51FF102BACD3}"/>
    <cellStyle name="Comma 5 2 2 2 2 2 5 3 2 3" xfId="11143" xr:uid="{A5E647A2-D51B-4AE0-A6FF-3D0CFA18D133}"/>
    <cellStyle name="Comma 5 2 2 2 2 2 5 3 3" xfId="5249" xr:uid="{D2C0BB15-B08B-4446-B7C2-C95BA60E7AAD}"/>
    <cellStyle name="Comma 5 2 2 2 2 2 5 3 3 2" xfId="13109" xr:uid="{2915AED0-46D2-404F-A576-CA3A91882E65}"/>
    <cellStyle name="Comma 5 2 2 2 2 2 5 3 4" xfId="9190" xr:uid="{A539ACD8-34AD-479C-9C1C-5C2D124C737D}"/>
    <cellStyle name="Comma 5 2 2 2 2 2 5 4" xfId="1746" xr:uid="{00000000-0005-0000-0000-0000C1010000}"/>
    <cellStyle name="Comma 5 2 2 2 2 2 5 4 2" xfId="3700" xr:uid="{00000000-0005-0000-0000-0000C2010000}"/>
    <cellStyle name="Comma 5 2 2 2 2 2 5 4 2 2" xfId="7621" xr:uid="{352FECE6-DB2E-4E88-A645-5A542A368CD2}"/>
    <cellStyle name="Comma 5 2 2 2 2 2 5 4 2 2 2" xfId="15481" xr:uid="{071B28B8-24FE-4B27-9677-1AB06A64A1AE}"/>
    <cellStyle name="Comma 5 2 2 2 2 2 5 4 2 3" xfId="11561" xr:uid="{346CFEF0-D160-42FC-B725-DD06C08A153C}"/>
    <cellStyle name="Comma 5 2 2 2 2 2 5 4 3" xfId="5667" xr:uid="{9791F58E-568B-478D-80CC-6F81CDC8F327}"/>
    <cellStyle name="Comma 5 2 2 2 2 2 5 4 3 2" xfId="13527" xr:uid="{E1606B64-481D-4D62-8723-2595B99CD4CC}"/>
    <cellStyle name="Comma 5 2 2 2 2 2 5 4 4" xfId="9608" xr:uid="{F71536E6-DDB8-4B4D-B767-C4DFEACAC3F7}"/>
    <cellStyle name="Comma 5 2 2 2 2 2 5 5" xfId="2400" xr:uid="{00000000-0005-0000-0000-0000C3010000}"/>
    <cellStyle name="Comma 5 2 2 2 2 2 5 5 2" xfId="6321" xr:uid="{20969AA4-EB12-4382-BAFA-BB6C5C311826}"/>
    <cellStyle name="Comma 5 2 2 2 2 2 5 5 2 2" xfId="14181" xr:uid="{C1C331AD-D6AF-4EBD-9551-F1FDF043F930}"/>
    <cellStyle name="Comma 5 2 2 2 2 2 5 5 3" xfId="10261" xr:uid="{CDEBA70F-7009-4514-8419-5A76F0392E89}"/>
    <cellStyle name="Comma 5 2 2 2 2 2 5 6" xfId="4367" xr:uid="{8AD6B6DF-F340-4C80-A2D6-08F1BD68BABB}"/>
    <cellStyle name="Comma 5 2 2 2 2 2 5 6 2" xfId="12227" xr:uid="{EACFA080-8307-433F-8916-6091B92BBACA}"/>
    <cellStyle name="Comma 5 2 2 2 2 2 5 7" xfId="8308" xr:uid="{49659A1F-EE4D-4577-BA93-47E1E3C1ECCF}"/>
    <cellStyle name="Comma 5 2 2 2 2 2 6" xfId="537" xr:uid="{00000000-0005-0000-0000-0000C4010000}"/>
    <cellStyle name="Comma 5 2 2 2 2 2 6 2" xfId="2491" xr:uid="{00000000-0005-0000-0000-0000C5010000}"/>
    <cellStyle name="Comma 5 2 2 2 2 2 6 2 2" xfId="6412" xr:uid="{43EEC0DA-644D-44FA-A40E-02F6625F9227}"/>
    <cellStyle name="Comma 5 2 2 2 2 2 6 2 2 2" xfId="14272" xr:uid="{0A45980A-6112-4C69-9630-5510A5791B21}"/>
    <cellStyle name="Comma 5 2 2 2 2 2 6 2 3" xfId="10352" xr:uid="{D073927F-94C4-4CCD-90ED-2FC0FE9F2F72}"/>
    <cellStyle name="Comma 5 2 2 2 2 2 6 3" xfId="4458" xr:uid="{197826CB-CC50-4594-AA25-D15CCB7688FB}"/>
    <cellStyle name="Comma 5 2 2 2 2 2 6 3 2" xfId="12318" xr:uid="{D10AA474-FF88-421E-A1F6-726BDB54A6AC}"/>
    <cellStyle name="Comma 5 2 2 2 2 2 6 4" xfId="8399" xr:uid="{BB56C623-5869-432B-9C40-70E6169ADC51}"/>
    <cellStyle name="Comma 5 2 2 2 2 2 7" xfId="974" xr:uid="{00000000-0005-0000-0000-0000C6010000}"/>
    <cellStyle name="Comma 5 2 2 2 2 2 7 2" xfId="2928" xr:uid="{00000000-0005-0000-0000-0000C7010000}"/>
    <cellStyle name="Comma 5 2 2 2 2 2 7 2 2" xfId="6849" xr:uid="{C348B5BE-CCD2-414E-BE3C-4ED7F5179EE5}"/>
    <cellStyle name="Comma 5 2 2 2 2 2 7 2 2 2" xfId="14709" xr:uid="{933EF90A-BE66-4D31-8F81-A535A71BBB5D}"/>
    <cellStyle name="Comma 5 2 2 2 2 2 7 2 3" xfId="10789" xr:uid="{D98A5C71-8682-4E94-8925-7C9E51304FF0}"/>
    <cellStyle name="Comma 5 2 2 2 2 2 7 3" xfId="4895" xr:uid="{0FB37EF7-2CD7-404F-8CED-BE562D195BBA}"/>
    <cellStyle name="Comma 5 2 2 2 2 2 7 3 2" xfId="12755" xr:uid="{40914991-E66B-44C2-AA88-944DD0CBD88D}"/>
    <cellStyle name="Comma 5 2 2 2 2 2 7 4" xfId="8836" xr:uid="{08B1B96B-DB99-481F-91E7-9D5E22C2EAFD}"/>
    <cellStyle name="Comma 5 2 2 2 2 2 8" xfId="1401" xr:uid="{00000000-0005-0000-0000-0000C8010000}"/>
    <cellStyle name="Comma 5 2 2 2 2 2 8 2" xfId="3355" xr:uid="{00000000-0005-0000-0000-0000C9010000}"/>
    <cellStyle name="Comma 5 2 2 2 2 2 8 2 2" xfId="7276" xr:uid="{E4958B9A-D676-4B97-98EA-58D54CC62EEA}"/>
    <cellStyle name="Comma 5 2 2 2 2 2 8 2 2 2" xfId="15136" xr:uid="{A5D80414-8341-483E-AC77-9BF9FBEA3980}"/>
    <cellStyle name="Comma 5 2 2 2 2 2 8 2 3" xfId="11216" xr:uid="{933982B4-D6F8-40F0-AB80-ECA49DA7A2B9}"/>
    <cellStyle name="Comma 5 2 2 2 2 2 8 3" xfId="5322" xr:uid="{EEA566A8-916C-48FC-9DB4-28DF42A4B295}"/>
    <cellStyle name="Comma 5 2 2 2 2 2 8 3 2" xfId="13182" xr:uid="{7AF82180-AF11-4744-9649-06F393E67A65}"/>
    <cellStyle name="Comma 5 2 2 2 2 2 8 4" xfId="9263" xr:uid="{BB1F5F6E-4F09-415E-A1BC-78CCA150EEC0}"/>
    <cellStyle name="Comma 5 2 2 2 2 2 9" xfId="2054" xr:uid="{00000000-0005-0000-0000-0000CA010000}"/>
    <cellStyle name="Comma 5 2 2 2 2 2 9 2" xfId="5975" xr:uid="{9D33AD17-2A2A-4FF8-B08D-03170B341CE2}"/>
    <cellStyle name="Comma 5 2 2 2 2 2 9 2 2" xfId="13835" xr:uid="{23020DF1-427F-47F8-AB91-55999740AA75}"/>
    <cellStyle name="Comma 5 2 2 2 2 2 9 3" xfId="9915" xr:uid="{64925EE2-528D-4992-92C7-29D7CD9356E6}"/>
    <cellStyle name="Comma 5 2 2 2 2 3" xfId="202" xr:uid="{00000000-0005-0000-0000-0000CB010000}"/>
    <cellStyle name="Comma 5 2 2 2 2 3 2" xfId="654" xr:uid="{00000000-0005-0000-0000-0000CC010000}"/>
    <cellStyle name="Comma 5 2 2 2 2 3 2 2" xfId="2608" xr:uid="{00000000-0005-0000-0000-0000CD010000}"/>
    <cellStyle name="Comma 5 2 2 2 2 3 2 2 2" xfId="6529" xr:uid="{9A7270AA-FF83-436E-9D8A-EAACC4FCC268}"/>
    <cellStyle name="Comma 5 2 2 2 2 3 2 2 2 2" xfId="14389" xr:uid="{5CA5263D-7734-4C6B-938D-B4810D840F98}"/>
    <cellStyle name="Comma 5 2 2 2 2 3 2 2 3" xfId="10469" xr:uid="{9A143758-D3F0-4A55-A231-179E7FB30EEA}"/>
    <cellStyle name="Comma 5 2 2 2 2 3 2 3" xfId="4575" xr:uid="{EA8D5D30-2951-4292-9BC0-F5702F031F58}"/>
    <cellStyle name="Comma 5 2 2 2 2 3 2 3 2" xfId="12435" xr:uid="{35E6DB1E-DF5E-46E2-A9E8-44D1BE966E85}"/>
    <cellStyle name="Comma 5 2 2 2 2 3 2 4" xfId="8516" xr:uid="{FC412147-D8F6-4763-8850-ECE4E100B9FF}"/>
    <cellStyle name="Comma 5 2 2 2 2 3 3" xfId="1091" xr:uid="{00000000-0005-0000-0000-0000CE010000}"/>
    <cellStyle name="Comma 5 2 2 2 2 3 3 2" xfId="3045" xr:uid="{00000000-0005-0000-0000-0000CF010000}"/>
    <cellStyle name="Comma 5 2 2 2 2 3 3 2 2" xfId="6966" xr:uid="{0086335E-755A-4775-A67F-C2CCD45350C7}"/>
    <cellStyle name="Comma 5 2 2 2 2 3 3 2 2 2" xfId="14826" xr:uid="{B6B35AF0-1BDA-4AC2-99D7-150DF308194D}"/>
    <cellStyle name="Comma 5 2 2 2 2 3 3 2 3" xfId="10906" xr:uid="{B8C8BBAE-ECEA-4DC0-BCFD-06C5874CB203}"/>
    <cellStyle name="Comma 5 2 2 2 2 3 3 3" xfId="5012" xr:uid="{81C5917C-2F88-4050-A47E-086E747031FA}"/>
    <cellStyle name="Comma 5 2 2 2 2 3 3 3 2" xfId="12872" xr:uid="{F0FC14BD-0BF4-4140-8FDF-2A721B80A747}"/>
    <cellStyle name="Comma 5 2 2 2 2 3 3 4" xfId="8953" xr:uid="{8460C8A7-5798-4B4A-BEE0-265A75052762}"/>
    <cellStyle name="Comma 5 2 2 2 2 3 4" xfId="1518" xr:uid="{00000000-0005-0000-0000-0000D0010000}"/>
    <cellStyle name="Comma 5 2 2 2 2 3 4 2" xfId="3472" xr:uid="{00000000-0005-0000-0000-0000D1010000}"/>
    <cellStyle name="Comma 5 2 2 2 2 3 4 2 2" xfId="7393" xr:uid="{162FC734-3866-454F-A9E2-E4726D5F33BA}"/>
    <cellStyle name="Comma 5 2 2 2 2 3 4 2 2 2" xfId="15253" xr:uid="{A6B3628C-DDC6-40B8-903E-6E24F0F4CA17}"/>
    <cellStyle name="Comma 5 2 2 2 2 3 4 2 3" xfId="11333" xr:uid="{49AB81F4-70DC-4199-9C65-60FF52C0C077}"/>
    <cellStyle name="Comma 5 2 2 2 2 3 4 3" xfId="5439" xr:uid="{82015DDD-965C-4478-8B0E-C00986D322AC}"/>
    <cellStyle name="Comma 5 2 2 2 2 3 4 3 2" xfId="13299" xr:uid="{EC9AFD49-A959-4B71-8495-53239ACC8677}"/>
    <cellStyle name="Comma 5 2 2 2 2 3 4 4" xfId="9380" xr:uid="{3CAE7849-1C2B-4428-AE94-A912D23801CC}"/>
    <cellStyle name="Comma 5 2 2 2 2 3 5" xfId="2171" xr:uid="{00000000-0005-0000-0000-0000D2010000}"/>
    <cellStyle name="Comma 5 2 2 2 2 3 5 2" xfId="6092" xr:uid="{7F094113-4302-420D-B91A-D5C0A96D6B11}"/>
    <cellStyle name="Comma 5 2 2 2 2 3 5 2 2" xfId="13952" xr:uid="{7BF612A5-633E-48E6-89C6-018C84AE9B8D}"/>
    <cellStyle name="Comma 5 2 2 2 2 3 5 3" xfId="10032" xr:uid="{E2ADA916-F8BA-4B43-A90D-7213DB6AA107}"/>
    <cellStyle name="Comma 5 2 2 2 2 3 6" xfId="4138" xr:uid="{2BD0564D-CC05-4936-B7A1-1BAA358AAC9E}"/>
    <cellStyle name="Comma 5 2 2 2 2 3 6 2" xfId="11998" xr:uid="{8CCFEC5D-F10B-4AF1-8FD8-F83CACDA9006}"/>
    <cellStyle name="Comma 5 2 2 2 2 3 7" xfId="8076" xr:uid="{DB5CB336-4F43-418B-9FE0-A4DE0D5715E5}"/>
    <cellStyle name="Comma 5 2 2 2 2 4" xfId="124" xr:uid="{00000000-0005-0000-0000-0000D3010000}"/>
    <cellStyle name="Comma 5 2 2 2 2 4 2" xfId="576" xr:uid="{00000000-0005-0000-0000-0000D4010000}"/>
    <cellStyle name="Comma 5 2 2 2 2 4 2 2" xfId="2530" xr:uid="{00000000-0005-0000-0000-0000D5010000}"/>
    <cellStyle name="Comma 5 2 2 2 2 4 2 2 2" xfId="6451" xr:uid="{0F7E9D71-857D-4162-8589-1D585F3002A3}"/>
    <cellStyle name="Comma 5 2 2 2 2 4 2 2 2 2" xfId="14311" xr:uid="{7EAF8A3A-B280-497E-B033-0111A82D784E}"/>
    <cellStyle name="Comma 5 2 2 2 2 4 2 2 3" xfId="10391" xr:uid="{E30986B3-7987-4AFC-A454-BF3DA6DE4840}"/>
    <cellStyle name="Comma 5 2 2 2 2 4 2 3" xfId="4497" xr:uid="{4E9DA5CB-1330-4F0B-9C09-85319C2FA35C}"/>
    <cellStyle name="Comma 5 2 2 2 2 4 2 3 2" xfId="12357" xr:uid="{CBE8D37B-6420-43C4-B74F-D226490C6533}"/>
    <cellStyle name="Comma 5 2 2 2 2 4 2 4" xfId="8438" xr:uid="{A230CE4A-7BA9-4F55-87E8-1B7810BC4130}"/>
    <cellStyle name="Comma 5 2 2 2 2 4 3" xfId="1013" xr:uid="{00000000-0005-0000-0000-0000D6010000}"/>
    <cellStyle name="Comma 5 2 2 2 2 4 3 2" xfId="2967" xr:uid="{00000000-0005-0000-0000-0000D7010000}"/>
    <cellStyle name="Comma 5 2 2 2 2 4 3 2 2" xfId="6888" xr:uid="{25853AFF-E595-48E9-8EF1-ED69217853DA}"/>
    <cellStyle name="Comma 5 2 2 2 2 4 3 2 2 2" xfId="14748" xr:uid="{17AACE6A-D220-4ED3-A24C-F35CB2626CD2}"/>
    <cellStyle name="Comma 5 2 2 2 2 4 3 2 3" xfId="10828" xr:uid="{A5E01A68-A01E-4DD9-AC95-1AEAC6975A93}"/>
    <cellStyle name="Comma 5 2 2 2 2 4 3 3" xfId="4934" xr:uid="{B2FD662D-A62D-4846-8947-79EC548589B3}"/>
    <cellStyle name="Comma 5 2 2 2 2 4 3 3 2" xfId="12794" xr:uid="{6DC9C84E-D710-45EC-80B6-C2B21FE50699}"/>
    <cellStyle name="Comma 5 2 2 2 2 4 3 4" xfId="8875" xr:uid="{E3F998F2-64B8-488A-9BEF-0D3FFAFCDBE8}"/>
    <cellStyle name="Comma 5 2 2 2 2 4 4" xfId="1440" xr:uid="{00000000-0005-0000-0000-0000D8010000}"/>
    <cellStyle name="Comma 5 2 2 2 2 4 4 2" xfId="3394" xr:uid="{00000000-0005-0000-0000-0000D9010000}"/>
    <cellStyle name="Comma 5 2 2 2 2 4 4 2 2" xfId="7315" xr:uid="{138F3CC1-DDAF-4706-8D96-992690517765}"/>
    <cellStyle name="Comma 5 2 2 2 2 4 4 2 2 2" xfId="15175" xr:uid="{D698F946-3FF4-4395-9344-3F89815FEDD9}"/>
    <cellStyle name="Comma 5 2 2 2 2 4 4 2 3" xfId="11255" xr:uid="{12BE385A-09A7-4D80-BBDA-27C8F3373EC6}"/>
    <cellStyle name="Comma 5 2 2 2 2 4 4 3" xfId="5361" xr:uid="{FDDC5804-1A85-4A8F-8C69-372572DE82A4}"/>
    <cellStyle name="Comma 5 2 2 2 2 4 4 3 2" xfId="13221" xr:uid="{D4C9187D-5C33-41B2-88D8-B1D5BAF37636}"/>
    <cellStyle name="Comma 5 2 2 2 2 4 4 4" xfId="9302" xr:uid="{AE116268-4422-41E3-AAB0-2D75F0CFD93D}"/>
    <cellStyle name="Comma 5 2 2 2 2 4 5" xfId="2093" xr:uid="{00000000-0005-0000-0000-0000DA010000}"/>
    <cellStyle name="Comma 5 2 2 2 2 4 5 2" xfId="6014" xr:uid="{AE8D8828-C99D-4BB8-BC6C-8FEA8DADE482}"/>
    <cellStyle name="Comma 5 2 2 2 2 4 5 2 2" xfId="13874" xr:uid="{66B23CF9-ACA7-4028-889A-5DEEF576BC1C}"/>
    <cellStyle name="Comma 5 2 2 2 2 4 5 3" xfId="9954" xr:uid="{994F909E-1423-4F72-898A-4699291BA796}"/>
    <cellStyle name="Comma 5 2 2 2 2 4 6" xfId="4060" xr:uid="{8640DB6C-0ACD-4BE4-BEB6-0E455748D92F}"/>
    <cellStyle name="Comma 5 2 2 2 2 4 6 2" xfId="11920" xr:uid="{22358D55-5821-491E-AD83-71AE959D321C}"/>
    <cellStyle name="Comma 5 2 2 2 2 4 7" xfId="7998" xr:uid="{8F9ADC30-3F54-4FFC-B304-B681AC93B2A7}"/>
    <cellStyle name="Comma 5 2 2 2 2 5" xfId="301" xr:uid="{00000000-0005-0000-0000-0000DB010000}"/>
    <cellStyle name="Comma 5 2 2 2 2 5 2" xfId="753" xr:uid="{00000000-0005-0000-0000-0000DC010000}"/>
    <cellStyle name="Comma 5 2 2 2 2 5 2 2" xfId="2707" xr:uid="{00000000-0005-0000-0000-0000DD010000}"/>
    <cellStyle name="Comma 5 2 2 2 2 5 2 2 2" xfId="6628" xr:uid="{5EB638C2-17E6-4AE6-9098-305E7DD64236}"/>
    <cellStyle name="Comma 5 2 2 2 2 5 2 2 2 2" xfId="14488" xr:uid="{D9811216-F63C-472C-A029-6C203AF4BCEE}"/>
    <cellStyle name="Comma 5 2 2 2 2 5 2 2 3" xfId="10568" xr:uid="{0E600E77-C8D7-478F-8C55-C40B814B0F4B}"/>
    <cellStyle name="Comma 5 2 2 2 2 5 2 3" xfId="4674" xr:uid="{8ED946FF-FE13-4087-A173-3AEEA02BCB30}"/>
    <cellStyle name="Comma 5 2 2 2 2 5 2 3 2" xfId="12534" xr:uid="{13FD4443-33C4-41E3-B565-04794CB16203}"/>
    <cellStyle name="Comma 5 2 2 2 2 5 2 4" xfId="8615" xr:uid="{9CA97CBD-C4DB-4D59-9ED2-D3BBFFE32D14}"/>
    <cellStyle name="Comma 5 2 2 2 2 5 3" xfId="1189" xr:uid="{00000000-0005-0000-0000-0000DE010000}"/>
    <cellStyle name="Comma 5 2 2 2 2 5 3 2" xfId="3143" xr:uid="{00000000-0005-0000-0000-0000DF010000}"/>
    <cellStyle name="Comma 5 2 2 2 2 5 3 2 2" xfId="7064" xr:uid="{0697E08D-D207-455C-AEEF-F804EE89C02B}"/>
    <cellStyle name="Comma 5 2 2 2 2 5 3 2 2 2" xfId="14924" xr:uid="{1D064D6A-286A-4CF8-B317-BEEBF720B1F0}"/>
    <cellStyle name="Comma 5 2 2 2 2 5 3 2 3" xfId="11004" xr:uid="{7FAF6552-83EA-46FC-811A-1602A4B6E8A3}"/>
    <cellStyle name="Comma 5 2 2 2 2 5 3 3" xfId="5110" xr:uid="{C4903308-7F75-4C44-A9FA-8EC869B1FFBC}"/>
    <cellStyle name="Comma 5 2 2 2 2 5 3 3 2" xfId="12970" xr:uid="{2339ABFD-43CB-4631-91DF-ED2F5A43AC91}"/>
    <cellStyle name="Comma 5 2 2 2 2 5 3 4" xfId="9051" xr:uid="{3456D8B0-79F1-468A-85EA-25B78F5AAE73}"/>
    <cellStyle name="Comma 5 2 2 2 2 5 4" xfId="1609" xr:uid="{00000000-0005-0000-0000-0000E0010000}"/>
    <cellStyle name="Comma 5 2 2 2 2 5 4 2" xfId="3563" xr:uid="{00000000-0005-0000-0000-0000E1010000}"/>
    <cellStyle name="Comma 5 2 2 2 2 5 4 2 2" xfId="7484" xr:uid="{6D78CD0D-D618-4E23-9549-8DD418288904}"/>
    <cellStyle name="Comma 5 2 2 2 2 5 4 2 2 2" xfId="15344" xr:uid="{470504FC-EDD4-4582-A492-5AB9ED3D0491}"/>
    <cellStyle name="Comma 5 2 2 2 2 5 4 2 3" xfId="11424" xr:uid="{2C07F3DC-FF51-4FAE-BD30-025DEDAF1658}"/>
    <cellStyle name="Comma 5 2 2 2 2 5 4 3" xfId="5530" xr:uid="{D7D8EEB6-5C79-48ED-BF6E-CD22ECD114FD}"/>
    <cellStyle name="Comma 5 2 2 2 2 5 4 3 2" xfId="13390" xr:uid="{23AC58E8-2DCB-4BBF-B57C-E1D4176849D3}"/>
    <cellStyle name="Comma 5 2 2 2 2 5 4 4" xfId="9471" xr:uid="{C626BC0E-E697-4DD6-8FDF-4F7CB6C8483A}"/>
    <cellStyle name="Comma 5 2 2 2 2 5 5" xfId="2263" xr:uid="{00000000-0005-0000-0000-0000E2010000}"/>
    <cellStyle name="Comma 5 2 2 2 2 5 5 2" xfId="6184" xr:uid="{F34124F6-DA4C-4683-AD12-4C02733B39FC}"/>
    <cellStyle name="Comma 5 2 2 2 2 5 5 2 2" xfId="14044" xr:uid="{78C4C5BD-A3B1-4834-AA8A-F4258DA37EAC}"/>
    <cellStyle name="Comma 5 2 2 2 2 5 5 3" xfId="10124" xr:uid="{C3D6E9BF-0637-4316-91A7-F0BD66D93878}"/>
    <cellStyle name="Comma 5 2 2 2 2 5 6" xfId="4230" xr:uid="{3C7E2D55-AC8F-495C-82CE-183D8A891989}"/>
    <cellStyle name="Comma 5 2 2 2 2 5 6 2" xfId="12090" xr:uid="{E96372E5-28EC-4C6D-8C7D-B1624CF94626}"/>
    <cellStyle name="Comma 5 2 2 2 2 5 7" xfId="8169" xr:uid="{90C00E3A-28B6-42A0-8BD5-29FC1A852909}"/>
    <cellStyle name="Comma 5 2 2 2 2 6" xfId="400" xr:uid="{00000000-0005-0000-0000-0000E3010000}"/>
    <cellStyle name="Comma 5 2 2 2 2 6 2" xfId="851" xr:uid="{00000000-0005-0000-0000-0000E4010000}"/>
    <cellStyle name="Comma 5 2 2 2 2 6 2 2" xfId="2805" xr:uid="{00000000-0005-0000-0000-0000E5010000}"/>
    <cellStyle name="Comma 5 2 2 2 2 6 2 2 2" xfId="6726" xr:uid="{EC86CB4C-F586-462F-90C4-315E852B0CE0}"/>
    <cellStyle name="Comma 5 2 2 2 2 6 2 2 2 2" xfId="14586" xr:uid="{269F9454-2DF8-438E-A1D6-F93B18D9073F}"/>
    <cellStyle name="Comma 5 2 2 2 2 6 2 2 3" xfId="10666" xr:uid="{93F0360B-2CEE-461F-8307-7548BBFB4FD6}"/>
    <cellStyle name="Comma 5 2 2 2 2 6 2 3" xfId="4772" xr:uid="{F4C872E4-885F-418C-956E-9CE474535F95}"/>
    <cellStyle name="Comma 5 2 2 2 2 6 2 3 2" xfId="12632" xr:uid="{FB04F77D-39FA-428B-B291-3121FEF87B2B}"/>
    <cellStyle name="Comma 5 2 2 2 2 6 2 4" xfId="8713" xr:uid="{0A11EEE8-623E-43F0-B149-B04DFB6A2FD7}"/>
    <cellStyle name="Comma 5 2 2 2 2 6 3" xfId="1283" xr:uid="{00000000-0005-0000-0000-0000E6010000}"/>
    <cellStyle name="Comma 5 2 2 2 2 6 3 2" xfId="3237" xr:uid="{00000000-0005-0000-0000-0000E7010000}"/>
    <cellStyle name="Comma 5 2 2 2 2 6 3 2 2" xfId="7158" xr:uid="{2C34A09F-27BF-4F48-AD24-A6DF85BCA930}"/>
    <cellStyle name="Comma 5 2 2 2 2 6 3 2 2 2" xfId="15018" xr:uid="{EBF0303D-BC6A-4E1B-83A4-C711AE611A06}"/>
    <cellStyle name="Comma 5 2 2 2 2 6 3 2 3" xfId="11098" xr:uid="{FD025365-4254-478E-9849-1E04793F0C96}"/>
    <cellStyle name="Comma 5 2 2 2 2 6 3 3" xfId="5204" xr:uid="{36B92487-10D4-4C32-B583-3E7474F9188B}"/>
    <cellStyle name="Comma 5 2 2 2 2 6 3 3 2" xfId="13064" xr:uid="{F1AB7F6E-7EAE-48EC-B285-B88AD04E48F5}"/>
    <cellStyle name="Comma 5 2 2 2 2 6 3 4" xfId="9145" xr:uid="{4DCDE7B8-B3DC-4078-A3B2-C1B7537EAD51}"/>
    <cellStyle name="Comma 5 2 2 2 2 6 4" xfId="1701" xr:uid="{00000000-0005-0000-0000-0000E8010000}"/>
    <cellStyle name="Comma 5 2 2 2 2 6 4 2" xfId="3655" xr:uid="{00000000-0005-0000-0000-0000E9010000}"/>
    <cellStyle name="Comma 5 2 2 2 2 6 4 2 2" xfId="7576" xr:uid="{C103F232-6C0E-48F3-8DF8-C86D5DD3670C}"/>
    <cellStyle name="Comma 5 2 2 2 2 6 4 2 2 2" xfId="15436" xr:uid="{13556614-3AA6-489F-8ACF-4C0FFE6EE0A9}"/>
    <cellStyle name="Comma 5 2 2 2 2 6 4 2 3" xfId="11516" xr:uid="{A5648F3E-58C4-451F-9FC9-78C433EC6153}"/>
    <cellStyle name="Comma 5 2 2 2 2 6 4 3" xfId="5622" xr:uid="{ACEDD51D-149D-4FA0-8185-D50B044DBFA6}"/>
    <cellStyle name="Comma 5 2 2 2 2 6 4 3 2" xfId="13482" xr:uid="{0195172E-0CFB-4FF9-A7CF-C0E7151DC97A}"/>
    <cellStyle name="Comma 5 2 2 2 2 6 4 4" xfId="9563" xr:uid="{612CCE0F-9CD8-4E06-B0D1-B50D961FD2E7}"/>
    <cellStyle name="Comma 5 2 2 2 2 6 5" xfId="2355" xr:uid="{00000000-0005-0000-0000-0000EA010000}"/>
    <cellStyle name="Comma 5 2 2 2 2 6 5 2" xfId="6276" xr:uid="{1170F50C-438A-4614-9F2D-2263986AD1BE}"/>
    <cellStyle name="Comma 5 2 2 2 2 6 5 2 2" xfId="14136" xr:uid="{92C1EE1C-B39C-4EF7-B916-B5A3DD05E6F2}"/>
    <cellStyle name="Comma 5 2 2 2 2 6 5 3" xfId="10216" xr:uid="{325F4701-C9ED-422E-9CFD-50BA3A90B84D}"/>
    <cellStyle name="Comma 5 2 2 2 2 6 6" xfId="4322" xr:uid="{90A14141-BF09-4976-BC45-5D8C0C870B3F}"/>
    <cellStyle name="Comma 5 2 2 2 2 6 6 2" xfId="12182" xr:uid="{97084C2E-BF6A-4748-BEC4-D880EF849E8B}"/>
    <cellStyle name="Comma 5 2 2 2 2 6 7" xfId="8263" xr:uid="{1D32ED53-10BB-4670-909F-0BF825C8DE12}"/>
    <cellStyle name="Comma 5 2 2 2 2 7" xfId="498" xr:uid="{00000000-0005-0000-0000-0000EB010000}"/>
    <cellStyle name="Comma 5 2 2 2 2 7 2" xfId="2452" xr:uid="{00000000-0005-0000-0000-0000EC010000}"/>
    <cellStyle name="Comma 5 2 2 2 2 7 2 2" xfId="6373" xr:uid="{146FFE59-677D-4938-821B-9143184FC5A3}"/>
    <cellStyle name="Comma 5 2 2 2 2 7 2 2 2" xfId="14233" xr:uid="{ADEED815-F860-49F0-B141-518BA7556BCD}"/>
    <cellStyle name="Comma 5 2 2 2 2 7 2 3" xfId="10313" xr:uid="{26B0E9FC-D231-4AF8-B085-B496C10C7966}"/>
    <cellStyle name="Comma 5 2 2 2 2 7 3" xfId="4419" xr:uid="{00BFC860-DAD6-41B3-818B-579F82AB97FB}"/>
    <cellStyle name="Comma 5 2 2 2 2 7 3 2" xfId="12279" xr:uid="{9AA02252-7993-44E7-807D-C70C4A52607B}"/>
    <cellStyle name="Comma 5 2 2 2 2 7 4" xfId="8360" xr:uid="{02F5621B-9401-416D-B4EF-3CA68C508116}"/>
    <cellStyle name="Comma 5 2 2 2 2 8" xfId="935" xr:uid="{00000000-0005-0000-0000-0000ED010000}"/>
    <cellStyle name="Comma 5 2 2 2 2 8 2" xfId="2889" xr:uid="{00000000-0005-0000-0000-0000EE010000}"/>
    <cellStyle name="Comma 5 2 2 2 2 8 2 2" xfId="6810" xr:uid="{4F167946-1249-47D4-AB65-F07EDFF0DA4A}"/>
    <cellStyle name="Comma 5 2 2 2 2 8 2 2 2" xfId="14670" xr:uid="{70151BB0-41E9-4D55-B121-2B0DDB2F09A1}"/>
    <cellStyle name="Comma 5 2 2 2 2 8 2 3" xfId="10750" xr:uid="{C8660F9C-A4CB-4844-AA14-E75F761DC224}"/>
    <cellStyle name="Comma 5 2 2 2 2 8 3" xfId="4856" xr:uid="{F16469C0-8E89-41B5-8E27-4B9ACE7C851A}"/>
    <cellStyle name="Comma 5 2 2 2 2 8 3 2" xfId="12716" xr:uid="{7EF843EA-CC1A-49CA-B6E2-D6718E4239F3}"/>
    <cellStyle name="Comma 5 2 2 2 2 8 4" xfId="8797" xr:uid="{00842D9B-F6AB-499B-91C4-330E54DB60C6}"/>
    <cellStyle name="Comma 5 2 2 2 2 9" xfId="1362" xr:uid="{00000000-0005-0000-0000-0000EF010000}"/>
    <cellStyle name="Comma 5 2 2 2 2 9 2" xfId="3316" xr:uid="{00000000-0005-0000-0000-0000F0010000}"/>
    <cellStyle name="Comma 5 2 2 2 2 9 2 2" xfId="7237" xr:uid="{855BC485-E2DB-4C14-9A72-302AD5D329E4}"/>
    <cellStyle name="Comma 5 2 2 2 2 9 2 2 2" xfId="15097" xr:uid="{74498F1E-3A4F-43D2-BBF7-A1B5A614E20E}"/>
    <cellStyle name="Comma 5 2 2 2 2 9 2 3" xfId="11177" xr:uid="{370D55E8-EB7A-490B-B773-4073A090EF83}"/>
    <cellStyle name="Comma 5 2 2 2 2 9 3" xfId="5283" xr:uid="{5B56C11B-CC16-4E05-92BB-2E5EB39F6395}"/>
    <cellStyle name="Comma 5 2 2 2 2 9 3 2" xfId="13143" xr:uid="{EDED7E86-FFFB-412C-9253-70DB1196880D}"/>
    <cellStyle name="Comma 5 2 2 2 2 9 4" xfId="9224" xr:uid="{78ABB024-C734-40E6-A336-9FF429B82472}"/>
    <cellStyle name="Comma 5 2 2 2 3" xfId="2851" xr:uid="{00000000-0005-0000-0000-0000F1010000}"/>
    <cellStyle name="Comma 5 2 2 2 3 2" xfId="6772" xr:uid="{321C4869-88E8-4EE0-8F68-6AD0BC6A317D}"/>
    <cellStyle name="Comma 5 2 2 2 3 2 2" xfId="14632" xr:uid="{92A31F1E-9CFE-4E24-97C8-7EC227EEBD32}"/>
    <cellStyle name="Comma 5 2 2 2 3 3" xfId="10712" xr:uid="{9D1B8831-D46D-4235-8364-2055779FB68C}"/>
    <cellStyle name="Comma 5 2 2 2 4" xfId="4818" xr:uid="{0C707A42-A052-4A2A-9D6B-167D77CE91D2}"/>
    <cellStyle name="Comma 5 2 2 2 4 2" xfId="12678" xr:uid="{21DE7B02-7E7F-489C-8001-DDA8CE3F9FEB}"/>
    <cellStyle name="Comma 5 2 2 2 5" xfId="8759" xr:uid="{031D0B43-3C2D-4A8F-9BE2-28F54CD90F63}"/>
    <cellStyle name="Comma 5 2 2 3" xfId="1329" xr:uid="{00000000-0005-0000-0000-0000F2010000}"/>
    <cellStyle name="Comma 5 2 2 3 2" xfId="3283" xr:uid="{00000000-0005-0000-0000-0000F3010000}"/>
    <cellStyle name="Comma 5 2 2 3 2 2" xfId="7204" xr:uid="{9C3D54C0-4414-472F-84E2-86402BD5DC0F}"/>
    <cellStyle name="Comma 5 2 2 3 2 2 2" xfId="15064" xr:uid="{60EEDB11-6728-4A5C-BEA9-1784D2986D4E}"/>
    <cellStyle name="Comma 5 2 2 3 2 3" xfId="11144" xr:uid="{14C0D2D1-25D2-4AE1-9A91-47986592714F}"/>
    <cellStyle name="Comma 5 2 2 3 3" xfId="5250" xr:uid="{76F460F3-72E0-435E-A8AC-A2D3733F083C}"/>
    <cellStyle name="Comma 5 2 2 3 3 2" xfId="13110" xr:uid="{5E9C99DB-65D8-47AE-8AC9-B6E4AB5E91AE}"/>
    <cellStyle name="Comma 5 2 2 3 4" xfId="9191" xr:uid="{487200B0-A2C7-4C9E-AC9B-1BF45B41275E}"/>
    <cellStyle name="Comma 5 2 2 4" xfId="1747" xr:uid="{00000000-0005-0000-0000-0000F4010000}"/>
    <cellStyle name="Comma 5 2 2 4 2" xfId="3701" xr:uid="{00000000-0005-0000-0000-0000F5010000}"/>
    <cellStyle name="Comma 5 2 2 4 2 2" xfId="7622" xr:uid="{1EA5FF53-1CF8-4306-8DE4-403AC72AD2FF}"/>
    <cellStyle name="Comma 5 2 2 4 2 2 2" xfId="15482" xr:uid="{C87DFBEA-7E3D-446A-8DBB-8AE6222F3A69}"/>
    <cellStyle name="Comma 5 2 2 4 2 3" xfId="11562" xr:uid="{7DE4002F-86BC-4391-B535-25777DEB1B79}"/>
    <cellStyle name="Comma 5 2 2 4 3" xfId="5668" xr:uid="{D5129E76-DCFE-4870-83EA-6949F6AB3C63}"/>
    <cellStyle name="Comma 5 2 2 4 3 2" xfId="13528" xr:uid="{862F84D2-E32D-41DC-9536-6AB2B99A4913}"/>
    <cellStyle name="Comma 5 2 2 4 4" xfId="9609" xr:uid="{E2E7793E-2D56-4FD3-8775-2AF6D9EC9E9E}"/>
    <cellStyle name="Comma 5 2 2 5" xfId="2401" xr:uid="{00000000-0005-0000-0000-0000F6010000}"/>
    <cellStyle name="Comma 5 2 2 5 2" xfId="6322" xr:uid="{08C080F0-3233-4FE4-A464-85A9C8ECDAF6}"/>
    <cellStyle name="Comma 5 2 2 5 2 2" xfId="14182" xr:uid="{844887D2-B0D8-4C6D-BA08-C0E7C2AFBDC3}"/>
    <cellStyle name="Comma 5 2 2 5 3" xfId="10262" xr:uid="{FD6CD716-BC5A-4B1C-826F-B3917D47E570}"/>
    <cellStyle name="Comma 5 2 2 6" xfId="4368" xr:uid="{376CA65D-79B0-4DCE-9E72-6517EE4FA3F5}"/>
    <cellStyle name="Comma 5 2 2 6 2" xfId="12228" xr:uid="{809B633D-9C4A-4C3D-8162-295D7AC8DEC1}"/>
    <cellStyle name="Comma 5 2 2 7" xfId="8309" xr:uid="{0898B8BE-2B55-43C2-8C15-4067A12086A7}"/>
    <cellStyle name="Comma 5 2 3" xfId="801" xr:uid="{00000000-0005-0000-0000-0000F7010000}"/>
    <cellStyle name="Comma 5 2 3 2" xfId="2755" xr:uid="{00000000-0005-0000-0000-0000F8010000}"/>
    <cellStyle name="Comma 5 2 3 2 2" xfId="6676" xr:uid="{F1908E53-9875-498C-8361-469A18A27F59}"/>
    <cellStyle name="Comma 5 2 3 2 2 2" xfId="14536" xr:uid="{2EECE0DA-6FBF-4B54-AA00-1EAC0D705F6B}"/>
    <cellStyle name="Comma 5 2 3 2 3" xfId="10616" xr:uid="{A4EFE76F-6F23-4D47-A8AE-082803EC19A9}"/>
    <cellStyle name="Comma 5 2 3 3" xfId="4722" xr:uid="{1AC4B832-3E92-4BA5-B95A-335EF2933D75}"/>
    <cellStyle name="Comma 5 2 3 3 2" xfId="12582" xr:uid="{035C87ED-5C02-4500-954F-1A2E7AE011E0}"/>
    <cellStyle name="Comma 5 2 3 4" xfId="8663" xr:uid="{157DA3BA-EFB0-4F5F-B2CC-D33429DAE15D}"/>
    <cellStyle name="Comma 5 2 4" xfId="1235" xr:uid="{00000000-0005-0000-0000-0000F9010000}"/>
    <cellStyle name="Comma 5 2 4 2" xfId="3189" xr:uid="{00000000-0005-0000-0000-0000FA010000}"/>
    <cellStyle name="Comma 5 2 4 2 2" xfId="7110" xr:uid="{C50D125B-5980-4926-9A5B-30621A020EA3}"/>
    <cellStyle name="Comma 5 2 4 2 2 2" xfId="14970" xr:uid="{88633B1C-A614-4B2F-97F8-ECEDBE90BD53}"/>
    <cellStyle name="Comma 5 2 4 2 3" xfId="11050" xr:uid="{23167BA7-B967-46A4-B292-FFA0C8EDA603}"/>
    <cellStyle name="Comma 5 2 4 3" xfId="5156" xr:uid="{24D70536-0464-40EB-94C9-AB215225DB28}"/>
    <cellStyle name="Comma 5 2 4 3 2" xfId="13016" xr:uid="{C8EDF0F0-59FE-4B70-A877-91E6453BDDB5}"/>
    <cellStyle name="Comma 5 2 4 4" xfId="9097" xr:uid="{133D9D01-ADA3-4771-B773-3203FCDEB53B}"/>
    <cellStyle name="Comma 5 2 5" xfId="1655" xr:uid="{00000000-0005-0000-0000-0000FB010000}"/>
    <cellStyle name="Comma 5 2 5 2" xfId="3609" xr:uid="{00000000-0005-0000-0000-0000FC010000}"/>
    <cellStyle name="Comma 5 2 5 2 2" xfId="7530" xr:uid="{9BD5D4C2-858C-4BB4-B060-AB754D5BD4AD}"/>
    <cellStyle name="Comma 5 2 5 2 2 2" xfId="15390" xr:uid="{66179ECC-99D8-42C3-8484-6A87DFC5B57A}"/>
    <cellStyle name="Comma 5 2 5 2 3" xfId="11470" xr:uid="{E40691DE-9F83-4CDB-A4CC-796EBBED9847}"/>
    <cellStyle name="Comma 5 2 5 3" xfId="5576" xr:uid="{79C93222-E745-4366-9FA2-11C176264B1D}"/>
    <cellStyle name="Comma 5 2 5 3 2" xfId="13436" xr:uid="{B0644C60-5E45-4630-B603-99120B5B44D0}"/>
    <cellStyle name="Comma 5 2 5 4" xfId="9517" xr:uid="{1406669F-ABA3-4BC2-8BC1-F166078E4F93}"/>
    <cellStyle name="Comma 5 2 6" xfId="2309" xr:uid="{00000000-0005-0000-0000-0000FD010000}"/>
    <cellStyle name="Comma 5 2 6 2" xfId="6230" xr:uid="{C3E2A785-A884-4F6F-9507-9A4B5A94EBE0}"/>
    <cellStyle name="Comma 5 2 6 2 2" xfId="14090" xr:uid="{E26CE77E-EC8D-4ACA-A183-FF5F8312C83F}"/>
    <cellStyle name="Comma 5 2 6 3" xfId="10170" xr:uid="{246A1A8E-6190-47E4-BAE6-174F759AB4DC}"/>
    <cellStyle name="Comma 5 2 7" xfId="4276" xr:uid="{FA4E7BCF-78A2-4A90-A428-59E77A364D58}"/>
    <cellStyle name="Comma 5 2 7 2" xfId="12136" xr:uid="{3ADBB72A-D21C-4177-B47D-5128BE02E284}"/>
    <cellStyle name="Comma 5 2 8" xfId="8215" xr:uid="{004D6D90-05D1-408F-96E6-D857B787B513}"/>
    <cellStyle name="Comma 5 3" xfId="303" xr:uid="{00000000-0005-0000-0000-0000FE010000}"/>
    <cellStyle name="Comma 5 3 2" xfId="755" xr:uid="{00000000-0005-0000-0000-0000FF010000}"/>
    <cellStyle name="Comma 5 3 2 2" xfId="2709" xr:uid="{00000000-0005-0000-0000-000000020000}"/>
    <cellStyle name="Comma 5 3 2 2 2" xfId="6630" xr:uid="{67A3C048-A823-41C3-A5AA-B980E4822383}"/>
    <cellStyle name="Comma 5 3 2 2 2 2" xfId="14490" xr:uid="{4E4537EA-B68B-42B5-ACAB-34551A62F078}"/>
    <cellStyle name="Comma 5 3 2 2 3" xfId="10570" xr:uid="{592EA789-A5AE-497F-8AED-563841205AE8}"/>
    <cellStyle name="Comma 5 3 2 3" xfId="4676" xr:uid="{D24F6BBC-A8D2-42DF-9815-6896CFB82339}"/>
    <cellStyle name="Comma 5 3 2 3 2" xfId="12536" xr:uid="{2E495E48-BFD4-4623-BC70-A91E09DDCAAF}"/>
    <cellStyle name="Comma 5 3 2 4" xfId="8617" xr:uid="{DA382F61-3346-4BFA-99EB-D31D13371A4F}"/>
    <cellStyle name="Comma 5 3 3" xfId="1191" xr:uid="{00000000-0005-0000-0000-000001020000}"/>
    <cellStyle name="Comma 5 3 3 2" xfId="3145" xr:uid="{00000000-0005-0000-0000-000002020000}"/>
    <cellStyle name="Comma 5 3 3 2 2" xfId="7066" xr:uid="{AADD1994-5467-4500-AC1F-49B6E07B16BF}"/>
    <cellStyle name="Comma 5 3 3 2 2 2" xfId="14926" xr:uid="{20D23482-1613-4071-9CE1-149F76005092}"/>
    <cellStyle name="Comma 5 3 3 2 3" xfId="11006" xr:uid="{35560CAF-9B29-4B05-A24A-BF8C632A11A7}"/>
    <cellStyle name="Comma 5 3 3 3" xfId="5112" xr:uid="{14D7857D-B94D-43BD-9BA1-0A2456A9F4C5}"/>
    <cellStyle name="Comma 5 3 3 3 2" xfId="12972" xr:uid="{A1C78A0D-4C9A-42A2-A7FE-5AF66933D360}"/>
    <cellStyle name="Comma 5 3 3 4" xfId="9053" xr:uid="{9C502D0A-93F4-4EC7-9AED-E9E1F16E2150}"/>
    <cellStyle name="Comma 5 3 4" xfId="1611" xr:uid="{00000000-0005-0000-0000-000003020000}"/>
    <cellStyle name="Comma 5 3 4 2" xfId="3565" xr:uid="{00000000-0005-0000-0000-000004020000}"/>
    <cellStyle name="Comma 5 3 4 2 2" xfId="7486" xr:uid="{E843CC35-69DD-4F10-903D-B9C244AAF094}"/>
    <cellStyle name="Comma 5 3 4 2 2 2" xfId="15346" xr:uid="{346D4D7C-7F00-4AEB-96A7-D77F42F501C2}"/>
    <cellStyle name="Comma 5 3 4 2 3" xfId="11426" xr:uid="{46AA7162-4985-467D-9A42-26278A397828}"/>
    <cellStyle name="Comma 5 3 4 3" xfId="5532" xr:uid="{EEABC773-5FD9-4819-96C0-4E2CD858733C}"/>
    <cellStyle name="Comma 5 3 4 3 2" xfId="13392" xr:uid="{8D8CC647-59D7-4027-9392-3BEE10573CA0}"/>
    <cellStyle name="Comma 5 3 4 4" xfId="9473" xr:uid="{4C79E3EA-0BD1-4548-AB0E-DE78E8719C3C}"/>
    <cellStyle name="Comma 5 3 5" xfId="2265" xr:uid="{00000000-0005-0000-0000-000005020000}"/>
    <cellStyle name="Comma 5 3 5 2" xfId="6186" xr:uid="{61628303-067A-44BE-B28B-49E6CC6292BC}"/>
    <cellStyle name="Comma 5 3 5 2 2" xfId="14046" xr:uid="{EE1F25D3-BAA5-4667-A6AB-1353C1ABE101}"/>
    <cellStyle name="Comma 5 3 5 3" xfId="10126" xr:uid="{EA169BDB-11DF-48E5-907C-10472E6FBDCD}"/>
    <cellStyle name="Comma 5 3 6" xfId="4232" xr:uid="{80DE9681-7343-4078-9506-30EDFF1ACB04}"/>
    <cellStyle name="Comma 5 3 6 2" xfId="12092" xr:uid="{203A9BC4-F945-493A-B5EA-837F1EBAB404}"/>
    <cellStyle name="Comma 5 3 7" xfId="8171" xr:uid="{9621EFB3-0D65-44D6-A67B-031595AFE07B}"/>
    <cellStyle name="Comma 5 4" xfId="402" xr:uid="{00000000-0005-0000-0000-000006020000}"/>
    <cellStyle name="Comma 5 4 2" xfId="853" xr:uid="{00000000-0005-0000-0000-000007020000}"/>
    <cellStyle name="Comma 5 4 2 2" xfId="2807" xr:uid="{00000000-0005-0000-0000-000008020000}"/>
    <cellStyle name="Comma 5 4 2 2 2" xfId="6728" xr:uid="{F80D0523-57AD-47C5-901D-BC5E4E40E5AC}"/>
    <cellStyle name="Comma 5 4 2 2 2 2" xfId="14588" xr:uid="{B1FD5CC1-42F7-4894-A281-5AA129A5B716}"/>
    <cellStyle name="Comma 5 4 2 2 3" xfId="10668" xr:uid="{F424B6F9-33C7-4DC2-B1B2-B35B999CF178}"/>
    <cellStyle name="Comma 5 4 2 3" xfId="4774" xr:uid="{101D73C4-2408-4984-A85A-B14C236311DB}"/>
    <cellStyle name="Comma 5 4 2 3 2" xfId="12634" xr:uid="{FFFA91BE-9929-47A2-8AAE-10474E1C8513}"/>
    <cellStyle name="Comma 5 4 2 4" xfId="8715" xr:uid="{1B97FF45-1382-410E-97DF-EEB6259B77A0}"/>
    <cellStyle name="Comma 5 4 3" xfId="1285" xr:uid="{00000000-0005-0000-0000-000009020000}"/>
    <cellStyle name="Comma 5 4 3 2" xfId="3239" xr:uid="{00000000-0005-0000-0000-00000A020000}"/>
    <cellStyle name="Comma 5 4 3 2 2" xfId="7160" xr:uid="{DC005064-4529-4E80-AD9E-C611820235EB}"/>
    <cellStyle name="Comma 5 4 3 2 2 2" xfId="15020" xr:uid="{EBCC28FF-EAA7-41DD-BFC6-DCA9B0BC197C}"/>
    <cellStyle name="Comma 5 4 3 2 3" xfId="11100" xr:uid="{4E59E301-5CE2-4E4E-B285-F7A2CD5756CC}"/>
    <cellStyle name="Comma 5 4 3 3" xfId="5206" xr:uid="{1CE9C4B3-9513-4BE8-84C8-7219E75B7892}"/>
    <cellStyle name="Comma 5 4 3 3 2" xfId="13066" xr:uid="{094734D8-CA78-459F-9B2A-2F68410956D5}"/>
    <cellStyle name="Comma 5 4 3 4" xfId="9147" xr:uid="{FE24A07F-AF92-4423-A640-35FA275D7AF5}"/>
    <cellStyle name="Comma 5 4 4" xfId="1703" xr:uid="{00000000-0005-0000-0000-00000B020000}"/>
    <cellStyle name="Comma 5 4 4 2" xfId="3657" xr:uid="{00000000-0005-0000-0000-00000C020000}"/>
    <cellStyle name="Comma 5 4 4 2 2" xfId="7578" xr:uid="{1179C4A4-F459-4879-8B3C-84AFF7C57F16}"/>
    <cellStyle name="Comma 5 4 4 2 2 2" xfId="15438" xr:uid="{EE3F6352-1B79-4F73-A746-81A12C354A9F}"/>
    <cellStyle name="Comma 5 4 4 2 3" xfId="11518" xr:uid="{9519ADFB-AA86-4B50-B73F-04FE260EFB2D}"/>
    <cellStyle name="Comma 5 4 4 3" xfId="5624" xr:uid="{C32529C3-415D-48F1-ADE3-CBD2F971D746}"/>
    <cellStyle name="Comma 5 4 4 3 2" xfId="13484" xr:uid="{98B4CFF1-11FB-4D74-8936-AA4DB1BAB810}"/>
    <cellStyle name="Comma 5 4 4 4" xfId="9565" xr:uid="{C12BA54A-47AB-4428-B78B-8F281C3C3523}"/>
    <cellStyle name="Comma 5 4 5" xfId="2357" xr:uid="{00000000-0005-0000-0000-00000D020000}"/>
    <cellStyle name="Comma 5 4 5 2" xfId="6278" xr:uid="{94804F3E-621A-4B7A-8D17-5710AC0513F2}"/>
    <cellStyle name="Comma 5 4 5 2 2" xfId="14138" xr:uid="{2F50FED6-51A4-461D-94EE-C0E1888252A5}"/>
    <cellStyle name="Comma 5 4 5 3" xfId="10218" xr:uid="{78D34AF3-5A51-41D8-9989-3DB61C3B1908}"/>
    <cellStyle name="Comma 5 4 6" xfId="4324" xr:uid="{9BB30F02-3569-4DBE-91A9-57A7B99ABDCA}"/>
    <cellStyle name="Comma 5 4 6 2" xfId="12184" xr:uid="{AA9CD88E-1511-4C11-BBF0-D60E563FFF7A}"/>
    <cellStyle name="Comma 5 4 7" xfId="8265" xr:uid="{D41C8626-EE3E-4F48-88B9-1637D1E01C60}"/>
    <cellStyle name="Comma 5 5" xfId="695" xr:uid="{00000000-0005-0000-0000-00000E020000}"/>
    <cellStyle name="Comma 5 5 2" xfId="2649" xr:uid="{00000000-0005-0000-0000-00000F020000}"/>
    <cellStyle name="Comma 5 5 2 2" xfId="6570" xr:uid="{01298EE3-3814-4760-8C79-D696EFE07B36}"/>
    <cellStyle name="Comma 5 5 2 2 2" xfId="14430" xr:uid="{9B5D5C7A-0CC1-477E-B017-31236EDC88D2}"/>
    <cellStyle name="Comma 5 5 2 3" xfId="10510" xr:uid="{4B17B045-4AB6-4EB4-BACB-A6CD15F120F2}"/>
    <cellStyle name="Comma 5 5 3" xfId="4616" xr:uid="{C02BB055-C056-464F-BE79-7E300E346236}"/>
    <cellStyle name="Comma 5 5 3 2" xfId="12476" xr:uid="{7B675B8D-DAA8-402D-BCA1-463EF7536F37}"/>
    <cellStyle name="Comma 5 5 4" xfId="8557" xr:uid="{BB5F67F0-E96A-4989-A214-979F484B4630}"/>
    <cellStyle name="Comma 5 6" xfId="1132" xr:uid="{00000000-0005-0000-0000-000010020000}"/>
    <cellStyle name="Comma 5 6 2" xfId="3086" xr:uid="{00000000-0005-0000-0000-000011020000}"/>
    <cellStyle name="Comma 5 6 2 2" xfId="7007" xr:uid="{503EBEA1-51C6-40B6-9A62-B050D42EE85E}"/>
    <cellStyle name="Comma 5 6 2 2 2" xfId="14867" xr:uid="{4CB87F41-D898-42CF-953F-C6C4500A5C21}"/>
    <cellStyle name="Comma 5 6 2 3" xfId="10947" xr:uid="{80272F08-8427-4646-9C02-CAF3E4C35D4D}"/>
    <cellStyle name="Comma 5 6 3" xfId="5053" xr:uid="{B5354032-B264-4491-B366-21112513A5DF}"/>
    <cellStyle name="Comma 5 6 3 2" xfId="12913" xr:uid="{FFCFE34D-6D23-46AE-9229-E1E653A69178}"/>
    <cellStyle name="Comma 5 6 4" xfId="8994" xr:uid="{3C01EE1A-BCCA-432D-A97D-5689299EDC6C}"/>
    <cellStyle name="Comma 5 7" xfId="1559" xr:uid="{00000000-0005-0000-0000-000012020000}"/>
    <cellStyle name="Comma 5 7 2" xfId="3513" xr:uid="{00000000-0005-0000-0000-000013020000}"/>
    <cellStyle name="Comma 5 7 2 2" xfId="7434" xr:uid="{EEDCD23C-29B3-462B-ACD5-D8D993AD716F}"/>
    <cellStyle name="Comma 5 7 2 2 2" xfId="15294" xr:uid="{A8A2EB66-5120-427E-9CB7-A293FA7EF01B}"/>
    <cellStyle name="Comma 5 7 2 3" xfId="11374" xr:uid="{238D013C-E33A-4AA8-8ACC-2B1E93DBA2D9}"/>
    <cellStyle name="Comma 5 7 3" xfId="5480" xr:uid="{08FBA787-12F2-4B9B-A8ED-42AADC8EAC51}"/>
    <cellStyle name="Comma 5 7 3 2" xfId="13340" xr:uid="{F115B1E0-76B0-451D-AF61-1460F5A7AACA}"/>
    <cellStyle name="Comma 5 7 4" xfId="9421" xr:uid="{89DF8DA9-54F5-4C4D-A872-FA3326D5F144}"/>
    <cellStyle name="Comma 5 8" xfId="2212" xr:uid="{00000000-0005-0000-0000-000014020000}"/>
    <cellStyle name="Comma 5 8 2" xfId="6133" xr:uid="{A520D602-1864-4E1E-A291-74997D964FE1}"/>
    <cellStyle name="Comma 5 8 2 2" xfId="13993" xr:uid="{3A7D6E33-D9D6-4D91-AC68-3A227A39128F}"/>
    <cellStyle name="Comma 5 8 3" xfId="10073" xr:uid="{C6029B8A-BE97-4BAD-9398-92C9CEF973C3}"/>
    <cellStyle name="Comma 5 9" xfId="4179" xr:uid="{B6EFB8F8-9E91-40D1-9CD3-3C07415DAF41}"/>
    <cellStyle name="Comma 5 9 2" xfId="12039" xr:uid="{4A08370F-3939-48E8-A158-D00FE7011965}"/>
    <cellStyle name="Comma 6" xfId="258" xr:uid="{00000000-0005-0000-0000-000015020000}"/>
    <cellStyle name="Comma 6 10" xfId="8127" xr:uid="{F61F59F1-4C06-43AA-8F2B-E72944C47CE0}"/>
    <cellStyle name="Comma 6 2" xfId="1791" xr:uid="{00000000-0005-0000-0000-000016020000}"/>
    <cellStyle name="Comma 6 2 2" xfId="1828" xr:uid="{00000000-0005-0000-0000-000017020000}"/>
    <cellStyle name="Comma 6 2 2 2" xfId="3781" xr:uid="{00000000-0005-0000-0000-000018020000}"/>
    <cellStyle name="Comma 6 2 2 2 2" xfId="7702" xr:uid="{71AAFEA3-3C58-40BE-A044-0AD002490986}"/>
    <cellStyle name="Comma 6 2 2 2 2 2" xfId="15562" xr:uid="{36EE27C9-112F-4FD7-9D91-DE7079BA61CF}"/>
    <cellStyle name="Comma 6 2 2 2 3" xfId="11642" xr:uid="{727BB2BC-AB98-4F9B-BF46-ABD6D486BE29}"/>
    <cellStyle name="Comma 6 2 2 3" xfId="5749" xr:uid="{D02E1DEF-9088-4CE7-99E5-2CE9952A421A}"/>
    <cellStyle name="Comma 6 2 2 3 2" xfId="13609" xr:uid="{5398BDA3-EDC2-4CFC-8F1F-CD7D2D20D4E5}"/>
    <cellStyle name="Comma 6 2 2 4" xfId="9690" xr:uid="{2A39C9D9-66E9-4282-A3CA-0B2E4ECC2379}"/>
    <cellStyle name="Comma 6 2 3" xfId="1862" xr:uid="{00000000-0005-0000-0000-000019020000}"/>
    <cellStyle name="Comma 6 2 3 2" xfId="3815" xr:uid="{00000000-0005-0000-0000-00001A020000}"/>
    <cellStyle name="Comma 6 2 3 2 2" xfId="7736" xr:uid="{A27C88C2-8BE2-4F0C-AFED-CFF0513F931A}"/>
    <cellStyle name="Comma 6 2 3 2 2 2" xfId="15596" xr:uid="{FFCC6F56-9597-40E5-8ABF-A235DF5D4544}"/>
    <cellStyle name="Comma 6 2 3 2 3" xfId="11676" xr:uid="{E4DF3810-CA66-4F59-903B-EB4BE4C27C3D}"/>
    <cellStyle name="Comma 6 2 3 3" xfId="5783" xr:uid="{9913CEE2-4803-4760-907A-D285606BE1AA}"/>
    <cellStyle name="Comma 6 2 3 3 2" xfId="13643" xr:uid="{6F7F5C13-23C1-4E92-9D04-EB56C07F7A69}"/>
    <cellStyle name="Comma 6 2 3 4" xfId="9724" xr:uid="{9EFE9685-DD0D-4CA7-9616-0DFBB38924D3}"/>
    <cellStyle name="Comma 6 2 4" xfId="1895" xr:uid="{00000000-0005-0000-0000-00001B020000}"/>
    <cellStyle name="Comma 6 2 4 2" xfId="3848" xr:uid="{00000000-0005-0000-0000-00001C020000}"/>
    <cellStyle name="Comma 6 2 4 2 2" xfId="7769" xr:uid="{7D37CDCB-A964-4D88-9560-54A99C300E63}"/>
    <cellStyle name="Comma 6 2 4 2 2 2" xfId="15629" xr:uid="{72A85AC4-DCB4-4952-9007-9CBAB6865FA8}"/>
    <cellStyle name="Comma 6 2 4 2 3" xfId="11709" xr:uid="{C6929C14-1DBB-4003-9F65-91A9A756F7E7}"/>
    <cellStyle name="Comma 6 2 4 3" xfId="5816" xr:uid="{EAAB3FBC-CE7F-4DB7-B195-CB7F30CBB425}"/>
    <cellStyle name="Comma 6 2 4 3 2" xfId="13676" xr:uid="{C424E700-0993-4648-9856-0EC78A74B1A9}"/>
    <cellStyle name="Comma 6 2 4 4" xfId="9757" xr:uid="{E4C3E50B-C9A0-458E-AE18-9113BE2D2822}"/>
    <cellStyle name="Comma 6 2 5" xfId="3744" xr:uid="{00000000-0005-0000-0000-00001D020000}"/>
    <cellStyle name="Comma 6 2 5 2" xfId="7665" xr:uid="{CB5243C0-3581-4044-A100-8B7DC61B17FC}"/>
    <cellStyle name="Comma 6 2 5 2 2" xfId="15525" xr:uid="{F2E7D354-79E1-4E7C-B088-49F4FD00B208}"/>
    <cellStyle name="Comma 6 2 5 3" xfId="11605" xr:uid="{AB055DF0-068F-4886-ABA2-6430F23CA4C9}"/>
    <cellStyle name="Comma 6 2 6" xfId="5712" xr:uid="{095F94C2-9394-4363-B7D6-208492B006B7}"/>
    <cellStyle name="Comma 6 2 6 2" xfId="13572" xr:uid="{BC067B09-BA65-44BD-9866-6AC7A7FA322B}"/>
    <cellStyle name="Comma 6 2 7" xfId="9653" xr:uid="{62DA25AA-CD3D-422F-B5BE-E58C5471E33A}"/>
    <cellStyle name="Comma 6 3" xfId="4" xr:uid="{00000000-0005-0000-0000-00001E020000}"/>
    <cellStyle name="Comma 6 3 10" xfId="705" xr:uid="{00000000-0005-0000-0000-00001F020000}"/>
    <cellStyle name="Comma 6 3 10 2" xfId="2659" xr:uid="{00000000-0005-0000-0000-000020020000}"/>
    <cellStyle name="Comma 6 3 10 2 2" xfId="6580" xr:uid="{FDF652F1-216B-48F5-84AA-8B2E29EB160A}"/>
    <cellStyle name="Comma 6 3 10 2 2 2" xfId="14440" xr:uid="{3A85B9BB-C43E-4953-8BB3-C8F392D910E4}"/>
    <cellStyle name="Comma 6 3 10 2 3" xfId="10520" xr:uid="{E7485809-790D-4952-9BF7-B8C04E08B7C1}"/>
    <cellStyle name="Comma 6 3 10 3" xfId="4626" xr:uid="{E6E90FEC-757D-42F1-BAD7-A6D4A8398DFE}"/>
    <cellStyle name="Comma 6 3 10 3 2" xfId="12486" xr:uid="{F8E44A25-167F-43E9-91E7-1EFDEB877381}"/>
    <cellStyle name="Comma 6 3 10 4" xfId="8567" xr:uid="{560F51D0-04E6-4725-A549-FDDFEA634FC3}"/>
    <cellStyle name="Comma 6 3 11" xfId="1142" xr:uid="{00000000-0005-0000-0000-000021020000}"/>
    <cellStyle name="Comma 6 3 11 2" xfId="3096" xr:uid="{00000000-0005-0000-0000-000022020000}"/>
    <cellStyle name="Comma 6 3 11 2 2" xfId="7017" xr:uid="{21397CAB-ECF1-4971-A8C0-499BA09E97D1}"/>
    <cellStyle name="Comma 6 3 11 2 2 2" xfId="14877" xr:uid="{59D32692-F449-4D54-B16E-F79FD5EC9F91}"/>
    <cellStyle name="Comma 6 3 11 2 3" xfId="10957" xr:uid="{3336BA2F-721B-4629-80BB-1297B83256E6}"/>
    <cellStyle name="Comma 6 3 11 3" xfId="5063" xr:uid="{E762E50E-3D98-46C9-A2C8-38E617E27FE9}"/>
    <cellStyle name="Comma 6 3 11 3 2" xfId="12923" xr:uid="{216CA924-9A95-4AFC-BFC7-B175B408CDB9}"/>
    <cellStyle name="Comma 6 3 11 4" xfId="9004" xr:uid="{4C4948D1-2F21-40DC-811E-027C7336A0FB}"/>
    <cellStyle name="Comma 6 3 12" xfId="1978" xr:uid="{00000000-0005-0000-0000-000023020000}"/>
    <cellStyle name="Comma 6 3 12 2" xfId="5899" xr:uid="{861E97E7-6DE0-4C7E-9C07-DAA71136C554}"/>
    <cellStyle name="Comma 6 3 12 2 2" xfId="13759" xr:uid="{AD8012F9-824B-472E-A8D9-9C38BEC3FC1F}"/>
    <cellStyle name="Comma 6 3 12 3" xfId="9839" xr:uid="{AE20FE36-1E86-4E06-9644-834D3C8E6B7C}"/>
    <cellStyle name="Comma 6 3 13" xfId="3944" xr:uid="{877EAA93-D7EF-4563-8156-4DDEC05919D9}"/>
    <cellStyle name="Comma 6 3 13 2" xfId="11804" xr:uid="{81705BDE-67B2-41D8-AF96-1DF5B3BAF0FE}"/>
    <cellStyle name="Comma 6 3 14" xfId="7881" xr:uid="{DA723507-D5F7-4A85-9B79-C75AA2DDB275}"/>
    <cellStyle name="Comma 6 3 2" xfId="18" xr:uid="{00000000-0005-0000-0000-000024020000}"/>
    <cellStyle name="Comma 6 3 2 10" xfId="1989" xr:uid="{00000000-0005-0000-0000-000025020000}"/>
    <cellStyle name="Comma 6 3 2 10 2" xfId="5910" xr:uid="{3265B529-8BF1-475F-9A26-E612C6D50A96}"/>
    <cellStyle name="Comma 6 3 2 10 2 2" xfId="13770" xr:uid="{DCEA49BE-E2FE-4268-B48D-23DA4231E887}"/>
    <cellStyle name="Comma 6 3 2 10 3" xfId="9850" xr:uid="{C799305C-6B6E-4847-B554-39C45644E81D}"/>
    <cellStyle name="Comma 6 3 2 11" xfId="3956" xr:uid="{9AE3BD3B-A51A-45B2-BFA8-991FB747AB0E}"/>
    <cellStyle name="Comma 6 3 2 11 2" xfId="11816" xr:uid="{292E01F2-2E23-49C6-A5E9-58D2CB13DFDC}"/>
    <cellStyle name="Comma 6 3 2 12" xfId="7893" xr:uid="{7DDE87BD-2AC0-4DE7-97B3-8579E329EB23}"/>
    <cellStyle name="Comma 6 3 2 2" xfId="60" xr:uid="{00000000-0005-0000-0000-000026020000}"/>
    <cellStyle name="Comma 6 3 2 2 10" xfId="3996" xr:uid="{3D95D59E-BC57-47ED-B6F2-E82DCE1E9849}"/>
    <cellStyle name="Comma 6 3 2 2 10 2" xfId="11856" xr:uid="{0275DD2C-080E-44E7-B67A-B04DE74FA03B}"/>
    <cellStyle name="Comma 6 3 2 2 11" xfId="7934" xr:uid="{A374466A-48F9-4754-A954-B119B8CEF57D}"/>
    <cellStyle name="Comma 6 3 2 2 2" xfId="216" xr:uid="{00000000-0005-0000-0000-000027020000}"/>
    <cellStyle name="Comma 6 3 2 2 2 2" xfId="668" xr:uid="{00000000-0005-0000-0000-000028020000}"/>
    <cellStyle name="Comma 6 3 2 2 2 2 2" xfId="2622" xr:uid="{00000000-0005-0000-0000-000029020000}"/>
    <cellStyle name="Comma 6 3 2 2 2 2 2 2" xfId="6543" xr:uid="{657C3F67-436D-40FE-B2EE-6BCE1C51C26E}"/>
    <cellStyle name="Comma 6 3 2 2 2 2 2 2 2" xfId="14403" xr:uid="{AE1CB7FE-E109-4152-84AC-72EC7FA67C31}"/>
    <cellStyle name="Comma 6 3 2 2 2 2 2 3" xfId="10483" xr:uid="{7E199015-30A7-490D-9367-EC8F32B8198F}"/>
    <cellStyle name="Comma 6 3 2 2 2 2 3" xfId="4589" xr:uid="{D657DDCD-9973-4845-AAC8-A00E253FB7C7}"/>
    <cellStyle name="Comma 6 3 2 2 2 2 3 2" xfId="12449" xr:uid="{03B3810F-0DCF-44C3-8FD6-766C5C03D1AE}"/>
    <cellStyle name="Comma 6 3 2 2 2 2 4" xfId="8530" xr:uid="{8BCE5430-B097-49D2-831F-95313274BAEC}"/>
    <cellStyle name="Comma 6 3 2 2 2 3" xfId="1105" xr:uid="{00000000-0005-0000-0000-00002A020000}"/>
    <cellStyle name="Comma 6 3 2 2 2 3 2" xfId="3059" xr:uid="{00000000-0005-0000-0000-00002B020000}"/>
    <cellStyle name="Comma 6 3 2 2 2 3 2 2" xfId="6980" xr:uid="{4CC27EF5-C2F5-4C50-BBD3-5FBF74FEE7A4}"/>
    <cellStyle name="Comma 6 3 2 2 2 3 2 2 2" xfId="14840" xr:uid="{8D1F6D2F-4302-404E-8F26-649B8A483E82}"/>
    <cellStyle name="Comma 6 3 2 2 2 3 2 3" xfId="10920" xr:uid="{BB6A0D3A-B706-4CBF-90F8-D876718F4E92}"/>
    <cellStyle name="Comma 6 3 2 2 2 3 3" xfId="5026" xr:uid="{426A21B5-4A5E-44F5-8D65-C674795BB493}"/>
    <cellStyle name="Comma 6 3 2 2 2 3 3 2" xfId="12886" xr:uid="{391E0E60-A459-405A-80D6-1E98E87FFD46}"/>
    <cellStyle name="Comma 6 3 2 2 2 3 4" xfId="8967" xr:uid="{A71A0620-2D95-48FE-A983-5BB97A15BAC7}"/>
    <cellStyle name="Comma 6 3 2 2 2 4" xfId="1532" xr:uid="{00000000-0005-0000-0000-00002C020000}"/>
    <cellStyle name="Comma 6 3 2 2 2 4 2" xfId="3486" xr:uid="{00000000-0005-0000-0000-00002D020000}"/>
    <cellStyle name="Comma 6 3 2 2 2 4 2 2" xfId="7407" xr:uid="{D170FF8F-E49F-48C5-B0A3-A5BDC34C6332}"/>
    <cellStyle name="Comma 6 3 2 2 2 4 2 2 2" xfId="15267" xr:uid="{FEB2B511-4E5E-457B-B3C6-4F0D87C0A76E}"/>
    <cellStyle name="Comma 6 3 2 2 2 4 2 3" xfId="11347" xr:uid="{264B2204-B181-4B4F-A656-F49859065D79}"/>
    <cellStyle name="Comma 6 3 2 2 2 4 3" xfId="5453" xr:uid="{2B535B95-2095-4AE1-ACC4-AF1019B69CDA}"/>
    <cellStyle name="Comma 6 3 2 2 2 4 3 2" xfId="13313" xr:uid="{3DDE5121-60DD-4DFE-915A-1CE1143AC195}"/>
    <cellStyle name="Comma 6 3 2 2 2 4 4" xfId="9394" xr:uid="{3D702445-7338-41F8-9684-275CD5DDD3EB}"/>
    <cellStyle name="Comma 6 3 2 2 2 5" xfId="2185" xr:uid="{00000000-0005-0000-0000-00002E020000}"/>
    <cellStyle name="Comma 6 3 2 2 2 5 2" xfId="6106" xr:uid="{647623F4-7363-4F90-896C-4BE49AC8FE5D}"/>
    <cellStyle name="Comma 6 3 2 2 2 5 2 2" xfId="13966" xr:uid="{860EDAD8-B553-4901-9B8F-B1F5F024535E}"/>
    <cellStyle name="Comma 6 3 2 2 2 5 3" xfId="10046" xr:uid="{BC2BB2B2-6A71-4A51-BF56-E368787995F2}"/>
    <cellStyle name="Comma 6 3 2 2 2 6" xfId="4152" xr:uid="{96F68159-4252-4517-B73E-4E5F32F3437C}"/>
    <cellStyle name="Comma 6 3 2 2 2 6 2" xfId="12012" xr:uid="{9EAAD674-6DE0-41B1-863F-073890E54841}"/>
    <cellStyle name="Comma 6 3 2 2 2 7" xfId="8090" xr:uid="{8477D2CC-E9AF-4CFF-9B69-54AACCC8CF4B}"/>
    <cellStyle name="Comma 6 3 2 2 3" xfId="138" xr:uid="{00000000-0005-0000-0000-00002F020000}"/>
    <cellStyle name="Comma 6 3 2 2 3 2" xfId="590" xr:uid="{00000000-0005-0000-0000-000030020000}"/>
    <cellStyle name="Comma 6 3 2 2 3 2 2" xfId="2544" xr:uid="{00000000-0005-0000-0000-000031020000}"/>
    <cellStyle name="Comma 6 3 2 2 3 2 2 2" xfId="6465" xr:uid="{E47D872E-C7FF-436F-81E3-21D463611626}"/>
    <cellStyle name="Comma 6 3 2 2 3 2 2 2 2" xfId="14325" xr:uid="{32069222-922C-4475-9009-916736A54450}"/>
    <cellStyle name="Comma 6 3 2 2 3 2 2 3" xfId="10405" xr:uid="{5C4953D8-3822-45FD-8181-67479A9D03F2}"/>
    <cellStyle name="Comma 6 3 2 2 3 2 3" xfId="4511" xr:uid="{17C184AE-B2F4-46AB-9EEF-E4D8E21488DA}"/>
    <cellStyle name="Comma 6 3 2 2 3 2 3 2" xfId="12371" xr:uid="{5BBB4E25-7969-4D5E-B227-82CDA082F208}"/>
    <cellStyle name="Comma 6 3 2 2 3 2 4" xfId="8452" xr:uid="{EE51EEDD-7D00-42BB-BA14-56E91D6BF454}"/>
    <cellStyle name="Comma 6 3 2 2 3 3" xfId="1027" xr:uid="{00000000-0005-0000-0000-000032020000}"/>
    <cellStyle name="Comma 6 3 2 2 3 3 2" xfId="2981" xr:uid="{00000000-0005-0000-0000-000033020000}"/>
    <cellStyle name="Comma 6 3 2 2 3 3 2 2" xfId="6902" xr:uid="{AFFAB77B-A3DE-446A-9276-9BCDBAC3F824}"/>
    <cellStyle name="Comma 6 3 2 2 3 3 2 2 2" xfId="14762" xr:uid="{82AF094C-9C8D-452E-A71C-9E74591E7C7B}"/>
    <cellStyle name="Comma 6 3 2 2 3 3 2 3" xfId="10842" xr:uid="{F61E9206-BD79-49CD-9603-47E0A3574146}"/>
    <cellStyle name="Comma 6 3 2 2 3 3 3" xfId="4948" xr:uid="{F0764418-B2DD-4869-AF9E-18D8EB3539BD}"/>
    <cellStyle name="Comma 6 3 2 2 3 3 3 2" xfId="12808" xr:uid="{CCC269FC-6C13-400E-82B7-DF565AE398AC}"/>
    <cellStyle name="Comma 6 3 2 2 3 3 4" xfId="8889" xr:uid="{0640A5CB-F220-4A63-86B7-33BA739D2707}"/>
    <cellStyle name="Comma 6 3 2 2 3 4" xfId="1454" xr:uid="{00000000-0005-0000-0000-000034020000}"/>
    <cellStyle name="Comma 6 3 2 2 3 4 2" xfId="3408" xr:uid="{00000000-0005-0000-0000-000035020000}"/>
    <cellStyle name="Comma 6 3 2 2 3 4 2 2" xfId="7329" xr:uid="{527CCC27-FF70-4C4A-AF56-3AB8AA8218DE}"/>
    <cellStyle name="Comma 6 3 2 2 3 4 2 2 2" xfId="15189" xr:uid="{595D3A1B-2D59-4D68-8D65-1F8FA1F8CE5F}"/>
    <cellStyle name="Comma 6 3 2 2 3 4 2 3" xfId="11269" xr:uid="{4462D887-EB1D-43A7-9F25-0F606BD22D5F}"/>
    <cellStyle name="Comma 6 3 2 2 3 4 3" xfId="5375" xr:uid="{14D17DDE-AD48-475E-AADA-AD88DAA4D8F5}"/>
    <cellStyle name="Comma 6 3 2 2 3 4 3 2" xfId="13235" xr:uid="{BFD2BD48-2551-4B92-A546-A0CFF13F7E3C}"/>
    <cellStyle name="Comma 6 3 2 2 3 4 4" xfId="9316" xr:uid="{9A57C03A-FE53-4814-9214-F9C366EB9908}"/>
    <cellStyle name="Comma 6 3 2 2 3 5" xfId="2107" xr:uid="{00000000-0005-0000-0000-000036020000}"/>
    <cellStyle name="Comma 6 3 2 2 3 5 2" xfId="6028" xr:uid="{4B2F67A2-271F-41B0-9DF8-4C16108739B7}"/>
    <cellStyle name="Comma 6 3 2 2 3 5 2 2" xfId="13888" xr:uid="{82E0CCA8-27D6-4711-8825-C139A17C4E2D}"/>
    <cellStyle name="Comma 6 3 2 2 3 5 3" xfId="9968" xr:uid="{C5A491B5-FCA7-4A77-8F8C-7AD6DDD37E7A}"/>
    <cellStyle name="Comma 6 3 2 2 3 6" xfId="4074" xr:uid="{7C46704A-2CB8-4418-AFB8-FDB8D6A0CDC8}"/>
    <cellStyle name="Comma 6 3 2 2 3 6 2" xfId="11934" xr:uid="{0B02A072-29C0-4DAD-8EEF-70436C406F33}"/>
    <cellStyle name="Comma 6 3 2 2 3 7" xfId="8012" xr:uid="{6DC0A0EE-AE70-4ACA-AE40-7C4FCC4AC68E}"/>
    <cellStyle name="Comma 6 3 2 2 4" xfId="322" xr:uid="{00000000-0005-0000-0000-000037020000}"/>
    <cellStyle name="Comma 6 3 2 2 4 2" xfId="774" xr:uid="{00000000-0005-0000-0000-000038020000}"/>
    <cellStyle name="Comma 6 3 2 2 4 2 2" xfId="2728" xr:uid="{00000000-0005-0000-0000-000039020000}"/>
    <cellStyle name="Comma 6 3 2 2 4 2 2 2" xfId="6649" xr:uid="{09B4E778-57E2-45FE-8558-5C1C66C7FE07}"/>
    <cellStyle name="Comma 6 3 2 2 4 2 2 2 2" xfId="14509" xr:uid="{924185DC-58B0-4A38-88E9-FFCAD86ED0D7}"/>
    <cellStyle name="Comma 6 3 2 2 4 2 2 3" xfId="10589" xr:uid="{D9961991-9F4A-4444-BADF-30DAFD3E10D3}"/>
    <cellStyle name="Comma 6 3 2 2 4 2 3" xfId="4695" xr:uid="{0F33CD3E-F247-4576-9C18-EE5CCD5005C6}"/>
    <cellStyle name="Comma 6 3 2 2 4 2 3 2" xfId="12555" xr:uid="{FC4E3BAA-90CC-4B93-88A1-A1F8C0C7AB4A}"/>
    <cellStyle name="Comma 6 3 2 2 4 2 4" xfId="8636" xr:uid="{E2E42BE7-D3DC-443B-AECF-45C6D49BC9A9}"/>
    <cellStyle name="Comma 6 3 2 2 4 3" xfId="1209" xr:uid="{00000000-0005-0000-0000-00003A020000}"/>
    <cellStyle name="Comma 6 3 2 2 4 3 2" xfId="3163" xr:uid="{00000000-0005-0000-0000-00003B020000}"/>
    <cellStyle name="Comma 6 3 2 2 4 3 2 2" xfId="7084" xr:uid="{A9676FAD-A685-44D3-A4B2-3B83886449C1}"/>
    <cellStyle name="Comma 6 3 2 2 4 3 2 2 2" xfId="14944" xr:uid="{C3F4C976-31A9-46BC-A90E-4AF05306A0AE}"/>
    <cellStyle name="Comma 6 3 2 2 4 3 2 3" xfId="11024" xr:uid="{099751A2-7ED4-4056-A6D6-BAD9029B6C44}"/>
    <cellStyle name="Comma 6 3 2 2 4 3 3" xfId="5130" xr:uid="{E96E33CC-65B9-4DE9-B573-885195871777}"/>
    <cellStyle name="Comma 6 3 2 2 4 3 3 2" xfId="12990" xr:uid="{21CB11C5-88CA-470D-97F6-6A8F7071CDC9}"/>
    <cellStyle name="Comma 6 3 2 2 4 3 4" xfId="9071" xr:uid="{FF99C8B3-8A1E-4020-82FB-064747C0D187}"/>
    <cellStyle name="Comma 6 3 2 2 4 4" xfId="1629" xr:uid="{00000000-0005-0000-0000-00003C020000}"/>
    <cellStyle name="Comma 6 3 2 2 4 4 2" xfId="3583" xr:uid="{00000000-0005-0000-0000-00003D020000}"/>
    <cellStyle name="Comma 6 3 2 2 4 4 2 2" xfId="7504" xr:uid="{BF23AF55-C7F6-45C0-B44D-CBD07B7CC2BE}"/>
    <cellStyle name="Comma 6 3 2 2 4 4 2 2 2" xfId="15364" xr:uid="{F023316D-A423-41DD-B903-8FC12772E415}"/>
    <cellStyle name="Comma 6 3 2 2 4 4 2 3" xfId="11444" xr:uid="{883AD237-0DC3-4431-A1CB-1061EADDD858}"/>
    <cellStyle name="Comma 6 3 2 2 4 4 3" xfId="5550" xr:uid="{3890703A-F155-4DFB-BB87-D29FB3FC4B0E}"/>
    <cellStyle name="Comma 6 3 2 2 4 4 3 2" xfId="13410" xr:uid="{4D5D9841-58C0-4377-8AB5-E248EB450AB2}"/>
    <cellStyle name="Comma 6 3 2 2 4 4 4" xfId="9491" xr:uid="{62BF4AC8-FEE0-42F4-898C-6694D2B4D5B0}"/>
    <cellStyle name="Comma 6 3 2 2 4 5" xfId="2283" xr:uid="{00000000-0005-0000-0000-00003E020000}"/>
    <cellStyle name="Comma 6 3 2 2 4 5 2" xfId="6204" xr:uid="{030C8A8C-5618-41AB-8B16-6FDED024CDBC}"/>
    <cellStyle name="Comma 6 3 2 2 4 5 2 2" xfId="14064" xr:uid="{E2513E9A-297F-4898-B7FD-C5EB449AC610}"/>
    <cellStyle name="Comma 6 3 2 2 4 5 3" xfId="10144" xr:uid="{1C91E018-77D6-4291-B23B-B5AEB139BEF2}"/>
    <cellStyle name="Comma 6 3 2 2 4 6" xfId="4250" xr:uid="{535AB2AC-644E-4190-ABCF-391AA26C248F}"/>
    <cellStyle name="Comma 6 3 2 2 4 6 2" xfId="12110" xr:uid="{D1EA9EA5-ED1F-406A-89DC-15D3353E57C6}"/>
    <cellStyle name="Comma 6 3 2 2 4 7" xfId="8189" xr:uid="{14CAC576-8FCD-4006-9C0A-3D18EB76EE0E}"/>
    <cellStyle name="Comma 6 3 2 2 5" xfId="420" xr:uid="{00000000-0005-0000-0000-00003F020000}"/>
    <cellStyle name="Comma 6 3 2 2 5 2" xfId="871" xr:uid="{00000000-0005-0000-0000-000040020000}"/>
    <cellStyle name="Comma 6 3 2 2 5 2 2" xfId="2825" xr:uid="{00000000-0005-0000-0000-000041020000}"/>
    <cellStyle name="Comma 6 3 2 2 5 2 2 2" xfId="6746" xr:uid="{C67AA098-5706-41DF-B58B-A5BC6B5F5D3E}"/>
    <cellStyle name="Comma 6 3 2 2 5 2 2 2 2" xfId="14606" xr:uid="{DD87AFCC-311A-47B5-B73C-AF7C92766689}"/>
    <cellStyle name="Comma 6 3 2 2 5 2 2 3" xfId="10686" xr:uid="{3F61E3F2-67F5-44C4-A2C8-678743A01B95}"/>
    <cellStyle name="Comma 6 3 2 2 5 2 3" xfId="4792" xr:uid="{41533742-464F-4DE4-9368-2A28A001810A}"/>
    <cellStyle name="Comma 6 3 2 2 5 2 3 2" xfId="12652" xr:uid="{F62F7C3A-779D-4C98-86E2-0B4E9432E2D7}"/>
    <cellStyle name="Comma 6 3 2 2 5 2 4" xfId="8733" xr:uid="{3773BC63-A146-485F-AA6F-A51337E9ADF4}"/>
    <cellStyle name="Comma 6 3 2 2 5 3" xfId="1303" xr:uid="{00000000-0005-0000-0000-000042020000}"/>
    <cellStyle name="Comma 6 3 2 2 5 3 2" xfId="3257" xr:uid="{00000000-0005-0000-0000-000043020000}"/>
    <cellStyle name="Comma 6 3 2 2 5 3 2 2" xfId="7178" xr:uid="{7EDF9A1F-ABDE-4010-BAF7-320640073C7A}"/>
    <cellStyle name="Comma 6 3 2 2 5 3 2 2 2" xfId="15038" xr:uid="{08765374-AD07-4DD0-A8AB-E2CE9A2B3907}"/>
    <cellStyle name="Comma 6 3 2 2 5 3 2 3" xfId="11118" xr:uid="{194EC3B6-D930-4C18-B2BC-13CFBA5D7B7A}"/>
    <cellStyle name="Comma 6 3 2 2 5 3 3" xfId="5224" xr:uid="{ABF3F2ED-C9DC-40D8-B6C2-304590B9CFFD}"/>
    <cellStyle name="Comma 6 3 2 2 5 3 3 2" xfId="13084" xr:uid="{5AC555D1-C07C-48C9-8BBC-4AC519BC9C77}"/>
    <cellStyle name="Comma 6 3 2 2 5 3 4" xfId="9165" xr:uid="{28EE8BF9-EDD9-4431-B273-0490483A6246}"/>
    <cellStyle name="Comma 6 3 2 2 5 4" xfId="1721" xr:uid="{00000000-0005-0000-0000-000044020000}"/>
    <cellStyle name="Comma 6 3 2 2 5 4 2" xfId="3675" xr:uid="{00000000-0005-0000-0000-000045020000}"/>
    <cellStyle name="Comma 6 3 2 2 5 4 2 2" xfId="7596" xr:uid="{D99CCD9A-F817-4018-8CC8-1141282382E8}"/>
    <cellStyle name="Comma 6 3 2 2 5 4 2 2 2" xfId="15456" xr:uid="{15328BC7-16BA-4787-AC92-D9529C8CC329}"/>
    <cellStyle name="Comma 6 3 2 2 5 4 2 3" xfId="11536" xr:uid="{AEEBD7FE-217B-473D-869D-54B89A00BAD3}"/>
    <cellStyle name="Comma 6 3 2 2 5 4 3" xfId="5642" xr:uid="{470DB130-2CC7-4285-BEB9-7D929C7391DD}"/>
    <cellStyle name="Comma 6 3 2 2 5 4 3 2" xfId="13502" xr:uid="{8DA1F0DC-D416-4113-87DC-0FCA9C067152}"/>
    <cellStyle name="Comma 6 3 2 2 5 4 4" xfId="9583" xr:uid="{8255878E-9B0B-4993-9784-539EFE4294EB}"/>
    <cellStyle name="Comma 6 3 2 2 5 5" xfId="2375" xr:uid="{00000000-0005-0000-0000-000046020000}"/>
    <cellStyle name="Comma 6 3 2 2 5 5 2" xfId="6296" xr:uid="{ECE5ED91-CCF3-444A-895F-BCF006DA180C}"/>
    <cellStyle name="Comma 6 3 2 2 5 5 2 2" xfId="14156" xr:uid="{1DD71EFC-A790-4AE9-9F11-99B5BED960B1}"/>
    <cellStyle name="Comma 6 3 2 2 5 5 3" xfId="10236" xr:uid="{A38250B5-435C-4213-8381-275FFF42EF15}"/>
    <cellStyle name="Comma 6 3 2 2 5 6" xfId="4342" xr:uid="{4BFDFCF7-3571-4892-A4C6-DAE59EF6FAB4}"/>
    <cellStyle name="Comma 6 3 2 2 5 6 2" xfId="12202" xr:uid="{B483E2EB-7B93-4C6A-9EDC-9047D212A1F2}"/>
    <cellStyle name="Comma 6 3 2 2 5 7" xfId="8283" xr:uid="{21B19F07-0B38-4A3F-8FA3-4B437E983D58}"/>
    <cellStyle name="Comma 6 3 2 2 6" xfId="512" xr:uid="{00000000-0005-0000-0000-000047020000}"/>
    <cellStyle name="Comma 6 3 2 2 6 2" xfId="2466" xr:uid="{00000000-0005-0000-0000-000048020000}"/>
    <cellStyle name="Comma 6 3 2 2 6 2 2" xfId="6387" xr:uid="{6EA531A5-AABF-4CC7-A970-120246F1728C}"/>
    <cellStyle name="Comma 6 3 2 2 6 2 2 2" xfId="14247" xr:uid="{8D765B22-ABDA-493A-BC8E-5060D785462A}"/>
    <cellStyle name="Comma 6 3 2 2 6 2 3" xfId="10327" xr:uid="{596A8EDD-9216-4597-89EB-E5085FB0C807}"/>
    <cellStyle name="Comma 6 3 2 2 6 3" xfId="4433" xr:uid="{E6A5C908-84A0-4639-9E7B-DB2C600E9373}"/>
    <cellStyle name="Comma 6 3 2 2 6 3 2" xfId="12293" xr:uid="{DEB38EE3-2CBD-479B-A556-409210901CBF}"/>
    <cellStyle name="Comma 6 3 2 2 6 4" xfId="8374" xr:uid="{D38BFE30-CAAC-4CBA-A2A5-176B862FED7B}"/>
    <cellStyle name="Comma 6 3 2 2 7" xfId="949" xr:uid="{00000000-0005-0000-0000-000049020000}"/>
    <cellStyle name="Comma 6 3 2 2 7 2" xfId="2903" xr:uid="{00000000-0005-0000-0000-00004A020000}"/>
    <cellStyle name="Comma 6 3 2 2 7 2 2" xfId="6824" xr:uid="{598B2422-D3D8-4D35-9560-59E93C4C0086}"/>
    <cellStyle name="Comma 6 3 2 2 7 2 2 2" xfId="14684" xr:uid="{8B6D4751-C6F8-46EC-94EE-BA69032E44CB}"/>
    <cellStyle name="Comma 6 3 2 2 7 2 3" xfId="10764" xr:uid="{6ECC681C-2F11-4F38-903A-C05EF6249A68}"/>
    <cellStyle name="Comma 6 3 2 2 7 3" xfId="4870" xr:uid="{73725984-B662-47D3-9DA8-1DCB65653CE5}"/>
    <cellStyle name="Comma 6 3 2 2 7 3 2" xfId="12730" xr:uid="{EDDD8495-3532-4EB1-AAD0-5243939F6158}"/>
    <cellStyle name="Comma 6 3 2 2 7 4" xfId="8811" xr:uid="{D3DF100F-36F2-491A-AD8C-BE652463799A}"/>
    <cellStyle name="Comma 6 3 2 2 8" xfId="1376" xr:uid="{00000000-0005-0000-0000-00004B020000}"/>
    <cellStyle name="Comma 6 3 2 2 8 2" xfId="3330" xr:uid="{00000000-0005-0000-0000-00004C020000}"/>
    <cellStyle name="Comma 6 3 2 2 8 2 2" xfId="7251" xr:uid="{6990BFE0-141D-4631-B2B2-557EA922AEF8}"/>
    <cellStyle name="Comma 6 3 2 2 8 2 2 2" xfId="15111" xr:uid="{96744D9B-B57D-49E4-9FD1-74291DA97E52}"/>
    <cellStyle name="Comma 6 3 2 2 8 2 3" xfId="11191" xr:uid="{5E7345F9-328F-4011-A5F8-5E56AC2CE4EC}"/>
    <cellStyle name="Comma 6 3 2 2 8 3" xfId="5297" xr:uid="{DF71ADA1-5070-4BC0-8560-F2F34B784870}"/>
    <cellStyle name="Comma 6 3 2 2 8 3 2" xfId="13157" xr:uid="{E055E3E5-E830-4A7F-9199-58AFD12A34CA}"/>
    <cellStyle name="Comma 6 3 2 2 8 4" xfId="9238" xr:uid="{2BA7B765-D9E2-4E3C-882C-C74DEF6BF6C2}"/>
    <cellStyle name="Comma 6 3 2 2 9" xfId="2029" xr:uid="{00000000-0005-0000-0000-00004D020000}"/>
    <cellStyle name="Comma 6 3 2 2 9 2" xfId="5950" xr:uid="{9B978FB9-8614-4FCA-8C58-600E561BB6C7}"/>
    <cellStyle name="Comma 6 3 2 2 9 2 2" xfId="13810" xr:uid="{2A31046B-99ED-46E0-85AD-FFF02BCE506F}"/>
    <cellStyle name="Comma 6 3 2 2 9 3" xfId="9890" xr:uid="{12EAB303-F825-4015-BF76-BA0C04E7A647}"/>
    <cellStyle name="Comma 6 3 2 3" xfId="177" xr:uid="{00000000-0005-0000-0000-00004E020000}"/>
    <cellStyle name="Comma 6 3 2 3 2" xfId="629" xr:uid="{00000000-0005-0000-0000-00004F020000}"/>
    <cellStyle name="Comma 6 3 2 3 2 2" xfId="2583" xr:uid="{00000000-0005-0000-0000-000050020000}"/>
    <cellStyle name="Comma 6 3 2 3 2 2 2" xfId="6504" xr:uid="{2D8A91FD-948C-47BE-9712-6C2589CAD3D0}"/>
    <cellStyle name="Comma 6 3 2 3 2 2 2 2" xfId="14364" xr:uid="{7D61ED81-D814-41A1-85DB-0543A69E48FD}"/>
    <cellStyle name="Comma 6 3 2 3 2 2 3" xfId="10444" xr:uid="{B7099E52-0E99-4688-8617-602814CEDCA0}"/>
    <cellStyle name="Comma 6 3 2 3 2 3" xfId="4550" xr:uid="{6DC4D044-486D-4AC6-AEE9-EC663162BE40}"/>
    <cellStyle name="Comma 6 3 2 3 2 3 2" xfId="12410" xr:uid="{52468B62-E539-41EE-9537-7F198FCF8C6A}"/>
    <cellStyle name="Comma 6 3 2 3 2 4" xfId="8491" xr:uid="{AFF8E33C-772B-489D-9C57-154996B1E004}"/>
    <cellStyle name="Comma 6 3 2 3 3" xfId="1066" xr:uid="{00000000-0005-0000-0000-000051020000}"/>
    <cellStyle name="Comma 6 3 2 3 3 2" xfId="3020" xr:uid="{00000000-0005-0000-0000-000052020000}"/>
    <cellStyle name="Comma 6 3 2 3 3 2 2" xfId="6941" xr:uid="{CB973361-9D90-41FD-9EB2-D1925FE09709}"/>
    <cellStyle name="Comma 6 3 2 3 3 2 2 2" xfId="14801" xr:uid="{AF8669F4-894C-4DC6-92B3-C4730D1B2876}"/>
    <cellStyle name="Comma 6 3 2 3 3 2 3" xfId="10881" xr:uid="{03F48587-ACC1-4B4E-8DB1-BB02F4D2267A}"/>
    <cellStyle name="Comma 6 3 2 3 3 3" xfId="4987" xr:uid="{009F7CB7-BB9D-4D3E-BE55-B3B667C9D052}"/>
    <cellStyle name="Comma 6 3 2 3 3 3 2" xfId="12847" xr:uid="{B7B4DDD7-533E-4338-B452-11210F224FBD}"/>
    <cellStyle name="Comma 6 3 2 3 3 4" xfId="8928" xr:uid="{82C6F8CA-AA57-407A-BD0E-FD5BDC961C4F}"/>
    <cellStyle name="Comma 6 3 2 3 4" xfId="1493" xr:uid="{00000000-0005-0000-0000-000053020000}"/>
    <cellStyle name="Comma 6 3 2 3 4 2" xfId="3447" xr:uid="{00000000-0005-0000-0000-000054020000}"/>
    <cellStyle name="Comma 6 3 2 3 4 2 2" xfId="7368" xr:uid="{E6D74706-85F7-4147-9ED2-4A2D470FA953}"/>
    <cellStyle name="Comma 6 3 2 3 4 2 2 2" xfId="15228" xr:uid="{01DCD2CE-D1B7-42A2-9832-486706CF9BBD}"/>
    <cellStyle name="Comma 6 3 2 3 4 2 3" xfId="11308" xr:uid="{0A5E5768-F130-4423-985A-A293CC0CBC6D}"/>
    <cellStyle name="Comma 6 3 2 3 4 3" xfId="5414" xr:uid="{1D7B00A9-220E-40C3-AA71-2CB329B87128}"/>
    <cellStyle name="Comma 6 3 2 3 4 3 2" xfId="13274" xr:uid="{AD58DB75-3AF6-40E1-8364-F44F2CEC35AE}"/>
    <cellStyle name="Comma 6 3 2 3 4 4" xfId="9355" xr:uid="{583D4647-6669-483A-8D45-B56EED4A1437}"/>
    <cellStyle name="Comma 6 3 2 3 5" xfId="2146" xr:uid="{00000000-0005-0000-0000-000055020000}"/>
    <cellStyle name="Comma 6 3 2 3 5 2" xfId="6067" xr:uid="{11506FD0-20CE-41A9-A596-081666276F4C}"/>
    <cellStyle name="Comma 6 3 2 3 5 2 2" xfId="13927" xr:uid="{1E740C23-3C7B-4F72-9B9A-AE4870FED3A8}"/>
    <cellStyle name="Comma 6 3 2 3 5 3" xfId="10007" xr:uid="{6FFC9BEB-DFDD-476A-8DE1-10464CC52EF8}"/>
    <cellStyle name="Comma 6 3 2 3 6" xfId="4113" xr:uid="{52473012-F846-4A2F-8DD2-6D55AD2F88D0}"/>
    <cellStyle name="Comma 6 3 2 3 6 2" xfId="11973" xr:uid="{19807B66-E863-4F3E-9D6C-1198D4C1B5C4}"/>
    <cellStyle name="Comma 6 3 2 3 7" xfId="8051" xr:uid="{FF40CCB7-BBE4-4D25-BA68-8A6E3E055760}"/>
    <cellStyle name="Comma 6 3 2 4" xfId="99" xr:uid="{00000000-0005-0000-0000-000056020000}"/>
    <cellStyle name="Comma 6 3 2 4 2" xfId="551" xr:uid="{00000000-0005-0000-0000-000057020000}"/>
    <cellStyle name="Comma 6 3 2 4 2 2" xfId="2505" xr:uid="{00000000-0005-0000-0000-000058020000}"/>
    <cellStyle name="Comma 6 3 2 4 2 2 2" xfId="6426" xr:uid="{8E95D6DF-501C-4BFB-AEBB-FEB9643E443A}"/>
    <cellStyle name="Comma 6 3 2 4 2 2 2 2" xfId="14286" xr:uid="{0B75A94F-C962-4A9D-A07D-3FD87B2316B2}"/>
    <cellStyle name="Comma 6 3 2 4 2 2 3" xfId="10366" xr:uid="{E1FCA77D-D909-49FE-87D0-8F1F6FE1E580}"/>
    <cellStyle name="Comma 6 3 2 4 2 3" xfId="4472" xr:uid="{27B8B763-DD8D-401F-A6AC-8180E74D302D}"/>
    <cellStyle name="Comma 6 3 2 4 2 3 2" xfId="12332" xr:uid="{5E4A7AB9-BC90-4349-9815-C7EE1C5B394B}"/>
    <cellStyle name="Comma 6 3 2 4 2 4" xfId="8413" xr:uid="{2E936CC0-8B90-4CAE-A5EE-73C7DEC0DAF0}"/>
    <cellStyle name="Comma 6 3 2 4 3" xfId="988" xr:uid="{00000000-0005-0000-0000-000059020000}"/>
    <cellStyle name="Comma 6 3 2 4 3 2" xfId="2942" xr:uid="{00000000-0005-0000-0000-00005A020000}"/>
    <cellStyle name="Comma 6 3 2 4 3 2 2" xfId="6863" xr:uid="{EBABA169-AB73-4CC9-9595-7C9B1343CFD8}"/>
    <cellStyle name="Comma 6 3 2 4 3 2 2 2" xfId="14723" xr:uid="{14D9EC41-BCDD-423E-973E-49B4625B9823}"/>
    <cellStyle name="Comma 6 3 2 4 3 2 3" xfId="10803" xr:uid="{9AC49132-606E-4345-BF70-F6DCAD2D1E5E}"/>
    <cellStyle name="Comma 6 3 2 4 3 3" xfId="4909" xr:uid="{15846721-5D6D-4589-8EF9-0E6BD02B5867}"/>
    <cellStyle name="Comma 6 3 2 4 3 3 2" xfId="12769" xr:uid="{7856F7ED-0975-4900-9E4A-97E6D52E512D}"/>
    <cellStyle name="Comma 6 3 2 4 3 4" xfId="8850" xr:uid="{FA2DBBC0-752B-4AF9-832B-627BB0FD0391}"/>
    <cellStyle name="Comma 6 3 2 4 4" xfId="1415" xr:uid="{00000000-0005-0000-0000-00005B020000}"/>
    <cellStyle name="Comma 6 3 2 4 4 2" xfId="3369" xr:uid="{00000000-0005-0000-0000-00005C020000}"/>
    <cellStyle name="Comma 6 3 2 4 4 2 2" xfId="7290" xr:uid="{21999B94-55E7-4C11-BE18-4C503F87C6C4}"/>
    <cellStyle name="Comma 6 3 2 4 4 2 2 2" xfId="15150" xr:uid="{F76219A6-D25B-4E64-90FF-0154FE8A3BE6}"/>
    <cellStyle name="Comma 6 3 2 4 4 2 3" xfId="11230" xr:uid="{458F34AC-381B-4FAA-A925-4C772C005859}"/>
    <cellStyle name="Comma 6 3 2 4 4 3" xfId="5336" xr:uid="{9C098B94-4D10-420F-B9FC-779517A00BB6}"/>
    <cellStyle name="Comma 6 3 2 4 4 3 2" xfId="13196" xr:uid="{C971A46A-B97B-45C1-99E4-9823B4D35E0C}"/>
    <cellStyle name="Comma 6 3 2 4 4 4" xfId="9277" xr:uid="{04BC3724-B75E-4D8B-9687-C7E83CB7F9F7}"/>
    <cellStyle name="Comma 6 3 2 4 5" xfId="2068" xr:uid="{00000000-0005-0000-0000-00005D020000}"/>
    <cellStyle name="Comma 6 3 2 4 5 2" xfId="5989" xr:uid="{6697EF60-A012-4AF9-B517-EA78FBE37F32}"/>
    <cellStyle name="Comma 6 3 2 4 5 2 2" xfId="13849" xr:uid="{5380447A-BBB4-4451-B2B1-3647082BEE15}"/>
    <cellStyle name="Comma 6 3 2 4 5 3" xfId="9929" xr:uid="{F053DF7D-8F8A-4B42-94E5-3ECE66E474F0}"/>
    <cellStyle name="Comma 6 3 2 4 6" xfId="4035" xr:uid="{E113A8E0-115A-4F1F-865E-684B8049BF15}"/>
    <cellStyle name="Comma 6 3 2 4 6 2" xfId="11895" xr:uid="{0BB1434E-C839-436D-9B69-11AC13FB112B}"/>
    <cellStyle name="Comma 6 3 2 4 7" xfId="7973" xr:uid="{0C5DFAB4-F965-4B14-9248-AEEA7ABBFD13}"/>
    <cellStyle name="Comma 6 3 2 5" xfId="275" xr:uid="{00000000-0005-0000-0000-00005E020000}"/>
    <cellStyle name="Comma 6 3 2 5 2" xfId="727" xr:uid="{00000000-0005-0000-0000-00005F020000}"/>
    <cellStyle name="Comma 6 3 2 5 2 2" xfId="2681" xr:uid="{00000000-0005-0000-0000-000060020000}"/>
    <cellStyle name="Comma 6 3 2 5 2 2 2" xfId="6602" xr:uid="{A7EAF2FA-AEB7-47B7-9026-EC726FDE4A9F}"/>
    <cellStyle name="Comma 6 3 2 5 2 2 2 2" xfId="14462" xr:uid="{52A86625-89C1-4467-9051-9228C2218131}"/>
    <cellStyle name="Comma 6 3 2 5 2 2 3" xfId="10542" xr:uid="{9A3AB1FD-0ECA-492E-8B38-41C142CAAC90}"/>
    <cellStyle name="Comma 6 3 2 5 2 3" xfId="4648" xr:uid="{94D24CBE-DE05-4595-95B7-7D03496081D4}"/>
    <cellStyle name="Comma 6 3 2 5 2 3 2" xfId="12508" xr:uid="{3060681E-2181-4D78-A1A5-479E1BE8A1AD}"/>
    <cellStyle name="Comma 6 3 2 5 2 4" xfId="8589" xr:uid="{94D68506-B846-4661-97CD-FE52DC4E6074}"/>
    <cellStyle name="Comma 6 3 2 5 3" xfId="1163" xr:uid="{00000000-0005-0000-0000-000061020000}"/>
    <cellStyle name="Comma 6 3 2 5 3 2" xfId="3117" xr:uid="{00000000-0005-0000-0000-000062020000}"/>
    <cellStyle name="Comma 6 3 2 5 3 2 2" xfId="7038" xr:uid="{97EDAE87-4280-42C3-8C5D-C1206704BDB5}"/>
    <cellStyle name="Comma 6 3 2 5 3 2 2 2" xfId="14898" xr:uid="{5BF65684-2CE5-4EEB-A25C-22B2D86C5D53}"/>
    <cellStyle name="Comma 6 3 2 5 3 2 3" xfId="10978" xr:uid="{A3FD1AD2-80D9-41E2-980D-1732AF8047CD}"/>
    <cellStyle name="Comma 6 3 2 5 3 3" xfId="5084" xr:uid="{6156ECF2-C89B-453B-876E-38864212C29D}"/>
    <cellStyle name="Comma 6 3 2 5 3 3 2" xfId="12944" xr:uid="{5142CDB5-3219-48ED-8CCD-F8FF41D7ABDA}"/>
    <cellStyle name="Comma 6 3 2 5 3 4" xfId="9025" xr:uid="{335B91F6-81D5-4374-8EDA-10B9013132BB}"/>
    <cellStyle name="Comma 6 3 2 5 4" xfId="1584" xr:uid="{00000000-0005-0000-0000-000063020000}"/>
    <cellStyle name="Comma 6 3 2 5 4 2" xfId="3538" xr:uid="{00000000-0005-0000-0000-000064020000}"/>
    <cellStyle name="Comma 6 3 2 5 4 2 2" xfId="7459" xr:uid="{7D69D841-08B8-4127-86A2-10D97B1A6AD7}"/>
    <cellStyle name="Comma 6 3 2 5 4 2 2 2" xfId="15319" xr:uid="{88E633A1-4B2B-445E-A585-2BB9BE3A7124}"/>
    <cellStyle name="Comma 6 3 2 5 4 2 3" xfId="11399" xr:uid="{A850E310-0DFC-498F-8382-19483A646C4B}"/>
    <cellStyle name="Comma 6 3 2 5 4 3" xfId="5505" xr:uid="{9B82C768-54AC-41AF-88C7-04362B11C152}"/>
    <cellStyle name="Comma 6 3 2 5 4 3 2" xfId="13365" xr:uid="{53185420-7F45-481A-8FBA-19F92C26FC24}"/>
    <cellStyle name="Comma 6 3 2 5 4 4" xfId="9446" xr:uid="{3E98574F-AB6B-48C6-AF5E-A1C8D3D6D1CF}"/>
    <cellStyle name="Comma 6 3 2 5 5" xfId="2238" xr:uid="{00000000-0005-0000-0000-000065020000}"/>
    <cellStyle name="Comma 6 3 2 5 5 2" xfId="6159" xr:uid="{2349E41F-F6AF-4711-A21A-7E2356D5F12E}"/>
    <cellStyle name="Comma 6 3 2 5 5 2 2" xfId="14019" xr:uid="{92C121F1-AFB9-48BC-8896-A730048AD574}"/>
    <cellStyle name="Comma 6 3 2 5 5 3" xfId="10099" xr:uid="{B74232F9-2112-4100-B4C2-6AC505B87D97}"/>
    <cellStyle name="Comma 6 3 2 5 6" xfId="4205" xr:uid="{3A9D0DBE-74AD-4206-8792-CAD8F22EF988}"/>
    <cellStyle name="Comma 6 3 2 5 6 2" xfId="12065" xr:uid="{CF55B9E2-598E-4106-A3F2-F4B2912B22C0}"/>
    <cellStyle name="Comma 6 3 2 5 7" xfId="8144" xr:uid="{1344938C-FD41-4594-8125-D4390EAA162F}"/>
    <cellStyle name="Comma 6 3 2 6" xfId="375" xr:uid="{00000000-0005-0000-0000-000066020000}"/>
    <cellStyle name="Comma 6 3 2 6 2" xfId="826" xr:uid="{00000000-0005-0000-0000-000067020000}"/>
    <cellStyle name="Comma 6 3 2 6 2 2" xfId="2780" xr:uid="{00000000-0005-0000-0000-000068020000}"/>
    <cellStyle name="Comma 6 3 2 6 2 2 2" xfId="6701" xr:uid="{6567C931-BBEC-4B4D-A2A9-262F44EABFFB}"/>
    <cellStyle name="Comma 6 3 2 6 2 2 2 2" xfId="14561" xr:uid="{D4CA0812-2C8D-4CD7-A6FC-6E96BEA1E01C}"/>
    <cellStyle name="Comma 6 3 2 6 2 2 3" xfId="10641" xr:uid="{CBEBF2B1-3B44-459B-889E-7B5C802B5D51}"/>
    <cellStyle name="Comma 6 3 2 6 2 3" xfId="4747" xr:uid="{93320A9E-C45E-4868-9DDB-6BEE1858CA9D}"/>
    <cellStyle name="Comma 6 3 2 6 2 3 2" xfId="12607" xr:uid="{FAD74393-071C-48F1-8392-B86C46FE1DEF}"/>
    <cellStyle name="Comma 6 3 2 6 2 4" xfId="8688" xr:uid="{E747BCE9-7467-4724-9913-E3AB6CF2DDE7}"/>
    <cellStyle name="Comma 6 3 2 6 3" xfId="1258" xr:uid="{00000000-0005-0000-0000-000069020000}"/>
    <cellStyle name="Comma 6 3 2 6 3 2" xfId="3212" xr:uid="{00000000-0005-0000-0000-00006A020000}"/>
    <cellStyle name="Comma 6 3 2 6 3 2 2" xfId="7133" xr:uid="{DB1DC3A4-1A29-4E38-BE49-FE178DC408D4}"/>
    <cellStyle name="Comma 6 3 2 6 3 2 2 2" xfId="14993" xr:uid="{5FCE56E3-5EF6-4678-BBA7-23C1985EF55D}"/>
    <cellStyle name="Comma 6 3 2 6 3 2 3" xfId="11073" xr:uid="{685C108F-8796-4B8C-B7F7-5D9B64079347}"/>
    <cellStyle name="Comma 6 3 2 6 3 3" xfId="5179" xr:uid="{65EDF165-24D8-4DF6-A862-E5D80317F9F1}"/>
    <cellStyle name="Comma 6 3 2 6 3 3 2" xfId="13039" xr:uid="{D5A6CF65-8DC0-498B-A36B-A2C063420F13}"/>
    <cellStyle name="Comma 6 3 2 6 3 4" xfId="9120" xr:uid="{154A8DA6-3C8B-4A1D-B602-4A691DE55D6F}"/>
    <cellStyle name="Comma 6 3 2 6 4" xfId="1676" xr:uid="{00000000-0005-0000-0000-00006B020000}"/>
    <cellStyle name="Comma 6 3 2 6 4 2" xfId="3630" xr:uid="{00000000-0005-0000-0000-00006C020000}"/>
    <cellStyle name="Comma 6 3 2 6 4 2 2" xfId="7551" xr:uid="{FABD7344-0CC4-4902-80D0-D8267C27CB41}"/>
    <cellStyle name="Comma 6 3 2 6 4 2 2 2" xfId="15411" xr:uid="{2ACE0AC2-33D5-4ADA-B8AE-062E041B1044}"/>
    <cellStyle name="Comma 6 3 2 6 4 2 3" xfId="11491" xr:uid="{17E844D1-3D2C-4441-802F-1BBC14428BBD}"/>
    <cellStyle name="Comma 6 3 2 6 4 3" xfId="5597" xr:uid="{3303C576-B190-44E4-9BC1-AC8C9DA43DA5}"/>
    <cellStyle name="Comma 6 3 2 6 4 3 2" xfId="13457" xr:uid="{DF88A30E-DB63-4D25-9E5B-8B8FD28CE1C6}"/>
    <cellStyle name="Comma 6 3 2 6 4 4" xfId="9538" xr:uid="{28F5B8D4-32DF-42BC-93D9-D7F96811113C}"/>
    <cellStyle name="Comma 6 3 2 6 5" xfId="2330" xr:uid="{00000000-0005-0000-0000-00006D020000}"/>
    <cellStyle name="Comma 6 3 2 6 5 2" xfId="6251" xr:uid="{985C0F4F-450B-4E36-BF36-BCB1B67174DF}"/>
    <cellStyle name="Comma 6 3 2 6 5 2 2" xfId="14111" xr:uid="{CB67B9FA-C478-4BEF-965A-44C71843FFA8}"/>
    <cellStyle name="Comma 6 3 2 6 5 3" xfId="10191" xr:uid="{E37CF851-B3C2-4151-85AA-BA80E64FC089}"/>
    <cellStyle name="Comma 6 3 2 6 6" xfId="4297" xr:uid="{9A1863BC-F2A3-4803-839E-780DF2108B9D}"/>
    <cellStyle name="Comma 6 3 2 6 6 2" xfId="12157" xr:uid="{0DA901AC-16A2-4BCB-8AC8-961176742CCD}"/>
    <cellStyle name="Comma 6 3 2 6 7" xfId="8238" xr:uid="{30DA1866-A32F-43D7-A72A-342DC1640174}"/>
    <cellStyle name="Comma 6 3 2 7" xfId="472" xr:uid="{00000000-0005-0000-0000-00006E020000}"/>
    <cellStyle name="Comma 6 3 2 7 2" xfId="2426" xr:uid="{00000000-0005-0000-0000-00006F020000}"/>
    <cellStyle name="Comma 6 3 2 7 2 2" xfId="6347" xr:uid="{A59D5596-0CD7-4D0F-A82D-B8F30206EB5D}"/>
    <cellStyle name="Comma 6 3 2 7 2 2 2" xfId="14207" xr:uid="{6C69692A-90BB-45F4-8E64-279D9DA0EC71}"/>
    <cellStyle name="Comma 6 3 2 7 2 3" xfId="10287" xr:uid="{42ADD5F0-4BFC-4AC3-8BEC-072321EB58E0}"/>
    <cellStyle name="Comma 6 3 2 7 3" xfId="4393" xr:uid="{FBF5C11A-E7B3-43A9-819D-7DE94AF6FDC4}"/>
    <cellStyle name="Comma 6 3 2 7 3 2" xfId="12253" xr:uid="{052998DF-3DAB-4B29-AE0E-C236B1FFC871}"/>
    <cellStyle name="Comma 6 3 2 7 4" xfId="8334" xr:uid="{63840909-65BF-492B-80F3-300214A6C1FE}"/>
    <cellStyle name="Comma 6 3 2 8" xfId="908" xr:uid="{00000000-0005-0000-0000-000070020000}"/>
    <cellStyle name="Comma 6 3 2 8 2" xfId="2862" xr:uid="{00000000-0005-0000-0000-000071020000}"/>
    <cellStyle name="Comma 6 3 2 8 2 2" xfId="6783" xr:uid="{8D61EA55-3960-4784-9084-ED7C3622555E}"/>
    <cellStyle name="Comma 6 3 2 8 2 2 2" xfId="14643" xr:uid="{6DCD594C-7D3E-440D-9AF3-8483478E563D}"/>
    <cellStyle name="Comma 6 3 2 8 2 3" xfId="10723" xr:uid="{18FD9D82-CD1E-4EAD-A99E-230CAD9E3F1C}"/>
    <cellStyle name="Comma 6 3 2 8 3" xfId="4829" xr:uid="{67CC1E80-EAC6-4F7F-A416-E93966A29C29}"/>
    <cellStyle name="Comma 6 3 2 8 3 2" xfId="12689" xr:uid="{D0BA6C63-E914-411B-8900-0C21DA05E361}"/>
    <cellStyle name="Comma 6 3 2 8 4" xfId="8770" xr:uid="{58A40521-4329-4E6A-BAAD-BB0A0844874C}"/>
    <cellStyle name="Comma 6 3 2 9" xfId="761" xr:uid="{00000000-0005-0000-0000-000072020000}"/>
    <cellStyle name="Comma 6 3 2 9 2" xfId="2715" xr:uid="{00000000-0005-0000-0000-000073020000}"/>
    <cellStyle name="Comma 6 3 2 9 2 2" xfId="6636" xr:uid="{60DA340E-AA93-46CA-8726-C93CED868470}"/>
    <cellStyle name="Comma 6 3 2 9 2 2 2" xfId="14496" xr:uid="{6286E666-4AF7-4A96-96D6-DD58EC6B7486}"/>
    <cellStyle name="Comma 6 3 2 9 2 3" xfId="10576" xr:uid="{285D3186-4682-43C6-A3A6-26323BC742B4}"/>
    <cellStyle name="Comma 6 3 2 9 3" xfId="4682" xr:uid="{DCC5BB53-9325-41B3-ADD0-095A350A64B2}"/>
    <cellStyle name="Comma 6 3 2 9 3 2" xfId="12542" xr:uid="{F08257ED-4255-4212-9B2E-EFA9FBB103CB}"/>
    <cellStyle name="Comma 6 3 2 9 4" xfId="8623" xr:uid="{E85DCDDE-F478-408E-9516-0744CEC2B626}"/>
    <cellStyle name="Comma 6 3 3" xfId="29" xr:uid="{00000000-0005-0000-0000-000074020000}"/>
    <cellStyle name="Comma 6 3 3 10" xfId="2000" xr:uid="{00000000-0005-0000-0000-000075020000}"/>
    <cellStyle name="Comma 6 3 3 10 2" xfId="5921" xr:uid="{9E158E38-EF4F-44AB-ACE6-27E00B4D8330}"/>
    <cellStyle name="Comma 6 3 3 10 2 2" xfId="13781" xr:uid="{94994D25-0731-4D18-B87E-EF0C2AC34198}"/>
    <cellStyle name="Comma 6 3 3 10 3" xfId="9861" xr:uid="{E45B4094-BA1E-46BF-8BA2-C35184F1B736}"/>
    <cellStyle name="Comma 6 3 3 11" xfId="3967" xr:uid="{DEECB942-1EFD-4445-9D83-152521F435EC}"/>
    <cellStyle name="Comma 6 3 3 11 2" xfId="11827" xr:uid="{173022DC-2C08-403C-81BF-645243FBDC77}"/>
    <cellStyle name="Comma 6 3 3 12" xfId="7904" xr:uid="{097B4F52-B464-4082-95B3-060EC022319D}"/>
    <cellStyle name="Comma 6 3 3 2" xfId="71" xr:uid="{00000000-0005-0000-0000-000076020000}"/>
    <cellStyle name="Comma 6 3 3 2 10" xfId="4007" xr:uid="{1BA53AEE-5514-4C88-87FA-D840A4046DBD}"/>
    <cellStyle name="Comma 6 3 3 2 10 2" xfId="11867" xr:uid="{E2A6435E-33DA-4DE5-97C0-4E708B1DE0B2}"/>
    <cellStyle name="Comma 6 3 3 2 11" xfId="7945" xr:uid="{3DB64688-4346-4BC9-837C-119F695A06C1}"/>
    <cellStyle name="Comma 6 3 3 2 2" xfId="227" xr:uid="{00000000-0005-0000-0000-000077020000}"/>
    <cellStyle name="Comma 6 3 3 2 2 2" xfId="679" xr:uid="{00000000-0005-0000-0000-000078020000}"/>
    <cellStyle name="Comma 6 3 3 2 2 2 2" xfId="2633" xr:uid="{00000000-0005-0000-0000-000079020000}"/>
    <cellStyle name="Comma 6 3 3 2 2 2 2 2" xfId="6554" xr:uid="{7E1290FB-707E-4DEB-B339-20CC9A862E85}"/>
    <cellStyle name="Comma 6 3 3 2 2 2 2 2 2" xfId="14414" xr:uid="{3EFA991C-7C9C-422A-B066-0E549AB55AAA}"/>
    <cellStyle name="Comma 6 3 3 2 2 2 2 3" xfId="10494" xr:uid="{A45A2C9A-2723-4A4E-8B7C-95328607F970}"/>
    <cellStyle name="Comma 6 3 3 2 2 2 3" xfId="4600" xr:uid="{73B9B0B3-C7EB-4C52-A326-568C9D482759}"/>
    <cellStyle name="Comma 6 3 3 2 2 2 3 2" xfId="12460" xr:uid="{08F8E9AB-358A-4E21-8310-FEA4A21849EE}"/>
    <cellStyle name="Comma 6 3 3 2 2 2 4" xfId="8541" xr:uid="{389CC2E9-E910-45AD-83C0-9021C63D0B62}"/>
    <cellStyle name="Comma 6 3 3 2 2 3" xfId="1116" xr:uid="{00000000-0005-0000-0000-00007A020000}"/>
    <cellStyle name="Comma 6 3 3 2 2 3 2" xfId="3070" xr:uid="{00000000-0005-0000-0000-00007B020000}"/>
    <cellStyle name="Comma 6 3 3 2 2 3 2 2" xfId="6991" xr:uid="{92A5ED50-F460-496A-A2F5-6BC3F8DFDB85}"/>
    <cellStyle name="Comma 6 3 3 2 2 3 2 2 2" xfId="14851" xr:uid="{DEE9798D-8FC9-40AA-A226-3BAD0234C90F}"/>
    <cellStyle name="Comma 6 3 3 2 2 3 2 3" xfId="10931" xr:uid="{D0085016-A47D-44B1-933D-C41141AECFB4}"/>
    <cellStyle name="Comma 6 3 3 2 2 3 3" xfId="5037" xr:uid="{63E36917-9DCF-43D9-936B-00BFA46F8D67}"/>
    <cellStyle name="Comma 6 3 3 2 2 3 3 2" xfId="12897" xr:uid="{D62A1EE2-BA56-416C-BAB8-5B3FB5A39B43}"/>
    <cellStyle name="Comma 6 3 3 2 2 3 4" xfId="8978" xr:uid="{056BDB9A-15BD-4CC9-B083-0002B2FF5A07}"/>
    <cellStyle name="Comma 6 3 3 2 2 4" xfId="1543" xr:uid="{00000000-0005-0000-0000-00007C020000}"/>
    <cellStyle name="Comma 6 3 3 2 2 4 2" xfId="3497" xr:uid="{00000000-0005-0000-0000-00007D020000}"/>
    <cellStyle name="Comma 6 3 3 2 2 4 2 2" xfId="7418" xr:uid="{9A5E447F-60EE-42CA-8EB7-F6EF9A2EEDD1}"/>
    <cellStyle name="Comma 6 3 3 2 2 4 2 2 2" xfId="15278" xr:uid="{22F4DEA6-1DC1-4746-86D8-7DF0F77AEF94}"/>
    <cellStyle name="Comma 6 3 3 2 2 4 2 3" xfId="11358" xr:uid="{0CF02328-5200-4159-B828-CD6B613CE951}"/>
    <cellStyle name="Comma 6 3 3 2 2 4 3" xfId="5464" xr:uid="{139C468A-4ABA-4817-B534-4E0BC987E3EE}"/>
    <cellStyle name="Comma 6 3 3 2 2 4 3 2" xfId="13324" xr:uid="{8C44E269-A864-4BC8-B369-68C770BC18BA}"/>
    <cellStyle name="Comma 6 3 3 2 2 4 4" xfId="9405" xr:uid="{8D979E72-BD73-440D-9C67-C06E3CF9E73A}"/>
    <cellStyle name="Comma 6 3 3 2 2 5" xfId="2196" xr:uid="{00000000-0005-0000-0000-00007E020000}"/>
    <cellStyle name="Comma 6 3 3 2 2 5 2" xfId="6117" xr:uid="{360B5F8D-D5E8-4E9F-9811-6F3DCFACBFB5}"/>
    <cellStyle name="Comma 6 3 3 2 2 5 2 2" xfId="13977" xr:uid="{3BC785ED-9285-4128-9887-2632A698C95D}"/>
    <cellStyle name="Comma 6 3 3 2 2 5 3" xfId="10057" xr:uid="{A776BEF0-AA11-4034-A601-A7031367B599}"/>
    <cellStyle name="Comma 6 3 3 2 2 6" xfId="4163" xr:uid="{EFF0D746-1C46-4F06-80A3-44DDD32271B4}"/>
    <cellStyle name="Comma 6 3 3 2 2 6 2" xfId="12023" xr:uid="{E6795A20-F954-49D5-AC93-153059DF9DAD}"/>
    <cellStyle name="Comma 6 3 3 2 2 7" xfId="8101" xr:uid="{9EA99D31-8419-41C7-A4E1-FF9F1F4920C9}"/>
    <cellStyle name="Comma 6 3 3 2 3" xfId="149" xr:uid="{00000000-0005-0000-0000-00007F020000}"/>
    <cellStyle name="Comma 6 3 3 2 3 2" xfId="601" xr:uid="{00000000-0005-0000-0000-000080020000}"/>
    <cellStyle name="Comma 6 3 3 2 3 2 2" xfId="2555" xr:uid="{00000000-0005-0000-0000-000081020000}"/>
    <cellStyle name="Comma 6 3 3 2 3 2 2 2" xfId="6476" xr:uid="{72A953CD-F409-4B47-914F-C636C0130A6D}"/>
    <cellStyle name="Comma 6 3 3 2 3 2 2 2 2" xfId="14336" xr:uid="{FB022633-A8A1-4CA6-80D1-30E12FC8ED17}"/>
    <cellStyle name="Comma 6 3 3 2 3 2 2 3" xfId="10416" xr:uid="{375B5F60-2936-4CA0-BD3D-20C1450C5047}"/>
    <cellStyle name="Comma 6 3 3 2 3 2 3" xfId="4522" xr:uid="{34A81FD0-069F-4B2C-88F9-4A1795C4CCC5}"/>
    <cellStyle name="Comma 6 3 3 2 3 2 3 2" xfId="12382" xr:uid="{7C808078-DFC5-4C4B-98FD-83116147FF97}"/>
    <cellStyle name="Comma 6 3 3 2 3 2 4" xfId="8463" xr:uid="{6874924E-BF6C-4C9C-AF1A-4353B75A3C6E}"/>
    <cellStyle name="Comma 6 3 3 2 3 3" xfId="1038" xr:uid="{00000000-0005-0000-0000-000082020000}"/>
    <cellStyle name="Comma 6 3 3 2 3 3 2" xfId="2992" xr:uid="{00000000-0005-0000-0000-000083020000}"/>
    <cellStyle name="Comma 6 3 3 2 3 3 2 2" xfId="6913" xr:uid="{FDDA7D2F-3274-47E9-A174-B91C0239B816}"/>
    <cellStyle name="Comma 6 3 3 2 3 3 2 2 2" xfId="14773" xr:uid="{CAF0DF9B-5A62-4FA6-AD99-43A35BD1CC25}"/>
    <cellStyle name="Comma 6 3 3 2 3 3 2 3" xfId="10853" xr:uid="{F16CB151-FFC0-4765-9166-308E5E4637ED}"/>
    <cellStyle name="Comma 6 3 3 2 3 3 3" xfId="4959" xr:uid="{477C6A24-C94A-41F7-ADE2-5CF7E52E8F2D}"/>
    <cellStyle name="Comma 6 3 3 2 3 3 3 2" xfId="12819" xr:uid="{D8C76A09-B967-475F-B7CD-9D3931BFF237}"/>
    <cellStyle name="Comma 6 3 3 2 3 3 4" xfId="8900" xr:uid="{4372C839-3231-4D44-AF2A-2D2A2E93416D}"/>
    <cellStyle name="Comma 6 3 3 2 3 4" xfId="1465" xr:uid="{00000000-0005-0000-0000-000084020000}"/>
    <cellStyle name="Comma 6 3 3 2 3 4 2" xfId="3419" xr:uid="{00000000-0005-0000-0000-000085020000}"/>
    <cellStyle name="Comma 6 3 3 2 3 4 2 2" xfId="7340" xr:uid="{D2951677-7C3E-4ED6-ACE3-44C23776182E}"/>
    <cellStyle name="Comma 6 3 3 2 3 4 2 2 2" xfId="15200" xr:uid="{91BBCD1C-61D2-49E8-B9EE-7322029B3D02}"/>
    <cellStyle name="Comma 6 3 3 2 3 4 2 3" xfId="11280" xr:uid="{E94A9FBF-013B-4245-8EAA-633613CC55BD}"/>
    <cellStyle name="Comma 6 3 3 2 3 4 3" xfId="5386" xr:uid="{CBC3517F-68FC-46C9-8F6C-4CFE577F378E}"/>
    <cellStyle name="Comma 6 3 3 2 3 4 3 2" xfId="13246" xr:uid="{58CA67F8-A3A5-42A5-BA19-E4A901BA7FCD}"/>
    <cellStyle name="Comma 6 3 3 2 3 4 4" xfId="9327" xr:uid="{DF23311A-B665-462B-BDFC-E529F51EE2BC}"/>
    <cellStyle name="Comma 6 3 3 2 3 5" xfId="2118" xr:uid="{00000000-0005-0000-0000-000086020000}"/>
    <cellStyle name="Comma 6 3 3 2 3 5 2" xfId="6039" xr:uid="{1D288A0F-A445-4052-95D8-3EF881B8512D}"/>
    <cellStyle name="Comma 6 3 3 2 3 5 2 2" xfId="13899" xr:uid="{BF2FEDDA-0544-4EAF-A57B-4E74640B8AD9}"/>
    <cellStyle name="Comma 6 3 3 2 3 5 3" xfId="9979" xr:uid="{8567F33C-78B1-444D-9F34-F7619EE248E2}"/>
    <cellStyle name="Comma 6 3 3 2 3 6" xfId="4085" xr:uid="{A7F8F389-71EF-4DDA-962B-8D61067971B5}"/>
    <cellStyle name="Comma 6 3 3 2 3 6 2" xfId="11945" xr:uid="{5B41A580-516F-4A98-BE80-08DEFB4EB03E}"/>
    <cellStyle name="Comma 6 3 3 2 3 7" xfId="8023" xr:uid="{C0E5D8C3-FA7B-43F4-B6D0-86B77807E455}"/>
    <cellStyle name="Comma 6 3 3 2 4" xfId="334" xr:uid="{00000000-0005-0000-0000-000087020000}"/>
    <cellStyle name="Comma 6 3 3 2 4 2" xfId="786" xr:uid="{00000000-0005-0000-0000-000088020000}"/>
    <cellStyle name="Comma 6 3 3 2 4 2 2" xfId="2740" xr:uid="{00000000-0005-0000-0000-000089020000}"/>
    <cellStyle name="Comma 6 3 3 2 4 2 2 2" xfId="6661" xr:uid="{B6AEA03F-A59A-41BF-A324-CDB3187890DA}"/>
    <cellStyle name="Comma 6 3 3 2 4 2 2 2 2" xfId="14521" xr:uid="{C6C03C67-6FB5-455E-BDE7-D7AB78B601D5}"/>
    <cellStyle name="Comma 6 3 3 2 4 2 2 3" xfId="10601" xr:uid="{F2A0B3EB-30F4-4EE4-8D39-F6313638BF68}"/>
    <cellStyle name="Comma 6 3 3 2 4 2 3" xfId="4707" xr:uid="{7D652721-6218-4D4C-98E8-80A1E53B1BD1}"/>
    <cellStyle name="Comma 6 3 3 2 4 2 3 2" xfId="12567" xr:uid="{68E5DA67-DF02-4A0A-B438-B5F3A50E1276}"/>
    <cellStyle name="Comma 6 3 3 2 4 2 4" xfId="8648" xr:uid="{2BD23B38-C6FC-427A-9019-6C6EABFBA105}"/>
    <cellStyle name="Comma 6 3 3 2 4 3" xfId="1220" xr:uid="{00000000-0005-0000-0000-00008A020000}"/>
    <cellStyle name="Comma 6 3 3 2 4 3 2" xfId="3174" xr:uid="{00000000-0005-0000-0000-00008B020000}"/>
    <cellStyle name="Comma 6 3 3 2 4 3 2 2" xfId="7095" xr:uid="{4209A4E3-1CFC-446B-8BCB-E90D8874D048}"/>
    <cellStyle name="Comma 6 3 3 2 4 3 2 2 2" xfId="14955" xr:uid="{E3C628C7-C2CE-44D5-8EB9-34C4855BDD65}"/>
    <cellStyle name="Comma 6 3 3 2 4 3 2 3" xfId="11035" xr:uid="{60825A48-BA7A-46ED-B879-8924A536D99A}"/>
    <cellStyle name="Comma 6 3 3 2 4 3 3" xfId="5141" xr:uid="{B0F59C1B-254B-4B2C-942C-406064FB5745}"/>
    <cellStyle name="Comma 6 3 3 2 4 3 3 2" xfId="13001" xr:uid="{8AE66B0E-E686-4D2F-B75A-980827299695}"/>
    <cellStyle name="Comma 6 3 3 2 4 3 4" xfId="9082" xr:uid="{48120D3C-1521-4D51-9B14-6200FAF1A479}"/>
    <cellStyle name="Comma 6 3 3 2 4 4" xfId="1640" xr:uid="{00000000-0005-0000-0000-00008C020000}"/>
    <cellStyle name="Comma 6 3 3 2 4 4 2" xfId="3594" xr:uid="{00000000-0005-0000-0000-00008D020000}"/>
    <cellStyle name="Comma 6 3 3 2 4 4 2 2" xfId="7515" xr:uid="{DBBD9114-63FC-477B-AF09-B5153CFE4CC2}"/>
    <cellStyle name="Comma 6 3 3 2 4 4 2 2 2" xfId="15375" xr:uid="{5F447C20-A21A-4E00-A800-BD68C347AD31}"/>
    <cellStyle name="Comma 6 3 3 2 4 4 2 3" xfId="11455" xr:uid="{C1AE838E-AD0C-4368-8D88-319DC56F4DA2}"/>
    <cellStyle name="Comma 6 3 3 2 4 4 3" xfId="5561" xr:uid="{B9E52AAA-A3FB-4FB3-A2B1-273D3C10F365}"/>
    <cellStyle name="Comma 6 3 3 2 4 4 3 2" xfId="13421" xr:uid="{9DA04101-EB42-40C3-8F95-63171A902508}"/>
    <cellStyle name="Comma 6 3 3 2 4 4 4" xfId="9502" xr:uid="{A06AAA54-291B-4677-8DE7-37A124E15D61}"/>
    <cellStyle name="Comma 6 3 3 2 4 5" xfId="2294" xr:uid="{00000000-0005-0000-0000-00008E020000}"/>
    <cellStyle name="Comma 6 3 3 2 4 5 2" xfId="6215" xr:uid="{44FBFDED-1DD2-4641-AAC4-987DC3487C44}"/>
    <cellStyle name="Comma 6 3 3 2 4 5 2 2" xfId="14075" xr:uid="{9C526690-2F8A-417B-864B-68838E753426}"/>
    <cellStyle name="Comma 6 3 3 2 4 5 3" xfId="10155" xr:uid="{DDF4398B-12E5-424B-B328-D6ADAC70730D}"/>
    <cellStyle name="Comma 6 3 3 2 4 6" xfId="4261" xr:uid="{5442E015-91DD-4443-B01C-95B35CF3B9B4}"/>
    <cellStyle name="Comma 6 3 3 2 4 6 2" xfId="12121" xr:uid="{C57F728E-0B88-49F0-B6A1-C756E0FA42CF}"/>
    <cellStyle name="Comma 6 3 3 2 4 7" xfId="8200" xr:uid="{09E36F26-C880-4ECB-B60A-CA6BF9F0405D}"/>
    <cellStyle name="Comma 6 3 3 2 5" xfId="431" xr:uid="{00000000-0005-0000-0000-00008F020000}"/>
    <cellStyle name="Comma 6 3 3 2 5 2" xfId="882" xr:uid="{00000000-0005-0000-0000-000090020000}"/>
    <cellStyle name="Comma 6 3 3 2 5 2 2" xfId="2836" xr:uid="{00000000-0005-0000-0000-000091020000}"/>
    <cellStyle name="Comma 6 3 3 2 5 2 2 2" xfId="6757" xr:uid="{29FF0375-8A4D-4FE2-ABAC-C533075E5981}"/>
    <cellStyle name="Comma 6 3 3 2 5 2 2 2 2" xfId="14617" xr:uid="{AFC72422-E1B7-409C-85DF-FE8253A5D041}"/>
    <cellStyle name="Comma 6 3 3 2 5 2 2 3" xfId="10697" xr:uid="{CA162C36-9D08-40C2-B159-D4B35E344BAC}"/>
    <cellStyle name="Comma 6 3 3 2 5 2 3" xfId="4803" xr:uid="{C93A8B2C-E3AB-4007-BC87-57F703FF78C5}"/>
    <cellStyle name="Comma 6 3 3 2 5 2 3 2" xfId="12663" xr:uid="{4FACAAC8-B7D2-47D0-8C68-820BA29AF20F}"/>
    <cellStyle name="Comma 6 3 3 2 5 2 4" xfId="8744" xr:uid="{7AF73C0D-863A-425D-8FB4-AA4E13C6711B}"/>
    <cellStyle name="Comma 6 3 3 2 5 3" xfId="1314" xr:uid="{00000000-0005-0000-0000-000092020000}"/>
    <cellStyle name="Comma 6 3 3 2 5 3 2" xfId="3268" xr:uid="{00000000-0005-0000-0000-000093020000}"/>
    <cellStyle name="Comma 6 3 3 2 5 3 2 2" xfId="7189" xr:uid="{0D15E142-DEDD-4B7F-B195-4631521A4300}"/>
    <cellStyle name="Comma 6 3 3 2 5 3 2 2 2" xfId="15049" xr:uid="{45520CA6-8E0C-46F7-8201-8B1160F730D6}"/>
    <cellStyle name="Comma 6 3 3 2 5 3 2 3" xfId="11129" xr:uid="{7F856430-6835-4BDB-8BF2-2C40A9B0B768}"/>
    <cellStyle name="Comma 6 3 3 2 5 3 3" xfId="5235" xr:uid="{91E329A3-0FC9-4C84-9254-B6D7E757C0F3}"/>
    <cellStyle name="Comma 6 3 3 2 5 3 3 2" xfId="13095" xr:uid="{E0BDFFB5-9AE9-4113-A1BE-45E33BB07FB1}"/>
    <cellStyle name="Comma 6 3 3 2 5 3 4" xfId="9176" xr:uid="{C1A990F8-01F3-42EF-A738-C1E7711AF732}"/>
    <cellStyle name="Comma 6 3 3 2 5 4" xfId="1732" xr:uid="{00000000-0005-0000-0000-000094020000}"/>
    <cellStyle name="Comma 6 3 3 2 5 4 2" xfId="3686" xr:uid="{00000000-0005-0000-0000-000095020000}"/>
    <cellStyle name="Comma 6 3 3 2 5 4 2 2" xfId="7607" xr:uid="{DD7B1FFB-6CBA-488B-AAD7-C8F8041BCCE0}"/>
    <cellStyle name="Comma 6 3 3 2 5 4 2 2 2" xfId="15467" xr:uid="{D61EE80B-16D9-413D-8D25-F335ADE410F1}"/>
    <cellStyle name="Comma 6 3 3 2 5 4 2 3" xfId="11547" xr:uid="{F5144880-31AD-4C5D-9EB2-6ADB19E46A58}"/>
    <cellStyle name="Comma 6 3 3 2 5 4 3" xfId="5653" xr:uid="{FC1C33D1-B78F-4F2C-AD1B-C3D572478E6E}"/>
    <cellStyle name="Comma 6 3 3 2 5 4 3 2" xfId="13513" xr:uid="{025A35D0-8F86-4B5F-988C-40C35AF33D7F}"/>
    <cellStyle name="Comma 6 3 3 2 5 4 4" xfId="9594" xr:uid="{A1FA63D7-409C-4C67-901A-6F3F99C5C63E}"/>
    <cellStyle name="Comma 6 3 3 2 5 5" xfId="2386" xr:uid="{00000000-0005-0000-0000-000096020000}"/>
    <cellStyle name="Comma 6 3 3 2 5 5 2" xfId="6307" xr:uid="{65396DAC-3FC2-4582-B081-5715A308506B}"/>
    <cellStyle name="Comma 6 3 3 2 5 5 2 2" xfId="14167" xr:uid="{1B778D92-9A85-4B70-8EBD-7B4B7B0AB504}"/>
    <cellStyle name="Comma 6 3 3 2 5 5 3" xfId="10247" xr:uid="{9F5C45CA-533D-4F7C-85C6-2AB9B700868D}"/>
    <cellStyle name="Comma 6 3 3 2 5 6" xfId="4353" xr:uid="{D4D44AA4-B467-4B3B-A3CF-17B446810E46}"/>
    <cellStyle name="Comma 6 3 3 2 5 6 2" xfId="12213" xr:uid="{14FE7E07-A7A5-404C-BABD-28FE45F9ECF0}"/>
    <cellStyle name="Comma 6 3 3 2 5 7" xfId="8294" xr:uid="{AFEEBA94-14A9-4D6C-BED7-CED360255BC3}"/>
    <cellStyle name="Comma 6 3 3 2 6" xfId="523" xr:uid="{00000000-0005-0000-0000-000097020000}"/>
    <cellStyle name="Comma 6 3 3 2 6 2" xfId="2477" xr:uid="{00000000-0005-0000-0000-000098020000}"/>
    <cellStyle name="Comma 6 3 3 2 6 2 2" xfId="6398" xr:uid="{1D7BB73D-A318-4AB7-8A96-D456D16F7C82}"/>
    <cellStyle name="Comma 6 3 3 2 6 2 2 2" xfId="14258" xr:uid="{F85084AB-F61D-458C-B485-E16357C1C787}"/>
    <cellStyle name="Comma 6 3 3 2 6 2 3" xfId="10338" xr:uid="{F315D5C1-0DC5-4CF4-A602-FD577386919B}"/>
    <cellStyle name="Comma 6 3 3 2 6 3" xfId="4444" xr:uid="{F0C34D14-3685-4A8D-9BE5-3D6245D82454}"/>
    <cellStyle name="Comma 6 3 3 2 6 3 2" xfId="12304" xr:uid="{707B7E06-45A5-46F9-84C5-8CB20F727E4A}"/>
    <cellStyle name="Comma 6 3 3 2 6 4" xfId="8385" xr:uid="{52007479-3ABD-45F5-AA46-F56AF2A95C08}"/>
    <cellStyle name="Comma 6 3 3 2 7" xfId="960" xr:uid="{00000000-0005-0000-0000-000099020000}"/>
    <cellStyle name="Comma 6 3 3 2 7 2" xfId="2914" xr:uid="{00000000-0005-0000-0000-00009A020000}"/>
    <cellStyle name="Comma 6 3 3 2 7 2 2" xfId="6835" xr:uid="{46259159-3227-45BE-84E3-AF2B093DF1E4}"/>
    <cellStyle name="Comma 6 3 3 2 7 2 2 2" xfId="14695" xr:uid="{89AEF655-CD57-443F-A17D-5E31E74CB451}"/>
    <cellStyle name="Comma 6 3 3 2 7 2 3" xfId="10775" xr:uid="{910002B9-3950-485B-A3C6-0D8BA96D8C14}"/>
    <cellStyle name="Comma 6 3 3 2 7 3" xfId="4881" xr:uid="{771D4450-5A31-4A40-806B-665A640AE828}"/>
    <cellStyle name="Comma 6 3 3 2 7 3 2" xfId="12741" xr:uid="{90EDC40F-C5E5-479D-A37E-C15FCB73C5D9}"/>
    <cellStyle name="Comma 6 3 3 2 7 4" xfId="8822" xr:uid="{5B6C94D6-8BCC-4FBD-80FA-00055A372D3A}"/>
    <cellStyle name="Comma 6 3 3 2 8" xfId="1387" xr:uid="{00000000-0005-0000-0000-00009B020000}"/>
    <cellStyle name="Comma 6 3 3 2 8 2" xfId="3341" xr:uid="{00000000-0005-0000-0000-00009C020000}"/>
    <cellStyle name="Comma 6 3 3 2 8 2 2" xfId="7262" xr:uid="{9894EC70-2575-4EB7-AE88-125E1881B35E}"/>
    <cellStyle name="Comma 6 3 3 2 8 2 2 2" xfId="15122" xr:uid="{10AFF944-FF21-42C7-881A-9774BEB83169}"/>
    <cellStyle name="Comma 6 3 3 2 8 2 3" xfId="11202" xr:uid="{7083EFC0-F54F-412E-AB28-F6DA18BD0FFC}"/>
    <cellStyle name="Comma 6 3 3 2 8 3" xfId="5308" xr:uid="{68194540-B33E-4A37-8B26-A1B97C93CBC1}"/>
    <cellStyle name="Comma 6 3 3 2 8 3 2" xfId="13168" xr:uid="{92F8E9EF-3427-4186-A7A4-4B7D81DA39BE}"/>
    <cellStyle name="Comma 6 3 3 2 8 4" xfId="9249" xr:uid="{054CCFBF-86D2-4E16-AF6B-5A4DFD599535}"/>
    <cellStyle name="Comma 6 3 3 2 9" xfId="2040" xr:uid="{00000000-0005-0000-0000-00009D020000}"/>
    <cellStyle name="Comma 6 3 3 2 9 2" xfId="5961" xr:uid="{0551F3BE-BA11-499E-87D3-3CE777E360EA}"/>
    <cellStyle name="Comma 6 3 3 2 9 2 2" xfId="13821" xr:uid="{03B110F1-85AE-441D-800C-93126E8DEDB6}"/>
    <cellStyle name="Comma 6 3 3 2 9 3" xfId="9901" xr:uid="{506BCFC5-F8A3-4E06-BACA-E8BE5D69FF84}"/>
    <cellStyle name="Comma 6 3 3 3" xfId="188" xr:uid="{00000000-0005-0000-0000-00009E020000}"/>
    <cellStyle name="Comma 6 3 3 3 2" xfId="640" xr:uid="{00000000-0005-0000-0000-00009F020000}"/>
    <cellStyle name="Comma 6 3 3 3 2 2" xfId="2594" xr:uid="{00000000-0005-0000-0000-0000A0020000}"/>
    <cellStyle name="Comma 6 3 3 3 2 2 2" xfId="6515" xr:uid="{A28B9257-7DCB-4CCE-BC9A-2E49A45AA57A}"/>
    <cellStyle name="Comma 6 3 3 3 2 2 2 2" xfId="14375" xr:uid="{EA023EA2-25D3-4558-928B-C4792BCE6D84}"/>
    <cellStyle name="Comma 6 3 3 3 2 2 3" xfId="10455" xr:uid="{729BF4EC-3E14-477F-BDF4-B1986563B56C}"/>
    <cellStyle name="Comma 6 3 3 3 2 3" xfId="4561" xr:uid="{5B6F1CD1-31C3-4A65-9EBA-4DB3FD9B2CF5}"/>
    <cellStyle name="Comma 6 3 3 3 2 3 2" xfId="12421" xr:uid="{7C6DDBD1-F98B-412B-8B21-AAC343D40895}"/>
    <cellStyle name="Comma 6 3 3 3 2 4" xfId="8502" xr:uid="{BAEB5869-7660-4B6E-96A9-0A694F6816E2}"/>
    <cellStyle name="Comma 6 3 3 3 3" xfId="1077" xr:uid="{00000000-0005-0000-0000-0000A1020000}"/>
    <cellStyle name="Comma 6 3 3 3 3 2" xfId="3031" xr:uid="{00000000-0005-0000-0000-0000A2020000}"/>
    <cellStyle name="Comma 6 3 3 3 3 2 2" xfId="6952" xr:uid="{20C6AE08-FF5D-4245-A4AB-3AEE0BA9DB03}"/>
    <cellStyle name="Comma 6 3 3 3 3 2 2 2" xfId="14812" xr:uid="{C1FBA062-7D69-44CB-A819-C0C53C89DC8F}"/>
    <cellStyle name="Comma 6 3 3 3 3 2 3" xfId="10892" xr:uid="{3B2D523E-CF02-45C4-B569-F13AB90779CF}"/>
    <cellStyle name="Comma 6 3 3 3 3 3" xfId="4998" xr:uid="{189CACFB-C006-422F-8706-D79A0973C4E9}"/>
    <cellStyle name="Comma 6 3 3 3 3 3 2" xfId="12858" xr:uid="{CFF8FD32-154B-4594-95BE-1426C033BEAA}"/>
    <cellStyle name="Comma 6 3 3 3 3 4" xfId="8939" xr:uid="{3F3C3707-83B6-47DF-A8D0-1C905117F6E8}"/>
    <cellStyle name="Comma 6 3 3 3 4" xfId="1504" xr:uid="{00000000-0005-0000-0000-0000A3020000}"/>
    <cellStyle name="Comma 6 3 3 3 4 2" xfId="3458" xr:uid="{00000000-0005-0000-0000-0000A4020000}"/>
    <cellStyle name="Comma 6 3 3 3 4 2 2" xfId="7379" xr:uid="{0F8C1BF2-4C76-48F4-BAC0-0286CD21C4A4}"/>
    <cellStyle name="Comma 6 3 3 3 4 2 2 2" xfId="15239" xr:uid="{EB9381A9-1A3E-4DDA-B361-FD27A875ADB7}"/>
    <cellStyle name="Comma 6 3 3 3 4 2 3" xfId="11319" xr:uid="{3CB5E4D7-4F39-43F1-BDF6-C9DFBCFC5E74}"/>
    <cellStyle name="Comma 6 3 3 3 4 3" xfId="5425" xr:uid="{DB2B3FC5-3182-4A19-86FB-0989566C4D69}"/>
    <cellStyle name="Comma 6 3 3 3 4 3 2" xfId="13285" xr:uid="{49A312DF-EBAF-44C0-8447-9E7073BB22C7}"/>
    <cellStyle name="Comma 6 3 3 3 4 4" xfId="9366" xr:uid="{67DB642A-ECA7-4C0F-A97F-EC08C3C08E02}"/>
    <cellStyle name="Comma 6 3 3 3 5" xfId="2157" xr:uid="{00000000-0005-0000-0000-0000A5020000}"/>
    <cellStyle name="Comma 6 3 3 3 5 2" xfId="6078" xr:uid="{AF486B2C-3332-4F32-B579-96F8C89C75C6}"/>
    <cellStyle name="Comma 6 3 3 3 5 2 2" xfId="13938" xr:uid="{6C260A24-B946-40EC-840F-85C80D68CB17}"/>
    <cellStyle name="Comma 6 3 3 3 5 3" xfId="10018" xr:uid="{98F10F22-D5FD-4F40-A44D-56873D7B51D2}"/>
    <cellStyle name="Comma 6 3 3 3 6" xfId="4124" xr:uid="{B4A3EFB0-884D-4CF4-9B34-A37A1F61B0B7}"/>
    <cellStyle name="Comma 6 3 3 3 6 2" xfId="11984" xr:uid="{17C40394-5AAA-4A50-8EFF-9144E983FD5E}"/>
    <cellStyle name="Comma 6 3 3 3 7" xfId="8062" xr:uid="{3DA3F6C2-13F0-4CE3-81DA-B20F701D6F7F}"/>
    <cellStyle name="Comma 6 3 3 4" xfId="110" xr:uid="{00000000-0005-0000-0000-0000A6020000}"/>
    <cellStyle name="Comma 6 3 3 4 2" xfId="562" xr:uid="{00000000-0005-0000-0000-0000A7020000}"/>
    <cellStyle name="Comma 6 3 3 4 2 2" xfId="2516" xr:uid="{00000000-0005-0000-0000-0000A8020000}"/>
    <cellStyle name="Comma 6 3 3 4 2 2 2" xfId="6437" xr:uid="{AA2CACEA-1EB4-4541-9A9F-56FCAD79CB92}"/>
    <cellStyle name="Comma 6 3 3 4 2 2 2 2" xfId="14297" xr:uid="{701D351E-61A1-4A3D-B1BA-0CA3C0E77B36}"/>
    <cellStyle name="Comma 6 3 3 4 2 2 3" xfId="10377" xr:uid="{EE1F19F8-B3D3-4FBD-B9C2-DA9524A06B3A}"/>
    <cellStyle name="Comma 6 3 3 4 2 3" xfId="4483" xr:uid="{39C34661-D527-494F-8426-F0AAA2641D09}"/>
    <cellStyle name="Comma 6 3 3 4 2 3 2" xfId="12343" xr:uid="{C63A9236-5B71-47B8-8EBE-5614B5A2E710}"/>
    <cellStyle name="Comma 6 3 3 4 2 4" xfId="8424" xr:uid="{4600F79C-C8E3-4617-A982-9E24A55EDC25}"/>
    <cellStyle name="Comma 6 3 3 4 3" xfId="999" xr:uid="{00000000-0005-0000-0000-0000A9020000}"/>
    <cellStyle name="Comma 6 3 3 4 3 2" xfId="2953" xr:uid="{00000000-0005-0000-0000-0000AA020000}"/>
    <cellStyle name="Comma 6 3 3 4 3 2 2" xfId="6874" xr:uid="{A401A037-F354-45DE-8196-E5FD730168C0}"/>
    <cellStyle name="Comma 6 3 3 4 3 2 2 2" xfId="14734" xr:uid="{92F6AF54-9F39-460C-9FD2-D1210DE8ED0E}"/>
    <cellStyle name="Comma 6 3 3 4 3 2 3" xfId="10814" xr:uid="{22D2E8A2-F1C5-4E45-A9D4-645A4DF900FE}"/>
    <cellStyle name="Comma 6 3 3 4 3 3" xfId="4920" xr:uid="{A396A1AA-6297-4B69-9010-7569EF94E816}"/>
    <cellStyle name="Comma 6 3 3 4 3 3 2" xfId="12780" xr:uid="{3AD84281-7318-4906-8B65-F49BB42D6FED}"/>
    <cellStyle name="Comma 6 3 3 4 3 4" xfId="8861" xr:uid="{A993BD55-6B1B-471B-8F65-C6BB0545330B}"/>
    <cellStyle name="Comma 6 3 3 4 4" xfId="1426" xr:uid="{00000000-0005-0000-0000-0000AB020000}"/>
    <cellStyle name="Comma 6 3 3 4 4 2" xfId="3380" xr:uid="{00000000-0005-0000-0000-0000AC020000}"/>
    <cellStyle name="Comma 6 3 3 4 4 2 2" xfId="7301" xr:uid="{DF0220A3-0C67-4A93-B38A-ED05838DEA15}"/>
    <cellStyle name="Comma 6 3 3 4 4 2 2 2" xfId="15161" xr:uid="{495CF57A-1225-4786-9EA9-C622E0A81971}"/>
    <cellStyle name="Comma 6 3 3 4 4 2 3" xfId="11241" xr:uid="{7FA0A7AC-9A08-4D50-BC4A-7B8282C4769E}"/>
    <cellStyle name="Comma 6 3 3 4 4 3" xfId="5347" xr:uid="{13DFB399-2573-45D6-9229-06DF5B7F77D2}"/>
    <cellStyle name="Comma 6 3 3 4 4 3 2" xfId="13207" xr:uid="{C9C0D3C7-9061-44DF-BF40-FC60DAB71079}"/>
    <cellStyle name="Comma 6 3 3 4 4 4" xfId="9288" xr:uid="{A07C0DEC-9BA8-4BD4-B984-540943AA0341}"/>
    <cellStyle name="Comma 6 3 3 4 5" xfId="2079" xr:uid="{00000000-0005-0000-0000-0000AD020000}"/>
    <cellStyle name="Comma 6 3 3 4 5 2" xfId="6000" xr:uid="{D884BC57-7E7E-48E7-AAA6-A2F8718EFF50}"/>
    <cellStyle name="Comma 6 3 3 4 5 2 2" xfId="13860" xr:uid="{99855390-7413-4325-8847-4BD81D379410}"/>
    <cellStyle name="Comma 6 3 3 4 5 3" xfId="9940" xr:uid="{2017D4F5-CDB5-4C6A-AC66-63F4A3AD3957}"/>
    <cellStyle name="Comma 6 3 3 4 6" xfId="4046" xr:uid="{A31DCE01-C01B-4511-A1C5-75582547A868}"/>
    <cellStyle name="Comma 6 3 3 4 6 2" xfId="11906" xr:uid="{DFB5070D-21F8-46CF-92B9-667B5FBD788D}"/>
    <cellStyle name="Comma 6 3 3 4 7" xfId="7984" xr:uid="{7D5EA047-4A11-4D49-B6F2-7D6ACFAB6647}"/>
    <cellStyle name="Comma 6 3 3 5" xfId="287" xr:uid="{00000000-0005-0000-0000-0000AE020000}"/>
    <cellStyle name="Comma 6 3 3 5 2" xfId="739" xr:uid="{00000000-0005-0000-0000-0000AF020000}"/>
    <cellStyle name="Comma 6 3 3 5 2 2" xfId="2693" xr:uid="{00000000-0005-0000-0000-0000B0020000}"/>
    <cellStyle name="Comma 6 3 3 5 2 2 2" xfId="6614" xr:uid="{B1218EC0-3368-4CB7-8AA1-16A1033284C2}"/>
    <cellStyle name="Comma 6 3 3 5 2 2 2 2" xfId="14474" xr:uid="{0B016D31-FC80-4D6E-8FF5-A801B3FE621B}"/>
    <cellStyle name="Comma 6 3 3 5 2 2 3" xfId="10554" xr:uid="{8FC27789-FE6F-41B5-A6A3-B7F058290CF0}"/>
    <cellStyle name="Comma 6 3 3 5 2 3" xfId="4660" xr:uid="{0C82B69D-0B4E-4AFD-9985-5C0087FC7CFF}"/>
    <cellStyle name="Comma 6 3 3 5 2 3 2" xfId="12520" xr:uid="{83ACD3A6-99D7-4C92-B42D-E158694CAAD8}"/>
    <cellStyle name="Comma 6 3 3 5 2 4" xfId="8601" xr:uid="{24821050-E293-41AA-A955-AB1A996DFC51}"/>
    <cellStyle name="Comma 6 3 3 5 3" xfId="1175" xr:uid="{00000000-0005-0000-0000-0000B1020000}"/>
    <cellStyle name="Comma 6 3 3 5 3 2" xfId="3129" xr:uid="{00000000-0005-0000-0000-0000B2020000}"/>
    <cellStyle name="Comma 6 3 3 5 3 2 2" xfId="7050" xr:uid="{E66C8EF0-E55B-4728-BD2C-42626CB47D61}"/>
    <cellStyle name="Comma 6 3 3 5 3 2 2 2" xfId="14910" xr:uid="{4276D6F3-8DDC-4A25-8BC2-5BA5A16EBB45}"/>
    <cellStyle name="Comma 6 3 3 5 3 2 3" xfId="10990" xr:uid="{6621C650-FEE9-4D7E-B026-973B5A0498D7}"/>
    <cellStyle name="Comma 6 3 3 5 3 3" xfId="5096" xr:uid="{5DD8B82E-EF45-4425-9E71-30E5422887CB}"/>
    <cellStyle name="Comma 6 3 3 5 3 3 2" xfId="12956" xr:uid="{43FB17D4-7449-4D95-B389-EDBDF6624846}"/>
    <cellStyle name="Comma 6 3 3 5 3 4" xfId="9037" xr:uid="{C9440D0C-C130-423D-8B12-2CC54A427F9E}"/>
    <cellStyle name="Comma 6 3 3 5 4" xfId="1595" xr:uid="{00000000-0005-0000-0000-0000B3020000}"/>
    <cellStyle name="Comma 6 3 3 5 4 2" xfId="3549" xr:uid="{00000000-0005-0000-0000-0000B4020000}"/>
    <cellStyle name="Comma 6 3 3 5 4 2 2" xfId="7470" xr:uid="{B348E14A-C2AD-4710-B2CE-AFDA3F75FBB7}"/>
    <cellStyle name="Comma 6 3 3 5 4 2 2 2" xfId="15330" xr:uid="{233A4C20-725E-42C2-885F-C3FCA0BC165A}"/>
    <cellStyle name="Comma 6 3 3 5 4 2 3" xfId="11410" xr:uid="{63113DA1-0FA4-4A74-B1FD-849F537DCBE4}"/>
    <cellStyle name="Comma 6 3 3 5 4 3" xfId="5516" xr:uid="{42AF1FE0-46B9-452B-BC6D-8EBF57C56129}"/>
    <cellStyle name="Comma 6 3 3 5 4 3 2" xfId="13376" xr:uid="{5A0E44F0-E522-4518-81A3-1A9C3D7E87F1}"/>
    <cellStyle name="Comma 6 3 3 5 4 4" xfId="9457" xr:uid="{6B895F23-26B8-4FE4-9222-079AF6F4FA59}"/>
    <cellStyle name="Comma 6 3 3 5 5" xfId="2249" xr:uid="{00000000-0005-0000-0000-0000B5020000}"/>
    <cellStyle name="Comma 6 3 3 5 5 2" xfId="6170" xr:uid="{DADB5D58-2934-4487-9B85-65D917DF0E1A}"/>
    <cellStyle name="Comma 6 3 3 5 5 2 2" xfId="14030" xr:uid="{7AD9C4B6-8626-4432-A014-30413E83030D}"/>
    <cellStyle name="Comma 6 3 3 5 5 3" xfId="10110" xr:uid="{B41BD528-CF4D-4250-B711-0051968B76CE}"/>
    <cellStyle name="Comma 6 3 3 5 6" xfId="4216" xr:uid="{48FBF06B-D3DB-4543-BDC0-1354D9EEF420}"/>
    <cellStyle name="Comma 6 3 3 5 6 2" xfId="12076" xr:uid="{0BC90566-91C8-43AD-961E-5069A3BB33E7}"/>
    <cellStyle name="Comma 6 3 3 5 7" xfId="8155" xr:uid="{68BD8414-F394-49DF-9DBD-7776AC4B3CEC}"/>
    <cellStyle name="Comma 6 3 3 6" xfId="386" xr:uid="{00000000-0005-0000-0000-0000B6020000}"/>
    <cellStyle name="Comma 6 3 3 6 2" xfId="837" xr:uid="{00000000-0005-0000-0000-0000B7020000}"/>
    <cellStyle name="Comma 6 3 3 6 2 2" xfId="2791" xr:uid="{00000000-0005-0000-0000-0000B8020000}"/>
    <cellStyle name="Comma 6 3 3 6 2 2 2" xfId="6712" xr:uid="{18D3D62A-0238-4FEF-A45A-5447470F4889}"/>
    <cellStyle name="Comma 6 3 3 6 2 2 2 2" xfId="14572" xr:uid="{B4C2EF4D-271C-45F5-8AE5-8BFDC1F400A7}"/>
    <cellStyle name="Comma 6 3 3 6 2 2 3" xfId="10652" xr:uid="{61B5067E-9D7A-490F-9B2A-3186592BA634}"/>
    <cellStyle name="Comma 6 3 3 6 2 3" xfId="4758" xr:uid="{A46ABA6A-5675-4A78-8CAA-449E0E172E45}"/>
    <cellStyle name="Comma 6 3 3 6 2 3 2" xfId="12618" xr:uid="{D2C53F84-5105-4308-95EA-8A34055022FC}"/>
    <cellStyle name="Comma 6 3 3 6 2 4" xfId="8699" xr:uid="{0231F6DF-FE00-4533-8FDC-868666938258}"/>
    <cellStyle name="Comma 6 3 3 6 3" xfId="1269" xr:uid="{00000000-0005-0000-0000-0000B9020000}"/>
    <cellStyle name="Comma 6 3 3 6 3 2" xfId="3223" xr:uid="{00000000-0005-0000-0000-0000BA020000}"/>
    <cellStyle name="Comma 6 3 3 6 3 2 2" xfId="7144" xr:uid="{B2E23987-E479-412A-8EB1-64B2851B9ACA}"/>
    <cellStyle name="Comma 6 3 3 6 3 2 2 2" xfId="15004" xr:uid="{58EB45CF-4748-472B-9B66-C86EB3C40562}"/>
    <cellStyle name="Comma 6 3 3 6 3 2 3" xfId="11084" xr:uid="{EE40F1B8-D2AE-4F07-A7D7-C3A7CB74E876}"/>
    <cellStyle name="Comma 6 3 3 6 3 3" xfId="5190" xr:uid="{7C8B1DF8-F99A-4D1F-A4E3-91CAA61EF2EA}"/>
    <cellStyle name="Comma 6 3 3 6 3 3 2" xfId="13050" xr:uid="{ACF51C77-7677-432B-846F-2D057A713793}"/>
    <cellStyle name="Comma 6 3 3 6 3 4" xfId="9131" xr:uid="{8488524C-A1AF-4F92-B6FA-3DA964739E01}"/>
    <cellStyle name="Comma 6 3 3 6 4" xfId="1687" xr:uid="{00000000-0005-0000-0000-0000BB020000}"/>
    <cellStyle name="Comma 6 3 3 6 4 2" xfId="3641" xr:uid="{00000000-0005-0000-0000-0000BC020000}"/>
    <cellStyle name="Comma 6 3 3 6 4 2 2" xfId="7562" xr:uid="{21001D59-2EAC-42FA-B3E1-7270A775B217}"/>
    <cellStyle name="Comma 6 3 3 6 4 2 2 2" xfId="15422" xr:uid="{2359AE01-8D71-4CE2-B8B8-CDDD08958151}"/>
    <cellStyle name="Comma 6 3 3 6 4 2 3" xfId="11502" xr:uid="{8BAA67AD-58B3-4187-8778-DDA36DB2A15B}"/>
    <cellStyle name="Comma 6 3 3 6 4 3" xfId="5608" xr:uid="{502962E7-C63A-418D-B302-111D675FC105}"/>
    <cellStyle name="Comma 6 3 3 6 4 3 2" xfId="13468" xr:uid="{A8B85E52-5BF0-4121-ADA2-E27D31A3658A}"/>
    <cellStyle name="Comma 6 3 3 6 4 4" xfId="9549" xr:uid="{20FC2F22-CDAA-4B7C-9B9C-51D6A127014D}"/>
    <cellStyle name="Comma 6 3 3 6 5" xfId="2341" xr:uid="{00000000-0005-0000-0000-0000BD020000}"/>
    <cellStyle name="Comma 6 3 3 6 5 2" xfId="6262" xr:uid="{2BD234E0-3202-457B-B652-251CB3CCD1FB}"/>
    <cellStyle name="Comma 6 3 3 6 5 2 2" xfId="14122" xr:uid="{ECEA2294-11CE-44A6-A8DA-7196476CCE6B}"/>
    <cellStyle name="Comma 6 3 3 6 5 3" xfId="10202" xr:uid="{F4EFD4D1-5091-4B8F-9C04-BB9BEB763D1F}"/>
    <cellStyle name="Comma 6 3 3 6 6" xfId="4308" xr:uid="{3A5787CB-7454-42BC-B511-C7AE8188D6E6}"/>
    <cellStyle name="Comma 6 3 3 6 6 2" xfId="12168" xr:uid="{B2E168E8-04BC-4E05-8760-27428E17B7F0}"/>
    <cellStyle name="Comma 6 3 3 6 7" xfId="8249" xr:uid="{5F37EFD4-E9FF-441A-95B8-7D3EA7588DE1}"/>
    <cellStyle name="Comma 6 3 3 7" xfId="483" xr:uid="{00000000-0005-0000-0000-0000BE020000}"/>
    <cellStyle name="Comma 6 3 3 7 2" xfId="2437" xr:uid="{00000000-0005-0000-0000-0000BF020000}"/>
    <cellStyle name="Comma 6 3 3 7 2 2" xfId="6358" xr:uid="{6973D70F-335C-4BD4-ADD7-742F47CBE9E1}"/>
    <cellStyle name="Comma 6 3 3 7 2 2 2" xfId="14218" xr:uid="{D7FCA629-2F7B-4E33-B247-60B038A03549}"/>
    <cellStyle name="Comma 6 3 3 7 2 3" xfId="10298" xr:uid="{1B6D946C-328A-42D6-96EA-4F6FF06F4EF3}"/>
    <cellStyle name="Comma 6 3 3 7 3" xfId="4404" xr:uid="{6794F1F7-F0BC-4D04-A146-D46F5EE01CE0}"/>
    <cellStyle name="Comma 6 3 3 7 3 2" xfId="12264" xr:uid="{E8EAAB56-A5F1-4AB6-AE8A-81F4811C5B9A}"/>
    <cellStyle name="Comma 6 3 3 7 4" xfId="8345" xr:uid="{8DD2FFE9-8631-4072-872A-7BD94B103DDE}"/>
    <cellStyle name="Comma 6 3 3 8" xfId="919" xr:uid="{00000000-0005-0000-0000-0000C0020000}"/>
    <cellStyle name="Comma 6 3 3 8 2" xfId="2873" xr:uid="{00000000-0005-0000-0000-0000C1020000}"/>
    <cellStyle name="Comma 6 3 3 8 2 2" xfId="6794" xr:uid="{44C83E97-C8B3-4399-AB8A-32F4D54D0EFD}"/>
    <cellStyle name="Comma 6 3 3 8 2 2 2" xfId="14654" xr:uid="{901E43B9-E932-454E-90D7-02EA22920617}"/>
    <cellStyle name="Comma 6 3 3 8 2 3" xfId="10734" xr:uid="{1D1721A6-22FC-4CA8-85DF-E6C7A014BBCB}"/>
    <cellStyle name="Comma 6 3 3 8 3" xfId="4840" xr:uid="{4C769907-8719-432D-830B-D5C1E5B9F66D}"/>
    <cellStyle name="Comma 6 3 3 8 3 2" xfId="12700" xr:uid="{538BAB88-B855-49E9-AAF8-A0173FA0C8E6}"/>
    <cellStyle name="Comma 6 3 3 8 4" xfId="8781" xr:uid="{583FC533-453A-40C5-8159-2F239BB38F77}"/>
    <cellStyle name="Comma 6 3 3 9" xfId="1348" xr:uid="{00000000-0005-0000-0000-0000C2020000}"/>
    <cellStyle name="Comma 6 3 3 9 2" xfId="3302" xr:uid="{00000000-0005-0000-0000-0000C3020000}"/>
    <cellStyle name="Comma 6 3 3 9 2 2" xfId="7223" xr:uid="{BEE577AD-08D1-4E5E-B1F5-FA668EC064E1}"/>
    <cellStyle name="Comma 6 3 3 9 2 2 2" xfId="15083" xr:uid="{F02569FF-233D-44BC-B3DE-7CD55ED87A17}"/>
    <cellStyle name="Comma 6 3 3 9 2 3" xfId="11163" xr:uid="{36DFD540-12C7-4A8A-B39A-1ED5184667EC}"/>
    <cellStyle name="Comma 6 3 3 9 3" xfId="5269" xr:uid="{C6A35E63-3409-4627-856F-7B6B9EE96D1C}"/>
    <cellStyle name="Comma 6 3 3 9 3 2" xfId="13129" xr:uid="{0B18B515-F713-4E12-B9B8-D7D9490AAB7A}"/>
    <cellStyle name="Comma 6 3 3 9 4" xfId="9210" xr:uid="{206738F5-86B6-467C-800C-E0D440026A27}"/>
    <cellStyle name="Comma 6 3 4" xfId="49" xr:uid="{00000000-0005-0000-0000-0000C4020000}"/>
    <cellStyle name="Comma 6 3 4 10" xfId="3985" xr:uid="{1AEE868B-543F-4337-85FD-CF3107D6764C}"/>
    <cellStyle name="Comma 6 3 4 10 2" xfId="11845" xr:uid="{2AC6E7DC-424A-4708-B66B-FADC69FC9D70}"/>
    <cellStyle name="Comma 6 3 4 11" xfId="7923" xr:uid="{59E400A8-8A57-4517-B1BD-ABA5C9E4A041}"/>
    <cellStyle name="Comma 6 3 4 2" xfId="205" xr:uid="{00000000-0005-0000-0000-0000C5020000}"/>
    <cellStyle name="Comma 6 3 4 2 2" xfId="657" xr:uid="{00000000-0005-0000-0000-0000C6020000}"/>
    <cellStyle name="Comma 6 3 4 2 2 2" xfId="2611" xr:uid="{00000000-0005-0000-0000-0000C7020000}"/>
    <cellStyle name="Comma 6 3 4 2 2 2 2" xfId="6532" xr:uid="{A04632BF-E7EF-4F43-83DE-93B844D0563E}"/>
    <cellStyle name="Comma 6 3 4 2 2 2 2 2" xfId="14392" xr:uid="{3CD2F82E-AE19-4F38-B9F8-15B2D1958414}"/>
    <cellStyle name="Comma 6 3 4 2 2 2 3" xfId="10472" xr:uid="{A2F0934E-6D62-4D8E-A061-D16C7ECF1DDC}"/>
    <cellStyle name="Comma 6 3 4 2 2 3" xfId="4578" xr:uid="{0551443F-48A0-45E4-A4F6-2179C558CC7F}"/>
    <cellStyle name="Comma 6 3 4 2 2 3 2" xfId="12438" xr:uid="{7F559F48-1922-4CDC-B730-AE4C955E359F}"/>
    <cellStyle name="Comma 6 3 4 2 2 4" xfId="8519" xr:uid="{A8D7C1AF-330A-4F5A-B8F5-8DF4AE0F038E}"/>
    <cellStyle name="Comma 6 3 4 2 3" xfId="1094" xr:uid="{00000000-0005-0000-0000-0000C8020000}"/>
    <cellStyle name="Comma 6 3 4 2 3 2" xfId="3048" xr:uid="{00000000-0005-0000-0000-0000C9020000}"/>
    <cellStyle name="Comma 6 3 4 2 3 2 2" xfId="6969" xr:uid="{0B9F30CC-EC45-46D6-9CC5-847990BE1823}"/>
    <cellStyle name="Comma 6 3 4 2 3 2 2 2" xfId="14829" xr:uid="{DC050804-01C9-454A-9A6E-01C658C169B8}"/>
    <cellStyle name="Comma 6 3 4 2 3 2 3" xfId="10909" xr:uid="{2DDC57EE-15CF-4D6C-B1E3-70D6C3231CA7}"/>
    <cellStyle name="Comma 6 3 4 2 3 3" xfId="5015" xr:uid="{054C5C31-1328-498B-BCD8-97DC2D619A0F}"/>
    <cellStyle name="Comma 6 3 4 2 3 3 2" xfId="12875" xr:uid="{AE2ED1DC-F344-4FA5-B909-702052460377}"/>
    <cellStyle name="Comma 6 3 4 2 3 4" xfId="8956" xr:uid="{670F41F3-E9A3-4A4C-9DE7-40481589AB82}"/>
    <cellStyle name="Comma 6 3 4 2 4" xfId="1521" xr:uid="{00000000-0005-0000-0000-0000CA020000}"/>
    <cellStyle name="Comma 6 3 4 2 4 2" xfId="3475" xr:uid="{00000000-0005-0000-0000-0000CB020000}"/>
    <cellStyle name="Comma 6 3 4 2 4 2 2" xfId="7396" xr:uid="{FDDCD74D-3980-49EF-A611-474B29A6F469}"/>
    <cellStyle name="Comma 6 3 4 2 4 2 2 2" xfId="15256" xr:uid="{4D281706-B07B-47E7-A0FD-F3BB1CEAC2F1}"/>
    <cellStyle name="Comma 6 3 4 2 4 2 3" xfId="11336" xr:uid="{E161AADB-99E9-432F-A746-F450724DDF3D}"/>
    <cellStyle name="Comma 6 3 4 2 4 3" xfId="5442" xr:uid="{CE1B8265-AD06-42E4-80A1-C8C6F5067C24}"/>
    <cellStyle name="Comma 6 3 4 2 4 3 2" xfId="13302" xr:uid="{94EBC9AB-DFA8-4E0D-9D31-103E5EDB5D7B}"/>
    <cellStyle name="Comma 6 3 4 2 4 4" xfId="9383" xr:uid="{533B520F-E020-4D36-B170-C5FA6399D629}"/>
    <cellStyle name="Comma 6 3 4 2 5" xfId="2174" xr:uid="{00000000-0005-0000-0000-0000CC020000}"/>
    <cellStyle name="Comma 6 3 4 2 5 2" xfId="6095" xr:uid="{083E3AE9-D951-48DC-8F76-89574378D466}"/>
    <cellStyle name="Comma 6 3 4 2 5 2 2" xfId="13955" xr:uid="{8EA20F06-9BE8-4F94-A7E0-C39D2346364C}"/>
    <cellStyle name="Comma 6 3 4 2 5 3" xfId="10035" xr:uid="{37C4A66E-D7F9-45AF-9941-6290289337E4}"/>
    <cellStyle name="Comma 6 3 4 2 6" xfId="4141" xr:uid="{592FCB72-173F-4BBA-B95F-ED4EDF430CF7}"/>
    <cellStyle name="Comma 6 3 4 2 6 2" xfId="12001" xr:uid="{6BC7C607-9CDA-4BC6-9B6F-025A3FF9F73E}"/>
    <cellStyle name="Comma 6 3 4 2 7" xfId="8079" xr:uid="{DBD969EB-63B5-4C68-BA90-BE7043607E7C}"/>
    <cellStyle name="Comma 6 3 4 3" xfId="127" xr:uid="{00000000-0005-0000-0000-0000CD020000}"/>
    <cellStyle name="Comma 6 3 4 3 2" xfId="579" xr:uid="{00000000-0005-0000-0000-0000CE020000}"/>
    <cellStyle name="Comma 6 3 4 3 2 2" xfId="2533" xr:uid="{00000000-0005-0000-0000-0000CF020000}"/>
    <cellStyle name="Comma 6 3 4 3 2 2 2" xfId="6454" xr:uid="{7BA6163D-07A4-405E-8CA4-EBCDD5AB2F20}"/>
    <cellStyle name="Comma 6 3 4 3 2 2 2 2" xfId="14314" xr:uid="{AE33CE0F-0012-47E0-B8C0-84718F08C19E}"/>
    <cellStyle name="Comma 6 3 4 3 2 2 3" xfId="10394" xr:uid="{46F53B7B-BE18-4E5A-A884-30C8E83FB2C9}"/>
    <cellStyle name="Comma 6 3 4 3 2 3" xfId="4500" xr:uid="{0A77EFB8-56D1-4D51-BA4A-AF55E38FED51}"/>
    <cellStyle name="Comma 6 3 4 3 2 3 2" xfId="12360" xr:uid="{D1A2D403-FDD4-4D8D-ABFD-13C958A62B1A}"/>
    <cellStyle name="Comma 6 3 4 3 2 4" xfId="8441" xr:uid="{FF5F69BC-7082-49A8-A771-07EB26D92652}"/>
    <cellStyle name="Comma 6 3 4 3 3" xfId="1016" xr:uid="{00000000-0005-0000-0000-0000D0020000}"/>
    <cellStyle name="Comma 6 3 4 3 3 2" xfId="2970" xr:uid="{00000000-0005-0000-0000-0000D1020000}"/>
    <cellStyle name="Comma 6 3 4 3 3 2 2" xfId="6891" xr:uid="{36968DB3-6104-4B3E-9890-7E04F2481092}"/>
    <cellStyle name="Comma 6 3 4 3 3 2 2 2" xfId="14751" xr:uid="{BAC9A0CE-C44F-4344-8DC2-84F2F8F76364}"/>
    <cellStyle name="Comma 6 3 4 3 3 2 3" xfId="10831" xr:uid="{95BCAF06-664F-45ED-BC43-B11BF4B86396}"/>
    <cellStyle name="Comma 6 3 4 3 3 3" xfId="4937" xr:uid="{E8823333-3275-4EAD-9DB3-7E5D6C03CA96}"/>
    <cellStyle name="Comma 6 3 4 3 3 3 2" xfId="12797" xr:uid="{6332BAA9-1E16-4981-A7B8-F35D68640F77}"/>
    <cellStyle name="Comma 6 3 4 3 3 4" xfId="8878" xr:uid="{9DF6E1F3-7718-406D-B668-B4194D400F60}"/>
    <cellStyle name="Comma 6 3 4 3 4" xfId="1443" xr:uid="{00000000-0005-0000-0000-0000D2020000}"/>
    <cellStyle name="Comma 6 3 4 3 4 2" xfId="3397" xr:uid="{00000000-0005-0000-0000-0000D3020000}"/>
    <cellStyle name="Comma 6 3 4 3 4 2 2" xfId="7318" xr:uid="{899F614C-BE86-45BF-A438-C68719A83AE1}"/>
    <cellStyle name="Comma 6 3 4 3 4 2 2 2" xfId="15178" xr:uid="{CEBC3755-4170-46B5-BB8D-D270D8DCE8CC}"/>
    <cellStyle name="Comma 6 3 4 3 4 2 3" xfId="11258" xr:uid="{847A9C34-9A75-4C35-A411-B2D563D278FE}"/>
    <cellStyle name="Comma 6 3 4 3 4 3" xfId="5364" xr:uid="{A5724CDF-200B-48F9-AA28-97A60E3C6A59}"/>
    <cellStyle name="Comma 6 3 4 3 4 3 2" xfId="13224" xr:uid="{873E04D3-BAD6-4190-B16A-87887279BB23}"/>
    <cellStyle name="Comma 6 3 4 3 4 4" xfId="9305" xr:uid="{A0570C95-73E7-4B6B-9CFA-0A948EB4E872}"/>
    <cellStyle name="Comma 6 3 4 3 5" xfId="2096" xr:uid="{00000000-0005-0000-0000-0000D4020000}"/>
    <cellStyle name="Comma 6 3 4 3 5 2" xfId="6017" xr:uid="{531AE370-4709-4EBB-B296-C38CC5AD9299}"/>
    <cellStyle name="Comma 6 3 4 3 5 2 2" xfId="13877" xr:uid="{69B5C269-50C7-4AA6-B713-5976641F4799}"/>
    <cellStyle name="Comma 6 3 4 3 5 3" xfId="9957" xr:uid="{782DC505-A636-4FDD-AB9F-2B7184B33EF2}"/>
    <cellStyle name="Comma 6 3 4 3 6" xfId="4063" xr:uid="{4A0F69AE-E570-4FC6-B90D-F4023E1F046C}"/>
    <cellStyle name="Comma 6 3 4 3 6 2" xfId="11923" xr:uid="{5D7D26CE-FBC0-4BC1-9B62-5A4CB61A88E6}"/>
    <cellStyle name="Comma 6 3 4 3 7" xfId="8001" xr:uid="{28635FD1-1A6C-4B13-A2A5-E71C128ECD1F}"/>
    <cellStyle name="Comma 6 3 4 4" xfId="312" xr:uid="{00000000-0005-0000-0000-0000D5020000}"/>
    <cellStyle name="Comma 6 3 4 4 2" xfId="764" xr:uid="{00000000-0005-0000-0000-0000D6020000}"/>
    <cellStyle name="Comma 6 3 4 4 2 2" xfId="2718" xr:uid="{00000000-0005-0000-0000-0000D7020000}"/>
    <cellStyle name="Comma 6 3 4 4 2 2 2" xfId="6639" xr:uid="{6B304B5C-67C3-4E47-BB0C-B62D2C773F63}"/>
    <cellStyle name="Comma 6 3 4 4 2 2 2 2" xfId="14499" xr:uid="{D5471F51-F489-4923-8228-EC22E289AA72}"/>
    <cellStyle name="Comma 6 3 4 4 2 2 3" xfId="10579" xr:uid="{B0974F17-0D9A-449D-8172-60C80E2D0999}"/>
    <cellStyle name="Comma 6 3 4 4 2 3" xfId="4685" xr:uid="{8FD3263A-313A-4FED-8A14-B23BFCBF03B2}"/>
    <cellStyle name="Comma 6 3 4 4 2 3 2" xfId="12545" xr:uid="{8C24E475-B3D2-4E02-86DC-90C7DB484E01}"/>
    <cellStyle name="Comma 6 3 4 4 2 4" xfId="8626" xr:uid="{F1F6233E-D73E-4196-9CEC-99256D128951}"/>
    <cellStyle name="Comma 6 3 4 4 3" xfId="1199" xr:uid="{00000000-0005-0000-0000-0000D8020000}"/>
    <cellStyle name="Comma 6 3 4 4 3 2" xfId="3153" xr:uid="{00000000-0005-0000-0000-0000D9020000}"/>
    <cellStyle name="Comma 6 3 4 4 3 2 2" xfId="7074" xr:uid="{88439825-8682-4394-A032-B3453C235E86}"/>
    <cellStyle name="Comma 6 3 4 4 3 2 2 2" xfId="14934" xr:uid="{217D9011-7FA1-4007-9A5D-D59C825AE9A6}"/>
    <cellStyle name="Comma 6 3 4 4 3 2 3" xfId="11014" xr:uid="{7D7B3F8D-9E8E-4A9C-AF1C-F32B37BC359D}"/>
    <cellStyle name="Comma 6 3 4 4 3 3" xfId="5120" xr:uid="{585C3693-B7C8-44B4-BC38-E24E67BED3AD}"/>
    <cellStyle name="Comma 6 3 4 4 3 3 2" xfId="12980" xr:uid="{E0500333-8CFD-47EF-9DCF-4DC2766E144D}"/>
    <cellStyle name="Comma 6 3 4 4 3 4" xfId="9061" xr:uid="{DE1840A3-C492-4194-8AA7-D52170AD62FF}"/>
    <cellStyle name="Comma 6 3 4 4 4" xfId="1619" xr:uid="{00000000-0005-0000-0000-0000DA020000}"/>
    <cellStyle name="Comma 6 3 4 4 4 2" xfId="3573" xr:uid="{00000000-0005-0000-0000-0000DB020000}"/>
    <cellStyle name="Comma 6 3 4 4 4 2 2" xfId="7494" xr:uid="{B1DF4C55-25C3-4E66-BA62-8D8EBDA2C3B3}"/>
    <cellStyle name="Comma 6 3 4 4 4 2 2 2" xfId="15354" xr:uid="{407704E2-6AD0-4AF4-99DC-70655B74C9BB}"/>
    <cellStyle name="Comma 6 3 4 4 4 2 3" xfId="11434" xr:uid="{529BF067-5D16-4376-ADA5-EA3B2F6576DA}"/>
    <cellStyle name="Comma 6 3 4 4 4 3" xfId="5540" xr:uid="{2AEB987B-EF66-4025-846C-088E87E32244}"/>
    <cellStyle name="Comma 6 3 4 4 4 3 2" xfId="13400" xr:uid="{79843D87-55C7-495A-B426-756C97DFDF61}"/>
    <cellStyle name="Comma 6 3 4 4 4 4" xfId="9481" xr:uid="{D3AC90FA-1EF2-4B99-BAA7-C4E1DBCCA4A9}"/>
    <cellStyle name="Comma 6 3 4 4 5" xfId="2273" xr:uid="{00000000-0005-0000-0000-0000DC020000}"/>
    <cellStyle name="Comma 6 3 4 4 5 2" xfId="6194" xr:uid="{DDC444D4-21C8-46E9-A91A-23C024248EC3}"/>
    <cellStyle name="Comma 6 3 4 4 5 2 2" xfId="14054" xr:uid="{6FDEDDA1-370B-4A55-96E7-4324CF3984B0}"/>
    <cellStyle name="Comma 6 3 4 4 5 3" xfId="10134" xr:uid="{A33128BA-B2EB-41BE-B360-FEDAC3340A46}"/>
    <cellStyle name="Comma 6 3 4 4 6" xfId="4240" xr:uid="{C7CE2B27-4F0E-4214-BCB0-5C8D244F2674}"/>
    <cellStyle name="Comma 6 3 4 4 6 2" xfId="12100" xr:uid="{C90A85A0-B7F5-4682-9E55-D375D14C6525}"/>
    <cellStyle name="Comma 6 3 4 4 7" xfId="8179" xr:uid="{5DC16619-2A10-44E3-BC3E-E36965903943}"/>
    <cellStyle name="Comma 6 3 4 5" xfId="410" xr:uid="{00000000-0005-0000-0000-0000DD020000}"/>
    <cellStyle name="Comma 6 3 4 5 2" xfId="861" xr:uid="{00000000-0005-0000-0000-0000DE020000}"/>
    <cellStyle name="Comma 6 3 4 5 2 2" xfId="2815" xr:uid="{00000000-0005-0000-0000-0000DF020000}"/>
    <cellStyle name="Comma 6 3 4 5 2 2 2" xfId="6736" xr:uid="{1D9311C4-6D0E-4BC7-A1DB-2EC4BC6D3DF3}"/>
    <cellStyle name="Comma 6 3 4 5 2 2 2 2" xfId="14596" xr:uid="{974A0B6F-DC6B-40D5-A2CF-A07BE841FA83}"/>
    <cellStyle name="Comma 6 3 4 5 2 2 3" xfId="10676" xr:uid="{45D57A53-7AC0-49B0-8E91-CF0CD47BD069}"/>
    <cellStyle name="Comma 6 3 4 5 2 3" xfId="4782" xr:uid="{D719F043-647A-40A0-88E0-5CA02CA1FBF2}"/>
    <cellStyle name="Comma 6 3 4 5 2 3 2" xfId="12642" xr:uid="{4A344B24-402F-4B92-A257-FD7DB3086510}"/>
    <cellStyle name="Comma 6 3 4 5 2 4" xfId="8723" xr:uid="{6F724F01-3F3A-4D0C-9B0B-E8F2564A1CD5}"/>
    <cellStyle name="Comma 6 3 4 5 3" xfId="1293" xr:uid="{00000000-0005-0000-0000-0000E0020000}"/>
    <cellStyle name="Comma 6 3 4 5 3 2" xfId="3247" xr:uid="{00000000-0005-0000-0000-0000E1020000}"/>
    <cellStyle name="Comma 6 3 4 5 3 2 2" xfId="7168" xr:uid="{578BA023-03BD-4200-8200-0FE3CE773D72}"/>
    <cellStyle name="Comma 6 3 4 5 3 2 2 2" xfId="15028" xr:uid="{2CCABD9B-985A-498C-8BE7-2400DFE6E51B}"/>
    <cellStyle name="Comma 6 3 4 5 3 2 3" xfId="11108" xr:uid="{844F13C3-43DC-482F-8747-A27585C67697}"/>
    <cellStyle name="Comma 6 3 4 5 3 3" xfId="5214" xr:uid="{19C994B7-DF10-44B7-84A5-C9EF993BDF13}"/>
    <cellStyle name="Comma 6 3 4 5 3 3 2" xfId="13074" xr:uid="{0A72DE84-F293-4399-B9DF-AEFE92043309}"/>
    <cellStyle name="Comma 6 3 4 5 3 4" xfId="9155" xr:uid="{7EB519D9-FAFB-4C29-8186-5E2404F1156E}"/>
    <cellStyle name="Comma 6 3 4 5 4" xfId="1711" xr:uid="{00000000-0005-0000-0000-0000E2020000}"/>
    <cellStyle name="Comma 6 3 4 5 4 2" xfId="3665" xr:uid="{00000000-0005-0000-0000-0000E3020000}"/>
    <cellStyle name="Comma 6 3 4 5 4 2 2" xfId="7586" xr:uid="{486C16E5-F39B-47F3-BC91-9223089820D1}"/>
    <cellStyle name="Comma 6 3 4 5 4 2 2 2" xfId="15446" xr:uid="{0B87AB44-2182-42AF-9992-BCFF92FC2674}"/>
    <cellStyle name="Comma 6 3 4 5 4 2 3" xfId="11526" xr:uid="{BB1842B9-B7A0-4D3E-B859-C321E3964538}"/>
    <cellStyle name="Comma 6 3 4 5 4 3" xfId="5632" xr:uid="{6E74CED8-7165-4F84-9F8C-9305E27800D3}"/>
    <cellStyle name="Comma 6 3 4 5 4 3 2" xfId="13492" xr:uid="{81BCC019-17EE-47B7-B317-7AED69B4B029}"/>
    <cellStyle name="Comma 6 3 4 5 4 4" xfId="9573" xr:uid="{A4B9CD1A-15CB-479F-8DE8-811C7A57BA60}"/>
    <cellStyle name="Comma 6 3 4 5 5" xfId="2365" xr:uid="{00000000-0005-0000-0000-0000E4020000}"/>
    <cellStyle name="Comma 6 3 4 5 5 2" xfId="6286" xr:uid="{B62F8BC7-D48D-49C7-97BA-6CD66EA9C91C}"/>
    <cellStyle name="Comma 6 3 4 5 5 2 2" xfId="14146" xr:uid="{FAF732D6-4FDB-4393-9313-D42A60CAEBB0}"/>
    <cellStyle name="Comma 6 3 4 5 5 3" xfId="10226" xr:uid="{A605DC17-51E0-4BC8-B813-6635CBC52654}"/>
    <cellStyle name="Comma 6 3 4 5 6" xfId="4332" xr:uid="{8EBD9C9C-14B0-4E82-907B-C8FCCD3085E9}"/>
    <cellStyle name="Comma 6 3 4 5 6 2" xfId="12192" xr:uid="{912B130D-47D0-43F1-AF84-F4700634008D}"/>
    <cellStyle name="Comma 6 3 4 5 7" xfId="8273" xr:uid="{F30B4F13-2ADA-469C-8CE0-292DB0A128E2}"/>
    <cellStyle name="Comma 6 3 4 6" xfId="501" xr:uid="{00000000-0005-0000-0000-0000E5020000}"/>
    <cellStyle name="Comma 6 3 4 6 2" xfId="2455" xr:uid="{00000000-0005-0000-0000-0000E6020000}"/>
    <cellStyle name="Comma 6 3 4 6 2 2" xfId="6376" xr:uid="{E2A67D41-D1B5-4069-8D88-D4C448B0669A}"/>
    <cellStyle name="Comma 6 3 4 6 2 2 2" xfId="14236" xr:uid="{E15D4620-B887-41F0-B6A5-21A6067D294A}"/>
    <cellStyle name="Comma 6 3 4 6 2 3" xfId="10316" xr:uid="{3AF688F1-CED9-4100-991B-A7D948E339FF}"/>
    <cellStyle name="Comma 6 3 4 6 3" xfId="4422" xr:uid="{18EEE4DB-3C46-4458-B63D-2746E72818B2}"/>
    <cellStyle name="Comma 6 3 4 6 3 2" xfId="12282" xr:uid="{34B88841-C884-4738-B1C2-860A48DF491A}"/>
    <cellStyle name="Comma 6 3 4 6 4" xfId="8363" xr:uid="{9603A9ED-3441-40D3-AAE0-B125F45CC2CB}"/>
    <cellStyle name="Comma 6 3 4 7" xfId="938" xr:uid="{00000000-0005-0000-0000-0000E7020000}"/>
    <cellStyle name="Comma 6 3 4 7 2" xfId="2892" xr:uid="{00000000-0005-0000-0000-0000E8020000}"/>
    <cellStyle name="Comma 6 3 4 7 2 2" xfId="6813" xr:uid="{1389794D-D679-479C-83D4-B618703AEE6F}"/>
    <cellStyle name="Comma 6 3 4 7 2 2 2" xfId="14673" xr:uid="{3A12DEA0-1222-4D96-A11E-4E1BC5D4AD20}"/>
    <cellStyle name="Comma 6 3 4 7 2 3" xfId="10753" xr:uid="{F471C515-8348-42C8-AD34-ED03F5C671C8}"/>
    <cellStyle name="Comma 6 3 4 7 3" xfId="4859" xr:uid="{BD21C3F5-6F78-4DFC-9583-D983280E96A0}"/>
    <cellStyle name="Comma 6 3 4 7 3 2" xfId="12719" xr:uid="{571B244C-172F-4FB8-A88A-CEBC1F7A0963}"/>
    <cellStyle name="Comma 6 3 4 7 4" xfId="8800" xr:uid="{3D5BE787-D214-47F2-85CC-31947C07CC91}"/>
    <cellStyle name="Comma 6 3 4 8" xfId="1365" xr:uid="{00000000-0005-0000-0000-0000E9020000}"/>
    <cellStyle name="Comma 6 3 4 8 2" xfId="3319" xr:uid="{00000000-0005-0000-0000-0000EA020000}"/>
    <cellStyle name="Comma 6 3 4 8 2 2" xfId="7240" xr:uid="{082D88D3-C1ED-4D02-A3DF-3AC50E158331}"/>
    <cellStyle name="Comma 6 3 4 8 2 2 2" xfId="15100" xr:uid="{C5B79BAE-43A6-4FA9-90EF-9E2B4076B7AB}"/>
    <cellStyle name="Comma 6 3 4 8 2 3" xfId="11180" xr:uid="{F8E51270-C7F2-4124-A1C1-BA5E732BD6B0}"/>
    <cellStyle name="Comma 6 3 4 8 3" xfId="5286" xr:uid="{C12A8AC9-2D6D-443E-B242-94DF1C75CCA9}"/>
    <cellStyle name="Comma 6 3 4 8 3 2" xfId="13146" xr:uid="{6674FC9B-B0EC-4B1A-BE84-5BFA63FD3268}"/>
    <cellStyle name="Comma 6 3 4 8 4" xfId="9227" xr:uid="{4A39C6F4-4A7A-4046-A2F3-F48496B02525}"/>
    <cellStyle name="Comma 6 3 4 9" xfId="2018" xr:uid="{00000000-0005-0000-0000-0000EB020000}"/>
    <cellStyle name="Comma 6 3 4 9 2" xfId="5939" xr:uid="{FF3623E5-8ED9-4CAD-9B3D-C1C7C35732C5}"/>
    <cellStyle name="Comma 6 3 4 9 2 2" xfId="13799" xr:uid="{F0801A98-DF7E-4821-BDEF-AE49B51F98D1}"/>
    <cellStyle name="Comma 6 3 4 9 3" xfId="9879" xr:uid="{DC7D51A2-34A7-4103-936E-44738E74F1BB}"/>
    <cellStyle name="Comma 6 3 5" xfId="166" xr:uid="{00000000-0005-0000-0000-0000EC020000}"/>
    <cellStyle name="Comma 6 3 5 2" xfId="618" xr:uid="{00000000-0005-0000-0000-0000ED020000}"/>
    <cellStyle name="Comma 6 3 5 2 2" xfId="2572" xr:uid="{00000000-0005-0000-0000-0000EE020000}"/>
    <cellStyle name="Comma 6 3 5 2 2 2" xfId="6493" xr:uid="{31602875-B3EA-4D89-83B1-9FC0962776F8}"/>
    <cellStyle name="Comma 6 3 5 2 2 2 2" xfId="14353" xr:uid="{094A0C9A-1D1C-4E99-864F-83A113AA257B}"/>
    <cellStyle name="Comma 6 3 5 2 2 3" xfId="10433" xr:uid="{C5AD17BD-34E8-4734-9187-688710D45FD7}"/>
    <cellStyle name="Comma 6 3 5 2 3" xfId="4539" xr:uid="{82122BA3-824E-4435-8853-B7EA4AA94D61}"/>
    <cellStyle name="Comma 6 3 5 2 3 2" xfId="12399" xr:uid="{FE5028FB-4BB7-4E15-988B-FF340599D612}"/>
    <cellStyle name="Comma 6 3 5 2 4" xfId="8480" xr:uid="{89E5DBB6-B6C5-4893-A3F4-4C4121CEEEC5}"/>
    <cellStyle name="Comma 6 3 5 3" xfId="1055" xr:uid="{00000000-0005-0000-0000-0000EF020000}"/>
    <cellStyle name="Comma 6 3 5 3 2" xfId="3009" xr:uid="{00000000-0005-0000-0000-0000F0020000}"/>
    <cellStyle name="Comma 6 3 5 3 2 2" xfId="6930" xr:uid="{0B2E6857-356A-433E-B7FA-025D2C0D49E7}"/>
    <cellStyle name="Comma 6 3 5 3 2 2 2" xfId="14790" xr:uid="{84142DFF-2C99-49B9-969D-15054DED8337}"/>
    <cellStyle name="Comma 6 3 5 3 2 3" xfId="10870" xr:uid="{DBA5926D-862B-4CC7-9289-33539CBDE0D6}"/>
    <cellStyle name="Comma 6 3 5 3 3" xfId="4976" xr:uid="{21E8E3F5-7419-461A-A868-A2464F839565}"/>
    <cellStyle name="Comma 6 3 5 3 3 2" xfId="12836" xr:uid="{BE5E2DB3-414E-44DC-B676-25DE88819BBF}"/>
    <cellStyle name="Comma 6 3 5 3 4" xfId="8917" xr:uid="{439B9AC0-53E6-4EB6-943B-B3C47A06D48E}"/>
    <cellStyle name="Comma 6 3 5 4" xfId="1482" xr:uid="{00000000-0005-0000-0000-0000F1020000}"/>
    <cellStyle name="Comma 6 3 5 4 2" xfId="3436" xr:uid="{00000000-0005-0000-0000-0000F2020000}"/>
    <cellStyle name="Comma 6 3 5 4 2 2" xfId="7357" xr:uid="{3BCC2665-C4EC-462C-94F8-A52197C6A25F}"/>
    <cellStyle name="Comma 6 3 5 4 2 2 2" xfId="15217" xr:uid="{096AFA1B-C0B9-4C7C-B7BD-02E2B0932CDC}"/>
    <cellStyle name="Comma 6 3 5 4 2 3" xfId="11297" xr:uid="{3F29262C-5F9B-4A7E-B24B-BBBBC11A68E0}"/>
    <cellStyle name="Comma 6 3 5 4 3" xfId="5403" xr:uid="{1E83CE30-1763-42CF-B342-13A940C2F94A}"/>
    <cellStyle name="Comma 6 3 5 4 3 2" xfId="13263" xr:uid="{B6A6FAFE-5F84-4581-AAD7-DCDB430A0EC1}"/>
    <cellStyle name="Comma 6 3 5 4 4" xfId="9344" xr:uid="{D6F1D7EF-C3AE-4722-8D7E-9000EFDDFB3F}"/>
    <cellStyle name="Comma 6 3 5 5" xfId="2135" xr:uid="{00000000-0005-0000-0000-0000F3020000}"/>
    <cellStyle name="Comma 6 3 5 5 2" xfId="6056" xr:uid="{A67D5534-B932-46FD-9218-A71EE5C2F6ED}"/>
    <cellStyle name="Comma 6 3 5 5 2 2" xfId="13916" xr:uid="{AC09E61D-C3EC-4D21-8F63-75B79336BAF9}"/>
    <cellStyle name="Comma 6 3 5 5 3" xfId="9996" xr:uid="{92B520BD-36B2-4FA8-9210-C19ADFCF8E5F}"/>
    <cellStyle name="Comma 6 3 5 6" xfId="4102" xr:uid="{148B7407-CCEC-44DE-B14C-33EA62ABCB95}"/>
    <cellStyle name="Comma 6 3 5 6 2" xfId="11962" xr:uid="{9C275F1E-D7B5-44EC-993D-F92FD721E8C3}"/>
    <cellStyle name="Comma 6 3 5 7" xfId="8040" xr:uid="{801BFF1F-804A-4019-8722-3CCA4D53AD9B}"/>
    <cellStyle name="Comma 6 3 6" xfId="88" xr:uid="{00000000-0005-0000-0000-0000F4020000}"/>
    <cellStyle name="Comma 6 3 6 2" xfId="540" xr:uid="{00000000-0005-0000-0000-0000F5020000}"/>
    <cellStyle name="Comma 6 3 6 2 2" xfId="2494" xr:uid="{00000000-0005-0000-0000-0000F6020000}"/>
    <cellStyle name="Comma 6 3 6 2 2 2" xfId="6415" xr:uid="{F67BC74A-D024-4AAB-90C0-A9D04A4E6D02}"/>
    <cellStyle name="Comma 6 3 6 2 2 2 2" xfId="14275" xr:uid="{680A644D-790A-489D-ADC0-B82D92430A71}"/>
    <cellStyle name="Comma 6 3 6 2 2 3" xfId="10355" xr:uid="{19091B10-DACA-4F15-AD8C-F879B0DEB627}"/>
    <cellStyle name="Comma 6 3 6 2 3" xfId="4461" xr:uid="{09335657-A540-4526-842D-74A392AA41A9}"/>
    <cellStyle name="Comma 6 3 6 2 3 2" xfId="12321" xr:uid="{E344ECB7-E5C6-41EE-827E-38D5EEF76A57}"/>
    <cellStyle name="Comma 6 3 6 2 4" xfId="8402" xr:uid="{227A990E-6692-4F53-B582-A00F557B195D}"/>
    <cellStyle name="Comma 6 3 6 3" xfId="977" xr:uid="{00000000-0005-0000-0000-0000F7020000}"/>
    <cellStyle name="Comma 6 3 6 3 2" xfId="2931" xr:uid="{00000000-0005-0000-0000-0000F8020000}"/>
    <cellStyle name="Comma 6 3 6 3 2 2" xfId="6852" xr:uid="{E16AFE31-E77B-43DE-A370-C566FD614CAE}"/>
    <cellStyle name="Comma 6 3 6 3 2 2 2" xfId="14712" xr:uid="{BEF8CEC6-F383-42F0-BA3C-AFBE51AC5FD5}"/>
    <cellStyle name="Comma 6 3 6 3 2 3" xfId="10792" xr:uid="{0B2E4653-0943-48BB-B6BC-4744C50B6E95}"/>
    <cellStyle name="Comma 6 3 6 3 3" xfId="4898" xr:uid="{E9584631-944C-4CCD-8378-E71AC55362BB}"/>
    <cellStyle name="Comma 6 3 6 3 3 2" xfId="12758" xr:uid="{FF200F80-BE1A-4495-9997-1355F5E69094}"/>
    <cellStyle name="Comma 6 3 6 3 4" xfId="8839" xr:uid="{AC1483F5-868E-4BBF-96F5-94E7C7DFC470}"/>
    <cellStyle name="Comma 6 3 6 4" xfId="1404" xr:uid="{00000000-0005-0000-0000-0000F9020000}"/>
    <cellStyle name="Comma 6 3 6 4 2" xfId="3358" xr:uid="{00000000-0005-0000-0000-0000FA020000}"/>
    <cellStyle name="Comma 6 3 6 4 2 2" xfId="7279" xr:uid="{469F5E36-5B01-44E8-A89A-608FAE2F3395}"/>
    <cellStyle name="Comma 6 3 6 4 2 2 2" xfId="15139" xr:uid="{AFD56876-AA0A-4FA0-BC44-E85297207B3E}"/>
    <cellStyle name="Comma 6 3 6 4 2 3" xfId="11219" xr:uid="{CB9F7475-DD6E-4B94-A212-848637807747}"/>
    <cellStyle name="Comma 6 3 6 4 3" xfId="5325" xr:uid="{94FE2CAC-4D4C-4B55-B1EF-DF875E4DE186}"/>
    <cellStyle name="Comma 6 3 6 4 3 2" xfId="13185" xr:uid="{10203ED1-EF0A-458A-94D1-990658C37979}"/>
    <cellStyle name="Comma 6 3 6 4 4" xfId="9266" xr:uid="{D0D43CFE-0D1C-4B7D-B92A-07B412C69416}"/>
    <cellStyle name="Comma 6 3 6 5" xfId="2057" xr:uid="{00000000-0005-0000-0000-0000FB020000}"/>
    <cellStyle name="Comma 6 3 6 5 2" xfId="5978" xr:uid="{4368B695-F115-4BD2-83D2-E77EC2BDEDFB}"/>
    <cellStyle name="Comma 6 3 6 5 2 2" xfId="13838" xr:uid="{A025B724-C952-4D82-AC9E-ACF06F68530D}"/>
    <cellStyle name="Comma 6 3 6 5 3" xfId="9918" xr:uid="{82791FE9-9D5F-4A24-8FC9-C9341F7CB9E7}"/>
    <cellStyle name="Comma 6 3 6 6" xfId="4024" xr:uid="{A8CBBAF8-3901-47CD-8406-D801F05D8C08}"/>
    <cellStyle name="Comma 6 3 6 6 2" xfId="11884" xr:uid="{E3D341D5-0E73-41F9-851E-3367C202F243}"/>
    <cellStyle name="Comma 6 3 6 7" xfId="7962" xr:uid="{7DFFB06D-4CBA-4D06-8A65-54BB9B3B5C61}"/>
    <cellStyle name="Comma 6 3 7" xfId="264" xr:uid="{00000000-0005-0000-0000-0000FC020000}"/>
    <cellStyle name="Comma 6 3 7 2" xfId="716" xr:uid="{00000000-0005-0000-0000-0000FD020000}"/>
    <cellStyle name="Comma 6 3 7 2 2" xfId="2670" xr:uid="{00000000-0005-0000-0000-0000FE020000}"/>
    <cellStyle name="Comma 6 3 7 2 2 2" xfId="6591" xr:uid="{4DE28600-C9E9-4D33-B2DF-DE96284BFE3A}"/>
    <cellStyle name="Comma 6 3 7 2 2 2 2" xfId="14451" xr:uid="{512F481C-2850-40F5-813C-1A2A9CC6BE14}"/>
    <cellStyle name="Comma 6 3 7 2 2 3" xfId="10531" xr:uid="{EE1E47F2-55BB-4E8B-A227-C2475360AB58}"/>
    <cellStyle name="Comma 6 3 7 2 3" xfId="4637" xr:uid="{6A96A394-ACC4-48E8-8E0E-E8055C1E6495}"/>
    <cellStyle name="Comma 6 3 7 2 3 2" xfId="12497" xr:uid="{ECA2A788-AF08-4821-9AA8-A27BA39ECCED}"/>
    <cellStyle name="Comma 6 3 7 2 4" xfId="8578" xr:uid="{990349BE-64BF-4188-8B91-0506F3F3BD8A}"/>
    <cellStyle name="Comma 6 3 7 3" xfId="1152" xr:uid="{00000000-0005-0000-0000-0000FF020000}"/>
    <cellStyle name="Comma 6 3 7 3 2" xfId="3106" xr:uid="{00000000-0005-0000-0000-000000030000}"/>
    <cellStyle name="Comma 6 3 7 3 2 2" xfId="7027" xr:uid="{06488B56-64C1-442A-8E6B-ACE2C77ECBC8}"/>
    <cellStyle name="Comma 6 3 7 3 2 2 2" xfId="14887" xr:uid="{2B9288B1-2127-429E-BC93-11208C34ED4B}"/>
    <cellStyle name="Comma 6 3 7 3 2 3" xfId="10967" xr:uid="{640B2BCD-8F8D-439E-92B4-66D1746452B7}"/>
    <cellStyle name="Comma 6 3 7 3 3" xfId="5073" xr:uid="{F388D690-028C-425E-9DD5-C05FFF4FD53E}"/>
    <cellStyle name="Comma 6 3 7 3 3 2" xfId="12933" xr:uid="{FDD1AE6B-2D70-4CD0-99B5-3AF323C29D78}"/>
    <cellStyle name="Comma 6 3 7 3 4" xfId="9014" xr:uid="{9A08C88E-6A88-44A3-83ED-7DB5B3D88BFA}"/>
    <cellStyle name="Comma 6 3 7 4" xfId="1573" xr:uid="{00000000-0005-0000-0000-000001030000}"/>
    <cellStyle name="Comma 6 3 7 4 2" xfId="3527" xr:uid="{00000000-0005-0000-0000-000002030000}"/>
    <cellStyle name="Comma 6 3 7 4 2 2" xfId="7448" xr:uid="{A9EB966C-61B6-42E8-8DE6-B01B1AADA685}"/>
    <cellStyle name="Comma 6 3 7 4 2 2 2" xfId="15308" xr:uid="{095D38DD-5EA2-48B2-8867-56A8FAB3D7A7}"/>
    <cellStyle name="Comma 6 3 7 4 2 3" xfId="11388" xr:uid="{655BAA71-B5C4-4AC4-ADCA-7CCEBD48EBD4}"/>
    <cellStyle name="Comma 6 3 7 4 3" xfId="5494" xr:uid="{6F3FDA07-5FA6-4E0B-A167-B8BAC88A9131}"/>
    <cellStyle name="Comma 6 3 7 4 3 2" xfId="13354" xr:uid="{B301D3BC-BC7B-45C0-8445-61C8CC4CF4C9}"/>
    <cellStyle name="Comma 6 3 7 4 4" xfId="9435" xr:uid="{27F9C444-DD9B-46F3-B731-8454239E31E1}"/>
    <cellStyle name="Comma 6 3 7 5" xfId="2227" xr:uid="{00000000-0005-0000-0000-000003030000}"/>
    <cellStyle name="Comma 6 3 7 5 2" xfId="6148" xr:uid="{924A8367-F19D-4343-8B46-B85BE0D4FD67}"/>
    <cellStyle name="Comma 6 3 7 5 2 2" xfId="14008" xr:uid="{F276ABCB-6489-4A28-A589-ED7E9FF9D04F}"/>
    <cellStyle name="Comma 6 3 7 5 3" xfId="10088" xr:uid="{6EEA99C7-E2DF-4487-B8E9-91658AC5C7ED}"/>
    <cellStyle name="Comma 6 3 7 6" xfId="4194" xr:uid="{8533D0B0-F4D0-447B-88A6-CA57CA0D3980}"/>
    <cellStyle name="Comma 6 3 7 6 2" xfId="12054" xr:uid="{18FD59DF-806C-4E0D-A7FE-A62330F996D3}"/>
    <cellStyle name="Comma 6 3 7 7" xfId="8133" xr:uid="{8413B755-E08F-4DC0-90A4-6304F53317E3}"/>
    <cellStyle name="Comma 6 3 8" xfId="364" xr:uid="{00000000-0005-0000-0000-000004030000}"/>
    <cellStyle name="Comma 6 3 8 2" xfId="815" xr:uid="{00000000-0005-0000-0000-000005030000}"/>
    <cellStyle name="Comma 6 3 8 2 2" xfId="2769" xr:uid="{00000000-0005-0000-0000-000006030000}"/>
    <cellStyle name="Comma 6 3 8 2 2 2" xfId="6690" xr:uid="{60F0219D-10AD-410B-B3FF-13A554CEEBA4}"/>
    <cellStyle name="Comma 6 3 8 2 2 2 2" xfId="14550" xr:uid="{B957A908-7E9A-4476-83FA-3E69DFD524CD}"/>
    <cellStyle name="Comma 6 3 8 2 2 3" xfId="10630" xr:uid="{5BF98107-93B8-4008-A53D-AAD78212E571}"/>
    <cellStyle name="Comma 6 3 8 2 3" xfId="4736" xr:uid="{D5364A7B-54E4-4CE4-AFBB-C3185C5C469F}"/>
    <cellStyle name="Comma 6 3 8 2 3 2" xfId="12596" xr:uid="{B5DE4E51-D942-46D7-AE59-99C4A68F5332}"/>
    <cellStyle name="Comma 6 3 8 2 4" xfId="8677" xr:uid="{E65C9A4D-BA84-45A6-AA28-B4DC63CF3A06}"/>
    <cellStyle name="Comma 6 3 8 3" xfId="1247" xr:uid="{00000000-0005-0000-0000-000007030000}"/>
    <cellStyle name="Comma 6 3 8 3 2" xfId="3201" xr:uid="{00000000-0005-0000-0000-000008030000}"/>
    <cellStyle name="Comma 6 3 8 3 2 2" xfId="7122" xr:uid="{50CE6E9F-519F-45FC-872B-73494DFE6684}"/>
    <cellStyle name="Comma 6 3 8 3 2 2 2" xfId="14982" xr:uid="{64D364F0-6C25-48E7-A830-325C8128A434}"/>
    <cellStyle name="Comma 6 3 8 3 2 3" xfId="11062" xr:uid="{7E783D44-2D31-4EDB-B0BE-2BFB68C0F6B9}"/>
    <cellStyle name="Comma 6 3 8 3 3" xfId="5168" xr:uid="{E2555078-474A-4A1B-8521-1C3BD5DB3BD4}"/>
    <cellStyle name="Comma 6 3 8 3 3 2" xfId="13028" xr:uid="{752D5FEC-D66A-4922-BA63-39A78F89FE85}"/>
    <cellStyle name="Comma 6 3 8 3 4" xfId="9109" xr:uid="{70EDF0B5-5FDA-48E9-85B3-6E8AA4301B9D}"/>
    <cellStyle name="Comma 6 3 8 4" xfId="1665" xr:uid="{00000000-0005-0000-0000-000009030000}"/>
    <cellStyle name="Comma 6 3 8 4 2" xfId="3619" xr:uid="{00000000-0005-0000-0000-00000A030000}"/>
    <cellStyle name="Comma 6 3 8 4 2 2" xfId="7540" xr:uid="{F03F1FD1-DB32-412B-8D18-EDA10D640315}"/>
    <cellStyle name="Comma 6 3 8 4 2 2 2" xfId="15400" xr:uid="{8CB4095E-C994-463C-95A2-CCE49C3E4A70}"/>
    <cellStyle name="Comma 6 3 8 4 2 3" xfId="11480" xr:uid="{4017FA35-E706-4F34-A265-F4E862D2BB08}"/>
    <cellStyle name="Comma 6 3 8 4 3" xfId="5586" xr:uid="{6950B4CE-4349-4FC4-9173-B041CEE7AD15}"/>
    <cellStyle name="Comma 6 3 8 4 3 2" xfId="13446" xr:uid="{810FA6F3-486A-451D-A111-FC06DA2D6512}"/>
    <cellStyle name="Comma 6 3 8 4 4" xfId="9527" xr:uid="{B4D65E73-D566-4992-B0A6-F65C36E74CAE}"/>
    <cellStyle name="Comma 6 3 8 5" xfId="2319" xr:uid="{00000000-0005-0000-0000-00000B030000}"/>
    <cellStyle name="Comma 6 3 8 5 2" xfId="6240" xr:uid="{7DD43492-DE58-4E4C-AB59-638D1FEFA4AC}"/>
    <cellStyle name="Comma 6 3 8 5 2 2" xfId="14100" xr:uid="{E0F6E6E7-ED0D-46CF-A5F6-8B73DAEC25C4}"/>
    <cellStyle name="Comma 6 3 8 5 3" xfId="10180" xr:uid="{FAA35894-F6E3-459D-AE1C-5206E916C19D}"/>
    <cellStyle name="Comma 6 3 8 6" xfId="4286" xr:uid="{FC315B38-EF9D-4556-850B-F5300312EC86}"/>
    <cellStyle name="Comma 6 3 8 6 2" xfId="12146" xr:uid="{98ACEE69-946C-4A07-8A72-32C579FF9028}"/>
    <cellStyle name="Comma 6 3 8 7" xfId="8227" xr:uid="{898C5478-31DE-4160-9FBC-8D5CAB42066C}"/>
    <cellStyle name="Comma 6 3 9" xfId="459" xr:uid="{00000000-0005-0000-0000-00000C030000}"/>
    <cellStyle name="Comma 6 3 9 2" xfId="2413" xr:uid="{00000000-0005-0000-0000-00000D030000}"/>
    <cellStyle name="Comma 6 3 9 2 2" xfId="6334" xr:uid="{6B1D2FB4-0876-43E9-87D1-C10725691BEB}"/>
    <cellStyle name="Comma 6 3 9 2 2 2" xfId="14194" xr:uid="{632B689B-1F3C-4D50-ABD0-3063892DF6FF}"/>
    <cellStyle name="Comma 6 3 9 2 3" xfId="10274" xr:uid="{4B1E5959-1CEC-4780-9AB1-B3DF3D0067B0}"/>
    <cellStyle name="Comma 6 3 9 3" xfId="4380" xr:uid="{D28E3168-0688-48B9-8164-B261CC133865}"/>
    <cellStyle name="Comma 6 3 9 3 2" xfId="12240" xr:uid="{E606DDCB-41B6-47D4-A09B-050D39900560}"/>
    <cellStyle name="Comma 6 3 9 4" xfId="8321" xr:uid="{E6D114D6-B34A-4D38-B9C4-02841E257F51}"/>
    <cellStyle name="Comma 6 4" xfId="1797" xr:uid="{00000000-0005-0000-0000-00000E030000}"/>
    <cellStyle name="Comma 6 4 2" xfId="1834" xr:uid="{00000000-0005-0000-0000-00000F030000}"/>
    <cellStyle name="Comma 6 4 2 2" xfId="3787" xr:uid="{00000000-0005-0000-0000-000010030000}"/>
    <cellStyle name="Comma 6 4 2 2 2" xfId="7708" xr:uid="{4691E878-EC18-48FB-9614-E0E558216038}"/>
    <cellStyle name="Comma 6 4 2 2 2 2" xfId="15568" xr:uid="{D68DC8FC-08E4-4015-9D43-4DD647A73935}"/>
    <cellStyle name="Comma 6 4 2 2 3" xfId="11648" xr:uid="{181BC19B-126E-4FA8-BDF4-A68B06B033C9}"/>
    <cellStyle name="Comma 6 4 2 3" xfId="5755" xr:uid="{985E4BAD-5198-4C45-8E0F-AE4397E70BF5}"/>
    <cellStyle name="Comma 6 4 2 3 2" xfId="13615" xr:uid="{599A8696-ECDC-46B5-94D1-2504F931D95E}"/>
    <cellStyle name="Comma 6 4 2 4" xfId="9696" xr:uid="{F8EB4E38-1963-4C8A-A604-0F668E7F74E7}"/>
    <cellStyle name="Comma 6 4 3" xfId="1868" xr:uid="{00000000-0005-0000-0000-000011030000}"/>
    <cellStyle name="Comma 6 4 3 2" xfId="3821" xr:uid="{00000000-0005-0000-0000-000012030000}"/>
    <cellStyle name="Comma 6 4 3 2 2" xfId="7742" xr:uid="{D5B3EF57-A795-4121-9AD8-D93591B63E78}"/>
    <cellStyle name="Comma 6 4 3 2 2 2" xfId="15602" xr:uid="{CF1C4705-CB08-435E-9C86-2173E4DC7AA0}"/>
    <cellStyle name="Comma 6 4 3 2 3" xfId="11682" xr:uid="{93286A3D-F257-42B5-840A-BF4D32C70BC5}"/>
    <cellStyle name="Comma 6 4 3 3" xfId="5789" xr:uid="{778872FB-1082-474F-A305-87C64C556B2D}"/>
    <cellStyle name="Comma 6 4 3 3 2" xfId="13649" xr:uid="{930CB161-75E7-4EDA-83EF-09AC80988978}"/>
    <cellStyle name="Comma 6 4 3 4" xfId="9730" xr:uid="{B7DBA054-F24C-472B-B289-CF9808BA9514}"/>
    <cellStyle name="Comma 6 4 4" xfId="1901" xr:uid="{00000000-0005-0000-0000-000013030000}"/>
    <cellStyle name="Comma 6 4 4 2" xfId="3854" xr:uid="{00000000-0005-0000-0000-000014030000}"/>
    <cellStyle name="Comma 6 4 4 2 2" xfId="7775" xr:uid="{3EAF2ACA-EAF8-487C-AED9-441F384D3004}"/>
    <cellStyle name="Comma 6 4 4 2 2 2" xfId="15635" xr:uid="{07468D4A-7A17-474C-A31A-EBFD04C9BDCF}"/>
    <cellStyle name="Comma 6 4 4 2 3" xfId="11715" xr:uid="{1B22567C-4DA3-472B-9E65-33173C1544A1}"/>
    <cellStyle name="Comma 6 4 4 3" xfId="5822" xr:uid="{06469321-4D31-448D-9A26-D94A2B2F51AB}"/>
    <cellStyle name="Comma 6 4 4 3 2" xfId="13682" xr:uid="{B98E2CDA-5230-4499-A34D-78DDE7CD4D48}"/>
    <cellStyle name="Comma 6 4 4 4" xfId="9763" xr:uid="{13CEFD43-949C-496B-B62A-5672818DF05A}"/>
    <cellStyle name="Comma 6 4 5" xfId="3750" xr:uid="{00000000-0005-0000-0000-000015030000}"/>
    <cellStyle name="Comma 6 4 5 2" xfId="7671" xr:uid="{365188C6-390A-4DCA-A6CB-792127D3DA4D}"/>
    <cellStyle name="Comma 6 4 5 2 2" xfId="15531" xr:uid="{3B529647-2290-4F79-A277-92D30B0B5CDE}"/>
    <cellStyle name="Comma 6 4 5 3" xfId="11611" xr:uid="{3CBBBC0F-42EC-49B7-B626-1175313A6ACD}"/>
    <cellStyle name="Comma 6 4 6" xfId="5718" xr:uid="{54A3682B-5A71-47C7-8114-62ACA71E1E57}"/>
    <cellStyle name="Comma 6 4 6 2" xfId="13578" xr:uid="{E984E791-F8AA-403E-9142-A0A4F211529E}"/>
    <cellStyle name="Comma 6 4 7" xfId="9659" xr:uid="{96B73F55-7D6C-413C-80F9-C64038C9C644}"/>
    <cellStyle name="Comma 6 5" xfId="710" xr:uid="{00000000-0005-0000-0000-000016030000}"/>
    <cellStyle name="Comma 6 5 2" xfId="2664" xr:uid="{00000000-0005-0000-0000-000017030000}"/>
    <cellStyle name="Comma 6 5 2 2" xfId="6585" xr:uid="{ABBA60A8-E9D9-4E63-B565-56BB9CBB81B0}"/>
    <cellStyle name="Comma 6 5 2 2 2" xfId="14445" xr:uid="{B158A67F-B953-481C-BB9F-BD80F847457F}"/>
    <cellStyle name="Comma 6 5 2 3" xfId="10525" xr:uid="{3E5F18D3-77A3-41AA-BEF7-B3F7155A2699}"/>
    <cellStyle name="Comma 6 5 3" xfId="4631" xr:uid="{E31726E0-A4ED-4C56-A626-C7E0706A45D1}"/>
    <cellStyle name="Comma 6 5 3 2" xfId="12491" xr:uid="{6BA61F96-B44F-4DDA-A297-9C3F9B35A579}"/>
    <cellStyle name="Comma 6 5 4" xfId="8572" xr:uid="{0A8677AE-57BD-4754-9653-762884F51337}"/>
    <cellStyle name="Comma 6 6" xfId="1147" xr:uid="{00000000-0005-0000-0000-000018030000}"/>
    <cellStyle name="Comma 6 6 2" xfId="3101" xr:uid="{00000000-0005-0000-0000-000019030000}"/>
    <cellStyle name="Comma 6 6 2 2" xfId="7022" xr:uid="{386EEBDD-DA2C-4EBA-B775-2B4DD17245F4}"/>
    <cellStyle name="Comma 6 6 2 2 2" xfId="14882" xr:uid="{AC22FCC3-0862-4AAE-A703-012C9E2B4BE9}"/>
    <cellStyle name="Comma 6 6 2 3" xfId="10962" xr:uid="{D23AFB0F-822D-4C17-8081-ADEBE1D16641}"/>
    <cellStyle name="Comma 6 6 3" xfId="5068" xr:uid="{EA4B6987-357A-4603-B975-8DACADC5A145}"/>
    <cellStyle name="Comma 6 6 3 2" xfId="12928" xr:uid="{6A3AEB90-7181-4BA0-80F3-784583A7824A}"/>
    <cellStyle name="Comma 6 6 4" xfId="9009" xr:uid="{13F88F5A-7E25-43A9-95DE-6F3C03ED078E}"/>
    <cellStyle name="Comma 6 7" xfId="1568" xr:uid="{00000000-0005-0000-0000-00001A030000}"/>
    <cellStyle name="Comma 6 7 2" xfId="3522" xr:uid="{00000000-0005-0000-0000-00001B030000}"/>
    <cellStyle name="Comma 6 7 2 2" xfId="7443" xr:uid="{8A6EB995-CEF7-4187-80E1-5E920721F9F6}"/>
    <cellStyle name="Comma 6 7 2 2 2" xfId="15303" xr:uid="{C74BD905-FD8C-482A-AAE3-2480C83B3CF1}"/>
    <cellStyle name="Comma 6 7 2 3" xfId="11383" xr:uid="{42AAE09A-AE32-46A1-8BC4-77F7EC89665C}"/>
    <cellStyle name="Comma 6 7 3" xfId="5489" xr:uid="{F91B2CE6-A380-4B58-A5B7-158182DE1367}"/>
    <cellStyle name="Comma 6 7 3 2" xfId="13349" xr:uid="{1EBE9C5D-283D-4C52-BC4F-2ABBC81FC9C3}"/>
    <cellStyle name="Comma 6 7 4" xfId="9430" xr:uid="{46B04AC9-6489-415E-B75A-A61633AC999B}"/>
    <cellStyle name="Comma 6 8" xfId="2221" xr:uid="{00000000-0005-0000-0000-00001C030000}"/>
    <cellStyle name="Comma 6 8 2" xfId="6142" xr:uid="{B2A3FEE6-4A3F-41DF-8DAB-1D3C96564549}"/>
    <cellStyle name="Comma 6 8 2 2" xfId="14002" xr:uid="{243F69DD-8841-427D-AF36-FBECB153CDBF}"/>
    <cellStyle name="Comma 6 8 3" xfId="10082" xr:uid="{81CD5182-F929-4EDA-BE9A-2D5FDD3FBBBB}"/>
    <cellStyle name="Comma 6 9" xfId="4188" xr:uid="{9B6958D4-FC76-4A16-A5EC-988B51F1991B}"/>
    <cellStyle name="Comma 6 9 2" xfId="12048" xr:uid="{521A15E6-A25F-4474-9328-2058B451ED24}"/>
    <cellStyle name="Comma 7" xfId="308" xr:uid="{00000000-0005-0000-0000-00001D030000}"/>
    <cellStyle name="Comma 7 2" xfId="407" xr:uid="{00000000-0005-0000-0000-00001E030000}"/>
    <cellStyle name="Comma 7 2 2" xfId="858" xr:uid="{00000000-0005-0000-0000-00001F030000}"/>
    <cellStyle name="Comma 7 2 2 2" xfId="2812" xr:uid="{00000000-0005-0000-0000-000020030000}"/>
    <cellStyle name="Comma 7 2 2 2 2" xfId="6733" xr:uid="{5B334029-E24E-4979-9851-AF62C8928E68}"/>
    <cellStyle name="Comma 7 2 2 2 2 2" xfId="14593" xr:uid="{80A8EF00-255F-427A-BD4D-F169FC1E04D2}"/>
    <cellStyle name="Comma 7 2 2 2 3" xfId="10673" xr:uid="{3B557060-152A-4835-BCDE-0B47A6DD4110}"/>
    <cellStyle name="Comma 7 2 2 3" xfId="4779" xr:uid="{2D631690-3789-4E06-9C65-B854DBB72710}"/>
    <cellStyle name="Comma 7 2 2 3 2" xfId="12639" xr:uid="{206F5E1B-3B58-4F84-8BE9-648B9054B615}"/>
    <cellStyle name="Comma 7 2 2 4" xfId="8720" xr:uid="{5ECF57CC-BC30-48C2-8515-E9ACA52F1E26}"/>
    <cellStyle name="Comma 7 2 3" xfId="1290" xr:uid="{00000000-0005-0000-0000-000021030000}"/>
    <cellStyle name="Comma 7 2 3 2" xfId="3244" xr:uid="{00000000-0005-0000-0000-000022030000}"/>
    <cellStyle name="Comma 7 2 3 2 2" xfId="7165" xr:uid="{05BAD3BC-DAE3-4D3E-A650-FD487A2FDD9D}"/>
    <cellStyle name="Comma 7 2 3 2 2 2" xfId="15025" xr:uid="{EC740CF6-1EB5-47CD-A140-47E0F0AAF7F5}"/>
    <cellStyle name="Comma 7 2 3 2 3" xfId="11105" xr:uid="{4A08B603-549A-4C80-8310-A88C22635091}"/>
    <cellStyle name="Comma 7 2 3 3" xfId="5211" xr:uid="{D0891157-45BF-4A6A-BB3C-41137F96FBA7}"/>
    <cellStyle name="Comma 7 2 3 3 2" xfId="13071" xr:uid="{1DAF3EDA-709F-494C-92F5-304163E6C8FD}"/>
    <cellStyle name="Comma 7 2 3 4" xfId="9152" xr:uid="{0C037D78-CD02-43C2-8094-3F0C64CDECC8}"/>
    <cellStyle name="Comma 7 2 4" xfId="1708" xr:uid="{00000000-0005-0000-0000-000023030000}"/>
    <cellStyle name="Comma 7 2 4 2" xfId="3662" xr:uid="{00000000-0005-0000-0000-000024030000}"/>
    <cellStyle name="Comma 7 2 4 2 2" xfId="7583" xr:uid="{4C21F0A7-D78D-4AE6-A23E-69C8E0E70135}"/>
    <cellStyle name="Comma 7 2 4 2 2 2" xfId="15443" xr:uid="{2CA5B401-668D-49B7-BFC0-63F9C4CE15C4}"/>
    <cellStyle name="Comma 7 2 4 2 3" xfId="11523" xr:uid="{9806C7E0-F678-4CBF-A853-47F5FCC02FE2}"/>
    <cellStyle name="Comma 7 2 4 3" xfId="5629" xr:uid="{A848E1B5-806E-4312-9624-FDFC4C41C717}"/>
    <cellStyle name="Comma 7 2 4 3 2" xfId="13489" xr:uid="{98E591F4-63D9-4A13-9C8A-F2B484C5D1E0}"/>
    <cellStyle name="Comma 7 2 4 4" xfId="9570" xr:uid="{DF511625-4ABA-4FE8-8B10-7509280958CF}"/>
    <cellStyle name="Comma 7 2 5" xfId="2362" xr:uid="{00000000-0005-0000-0000-000025030000}"/>
    <cellStyle name="Comma 7 2 5 2" xfId="6283" xr:uid="{0B1592D6-2218-4E1A-8941-7BCE24988BD1}"/>
    <cellStyle name="Comma 7 2 5 2 2" xfId="14143" xr:uid="{33B11FDB-FF8D-4239-9FA1-199338F54F37}"/>
    <cellStyle name="Comma 7 2 5 3" xfId="10223" xr:uid="{107C353C-4954-443B-ADF1-9A79C37E174F}"/>
    <cellStyle name="Comma 7 2 6" xfId="4329" xr:uid="{63699E54-36DF-4A43-AE8E-B841BBC29156}"/>
    <cellStyle name="Comma 7 2 6 2" xfId="12189" xr:uid="{5BD819C4-1E74-4311-A914-28266AB26E72}"/>
    <cellStyle name="Comma 7 2 7" xfId="8270" xr:uid="{854E44E4-8535-4B3F-BDE8-4A571E2BA935}"/>
    <cellStyle name="Comma 7 3" xfId="760" xr:uid="{00000000-0005-0000-0000-000026030000}"/>
    <cellStyle name="Comma 7 3 2" xfId="2714" xr:uid="{00000000-0005-0000-0000-000027030000}"/>
    <cellStyle name="Comma 7 3 2 2" xfId="6635" xr:uid="{1F635880-6238-41CC-9254-2CBD8BA6AD9E}"/>
    <cellStyle name="Comma 7 3 2 2 2" xfId="14495" xr:uid="{94ABAEFD-A827-4F21-BA8D-49051CCB21FE}"/>
    <cellStyle name="Comma 7 3 2 3" xfId="10575" xr:uid="{6A606919-38FA-4163-AA65-940B7E974278}"/>
    <cellStyle name="Comma 7 3 3" xfId="4681" xr:uid="{A3773432-092E-488F-8120-CACA0E800AE6}"/>
    <cellStyle name="Comma 7 3 3 2" xfId="12541" xr:uid="{B284434E-98E6-4FFD-8B0B-3D4E1ABE54C0}"/>
    <cellStyle name="Comma 7 3 4" xfId="8622" xr:uid="{0DA87FEA-0282-4757-93D0-C47B75D15D63}"/>
    <cellStyle name="Comma 7 4" xfId="1196" xr:uid="{00000000-0005-0000-0000-000028030000}"/>
    <cellStyle name="Comma 7 4 2" xfId="3150" xr:uid="{00000000-0005-0000-0000-000029030000}"/>
    <cellStyle name="Comma 7 4 2 2" xfId="7071" xr:uid="{02606651-6DDC-4AF4-BA1B-93D77091BBF5}"/>
    <cellStyle name="Comma 7 4 2 2 2" xfId="14931" xr:uid="{83EA7E4E-F98E-46D0-89B3-66114EBBA31E}"/>
    <cellStyle name="Comma 7 4 2 3" xfId="11011" xr:uid="{B73D78D5-278B-43AA-93C4-ACA9051F7F2A}"/>
    <cellStyle name="Comma 7 4 3" xfId="5117" xr:uid="{191370A9-FB53-474B-B085-CBFE4880AE93}"/>
    <cellStyle name="Comma 7 4 3 2" xfId="12977" xr:uid="{07D2D437-A18E-4A06-9ACD-A5472D822BF7}"/>
    <cellStyle name="Comma 7 4 4" xfId="9058" xr:uid="{64ADF883-D99E-42E8-BBE2-8DFA1A798BE1}"/>
    <cellStyle name="Comma 7 5" xfId="1616" xr:uid="{00000000-0005-0000-0000-00002A030000}"/>
    <cellStyle name="Comma 7 5 2" xfId="3570" xr:uid="{00000000-0005-0000-0000-00002B030000}"/>
    <cellStyle name="Comma 7 5 2 2" xfId="7491" xr:uid="{1D095C5F-1331-4315-9097-E2E6360DE905}"/>
    <cellStyle name="Comma 7 5 2 2 2" xfId="15351" xr:uid="{321CBD1E-D7FF-4BEF-A4E1-9681CC25341B}"/>
    <cellStyle name="Comma 7 5 2 3" xfId="11431" xr:uid="{C13977D7-3306-49DA-9A9D-DFC462ED9E56}"/>
    <cellStyle name="Comma 7 5 3" xfId="5537" xr:uid="{1767A33F-B30B-48A5-8398-DC0D64DE75E7}"/>
    <cellStyle name="Comma 7 5 3 2" xfId="13397" xr:uid="{9A8BA2F5-32E1-4432-A870-033EBCE528CE}"/>
    <cellStyle name="Comma 7 5 4" xfId="9478" xr:uid="{E51AE0B7-A5D9-4CEB-AE38-4456F4470EB1}"/>
    <cellStyle name="Comma 7 6" xfId="2270" xr:uid="{00000000-0005-0000-0000-00002C030000}"/>
    <cellStyle name="Comma 7 6 2" xfId="6191" xr:uid="{A8204625-2332-4984-A854-88E4FAB9EC66}"/>
    <cellStyle name="Comma 7 6 2 2" xfId="14051" xr:uid="{7CD62121-5B23-485F-B6AF-FBE648E6D33B}"/>
    <cellStyle name="Comma 7 6 3" xfId="10131" xr:uid="{7376B9F0-4529-41F0-AA1A-64D66F7CACD0}"/>
    <cellStyle name="Comma 7 7" xfId="4237" xr:uid="{5940E5A8-8187-408B-B322-479081764A76}"/>
    <cellStyle name="Comma 7 7 2" xfId="12097" xr:uid="{A10AAB26-77E8-48AD-AB32-C36B76B27723}"/>
    <cellStyle name="Comma 7 8" xfId="8176" xr:uid="{E20850F6-12B5-4AA4-9B7C-DB8759BE509B}"/>
    <cellStyle name="Comma 8" xfId="1770" xr:uid="{00000000-0005-0000-0000-00002D030000}"/>
    <cellStyle name="Comma 8 2" xfId="453" xr:uid="{00000000-0005-0000-0000-00002E030000}"/>
    <cellStyle name="Comma 8 2 2" xfId="904" xr:uid="{00000000-0005-0000-0000-00002F030000}"/>
    <cellStyle name="Comma 8 2 2 2" xfId="2858" xr:uid="{00000000-0005-0000-0000-000030030000}"/>
    <cellStyle name="Comma 8 2 2 2 2" xfId="6779" xr:uid="{2BC3C3E2-3B32-4194-A06F-2995B12FBF51}"/>
    <cellStyle name="Comma 8 2 2 2 2 2" xfId="14639" xr:uid="{B570FADB-BB21-4D80-9AE2-63B4FD7EE23F}"/>
    <cellStyle name="Comma 8 2 2 2 3" xfId="10719" xr:uid="{65EFB797-3F86-4956-8501-B2B129E92463}"/>
    <cellStyle name="Comma 8 2 2 3" xfId="4825" xr:uid="{224A5F20-5186-4B9E-A4EE-499A064774DB}"/>
    <cellStyle name="Comma 8 2 2 3 2" xfId="12685" xr:uid="{8A2AEA92-ABFE-43FF-9E55-C5471DDD1750}"/>
    <cellStyle name="Comma 8 2 2 4" xfId="8766" xr:uid="{7959363C-174D-403C-8316-F9CD23400524}"/>
    <cellStyle name="Comma 8 2 3" xfId="1336" xr:uid="{00000000-0005-0000-0000-000031030000}"/>
    <cellStyle name="Comma 8 2 3 2" xfId="3290" xr:uid="{00000000-0005-0000-0000-000032030000}"/>
    <cellStyle name="Comma 8 2 3 2 2" xfId="7211" xr:uid="{809944BE-F252-4DB4-A907-5412219F39F9}"/>
    <cellStyle name="Comma 8 2 3 2 2 2" xfId="15071" xr:uid="{E1EA5DAA-9330-4736-9EEA-3F4C731EA0B6}"/>
    <cellStyle name="Comma 8 2 3 2 3" xfId="11151" xr:uid="{EFE3F810-275E-4CDA-87E8-F7DF63EA9B6B}"/>
    <cellStyle name="Comma 8 2 3 3" xfId="5257" xr:uid="{B4B5483B-3D69-424D-8041-CE4F5C1EDBDC}"/>
    <cellStyle name="Comma 8 2 3 3 2" xfId="13117" xr:uid="{8F62737B-4783-4E53-85E9-4E7961DF93B0}"/>
    <cellStyle name="Comma 8 2 3 4" xfId="9198" xr:uid="{AC55644F-9DC0-4D0E-B0ED-4E8C153304EE}"/>
    <cellStyle name="Comma 8 2 4" xfId="1754" xr:uid="{00000000-0005-0000-0000-000033030000}"/>
    <cellStyle name="Comma 8 2 4 2" xfId="3708" xr:uid="{00000000-0005-0000-0000-000034030000}"/>
    <cellStyle name="Comma 8 2 4 2 2" xfId="7629" xr:uid="{13D99290-93E4-4D44-B455-9524ADB11241}"/>
    <cellStyle name="Comma 8 2 4 2 2 2" xfId="15489" xr:uid="{D6587CE8-6B88-4D8A-B876-B6521247306F}"/>
    <cellStyle name="Comma 8 2 4 2 3" xfId="11569" xr:uid="{4DB79816-9ECC-49FD-BDB0-D20DDEC3D69E}"/>
    <cellStyle name="Comma 8 2 4 3" xfId="5675" xr:uid="{1120BCD0-B76A-430B-A2E9-E538478ED8CE}"/>
    <cellStyle name="Comma 8 2 4 3 2" xfId="13535" xr:uid="{240E1E68-AC5B-43D3-9667-6506C1DD8900}"/>
    <cellStyle name="Comma 8 2 4 4" xfId="9616" xr:uid="{924B2D1D-DF69-4D97-9DD3-9A2991BA5590}"/>
    <cellStyle name="Comma 8 2 5" xfId="2408" xr:uid="{00000000-0005-0000-0000-000035030000}"/>
    <cellStyle name="Comma 8 2 5 2" xfId="6329" xr:uid="{602D1884-1FCF-460D-BEC6-30E22C107F37}"/>
    <cellStyle name="Comma 8 2 5 2 2" xfId="14189" xr:uid="{A2C2E616-85FB-4B00-A14F-220A6AF51151}"/>
    <cellStyle name="Comma 8 2 5 3" xfId="10269" xr:uid="{3BD1FB77-F12C-44C4-A9E8-86D4D89A033D}"/>
    <cellStyle name="Comma 8 2 6" xfId="4375" xr:uid="{81EBC5DB-F12D-4824-B90F-E8D050BAACD3}"/>
    <cellStyle name="Comma 8 2 6 2" xfId="12235" xr:uid="{606F7272-442F-4371-8A68-DCDED8837EB9}"/>
    <cellStyle name="Comma 8 2 7" xfId="8316" xr:uid="{75CC370B-9984-42DD-85F8-EAEFD4544B43}"/>
    <cellStyle name="Comma 8 3" xfId="1807" xr:uid="{00000000-0005-0000-0000-000036030000}"/>
    <cellStyle name="Comma 8 3 2" xfId="3760" xr:uid="{00000000-0005-0000-0000-000037030000}"/>
    <cellStyle name="Comma 8 3 2 2" xfId="7681" xr:uid="{DE679081-9399-4078-8805-5798855C4A4D}"/>
    <cellStyle name="Comma 8 3 2 2 2" xfId="15541" xr:uid="{773F43CB-FFD0-4CBA-A998-7A6856E79110}"/>
    <cellStyle name="Comma 8 3 2 3" xfId="11621" xr:uid="{F71E3598-E24E-4355-99BF-FE2127A66AE4}"/>
    <cellStyle name="Comma 8 3 3" xfId="5728" xr:uid="{D516463E-9B29-43FE-99F8-FA6C93828CB5}"/>
    <cellStyle name="Comma 8 3 3 2" xfId="13588" xr:uid="{6B2B7E83-DC42-4469-9825-502E304A899B}"/>
    <cellStyle name="Comma 8 3 4" xfId="9669" xr:uid="{DF7916CF-7E6D-4346-B6AC-E209B161FF82}"/>
    <cellStyle name="Comma 8 4" xfId="1841" xr:uid="{00000000-0005-0000-0000-000038030000}"/>
    <cellStyle name="Comma 8 4 2" xfId="3794" xr:uid="{00000000-0005-0000-0000-000039030000}"/>
    <cellStyle name="Comma 8 4 2 2" xfId="7715" xr:uid="{1B416761-EC14-4FD1-ACB8-F0CA58B9E280}"/>
    <cellStyle name="Comma 8 4 2 2 2" xfId="15575" xr:uid="{1D55FA6F-069C-4081-BDAC-F0BD1F61AA95}"/>
    <cellStyle name="Comma 8 4 2 3" xfId="11655" xr:uid="{387C2DD6-0CCC-4448-9830-BFF3FC1B1F0C}"/>
    <cellStyle name="Comma 8 4 3" xfId="5762" xr:uid="{198E45DA-79BD-471F-9C5B-776AAFC9267C}"/>
    <cellStyle name="Comma 8 4 3 2" xfId="13622" xr:uid="{BC78A1EA-D557-4C61-96BA-13F3EFF70CDF}"/>
    <cellStyle name="Comma 8 4 4" xfId="9703" xr:uid="{E0F422ED-2356-47C6-93E4-B4616ABFDCEF}"/>
    <cellStyle name="Comma 8 5" xfId="1874" xr:uid="{00000000-0005-0000-0000-00003A030000}"/>
    <cellStyle name="Comma 8 5 2" xfId="3827" xr:uid="{00000000-0005-0000-0000-00003B030000}"/>
    <cellStyle name="Comma 8 5 2 2" xfId="7748" xr:uid="{0883734D-14AD-4F8B-AB8A-59360C82DFC9}"/>
    <cellStyle name="Comma 8 5 2 2 2" xfId="15608" xr:uid="{5547D719-2438-4E9A-BDDD-E3E9748C6D61}"/>
    <cellStyle name="Comma 8 5 2 3" xfId="11688" xr:uid="{D2DC81B4-3CB4-4161-9A57-C58D4307F9D6}"/>
    <cellStyle name="Comma 8 5 3" xfId="5795" xr:uid="{907A75B7-DBCE-4DCA-84F2-ED18D1F3ABE3}"/>
    <cellStyle name="Comma 8 5 3 2" xfId="13655" xr:uid="{EEFF2FC0-73D7-47B7-9F39-D91A1437B217}"/>
    <cellStyle name="Comma 8 5 4" xfId="9736" xr:uid="{3E4AE10B-AE1F-4A33-BA71-89721570BCF2}"/>
    <cellStyle name="Comma 8 6" xfId="3723" xr:uid="{00000000-0005-0000-0000-00003C030000}"/>
    <cellStyle name="Comma 8 6 2" xfId="7644" xr:uid="{5CB28782-9DF4-43DA-A427-4E74F9607B0A}"/>
    <cellStyle name="Comma 8 6 2 2" xfId="15504" xr:uid="{BA899BE9-29AA-46D3-AA35-FDDBED535351}"/>
    <cellStyle name="Comma 8 6 3" xfId="11584" xr:uid="{BED5D518-FD04-4389-B155-F4D9A9DD9843}"/>
    <cellStyle name="Comma 8 7" xfId="5691" xr:uid="{0B9E84EC-1E86-42FE-BF5C-BDCEF7F9CE2A}"/>
    <cellStyle name="Comma 8 7 2" xfId="13551" xr:uid="{6FAFA67F-7618-4964-852F-984F14000C2F}"/>
    <cellStyle name="Comma 8 8" xfId="9632" xr:uid="{4F7F7570-AD56-4012-A4E0-5CED3AC496D5}"/>
    <cellStyle name="Comma 9" xfId="1768" xr:uid="{00000000-0005-0000-0000-00003D030000}"/>
    <cellStyle name="Comma 9 2" xfId="1805" xr:uid="{00000000-0005-0000-0000-00003E030000}"/>
    <cellStyle name="Comma 9 2 2" xfId="3758" xr:uid="{00000000-0005-0000-0000-00003F030000}"/>
    <cellStyle name="Comma 9 2 2 2" xfId="7679" xr:uid="{E714E515-D7E4-4A2D-A0BD-FA8276FA1C16}"/>
    <cellStyle name="Comma 9 2 2 2 2" xfId="15539" xr:uid="{439EFC44-7785-4613-9710-83C994C02A6A}"/>
    <cellStyle name="Comma 9 2 2 3" xfId="11619" xr:uid="{3AAF5FE8-E598-4EB7-8AEC-C0B4AA99384D}"/>
    <cellStyle name="Comma 9 2 3" xfId="5726" xr:uid="{94831610-58F6-45BB-9706-94626F1D68C0}"/>
    <cellStyle name="Comma 9 2 3 2" xfId="13586" xr:uid="{F7691701-FFB9-4769-B5AE-A36D3D55BD97}"/>
    <cellStyle name="Comma 9 2 4" xfId="9667" xr:uid="{D4E870C5-8DBD-4DDA-954B-66CB1B3F20C9}"/>
    <cellStyle name="Comma 9 3" xfId="1839" xr:uid="{00000000-0005-0000-0000-000040030000}"/>
    <cellStyle name="Comma 9 3 2" xfId="3792" xr:uid="{00000000-0005-0000-0000-000041030000}"/>
    <cellStyle name="Comma 9 3 2 2" xfId="7713" xr:uid="{60BB8700-8DED-401F-AFAD-05D236C59AB6}"/>
    <cellStyle name="Comma 9 3 2 2 2" xfId="15573" xr:uid="{EC8A6847-72D5-4AAF-ACAD-4AF42DA10E02}"/>
    <cellStyle name="Comma 9 3 2 3" xfId="11653" xr:uid="{6C47B8DF-474F-48E7-A1A0-8A8B4E9880E1}"/>
    <cellStyle name="Comma 9 3 3" xfId="5760" xr:uid="{344E1229-5603-4443-802B-DE00BAB1A7D6}"/>
    <cellStyle name="Comma 9 3 3 2" xfId="13620" xr:uid="{F231506C-6AEE-40A5-86BB-86FE84646076}"/>
    <cellStyle name="Comma 9 3 4" xfId="9701" xr:uid="{3F2909B3-B6B9-450C-9369-B4CEF0DB7EA8}"/>
    <cellStyle name="Comma 9 4" xfId="1872" xr:uid="{00000000-0005-0000-0000-000042030000}"/>
    <cellStyle name="Comma 9 4 2" xfId="3825" xr:uid="{00000000-0005-0000-0000-000043030000}"/>
    <cellStyle name="Comma 9 4 2 2" xfId="7746" xr:uid="{D3B6A4EA-ADFF-4153-A2DE-860F7B529778}"/>
    <cellStyle name="Comma 9 4 2 2 2" xfId="15606" xr:uid="{63F40F1F-8B15-4A34-BBB8-48496AA3CF60}"/>
    <cellStyle name="Comma 9 4 2 3" xfId="11686" xr:uid="{6DB98708-7737-41CF-820F-DB8D66DD117C}"/>
    <cellStyle name="Comma 9 4 3" xfId="5793" xr:uid="{8FA31081-FB6A-4189-A8B1-07DC92EFFA70}"/>
    <cellStyle name="Comma 9 4 3 2" xfId="13653" xr:uid="{E35BD3B5-EAF5-4BC0-A772-E4B42DC39BA1}"/>
    <cellStyle name="Comma 9 4 4" xfId="9734" xr:uid="{2853C094-0609-416D-B36A-8439C598E69A}"/>
    <cellStyle name="Comma 9 5" xfId="3721" xr:uid="{00000000-0005-0000-0000-000044030000}"/>
    <cellStyle name="Comma 9 5 2" xfId="7642" xr:uid="{C3F7161E-887F-47FB-BACF-680AE861F26D}"/>
    <cellStyle name="Comma 9 5 2 2" xfId="15502" xr:uid="{D812ABCD-E4D2-4DBE-A6BA-494401826270}"/>
    <cellStyle name="Comma 9 5 3" xfId="11582" xr:uid="{AFB09880-7EC9-44A6-B286-77157915652F}"/>
    <cellStyle name="Comma 9 6" xfId="5689" xr:uid="{ABBA08E7-5638-4BA9-8209-19FB6A712D88}"/>
    <cellStyle name="Comma 9 6 2" xfId="13549" xr:uid="{4CD857E4-04F6-49BC-A071-896AECB2F54B}"/>
    <cellStyle name="Comma 9 7" xfId="9630" xr:uid="{BDBF55F6-A434-487F-826B-87288FD780FD}"/>
    <cellStyle name="Currency" xfId="39" xr:uid="{00000000-0005-0000-0000-000045030000}"/>
    <cellStyle name="Currency 10" xfId="7914" xr:uid="{FF3ECF6A-CFB0-4ED1-8604-AA3719C05C82}"/>
    <cellStyle name="Currency 2" xfId="1776" xr:uid="{00000000-0005-0000-0000-000046030000}"/>
    <cellStyle name="Currency 2 2" xfId="1788" xr:uid="{00000000-0005-0000-0000-000047030000}"/>
    <cellStyle name="Currency 2 2 2" xfId="1825" xr:uid="{00000000-0005-0000-0000-000048030000}"/>
    <cellStyle name="Currency 2 2 2 2" xfId="3778" xr:uid="{00000000-0005-0000-0000-000049030000}"/>
    <cellStyle name="Currency 2 2 2 2 2" xfId="7699" xr:uid="{6AAF2027-E38F-4F20-9A64-BC16CF43083E}"/>
    <cellStyle name="Currency 2 2 2 2 2 2" xfId="15559" xr:uid="{A1A9CAD2-BC20-47D9-B628-7E1173F27A50}"/>
    <cellStyle name="Currency 2 2 2 2 3" xfId="11639" xr:uid="{615B8F99-1B24-4B30-BCDB-50B97881FA48}"/>
    <cellStyle name="Currency 2 2 2 3" xfId="5746" xr:uid="{7D7128DC-B6B8-4F71-A2E4-A7D007997631}"/>
    <cellStyle name="Currency 2 2 2 3 2" xfId="13606" xr:uid="{7E55EDC4-2A77-4F52-B12F-4462E91482EF}"/>
    <cellStyle name="Currency 2 2 2 4" xfId="9687" xr:uid="{51FC4E8C-57B0-43AD-981C-068144926C30}"/>
    <cellStyle name="Currency 2 2 3" xfId="1859" xr:uid="{00000000-0005-0000-0000-00004A030000}"/>
    <cellStyle name="Currency 2 2 3 2" xfId="3812" xr:uid="{00000000-0005-0000-0000-00004B030000}"/>
    <cellStyle name="Currency 2 2 3 2 2" xfId="7733" xr:uid="{B03B892D-1588-4EAA-889C-C8ECF1AA3B16}"/>
    <cellStyle name="Currency 2 2 3 2 2 2" xfId="15593" xr:uid="{3D228DEE-D1B5-4F9C-8BAD-9536D588AF38}"/>
    <cellStyle name="Currency 2 2 3 2 3" xfId="11673" xr:uid="{B91D3D0C-2574-43AF-8640-3BE7488C9B13}"/>
    <cellStyle name="Currency 2 2 3 3" xfId="5780" xr:uid="{15C459DB-7B25-4963-BE22-1F74F2BFEB98}"/>
    <cellStyle name="Currency 2 2 3 3 2" xfId="13640" xr:uid="{1C6ADC91-B7FF-4555-9C34-B59FB69F1659}"/>
    <cellStyle name="Currency 2 2 3 4" xfId="9721" xr:uid="{8FCA344D-B327-4B70-B9DE-6776CE80C569}"/>
    <cellStyle name="Currency 2 2 4" xfId="1892" xr:uid="{00000000-0005-0000-0000-00004C030000}"/>
    <cellStyle name="Currency 2 2 4 2" xfId="3845" xr:uid="{00000000-0005-0000-0000-00004D030000}"/>
    <cellStyle name="Currency 2 2 4 2 2" xfId="7766" xr:uid="{57BC4081-38E1-45AA-9D5D-70B618B426ED}"/>
    <cellStyle name="Currency 2 2 4 2 2 2" xfId="15626" xr:uid="{5A6916B2-83EF-4DCC-BA71-BC5D27ACC9EE}"/>
    <cellStyle name="Currency 2 2 4 2 3" xfId="11706" xr:uid="{8DE664B8-B5FC-4E30-A4BF-F9FEE0293FF0}"/>
    <cellStyle name="Currency 2 2 4 3" xfId="5813" xr:uid="{2105545E-4AD6-43B8-8085-0DF8C67E5AA2}"/>
    <cellStyle name="Currency 2 2 4 3 2" xfId="13673" xr:uid="{FCD05631-3E2B-483F-A6A2-2FB5CC758B43}"/>
    <cellStyle name="Currency 2 2 4 4" xfId="9754" xr:uid="{2E8502AB-BA3A-4178-A3E4-8DF3E2D0C272}"/>
    <cellStyle name="Currency 2 2 5" xfId="3741" xr:uid="{00000000-0005-0000-0000-00004E030000}"/>
    <cellStyle name="Currency 2 2 5 2" xfId="7662" xr:uid="{B8C8E155-F6F5-406F-A590-50A1FC6D3AC1}"/>
    <cellStyle name="Currency 2 2 5 2 2" xfId="15522" xr:uid="{C00F4F0C-CB7B-467F-9A08-4FC83C2C4BF2}"/>
    <cellStyle name="Currency 2 2 5 3" xfId="11602" xr:uid="{BB676847-7516-48D3-961B-F81ACDED13B9}"/>
    <cellStyle name="Currency 2 2 6" xfId="5709" xr:uid="{C6E2B6AD-FBA3-4DD8-BF97-C728298C6261}"/>
    <cellStyle name="Currency 2 2 6 2" xfId="13569" xr:uid="{4CCF2449-AAD4-4115-944F-E4A79AD8DAF7}"/>
    <cellStyle name="Currency 2 2 7" xfId="9650" xr:uid="{29D073B3-651A-4837-AA30-57294AC15F07}"/>
    <cellStyle name="Currency 2 3" xfId="1782" xr:uid="{00000000-0005-0000-0000-00004F030000}"/>
    <cellStyle name="Currency 2 3 2" xfId="1819" xr:uid="{00000000-0005-0000-0000-000050030000}"/>
    <cellStyle name="Currency 2 3 2 2" xfId="3772" xr:uid="{00000000-0005-0000-0000-000051030000}"/>
    <cellStyle name="Currency 2 3 2 2 2" xfId="7693" xr:uid="{822648E4-51BB-4E39-8911-B72529550628}"/>
    <cellStyle name="Currency 2 3 2 2 2 2" xfId="15553" xr:uid="{B30B61EF-A2BC-44CD-85D8-D95D4EE9BE84}"/>
    <cellStyle name="Currency 2 3 2 2 3" xfId="11633" xr:uid="{ECC01BC6-11E9-47E2-B637-6723683F20D3}"/>
    <cellStyle name="Currency 2 3 2 3" xfId="5740" xr:uid="{BBF4D6BA-2B17-43A9-968D-E4EF68A1D6A6}"/>
    <cellStyle name="Currency 2 3 2 3 2" xfId="13600" xr:uid="{CFE0EA12-4656-4EDE-BDE5-EA8E54DA63A7}"/>
    <cellStyle name="Currency 2 3 2 4" xfId="9681" xr:uid="{78BEF214-C652-4AFF-8AB0-6090183261F9}"/>
    <cellStyle name="Currency 2 3 3" xfId="1853" xr:uid="{00000000-0005-0000-0000-000052030000}"/>
    <cellStyle name="Currency 2 3 3 2" xfId="3806" xr:uid="{00000000-0005-0000-0000-000053030000}"/>
    <cellStyle name="Currency 2 3 3 2 2" xfId="7727" xr:uid="{A03BA3A2-08EE-4068-A707-0321904793F0}"/>
    <cellStyle name="Currency 2 3 3 2 2 2" xfId="15587" xr:uid="{0AE5313C-8BBD-41D5-812E-34ABA8D99350}"/>
    <cellStyle name="Currency 2 3 3 2 3" xfId="11667" xr:uid="{AC5A08F9-61F3-482C-B6ED-9CDD666D3CA3}"/>
    <cellStyle name="Currency 2 3 3 3" xfId="5774" xr:uid="{BEA53546-F08F-415F-881C-AD1DA2153BDF}"/>
    <cellStyle name="Currency 2 3 3 3 2" xfId="13634" xr:uid="{FD1BBD21-8DCD-4BE9-BE6F-010BDE25ABEC}"/>
    <cellStyle name="Currency 2 3 3 4" xfId="9715" xr:uid="{83B36078-F0BE-4AA0-AA91-AF3F24FA965D}"/>
    <cellStyle name="Currency 2 3 4" xfId="1886" xr:uid="{00000000-0005-0000-0000-000054030000}"/>
    <cellStyle name="Currency 2 3 4 2" xfId="3839" xr:uid="{00000000-0005-0000-0000-000055030000}"/>
    <cellStyle name="Currency 2 3 4 2 2" xfId="7760" xr:uid="{D36328A4-DE21-40B4-BD4F-E653A854B65E}"/>
    <cellStyle name="Currency 2 3 4 2 2 2" xfId="15620" xr:uid="{A401A4C3-5C4F-4980-83F2-B9DBEFAD13FC}"/>
    <cellStyle name="Currency 2 3 4 2 3" xfId="11700" xr:uid="{A7E9C9EC-2943-49F8-970B-7F2C3AACE71D}"/>
    <cellStyle name="Currency 2 3 4 3" xfId="5807" xr:uid="{4AFD543F-AF07-401B-823A-1FF229DD4BE6}"/>
    <cellStyle name="Currency 2 3 4 3 2" xfId="13667" xr:uid="{B64A403F-05BD-4DF2-BADA-3315141EC704}"/>
    <cellStyle name="Currency 2 3 4 4" xfId="9748" xr:uid="{AC5BAA88-317F-47A1-B3B2-9B82EACB25CC}"/>
    <cellStyle name="Currency 2 3 5" xfId="3735" xr:uid="{00000000-0005-0000-0000-000056030000}"/>
    <cellStyle name="Currency 2 3 5 2" xfId="7656" xr:uid="{8DC9320D-6187-484C-BBBC-F34BEA6D54AB}"/>
    <cellStyle name="Currency 2 3 5 2 2" xfId="15516" xr:uid="{5E1308B8-9E05-498C-A090-6D400EEC6AE6}"/>
    <cellStyle name="Currency 2 3 5 3" xfId="11596" xr:uid="{5C7232FB-4A68-4630-977E-F2BDD92A07C9}"/>
    <cellStyle name="Currency 2 3 6" xfId="5703" xr:uid="{BFAE1BB8-16A3-453A-9BD0-FC58EA0B03EF}"/>
    <cellStyle name="Currency 2 3 6 2" xfId="13563" xr:uid="{07DB818A-0FA8-4328-8759-92317F530353}"/>
    <cellStyle name="Currency 2 3 7" xfId="9644" xr:uid="{3C6E667E-9859-4AE8-9880-3E28F0669408}"/>
    <cellStyle name="Currency 2 4" xfId="1813" xr:uid="{00000000-0005-0000-0000-000057030000}"/>
    <cellStyle name="Currency 2 4 2" xfId="3766" xr:uid="{00000000-0005-0000-0000-000058030000}"/>
    <cellStyle name="Currency 2 4 2 2" xfId="7687" xr:uid="{AD7ABE4B-124F-4539-8E68-35D90E667EE2}"/>
    <cellStyle name="Currency 2 4 2 2 2" xfId="15547" xr:uid="{EADD4814-7CA7-4EFF-BBA1-BA7B951D8654}"/>
    <cellStyle name="Currency 2 4 2 3" xfId="11627" xr:uid="{0837B0F0-06BA-4F18-942A-B84CD5F69653}"/>
    <cellStyle name="Currency 2 4 3" xfId="5734" xr:uid="{F8AA6D1A-61B7-4547-ABF5-F2202BFB005F}"/>
    <cellStyle name="Currency 2 4 3 2" xfId="13594" xr:uid="{E7C0F8E9-B7A3-45E3-A7D8-E0854E85A94D}"/>
    <cellStyle name="Currency 2 4 4" xfId="9675" xr:uid="{50CA887E-46E1-4411-9AF6-3AE7F094C51A}"/>
    <cellStyle name="Currency 2 5" xfId="1847" xr:uid="{00000000-0005-0000-0000-000059030000}"/>
    <cellStyle name="Currency 2 5 2" xfId="3800" xr:uid="{00000000-0005-0000-0000-00005A030000}"/>
    <cellStyle name="Currency 2 5 2 2" xfId="7721" xr:uid="{E0B33455-7548-4DDC-8559-BFC292572E08}"/>
    <cellStyle name="Currency 2 5 2 2 2" xfId="15581" xr:uid="{6D6E44B3-97C2-40D1-BCB9-2EEF9DD9EF5F}"/>
    <cellStyle name="Currency 2 5 2 3" xfId="11661" xr:uid="{DDC83BDA-5B4A-4E95-9D5F-10C924A53925}"/>
    <cellStyle name="Currency 2 5 3" xfId="5768" xr:uid="{99F4AC03-E746-4E00-9102-A9B7CE326753}"/>
    <cellStyle name="Currency 2 5 3 2" xfId="13628" xr:uid="{91A95454-FCAD-4E7F-B86E-E07725AA4FE4}"/>
    <cellStyle name="Currency 2 5 4" xfId="9709" xr:uid="{4465B55D-576C-403E-B802-5E16BCDCB2BE}"/>
    <cellStyle name="Currency 2 6" xfId="1880" xr:uid="{00000000-0005-0000-0000-00005B030000}"/>
    <cellStyle name="Currency 2 6 2" xfId="3833" xr:uid="{00000000-0005-0000-0000-00005C030000}"/>
    <cellStyle name="Currency 2 6 2 2" xfId="7754" xr:uid="{EE756768-7F1A-4255-86BA-33C93DBDB75D}"/>
    <cellStyle name="Currency 2 6 2 2 2" xfId="15614" xr:uid="{D68EF94B-75C3-4D49-BA26-DAE90244BE08}"/>
    <cellStyle name="Currency 2 6 2 3" xfId="11694" xr:uid="{C2F905A3-7F16-4B67-8962-2A602449A38D}"/>
    <cellStyle name="Currency 2 6 3" xfId="5801" xr:uid="{5CB06CF4-52FC-476C-A83E-C3F0B897A52C}"/>
    <cellStyle name="Currency 2 6 3 2" xfId="13661" xr:uid="{5E1BF862-FD10-45A4-AE64-A1D561328654}"/>
    <cellStyle name="Currency 2 6 4" xfId="9742" xr:uid="{246463C4-D8B2-4BA8-A7A0-7F208C2BAD04}"/>
    <cellStyle name="Currency 2 7" xfId="3729" xr:uid="{00000000-0005-0000-0000-00005D030000}"/>
    <cellStyle name="Currency 2 7 2" xfId="7650" xr:uid="{15CAEBFD-5060-4999-B36C-37CBACD004E7}"/>
    <cellStyle name="Currency 2 7 2 2" xfId="15510" xr:uid="{0FADCD69-422F-45D7-B7BC-64B6C98A035F}"/>
    <cellStyle name="Currency 2 7 3" xfId="11590" xr:uid="{592C3964-DF49-49AB-953D-1C6ADEA9DB8D}"/>
    <cellStyle name="Currency 2 8" xfId="5697" xr:uid="{AAA9EC2A-8F68-47CE-A6A1-05C11DC24DEA}"/>
    <cellStyle name="Currency 2 8 2" xfId="13557" xr:uid="{762046D6-89E5-453E-9A53-AAE354384DE1}"/>
    <cellStyle name="Currency 2 9" xfId="9638" xr:uid="{45104176-0DF8-4B63-B491-E634674F542B}"/>
    <cellStyle name="Currency 3" xfId="1785" xr:uid="{00000000-0005-0000-0000-00005E030000}"/>
    <cellStyle name="Currency 3 2" xfId="1822" xr:uid="{00000000-0005-0000-0000-00005F030000}"/>
    <cellStyle name="Currency 3 2 2" xfId="3775" xr:uid="{00000000-0005-0000-0000-000060030000}"/>
    <cellStyle name="Currency 3 2 2 2" xfId="7696" xr:uid="{3008DC83-DA12-477F-9CD0-0C2DBC7AAC6E}"/>
    <cellStyle name="Currency 3 2 2 2 2" xfId="15556" xr:uid="{A09A6558-642C-4110-8E73-C55B56588FE2}"/>
    <cellStyle name="Currency 3 2 2 3" xfId="11636" xr:uid="{4CFBC7BE-78C8-461B-BDAD-5B1DCFBD3487}"/>
    <cellStyle name="Currency 3 2 3" xfId="5743" xr:uid="{55E3FA8B-6AC3-4FC8-8952-F2C535A9FE3F}"/>
    <cellStyle name="Currency 3 2 3 2" xfId="13603" xr:uid="{6540D825-887C-45B2-91B9-72587241D41A}"/>
    <cellStyle name="Currency 3 2 4" xfId="9684" xr:uid="{BE1E3E1C-7185-40FF-ADB4-32CE84DC2CBD}"/>
    <cellStyle name="Currency 3 3" xfId="1856" xr:uid="{00000000-0005-0000-0000-000061030000}"/>
    <cellStyle name="Currency 3 3 2" xfId="3809" xr:uid="{00000000-0005-0000-0000-000062030000}"/>
    <cellStyle name="Currency 3 3 2 2" xfId="7730" xr:uid="{0E7E31F4-3202-4EAF-B862-DE8A11FADF46}"/>
    <cellStyle name="Currency 3 3 2 2 2" xfId="15590" xr:uid="{B4C70B31-A220-4CA5-B7BD-04E27C31531B}"/>
    <cellStyle name="Currency 3 3 2 3" xfId="11670" xr:uid="{837E859A-38FA-4406-B4D9-6F8965449EAC}"/>
    <cellStyle name="Currency 3 3 3" xfId="5777" xr:uid="{CFE51E75-BD2F-4CD3-8A36-290F193E04A6}"/>
    <cellStyle name="Currency 3 3 3 2" xfId="13637" xr:uid="{2004E0A5-22D1-44EB-832B-38931C61F8DD}"/>
    <cellStyle name="Currency 3 3 4" xfId="9718" xr:uid="{D21A63BE-ACFF-4699-BFF6-74B55A3FFA66}"/>
    <cellStyle name="Currency 3 4" xfId="1889" xr:uid="{00000000-0005-0000-0000-000063030000}"/>
    <cellStyle name="Currency 3 4 2" xfId="3842" xr:uid="{00000000-0005-0000-0000-000064030000}"/>
    <cellStyle name="Currency 3 4 2 2" xfId="7763" xr:uid="{0E04A105-3E31-4797-A1DC-1AF96652FC65}"/>
    <cellStyle name="Currency 3 4 2 2 2" xfId="15623" xr:uid="{AC0B0E11-A1D4-4041-A8DF-D8A7408FEDC8}"/>
    <cellStyle name="Currency 3 4 2 3" xfId="11703" xr:uid="{A0F3F8C3-D454-4875-B499-0F7CF2FBB4AE}"/>
    <cellStyle name="Currency 3 4 3" xfId="5810" xr:uid="{32110628-5604-4F6E-8BB1-50D5D8A5A2BC}"/>
    <cellStyle name="Currency 3 4 3 2" xfId="13670" xr:uid="{EBF28846-8845-4836-B496-7BC4D59284C4}"/>
    <cellStyle name="Currency 3 4 4" xfId="9751" xr:uid="{A167E16C-4401-4D6A-B790-7F75A45FFDE2}"/>
    <cellStyle name="Currency 3 5" xfId="3738" xr:uid="{00000000-0005-0000-0000-000065030000}"/>
    <cellStyle name="Currency 3 5 2" xfId="7659" xr:uid="{6EB4F637-4557-49B5-9295-774A8F0733CB}"/>
    <cellStyle name="Currency 3 5 2 2" xfId="15519" xr:uid="{D536A477-0AD5-4F28-B645-C3AFE3B0C205}"/>
    <cellStyle name="Currency 3 5 3" xfId="11599" xr:uid="{3C4DC1D0-3099-464C-AD7A-B934658B4700}"/>
    <cellStyle name="Currency 3 6" xfId="5706" xr:uid="{679C714E-9B31-4327-BFBF-4E92782CBF36}"/>
    <cellStyle name="Currency 3 6 2" xfId="13566" xr:uid="{356AF226-1148-4C0F-9977-7567F5C903B5}"/>
    <cellStyle name="Currency 3 7" xfId="9647" xr:uid="{998FE829-B7D2-428E-AC2E-CEF2D7021BC4}"/>
    <cellStyle name="Currency 4" xfId="1779" xr:uid="{00000000-0005-0000-0000-000066030000}"/>
    <cellStyle name="Currency 4 2" xfId="1816" xr:uid="{00000000-0005-0000-0000-000067030000}"/>
    <cellStyle name="Currency 4 2 2" xfId="3769" xr:uid="{00000000-0005-0000-0000-000068030000}"/>
    <cellStyle name="Currency 4 2 2 2" xfId="7690" xr:uid="{713D8561-1491-4E29-B76B-4BBB58E80890}"/>
    <cellStyle name="Currency 4 2 2 2 2" xfId="15550" xr:uid="{ADFB783A-C945-4EB9-AA43-C6F78752C525}"/>
    <cellStyle name="Currency 4 2 2 3" xfId="11630" xr:uid="{A7E0ADBB-1596-41D4-9E9D-5A5B71459178}"/>
    <cellStyle name="Currency 4 2 3" xfId="5737" xr:uid="{7FB1129A-5BC6-4672-8351-96B7B09786D6}"/>
    <cellStyle name="Currency 4 2 3 2" xfId="13597" xr:uid="{2FADF1D5-3AD5-451A-B819-E3BE93503B97}"/>
    <cellStyle name="Currency 4 2 4" xfId="9678" xr:uid="{2468B06D-5EA2-4AAF-9B8B-DFAC2533DB14}"/>
    <cellStyle name="Currency 4 3" xfId="1850" xr:uid="{00000000-0005-0000-0000-000069030000}"/>
    <cellStyle name="Currency 4 3 2" xfId="3803" xr:uid="{00000000-0005-0000-0000-00006A030000}"/>
    <cellStyle name="Currency 4 3 2 2" xfId="7724" xr:uid="{03028EEC-E115-4E81-82E9-8B963623B663}"/>
    <cellStyle name="Currency 4 3 2 2 2" xfId="15584" xr:uid="{D567896F-3FD8-4E6C-B1C0-EFD90D10885E}"/>
    <cellStyle name="Currency 4 3 2 3" xfId="11664" xr:uid="{7B560099-C77C-4CBB-8609-7A9DFD32C7D4}"/>
    <cellStyle name="Currency 4 3 3" xfId="5771" xr:uid="{7CA59E23-EA5D-4E92-931F-3ED0FEF6A0E6}"/>
    <cellStyle name="Currency 4 3 3 2" xfId="13631" xr:uid="{81128A3E-39C3-4BD2-A844-4BD9F6097B31}"/>
    <cellStyle name="Currency 4 3 4" xfId="9712" xr:uid="{E706FA69-6FAC-4A36-B394-6FCA1FC44795}"/>
    <cellStyle name="Currency 4 4" xfId="1883" xr:uid="{00000000-0005-0000-0000-00006B030000}"/>
    <cellStyle name="Currency 4 4 2" xfId="3836" xr:uid="{00000000-0005-0000-0000-00006C030000}"/>
    <cellStyle name="Currency 4 4 2 2" xfId="7757" xr:uid="{C4B87159-BE8A-4DE2-87AB-76BA52756C0A}"/>
    <cellStyle name="Currency 4 4 2 2 2" xfId="15617" xr:uid="{6C8DAA30-8036-4494-A53F-7D53F42C8A8E}"/>
    <cellStyle name="Currency 4 4 2 3" xfId="11697" xr:uid="{9394558C-C104-46BC-8926-95000FD98ECE}"/>
    <cellStyle name="Currency 4 4 3" xfId="5804" xr:uid="{DD316919-DEE4-4AB3-8E13-8C7A1699FB82}"/>
    <cellStyle name="Currency 4 4 3 2" xfId="13664" xr:uid="{5A6E0205-FFE2-4DC4-958C-9E431AA7607F}"/>
    <cellStyle name="Currency 4 4 4" xfId="9745" xr:uid="{36049C04-218B-42A7-9C52-DC14A3002203}"/>
    <cellStyle name="Currency 4 5" xfId="3732" xr:uid="{00000000-0005-0000-0000-00006D030000}"/>
    <cellStyle name="Currency 4 5 2" xfId="7653" xr:uid="{87065130-2621-4113-ADE1-991628BE1533}"/>
    <cellStyle name="Currency 4 5 2 2" xfId="15513" xr:uid="{C31AA382-6BBA-42B6-B1D7-7C1338F53A37}"/>
    <cellStyle name="Currency 4 5 3" xfId="11593" xr:uid="{B326CA36-2B1D-4329-ADF8-8B5B1A6A7DAE}"/>
    <cellStyle name="Currency 4 6" xfId="5700" xr:uid="{CA59DC92-5F0D-4A37-90B6-D22CF70B1BE5}"/>
    <cellStyle name="Currency 4 6 2" xfId="13560" xr:uid="{2EEB7097-FC55-49AE-839A-9750D632D075}"/>
    <cellStyle name="Currency 4 7" xfId="9641" xr:uid="{F5EDE411-4366-43FD-83BC-7E71D884E49E}"/>
    <cellStyle name="Currency 5" xfId="1773" xr:uid="{00000000-0005-0000-0000-00006E030000}"/>
    <cellStyle name="Currency 5 2" xfId="1810" xr:uid="{00000000-0005-0000-0000-00006F030000}"/>
    <cellStyle name="Currency 5 2 2" xfId="3763" xr:uid="{00000000-0005-0000-0000-000070030000}"/>
    <cellStyle name="Currency 5 2 2 2" xfId="7684" xr:uid="{75CBEF55-60CC-4DC5-A5EB-8A26677E7765}"/>
    <cellStyle name="Currency 5 2 2 2 2" xfId="15544" xr:uid="{2F2CA7E4-2C3E-46BB-AA01-CE54EFA66156}"/>
    <cellStyle name="Currency 5 2 2 3" xfId="11624" xr:uid="{A6564E07-436D-4313-B73D-0D16579E760E}"/>
    <cellStyle name="Currency 5 2 3" xfId="5731" xr:uid="{20D7C94A-CBFD-4BDC-8A25-F3256458EF17}"/>
    <cellStyle name="Currency 5 2 3 2" xfId="13591" xr:uid="{3BDE073D-2DE6-4ECB-AC7F-53F168343F07}"/>
    <cellStyle name="Currency 5 2 4" xfId="9672" xr:uid="{F2614245-9DE0-4786-92F5-CADC4458F217}"/>
    <cellStyle name="Currency 5 3" xfId="1844" xr:uid="{00000000-0005-0000-0000-000071030000}"/>
    <cellStyle name="Currency 5 3 2" xfId="3797" xr:uid="{00000000-0005-0000-0000-000072030000}"/>
    <cellStyle name="Currency 5 3 2 2" xfId="7718" xr:uid="{C858EF88-7448-43C6-884E-C3DAA37DF824}"/>
    <cellStyle name="Currency 5 3 2 2 2" xfId="15578" xr:uid="{34DF592E-1638-407F-B5F9-CE0A40AD81DE}"/>
    <cellStyle name="Currency 5 3 2 3" xfId="11658" xr:uid="{A2F09160-4D9D-4B58-91E7-76F700940326}"/>
    <cellStyle name="Currency 5 3 3" xfId="5765" xr:uid="{AB18844B-1CB0-40F0-BE6B-353FA4529651}"/>
    <cellStyle name="Currency 5 3 3 2" xfId="13625" xr:uid="{074D512C-DCDB-417F-A1E4-E2D85CBDB866}"/>
    <cellStyle name="Currency 5 3 4" xfId="9706" xr:uid="{A3505FDB-92A5-4361-87EE-787C0DDBDB0E}"/>
    <cellStyle name="Currency 5 4" xfId="1877" xr:uid="{00000000-0005-0000-0000-000073030000}"/>
    <cellStyle name="Currency 5 4 2" xfId="3830" xr:uid="{00000000-0005-0000-0000-000074030000}"/>
    <cellStyle name="Currency 5 4 2 2" xfId="7751" xr:uid="{B5B0D689-8B87-4160-9E3A-B0652327AD0B}"/>
    <cellStyle name="Currency 5 4 2 2 2" xfId="15611" xr:uid="{0518337D-9E12-4279-9B28-460CEF94FC4F}"/>
    <cellStyle name="Currency 5 4 2 3" xfId="11691" xr:uid="{940128A3-9A89-48C8-A7CE-2CF9246A20D1}"/>
    <cellStyle name="Currency 5 4 3" xfId="5798" xr:uid="{7B512546-1DB3-46A1-ABF2-BE228DB8489B}"/>
    <cellStyle name="Currency 5 4 3 2" xfId="13658" xr:uid="{A5C53A25-969E-4AB7-9CFA-13C3A6832958}"/>
    <cellStyle name="Currency 5 4 4" xfId="9739" xr:uid="{1B0B931E-F577-4BB6-9B4C-D39C889EE762}"/>
    <cellStyle name="Currency 5 5" xfId="3726" xr:uid="{00000000-0005-0000-0000-000075030000}"/>
    <cellStyle name="Currency 5 5 2" xfId="7647" xr:uid="{F5DE0A78-D2AC-46B9-BF84-68E6ECE7FD4E}"/>
    <cellStyle name="Currency 5 5 2 2" xfId="15507" xr:uid="{72026D45-CC71-4EE2-AC60-371AC0D6FCC4}"/>
    <cellStyle name="Currency 5 5 3" xfId="11587" xr:uid="{6EF57B79-7C96-4C73-9533-E15DB891EAB1}"/>
    <cellStyle name="Currency 5 6" xfId="5694" xr:uid="{04573CFC-0025-46F6-BA57-03D4AEA80EB4}"/>
    <cellStyle name="Currency 5 6 2" xfId="13554" xr:uid="{EF4398E0-3A84-492F-9283-C90CF0ADE8DE}"/>
    <cellStyle name="Currency 5 7" xfId="9635" xr:uid="{7DC210C7-609A-4CB7-86BF-739896A01281}"/>
    <cellStyle name="Currency 6" xfId="1769" xr:uid="{00000000-0005-0000-0000-000076030000}"/>
    <cellStyle name="Currency 6 2" xfId="1806" xr:uid="{00000000-0005-0000-0000-000077030000}"/>
    <cellStyle name="Currency 6 2 2" xfId="3759" xr:uid="{00000000-0005-0000-0000-000078030000}"/>
    <cellStyle name="Currency 6 2 2 2" xfId="7680" xr:uid="{830F651F-757C-4DDC-8B43-05BB9A227D09}"/>
    <cellStyle name="Currency 6 2 2 2 2" xfId="15540" xr:uid="{B3144F2F-4D0F-42BF-9174-BEAD2CA537C0}"/>
    <cellStyle name="Currency 6 2 2 3" xfId="11620" xr:uid="{B2DFE5E7-004E-454C-83EA-7F3B375F0ED6}"/>
    <cellStyle name="Currency 6 2 3" xfId="5727" xr:uid="{9D511D6D-C3C5-4B87-B026-F9105356C402}"/>
    <cellStyle name="Currency 6 2 3 2" xfId="13587" xr:uid="{EBAFAE1B-D9E6-4BEC-A9BB-E908D455C70E}"/>
    <cellStyle name="Currency 6 2 4" xfId="9668" xr:uid="{57295891-C61E-489B-ADA2-43677F596A56}"/>
    <cellStyle name="Currency 6 3" xfId="1840" xr:uid="{00000000-0005-0000-0000-000079030000}"/>
    <cellStyle name="Currency 6 3 2" xfId="3793" xr:uid="{00000000-0005-0000-0000-00007A030000}"/>
    <cellStyle name="Currency 6 3 2 2" xfId="7714" xr:uid="{E6244A5D-F949-46EC-877B-F0EB381CEB00}"/>
    <cellStyle name="Currency 6 3 2 2 2" xfId="15574" xr:uid="{FB2CB947-3431-4760-B490-053D0803DC91}"/>
    <cellStyle name="Currency 6 3 2 3" xfId="11654" xr:uid="{37F102D5-29B7-4D84-9111-7E0CB3462F2C}"/>
    <cellStyle name="Currency 6 3 3" xfId="5761" xr:uid="{090A170C-2AA3-4BFD-8D2E-6F041BD7312E}"/>
    <cellStyle name="Currency 6 3 3 2" xfId="13621" xr:uid="{CC1EEF39-AE02-4494-9E0F-697AEE3F97D2}"/>
    <cellStyle name="Currency 6 3 4" xfId="9702" xr:uid="{D5DF0D0E-E485-46E8-8E3B-7C5F434B33ED}"/>
    <cellStyle name="Currency 6 4" xfId="1873" xr:uid="{00000000-0005-0000-0000-00007B030000}"/>
    <cellStyle name="Currency 6 4 2" xfId="3826" xr:uid="{00000000-0005-0000-0000-00007C030000}"/>
    <cellStyle name="Currency 6 4 2 2" xfId="7747" xr:uid="{90E12A1F-0DBB-4CE1-94BC-ABC5E9CAB03F}"/>
    <cellStyle name="Currency 6 4 2 2 2" xfId="15607" xr:uid="{61AD2C82-3B76-499D-945A-B725F27EBD61}"/>
    <cellStyle name="Currency 6 4 2 3" xfId="11687" xr:uid="{5EE18E16-029C-49D5-BE6C-AA3DBD092BBA}"/>
    <cellStyle name="Currency 6 4 3" xfId="5794" xr:uid="{F7F35AA1-BB04-4B52-A140-DB59994C2F4E}"/>
    <cellStyle name="Currency 6 4 3 2" xfId="13654" xr:uid="{1D23B602-6E59-4924-869D-2B13AF2AAFF1}"/>
    <cellStyle name="Currency 6 4 4" xfId="9735" xr:uid="{DACE6489-D551-4C5F-B80E-AE5C2E84B7FF}"/>
    <cellStyle name="Currency 6 5" xfId="3722" xr:uid="{00000000-0005-0000-0000-00007D030000}"/>
    <cellStyle name="Currency 6 5 2" xfId="7643" xr:uid="{B474524D-B385-4DC6-BCAB-2F57542CCBCF}"/>
    <cellStyle name="Currency 6 5 2 2" xfId="15503" xr:uid="{98A5D366-5CAD-492F-A60F-FB5F4787693D}"/>
    <cellStyle name="Currency 6 5 3" xfId="11583" xr:uid="{70929B3F-F3FB-422E-9212-2B7613BF39DB}"/>
    <cellStyle name="Currency 6 6" xfId="5690" xr:uid="{D5FDBC27-B09D-4086-A1CB-06758A01F5B9}"/>
    <cellStyle name="Currency 6 6 2" xfId="13550" xr:uid="{B1FF7544-77E8-44A4-8C68-2F1B77BD0FE9}"/>
    <cellStyle name="Currency 6 7" xfId="9631" xr:uid="{A68730BE-3DA0-484C-B1A2-6A5709A70A5B}"/>
    <cellStyle name="Currency 7" xfId="1803" xr:uid="{00000000-0005-0000-0000-00007E030000}"/>
    <cellStyle name="Currency 7 2" xfId="3756" xr:uid="{00000000-0005-0000-0000-00007F030000}"/>
    <cellStyle name="Currency 7 2 2" xfId="7677" xr:uid="{8302F535-D39A-42CC-81E0-53C9AE9F143C}"/>
    <cellStyle name="Currency 7 2 2 2" xfId="15537" xr:uid="{1199F009-2141-4DD9-8178-91292FEC4956}"/>
    <cellStyle name="Currency 7 2 3" xfId="11617" xr:uid="{6AB94515-9F2A-4F4D-B6FD-F162E9594B16}"/>
    <cellStyle name="Currency 7 3" xfId="5724" xr:uid="{24193C38-BA92-40AC-AA32-88CA17174FA9}"/>
    <cellStyle name="Currency 7 3 2" xfId="13584" xr:uid="{9CE7516B-0CE0-4BA5-9E49-FE50294366D5}"/>
    <cellStyle name="Currency 7 4" xfId="9665" xr:uid="{E8EAB654-EAB2-4DCF-B18E-DAD011E87187}"/>
    <cellStyle name="Currency 8" xfId="2009" xr:uid="{00000000-0005-0000-0000-000080030000}"/>
    <cellStyle name="Currency 8 2" xfId="5930" xr:uid="{F59D1B97-E2D8-4EB1-A32D-8985DD60C425}"/>
    <cellStyle name="Currency 8 2 2" xfId="13790" xr:uid="{F56B25AB-00F9-474F-A17E-764BB89BA304}"/>
    <cellStyle name="Currency 8 3" xfId="9870" xr:uid="{E9BAE24C-5157-4E48-BDA3-D544B3C6F067}"/>
    <cellStyle name="Currency 9" xfId="3976" xr:uid="{3C7039E3-C9F4-4F36-A59E-C82AEA46894C}"/>
    <cellStyle name="Currency 9 2" xfId="11836" xr:uid="{832274A1-9440-4A35-A9AE-780B9101B9EB}"/>
    <cellStyle name="EYCurrency 2" xfId="9" xr:uid="{00000000-0005-0000-0000-000081030000}"/>
    <cellStyle name="EYCurrency 2 2" xfId="33" xr:uid="{00000000-0005-0000-0000-000082030000}"/>
    <cellStyle name="EYCurrency 2 2 2" xfId="354" xr:uid="{00000000-0005-0000-0000-000083030000}"/>
    <cellStyle name="EYCurrency 2 2 2 2" xfId="8220" xr:uid="{36DED0AA-02C7-4D2A-B439-8B6CEF007C85}"/>
    <cellStyle name="EYCurrency 2 2 2 3" xfId="15740" xr:uid="{2BBCE811-FD64-4203-969C-0A57BB2337C3}"/>
    <cellStyle name="EYCurrency 2 2 3" xfId="7908" xr:uid="{76F4046C-4E76-46B7-A796-9F92CC598474}"/>
    <cellStyle name="EYCurrency 2 2 4" xfId="15738" xr:uid="{E0118133-F06F-40DF-AF98-39A49CAB0540}"/>
    <cellStyle name="EYCurrency 2 3" xfId="353" xr:uid="{00000000-0005-0000-0000-000084030000}"/>
    <cellStyle name="EYCurrency 2 3 2" xfId="8219" xr:uid="{7EA540BA-2634-4B88-993E-D33373497FAB}"/>
    <cellStyle name="EYCurrency 2 3 3" xfId="15739" xr:uid="{A6DBD6F6-0D05-4642-B728-CEC787D993CE}"/>
    <cellStyle name="EYCurrency 2 4" xfId="7885" xr:uid="{F05CB934-1E17-46CC-A749-E129BBA266E4}"/>
    <cellStyle name="EYCurrency 2 5" xfId="8118" xr:uid="{253E7FB6-F7B4-40AA-8653-10317A96B688}"/>
    <cellStyle name="EYtext" xfId="10" xr:uid="{00000000-0005-0000-0000-000085030000}"/>
    <cellStyle name="Hyperlink" xfId="46" builtinId="8"/>
    <cellStyle name="Hyperlink 2" xfId="248" xr:uid="{00000000-0005-0000-0000-000087030000}"/>
    <cellStyle name="Hyperlink 3" xfId="360" xr:uid="{00000000-0005-0000-0000-000088030000}"/>
    <cellStyle name="Normal" xfId="0" builtinId="0"/>
    <cellStyle name="Normal 10" xfId="257" xr:uid="{00000000-0005-0000-0000-00008A030000}"/>
    <cellStyle name="Normal 10 2" xfId="352" xr:uid="{00000000-0005-0000-0000-00008B030000}"/>
    <cellStyle name="Normal 10 2 2" xfId="804" xr:uid="{00000000-0005-0000-0000-00008C030000}"/>
    <cellStyle name="Normal 10 2 2 2" xfId="1767" xr:uid="{00000000-0005-0000-0000-00008D030000}"/>
    <cellStyle name="Normal 10 2 2 2 2" xfId="1931" xr:uid="{00000000-0005-0000-0000-00008E030000}"/>
    <cellStyle name="Normal 10 2 2 2 2 2" xfId="1932" xr:uid="{00000000-0005-0000-0000-00008F030000}"/>
    <cellStyle name="Normal 10 2 2 2 2 2 2" xfId="1938" xr:uid="{00000000-0005-0000-0000-000090030000}"/>
    <cellStyle name="Normal 10 2 2 2 2 2 2 2" xfId="1966" xr:uid="{00000000-0005-0000-0000-000091030000}"/>
    <cellStyle name="Normal 10 2 2 2 2 2 2 2 2" xfId="3933" xr:uid="{15F2DE6B-7875-4442-9CC9-E6B04CC0FFE8}"/>
    <cellStyle name="Normal 10 2 2 2 2 2 2 2 2 2" xfId="7854" xr:uid="{499CD39F-CB68-4D2D-9D1D-E1D6A81794E3}"/>
    <cellStyle name="Normal 10 2 2 2 2 2 2 2 2 2 2" xfId="15714" xr:uid="{C8B4B19A-D1DA-4ED3-932F-111B46462F80}"/>
    <cellStyle name="Normal 10 2 2 2 2 2 2 2 2 3" xfId="7869" xr:uid="{F04046B5-F0EF-433A-A060-ED12A0B7785C}"/>
    <cellStyle name="Normal 10 2 2 2 2 2 2 2 2 3 2" xfId="7873" xr:uid="{C186BE07-C057-41DC-B45F-3F788EBC562B}"/>
    <cellStyle name="Normal 10 2 2 2 2 2 2 2 2 3 2 2" xfId="15732" xr:uid="{783B1157-2796-49DB-BA70-AE807576520C}"/>
    <cellStyle name="Normal 10 2 2 2 2 2 2 2 2 3 3" xfId="15728" xr:uid="{72C20F09-E7D6-49C1-9F4B-9C069A48CD9B}"/>
    <cellStyle name="Normal 10 2 2 2 2 2 2 2 2 4" xfId="11794" xr:uid="{139CD3FB-7427-48B3-B799-A88A0F4CC399}"/>
    <cellStyle name="Normal 10 2 2 2 2 2 2 2 2 5" xfId="15752" xr:uid="{63157C14-2818-4A28-94F2-6F1389DB6402}"/>
    <cellStyle name="Normal 10 2 2 2 2 2 2 2 3" xfId="5887" xr:uid="{F9A9A82E-4154-4107-900C-A26F893A6770}"/>
    <cellStyle name="Normal 10 2 2 2 2 2 2 2 3 2" xfId="13747" xr:uid="{73214040-8459-4CA4-9BB3-74FE2D390B42}"/>
    <cellStyle name="Normal 10 2 2 2 2 2 2 2 4" xfId="9828" xr:uid="{950A6DDE-ECAA-4966-99FF-17D2FF36636D}"/>
    <cellStyle name="Normal 10 2 2 2 2 2 2 3" xfId="3889" xr:uid="{00000000-0005-0000-0000-000092030000}"/>
    <cellStyle name="Normal 10 2 2 2 2 2 2 3 2" xfId="3934" xr:uid="{2D08A945-3B67-4CD7-A7D2-C4A1EE6B8BAB}"/>
    <cellStyle name="Normal 10 2 2 2 2 2 2 3 2 2" xfId="7855" xr:uid="{D44B4036-D601-47B1-AB8F-3C3BF0BFF10A}"/>
    <cellStyle name="Normal 10 2 2 2 2 2 2 3 2 2 2" xfId="15715" xr:uid="{CEDEFDE3-4703-4B75-8B07-E584EC60D577}"/>
    <cellStyle name="Normal 10 2 2 2 2 2 2 3 2 3" xfId="11795" xr:uid="{7D3EEBC7-E8A5-48A9-B976-98712AEC9DFA}"/>
    <cellStyle name="Normal 10 2 2 2 2 2 2 3 3" xfId="7810" xr:uid="{4E645A33-21B0-4292-8280-CB894230AC14}"/>
    <cellStyle name="Normal 10 2 2 2 2 2 2 3 3 2" xfId="15670" xr:uid="{94A29C96-2B25-408B-A051-E9E0D23AAEE3}"/>
    <cellStyle name="Normal 10 2 2 2 2 2 2 3 4" xfId="11750" xr:uid="{CCD8B0AF-AB2D-478F-B7FB-350D8B2928F0}"/>
    <cellStyle name="Normal 10 2 2 2 2 2 2 4" xfId="5859" xr:uid="{C3C8073E-2828-408E-B9B4-5E7A6579A8FA}"/>
    <cellStyle name="Normal 10 2 2 2 2 2 2 4 2" xfId="13719" xr:uid="{F4E56F0F-7062-4117-8809-16FEC0200F75}"/>
    <cellStyle name="Normal 10 2 2 2 2 2 2 5" xfId="9800" xr:uid="{423D2BF4-AD77-4849-B862-23DD7EC83F1C}"/>
    <cellStyle name="Normal 10 2 2 2 2 2 3" xfId="3884" xr:uid="{00000000-0005-0000-0000-000093030000}"/>
    <cellStyle name="Normal 10 2 2 2 2 2 3 2" xfId="7805" xr:uid="{0D4E7A63-6309-4093-B57C-1967A3E3D39B}"/>
    <cellStyle name="Normal 10 2 2 2 2 2 3 2 2" xfId="15665" xr:uid="{0245C8DD-5818-4808-98CF-76B44DB8B9CD}"/>
    <cellStyle name="Normal 10 2 2 2 2 2 3 3" xfId="11745" xr:uid="{7451305E-E67E-45DE-AB05-43F0FF8B7A5E}"/>
    <cellStyle name="Normal 10 2 2 2 2 2 4" xfId="5853" xr:uid="{D2217AA2-AFD5-42F0-942E-097021C94859}"/>
    <cellStyle name="Normal 10 2 2 2 2 2 4 2" xfId="13713" xr:uid="{6FA169E7-7551-4868-87F5-9519AF0C368D}"/>
    <cellStyle name="Normal 10 2 2 2 2 2 5" xfId="9794" xr:uid="{3141EFF2-AA24-417E-8755-A32E6BF33D53}"/>
    <cellStyle name="Normal 10 2 2 2 2 3" xfId="3883" xr:uid="{00000000-0005-0000-0000-000094030000}"/>
    <cellStyle name="Normal 10 2 2 2 2 3 2" xfId="7804" xr:uid="{A4DB3534-513D-49D7-848B-D3A991CB149A}"/>
    <cellStyle name="Normal 10 2 2 2 2 3 2 2" xfId="15664" xr:uid="{8FB00DED-8F51-468B-BB65-E45B7FD8D0BC}"/>
    <cellStyle name="Normal 10 2 2 2 2 3 3" xfId="11744" xr:uid="{4719E60A-9A3B-4231-95A3-5911AF94AF6D}"/>
    <cellStyle name="Normal 10 2 2 2 2 4" xfId="5852" xr:uid="{5AB9B020-DC81-49B4-9F3D-E9D2C26AF884}"/>
    <cellStyle name="Normal 10 2 2 2 2 4 2" xfId="13712" xr:uid="{DB5CF3B6-5102-4835-9659-E889D7E36087}"/>
    <cellStyle name="Normal 10 2 2 2 2 5" xfId="9793" xr:uid="{3B24DBE3-55EC-4BBB-8764-4EAAAD8F13C7}"/>
    <cellStyle name="Normal 10 2 2 2 3" xfId="3720" xr:uid="{00000000-0005-0000-0000-000095030000}"/>
    <cellStyle name="Normal 10 2 2 2 3 2" xfId="7641" xr:uid="{01922223-5474-4925-B87B-DA86553C56FA}"/>
    <cellStyle name="Normal 10 2 2 2 3 2 2" xfId="15501" xr:uid="{FDC0C559-63A0-41E3-84CB-BBF9A7581492}"/>
    <cellStyle name="Normal 10 2 2 2 3 3" xfId="11581" xr:uid="{210B69CA-10A8-4BD6-B8B2-64B091933774}"/>
    <cellStyle name="Normal 10 2 2 2 4" xfId="5688" xr:uid="{2E3333CB-D7FE-4CA3-8689-012AA344F7DB}"/>
    <cellStyle name="Normal 10 2 2 2 4 2" xfId="13548" xr:uid="{520E38F9-B6C1-4216-9F7B-BE3982DCE2CE}"/>
    <cellStyle name="Normal 10 2 2 2 5" xfId="9629" xr:uid="{678C71FF-8C60-48A6-BD37-CF206E5675C6}"/>
    <cellStyle name="Normal 10 2 2 3" xfId="2758" xr:uid="{00000000-0005-0000-0000-000096030000}"/>
    <cellStyle name="Normal 10 2 2 3 2" xfId="6679" xr:uid="{609CAC51-B6C4-42F6-BE50-633D170A26A6}"/>
    <cellStyle name="Normal 10 2 2 3 2 2" xfId="14539" xr:uid="{ABC2FC21-DB75-4AC0-826F-09B0EDFC9560}"/>
    <cellStyle name="Normal 10 2 2 3 3" xfId="10619" xr:uid="{4B017F6D-4447-4D6C-8E3B-FD0BFBAC2839}"/>
    <cellStyle name="Normal 10 2 2 4" xfId="4725" xr:uid="{DBF74854-A81F-4B97-A47D-2DE0DC536A2F}"/>
    <cellStyle name="Normal 10 2 2 4 2" xfId="12585" xr:uid="{5A98E2E1-356F-4323-A2BD-51C67F130C47}"/>
    <cellStyle name="Normal 10 2 2 5" xfId="8666" xr:uid="{8CAA822E-E946-488A-86EE-A0C43732C664}"/>
    <cellStyle name="Normal 10 2 3" xfId="1238" xr:uid="{00000000-0005-0000-0000-000097030000}"/>
    <cellStyle name="Normal 10 2 3 2" xfId="3192" xr:uid="{00000000-0005-0000-0000-000098030000}"/>
    <cellStyle name="Normal 10 2 3 2 2" xfId="7113" xr:uid="{8F5F266E-F5AC-467A-95C1-ADF8D0EF93E2}"/>
    <cellStyle name="Normal 10 2 3 2 2 2" xfId="14973" xr:uid="{E6E2C7CD-6017-4A38-AE24-B6AB4B06BF01}"/>
    <cellStyle name="Normal 10 2 3 2 3" xfId="11053" xr:uid="{7F74B14F-8885-486D-976F-B06A9DCF7276}"/>
    <cellStyle name="Normal 10 2 3 3" xfId="5159" xr:uid="{E4EF18E1-33DF-4E4E-A81D-DB6894713B68}"/>
    <cellStyle name="Normal 10 2 3 3 2" xfId="13019" xr:uid="{F66FE1B2-2A13-46E7-9C51-E97DA8A1B1F0}"/>
    <cellStyle name="Normal 10 2 3 4" xfId="9100" xr:uid="{1F16A31A-256A-4D3F-8CB4-99BAEEB3684C}"/>
    <cellStyle name="Normal 10 2 4" xfId="1658" xr:uid="{00000000-0005-0000-0000-000099030000}"/>
    <cellStyle name="Normal 10 2 4 2" xfId="3612" xr:uid="{00000000-0005-0000-0000-00009A030000}"/>
    <cellStyle name="Normal 10 2 4 2 2" xfId="7533" xr:uid="{9463F66F-90E8-4D4D-AAFF-DE060C569E30}"/>
    <cellStyle name="Normal 10 2 4 2 2 2" xfId="15393" xr:uid="{F60329E0-5CFA-4EDC-AC9D-6DF695B106EF}"/>
    <cellStyle name="Normal 10 2 4 2 3" xfId="11473" xr:uid="{25FC698A-C6A0-4AB9-BE1C-A69F40D86825}"/>
    <cellStyle name="Normal 10 2 4 3" xfId="5579" xr:uid="{1600DF2B-66B8-4093-9F85-CDDC858DF76B}"/>
    <cellStyle name="Normal 10 2 4 3 2" xfId="13439" xr:uid="{C28E1ED3-4271-41A0-ADB0-3935C6503622}"/>
    <cellStyle name="Normal 10 2 4 4" xfId="9520" xr:uid="{830B196C-C6A7-4473-8E57-9199ECDE1494}"/>
    <cellStyle name="Normal 10 2 5" xfId="2312" xr:uid="{00000000-0005-0000-0000-00009B030000}"/>
    <cellStyle name="Normal 10 2 5 2" xfId="6233" xr:uid="{E7C0EC26-A923-4FA9-86A5-CDCEADDAA828}"/>
    <cellStyle name="Normal 10 2 5 2 2" xfId="14093" xr:uid="{0C4E4838-40D1-4618-AB4E-9C5EECF89631}"/>
    <cellStyle name="Normal 10 2 5 3" xfId="10173" xr:uid="{0AFE62AE-E7D8-45F7-BD6B-CEA0153FFDAF}"/>
    <cellStyle name="Normal 10 2 6" xfId="4279" xr:uid="{11A95048-7B33-4FF5-9AE1-3C5E60710A61}"/>
    <cellStyle name="Normal 10 2 6 2" xfId="12139" xr:uid="{4977A7D7-B70E-4998-886E-AD70E77695FF}"/>
    <cellStyle name="Normal 10 2 7" xfId="8218" xr:uid="{9F041FE7-0AE3-4FD2-8E54-6D24F24BC37D}"/>
    <cellStyle name="Normal 10 3" xfId="449" xr:uid="{00000000-0005-0000-0000-00009C030000}"/>
    <cellStyle name="Normal 10 3 2" xfId="900" xr:uid="{00000000-0005-0000-0000-00009D030000}"/>
    <cellStyle name="Normal 10 3 2 2" xfId="2854" xr:uid="{00000000-0005-0000-0000-00009E030000}"/>
    <cellStyle name="Normal 10 3 2 2 2" xfId="6775" xr:uid="{833794EA-C4E5-485F-9A67-282AF6F2D21D}"/>
    <cellStyle name="Normal 10 3 2 2 2 2" xfId="14635" xr:uid="{8D495440-DD4A-4C63-9A4C-4A059E62D51D}"/>
    <cellStyle name="Normal 10 3 2 2 3" xfId="10715" xr:uid="{1B537561-D254-48E7-B199-FE403D71CEAB}"/>
    <cellStyle name="Normal 10 3 2 3" xfId="4821" xr:uid="{984DDC54-4810-4BF4-9C70-E9FAF3F0B821}"/>
    <cellStyle name="Normal 10 3 2 3 2" xfId="12681" xr:uid="{4E1F1F07-0971-4877-80D3-2FDF8433013B}"/>
    <cellStyle name="Normal 10 3 2 4" xfId="8762" xr:uid="{AAB80145-EDD8-46F8-B3A9-D210399A99C5}"/>
    <cellStyle name="Normal 10 3 3" xfId="1332" xr:uid="{00000000-0005-0000-0000-00009F030000}"/>
    <cellStyle name="Normal 10 3 3 2" xfId="3286" xr:uid="{00000000-0005-0000-0000-0000A0030000}"/>
    <cellStyle name="Normal 10 3 3 2 2" xfId="7207" xr:uid="{FBEF69B2-43D9-40F0-8F18-C0004BEF2DFB}"/>
    <cellStyle name="Normal 10 3 3 2 2 2" xfId="15067" xr:uid="{4B4B4666-F6FE-4BD4-AF32-179586E20D07}"/>
    <cellStyle name="Normal 10 3 3 2 3" xfId="11147" xr:uid="{8A4979BB-35E9-40E1-B9A7-CE3368EFC04D}"/>
    <cellStyle name="Normal 10 3 3 3" xfId="5253" xr:uid="{252C0216-BE72-4115-9703-143B3B487010}"/>
    <cellStyle name="Normal 10 3 3 3 2" xfId="13113" xr:uid="{C9DC06A8-A5FF-46D4-8C04-68DD4E7A748E}"/>
    <cellStyle name="Normal 10 3 3 4" xfId="9194" xr:uid="{4249B64E-5BDA-48DB-A888-439432797C4E}"/>
    <cellStyle name="Normal 10 3 4" xfId="1750" xr:uid="{00000000-0005-0000-0000-0000A1030000}"/>
    <cellStyle name="Normal 10 3 4 2" xfId="3704" xr:uid="{00000000-0005-0000-0000-0000A2030000}"/>
    <cellStyle name="Normal 10 3 4 2 2" xfId="7625" xr:uid="{70F14C16-3B4B-4B5E-BB4F-9C456D73D329}"/>
    <cellStyle name="Normal 10 3 4 2 2 2" xfId="15485" xr:uid="{6DA909ED-B82B-49F4-9863-315EF3AA2639}"/>
    <cellStyle name="Normal 10 3 4 2 3" xfId="11565" xr:uid="{F52946A7-952C-4523-963A-660EABD2E8AB}"/>
    <cellStyle name="Normal 10 3 4 3" xfId="5671" xr:uid="{A2CE48E8-D742-480B-9CE7-159ADC142958}"/>
    <cellStyle name="Normal 10 3 4 3 2" xfId="13531" xr:uid="{1113CDEB-B09B-4A42-92A8-56A0CE940075}"/>
    <cellStyle name="Normal 10 3 4 4" xfId="9612" xr:uid="{4E1BBB42-350A-4240-BFFB-774E97DAD20A}"/>
    <cellStyle name="Normal 10 3 5" xfId="2404" xr:uid="{00000000-0005-0000-0000-0000A3030000}"/>
    <cellStyle name="Normal 10 3 5 2" xfId="6325" xr:uid="{A7F25145-64D8-4F14-921A-8D7AA6B80867}"/>
    <cellStyle name="Normal 10 3 5 2 2" xfId="14185" xr:uid="{AEE6AA9E-39F5-4FAD-985D-A54CBD9991DD}"/>
    <cellStyle name="Normal 10 3 5 3" xfId="10265" xr:uid="{DC067D56-D428-428B-9863-336340E42C6E}"/>
    <cellStyle name="Normal 10 3 6" xfId="4371" xr:uid="{9DA30010-0792-4C83-AA68-6EBA6D89C674}"/>
    <cellStyle name="Normal 10 3 6 2" xfId="12231" xr:uid="{2EAD2DA6-7BE9-4629-B02D-0281473E6502}"/>
    <cellStyle name="Normal 10 3 7" xfId="8312" xr:uid="{EA3C9785-32BC-4C22-84FB-5A26FB07E9A2}"/>
    <cellStyle name="Normal 10 4" xfId="709" xr:uid="{00000000-0005-0000-0000-0000A4030000}"/>
    <cellStyle name="Normal 10 4 2" xfId="2663" xr:uid="{00000000-0005-0000-0000-0000A5030000}"/>
    <cellStyle name="Normal 10 4 2 2" xfId="6584" xr:uid="{969D6CB5-EDD2-4ABA-B8A1-5038143212B7}"/>
    <cellStyle name="Normal 10 4 2 2 2" xfId="14444" xr:uid="{F29D63FE-023C-400D-B03E-90741832F0E3}"/>
    <cellStyle name="Normal 10 4 2 3" xfId="10524" xr:uid="{DECD86C9-EE77-40D2-99EF-0CEA806B82B7}"/>
    <cellStyle name="Normal 10 4 3" xfId="4630" xr:uid="{D44B7256-30CB-424E-913B-92AA61B70196}"/>
    <cellStyle name="Normal 10 4 3 2" xfId="12490" xr:uid="{F4202242-39F1-4A24-A44C-1A822A431F9C}"/>
    <cellStyle name="Normal 10 4 4" xfId="8571" xr:uid="{8EBAF9D7-630F-4B15-BF61-B8DFE7296E5D}"/>
    <cellStyle name="Normal 10 5" xfId="1146" xr:uid="{00000000-0005-0000-0000-0000A6030000}"/>
    <cellStyle name="Normal 10 5 2" xfId="3100" xr:uid="{00000000-0005-0000-0000-0000A7030000}"/>
    <cellStyle name="Normal 10 5 2 2" xfId="7021" xr:uid="{8EEEE6A6-7F1E-44EC-9636-878ACC1C4C2E}"/>
    <cellStyle name="Normal 10 5 2 2 2" xfId="14881" xr:uid="{6C51F5FE-D19E-4F17-A19B-255C2E644600}"/>
    <cellStyle name="Normal 10 5 2 3" xfId="10961" xr:uid="{E8D1264C-41F3-4900-B859-E7CA16A8246C}"/>
    <cellStyle name="Normal 10 5 3" xfId="5067" xr:uid="{B07532C7-8961-4259-BA17-BA15E9B19240}"/>
    <cellStyle name="Normal 10 5 3 2" xfId="12927" xr:uid="{897A30C8-8F45-4C78-8A1B-2714834E37C6}"/>
    <cellStyle name="Normal 10 5 4" xfId="9008" xr:uid="{B357141C-EAE0-4573-917E-42EA514A844C}"/>
    <cellStyle name="Normal 10 6" xfId="1567" xr:uid="{00000000-0005-0000-0000-0000A8030000}"/>
    <cellStyle name="Normal 10 6 2" xfId="3521" xr:uid="{00000000-0005-0000-0000-0000A9030000}"/>
    <cellStyle name="Normal 10 6 2 2" xfId="7442" xr:uid="{7F603936-4BD0-41E9-9FC8-5D6CCA33A1FB}"/>
    <cellStyle name="Normal 10 6 2 2 2" xfId="15302" xr:uid="{93E91CF5-7258-45CB-98D6-710BF3FB1E1F}"/>
    <cellStyle name="Normal 10 6 2 3" xfId="11382" xr:uid="{5A142C83-70A1-468C-852A-640ED329351A}"/>
    <cellStyle name="Normal 10 6 3" xfId="5488" xr:uid="{002235F5-8807-44BB-BD8E-C329E85CD2F2}"/>
    <cellStyle name="Normal 10 6 3 2" xfId="13348" xr:uid="{85F96D04-4207-411A-B958-2242A8EFAE87}"/>
    <cellStyle name="Normal 10 6 4" xfId="9429" xr:uid="{ECA7021E-C756-4EAC-98A7-96F10FF87EBA}"/>
    <cellStyle name="Normal 10 7" xfId="2220" xr:uid="{00000000-0005-0000-0000-0000AA030000}"/>
    <cellStyle name="Normal 10 7 2" xfId="6141" xr:uid="{BA6C466F-2067-4A6B-B429-90EDD9B8A58E}"/>
    <cellStyle name="Normal 10 7 2 2" xfId="14001" xr:uid="{F2A18053-30AC-4961-8974-E8E83031DA57}"/>
    <cellStyle name="Normal 10 7 3" xfId="10081" xr:uid="{189868FB-D207-4FA9-B973-24E83B4FC162}"/>
    <cellStyle name="Normal 10 8" xfId="4187" xr:uid="{D3A06F7D-A337-4F23-AD7C-D3251973DE35}"/>
    <cellStyle name="Normal 10 8 2" xfId="12047" xr:uid="{17EAA1E2-8087-409D-B3D4-190497559FCE}"/>
    <cellStyle name="Normal 10 9" xfId="8126" xr:uid="{6BA42EF8-B981-4CFA-800E-A5709C4DDE21}"/>
    <cellStyle name="Normal 11" xfId="355" xr:uid="{00000000-0005-0000-0000-0000AB030000}"/>
    <cellStyle name="Normal 11 2" xfId="450" xr:uid="{00000000-0005-0000-0000-0000AC030000}"/>
    <cellStyle name="Normal 11 2 2" xfId="901" xr:uid="{00000000-0005-0000-0000-0000AD030000}"/>
    <cellStyle name="Normal 11 2 2 2" xfId="2855" xr:uid="{00000000-0005-0000-0000-0000AE030000}"/>
    <cellStyle name="Normal 11 2 2 2 2" xfId="6776" xr:uid="{3598A360-704F-41C4-B969-43B2791FE15B}"/>
    <cellStyle name="Normal 11 2 2 2 2 2" xfId="14636" xr:uid="{35E1B3BB-27DD-4ABB-844E-1B89B5FFAA77}"/>
    <cellStyle name="Normal 11 2 2 2 3" xfId="10716" xr:uid="{A1DA43D2-5781-4185-917B-D366070DFDE6}"/>
    <cellStyle name="Normal 11 2 2 3" xfId="4822" xr:uid="{B906206D-C036-41B0-ADEC-45ADC575B030}"/>
    <cellStyle name="Normal 11 2 2 3 2" xfId="12682" xr:uid="{7A2E0951-FF34-44DB-B8C9-B2D5C0D9B163}"/>
    <cellStyle name="Normal 11 2 2 4" xfId="8763" xr:uid="{05CE4BCB-4C61-4676-A94C-DCAC50DD4A01}"/>
    <cellStyle name="Normal 11 2 3" xfId="1333" xr:uid="{00000000-0005-0000-0000-0000AF030000}"/>
    <cellStyle name="Normal 11 2 3 2" xfId="3287" xr:uid="{00000000-0005-0000-0000-0000B0030000}"/>
    <cellStyle name="Normal 11 2 3 2 2" xfId="7208" xr:uid="{C3350840-1E9E-48EE-8D20-354441E90B85}"/>
    <cellStyle name="Normal 11 2 3 2 2 2" xfId="15068" xr:uid="{FC01E02B-2090-4B76-B82C-FFB527242803}"/>
    <cellStyle name="Normal 11 2 3 2 3" xfId="11148" xr:uid="{BFB101B3-8E95-4551-A2AB-44B1E2CF4210}"/>
    <cellStyle name="Normal 11 2 3 3" xfId="5254" xr:uid="{1AE60E30-A41C-4E4D-A751-02ECF2C86CC5}"/>
    <cellStyle name="Normal 11 2 3 3 2" xfId="13114" xr:uid="{22246B03-6F12-451D-BF09-FBD8FDFF8A7B}"/>
    <cellStyle name="Normal 11 2 3 4" xfId="9195" xr:uid="{EE9C46B7-4364-4425-9D24-EA01438BD78B}"/>
    <cellStyle name="Normal 11 2 4" xfId="1751" xr:uid="{00000000-0005-0000-0000-0000B1030000}"/>
    <cellStyle name="Normal 11 2 4 2" xfId="3705" xr:uid="{00000000-0005-0000-0000-0000B2030000}"/>
    <cellStyle name="Normal 11 2 4 2 2" xfId="7626" xr:uid="{B677051B-7D46-4FE2-8C2F-B033CB0B8319}"/>
    <cellStyle name="Normal 11 2 4 2 2 2" xfId="15486" xr:uid="{FD09CD5C-D9FA-4580-ACDF-B8272D687F21}"/>
    <cellStyle name="Normal 11 2 4 2 3" xfId="11566" xr:uid="{1D876A36-3863-40C5-98BC-D8E355830011}"/>
    <cellStyle name="Normal 11 2 4 3" xfId="5672" xr:uid="{E61D4CC2-53A2-4C54-8FDA-AE8CD6890897}"/>
    <cellStyle name="Normal 11 2 4 3 2" xfId="13532" xr:uid="{83E89A06-CDBC-4FA2-A0CD-DFA3CE993F35}"/>
    <cellStyle name="Normal 11 2 4 4" xfId="9613" xr:uid="{AEE3A0D8-0A3A-4639-BEC6-54753E81616B}"/>
    <cellStyle name="Normal 11 2 5" xfId="2405" xr:uid="{00000000-0005-0000-0000-0000B3030000}"/>
    <cellStyle name="Normal 11 2 5 2" xfId="6326" xr:uid="{3723C3C8-6061-41A7-BD8E-EA7F6E177425}"/>
    <cellStyle name="Normal 11 2 5 2 2" xfId="14186" xr:uid="{E31BECBC-A430-4933-AA25-2B14C14E0C88}"/>
    <cellStyle name="Normal 11 2 5 3" xfId="10266" xr:uid="{BEC6DB3F-46E1-4AA8-BEA4-332A695B19AF}"/>
    <cellStyle name="Normal 11 2 6" xfId="4372" xr:uid="{5484C276-D87D-462D-B86D-BE9DCB58A09A}"/>
    <cellStyle name="Normal 11 2 6 2" xfId="12232" xr:uid="{AF522AC5-DF37-47C1-A950-1992528F7EA5}"/>
    <cellStyle name="Normal 11 2 7" xfId="8313" xr:uid="{BF282F17-D89E-4242-BF27-33E67D878D13}"/>
    <cellStyle name="Normal 11 3" xfId="807" xr:uid="{00000000-0005-0000-0000-0000B4030000}"/>
    <cellStyle name="Normal 11 3 2" xfId="2761" xr:uid="{00000000-0005-0000-0000-0000B5030000}"/>
    <cellStyle name="Normal 11 3 2 2" xfId="6682" xr:uid="{B0AEFF4F-F18B-4EA0-B05E-0ECADEDBA956}"/>
    <cellStyle name="Normal 11 3 2 2 2" xfId="14542" xr:uid="{F293C582-DD9B-4275-AB7F-BDBE5592FA0C}"/>
    <cellStyle name="Normal 11 3 2 3" xfId="10622" xr:uid="{7CF8FBD0-45FA-4CBB-B8F5-7302BE56191F}"/>
    <cellStyle name="Normal 11 3 3" xfId="4728" xr:uid="{B9EBA304-EF44-4F72-9B2E-42DA18EBEF0D}"/>
    <cellStyle name="Normal 11 3 3 2" xfId="12588" xr:uid="{8131A122-2838-44E6-945E-F8B4BF6A5076}"/>
    <cellStyle name="Normal 11 3 4" xfId="8669" xr:uid="{4E14F2C0-B3DD-4025-963C-C5353C6A0AEC}"/>
    <cellStyle name="Normal 11 4" xfId="1241" xr:uid="{00000000-0005-0000-0000-0000B6030000}"/>
    <cellStyle name="Normal 11 4 2" xfId="3195" xr:uid="{00000000-0005-0000-0000-0000B7030000}"/>
    <cellStyle name="Normal 11 4 2 2" xfId="7116" xr:uid="{4655C25D-1A43-4FE4-BADB-752F6CA0ED9D}"/>
    <cellStyle name="Normal 11 4 2 2 2" xfId="14976" xr:uid="{078AAB48-5FF0-4068-A9AB-B2327CBAC6F1}"/>
    <cellStyle name="Normal 11 4 2 3" xfId="11056" xr:uid="{32ACF239-62E4-4C3B-B05C-505C9DD45E59}"/>
    <cellStyle name="Normal 11 4 3" xfId="5162" xr:uid="{39D5F5B8-6939-4798-BA50-CD81990D3677}"/>
    <cellStyle name="Normal 11 4 3 2" xfId="13022" xr:uid="{780A8960-1E9A-4DC4-B491-A32179C83A7B}"/>
    <cellStyle name="Normal 11 4 4" xfId="9103" xr:uid="{6AB6BF4E-FAA8-4116-AF62-EC201A9A0E45}"/>
    <cellStyle name="Normal 11 5" xfId="1659" xr:uid="{00000000-0005-0000-0000-0000B8030000}"/>
    <cellStyle name="Normal 11 5 2" xfId="3613" xr:uid="{00000000-0005-0000-0000-0000B9030000}"/>
    <cellStyle name="Normal 11 5 2 2" xfId="7534" xr:uid="{00792967-37A6-454C-812A-761FF866D746}"/>
    <cellStyle name="Normal 11 5 2 2 2" xfId="15394" xr:uid="{7851D203-E8CE-496F-97E8-E87E498D8D87}"/>
    <cellStyle name="Normal 11 5 2 3" xfId="11474" xr:uid="{74D04733-2FE8-4322-898C-A6B60CFBF5FD}"/>
    <cellStyle name="Normal 11 5 3" xfId="5580" xr:uid="{E1E25552-877E-4D8B-A4C5-1496C11CB595}"/>
    <cellStyle name="Normal 11 5 3 2" xfId="13440" xr:uid="{2F7FBE84-6F6D-42E9-A9D1-3E12035642DE}"/>
    <cellStyle name="Normal 11 5 4" xfId="9521" xr:uid="{946297E6-EC19-4F9F-B9C6-15E8B8F253A0}"/>
    <cellStyle name="Normal 11 6" xfId="2313" xr:uid="{00000000-0005-0000-0000-0000BA030000}"/>
    <cellStyle name="Normal 11 6 2" xfId="6234" xr:uid="{4FE45D2C-FED3-4470-9316-B97E5019D80B}"/>
    <cellStyle name="Normal 11 6 2 2" xfId="14094" xr:uid="{D4AE6AD0-1C8D-4F81-A70F-B02791C1B4F1}"/>
    <cellStyle name="Normal 11 6 3" xfId="10174" xr:uid="{6184CF5D-CD51-4CBB-8EF8-18A6601909EE}"/>
    <cellStyle name="Normal 11 7" xfId="4280" xr:uid="{DAE6156E-E2B7-4662-A129-F42F3609B874}"/>
    <cellStyle name="Normal 11 7 2" xfId="12140" xr:uid="{9E33CFCF-D0F2-457F-AF5E-6751B83DCDB6}"/>
    <cellStyle name="Normal 11 8" xfId="8221" xr:uid="{329828AC-55A9-4E7F-AE45-4DC3EFF38579}"/>
    <cellStyle name="Normal 12" xfId="356" xr:uid="{00000000-0005-0000-0000-0000BB030000}"/>
    <cellStyle name="Normal 12 2" xfId="451" xr:uid="{00000000-0005-0000-0000-0000BC030000}"/>
    <cellStyle name="Normal 12 2 2" xfId="902" xr:uid="{00000000-0005-0000-0000-0000BD030000}"/>
    <cellStyle name="Normal 12 2 2 2" xfId="2856" xr:uid="{00000000-0005-0000-0000-0000BE030000}"/>
    <cellStyle name="Normal 12 2 2 2 2" xfId="6777" xr:uid="{E1324F33-3DDA-4E7E-9A76-0F621C3A1484}"/>
    <cellStyle name="Normal 12 2 2 2 2 2" xfId="14637" xr:uid="{00D4733F-6DBE-4C38-85E9-1121BD8B46D6}"/>
    <cellStyle name="Normal 12 2 2 2 3" xfId="10717" xr:uid="{1965EF8C-2339-4295-975C-0B70D3AA9482}"/>
    <cellStyle name="Normal 12 2 2 3" xfId="4823" xr:uid="{AAF73E7A-CAF9-4A8A-8A65-FEC2803FA94D}"/>
    <cellStyle name="Normal 12 2 2 3 2" xfId="12683" xr:uid="{CA4D0313-7360-40EA-9013-7D8BB5208AFA}"/>
    <cellStyle name="Normal 12 2 2 4" xfId="8764" xr:uid="{4A65AE42-004D-4244-883D-E0670CB77196}"/>
    <cellStyle name="Normal 12 2 3" xfId="1334" xr:uid="{00000000-0005-0000-0000-0000BF030000}"/>
    <cellStyle name="Normal 12 2 3 2" xfId="3288" xr:uid="{00000000-0005-0000-0000-0000C0030000}"/>
    <cellStyle name="Normal 12 2 3 2 2" xfId="7209" xr:uid="{7447C631-B869-4823-AF08-C7CDC10D5B48}"/>
    <cellStyle name="Normal 12 2 3 2 2 2" xfId="15069" xr:uid="{02A1153A-85C5-4465-A5FA-F303D8A18681}"/>
    <cellStyle name="Normal 12 2 3 2 3" xfId="11149" xr:uid="{633EE588-BE82-4D85-A0D8-4AE384574D75}"/>
    <cellStyle name="Normal 12 2 3 3" xfId="5255" xr:uid="{B3123802-8AC0-4FB2-A90E-76E237C5A679}"/>
    <cellStyle name="Normal 12 2 3 3 2" xfId="13115" xr:uid="{43CDC530-948E-4D66-BA41-E4AFA67AF217}"/>
    <cellStyle name="Normal 12 2 3 4" xfId="9196" xr:uid="{F8A25F1F-0F2C-46A8-A909-3B5506CEAB0E}"/>
    <cellStyle name="Normal 12 2 4" xfId="1752" xr:uid="{00000000-0005-0000-0000-0000C1030000}"/>
    <cellStyle name="Normal 12 2 4 2" xfId="3706" xr:uid="{00000000-0005-0000-0000-0000C2030000}"/>
    <cellStyle name="Normal 12 2 4 2 2" xfId="7627" xr:uid="{CE41F059-B43A-4BED-AABD-89CFFCF8C586}"/>
    <cellStyle name="Normal 12 2 4 2 2 2" xfId="15487" xr:uid="{6A7B1FFA-E7EB-41EC-AA78-9D87FBBFCD99}"/>
    <cellStyle name="Normal 12 2 4 2 3" xfId="11567" xr:uid="{13351B4A-F7FC-469F-A17D-0FA536707B8B}"/>
    <cellStyle name="Normal 12 2 4 3" xfId="5673" xr:uid="{D66CB9F9-9107-40EB-B452-9138EB16579D}"/>
    <cellStyle name="Normal 12 2 4 3 2" xfId="13533" xr:uid="{DB625671-7E2F-4F7E-964C-4E0850F58638}"/>
    <cellStyle name="Normal 12 2 4 4" xfId="9614" xr:uid="{D7568163-27C7-419E-B83E-A423712F23B4}"/>
    <cellStyle name="Normal 12 2 5" xfId="2406" xr:uid="{00000000-0005-0000-0000-0000C3030000}"/>
    <cellStyle name="Normal 12 2 5 2" xfId="6327" xr:uid="{85DF0AE8-279A-44C3-972B-2C9E0679F3CE}"/>
    <cellStyle name="Normal 12 2 5 2 2" xfId="14187" xr:uid="{9E8497A7-21A9-47F1-B058-82C1366955FD}"/>
    <cellStyle name="Normal 12 2 5 3" xfId="10267" xr:uid="{39A38621-CC7E-4E00-B3C1-9EE61191B12A}"/>
    <cellStyle name="Normal 12 2 6" xfId="4373" xr:uid="{8413B0A2-EDB3-41C6-A36B-6EE55FC029D3}"/>
    <cellStyle name="Normal 12 2 6 2" xfId="12233" xr:uid="{3ED4366F-1AFC-491C-A28A-9FE047720050}"/>
    <cellStyle name="Normal 12 2 7" xfId="8314" xr:uid="{F22C89CE-E8B0-4FF5-AE9B-27E15BDC9086}"/>
    <cellStyle name="Normal 13" xfId="6" xr:uid="{00000000-0005-0000-0000-0000C4030000}"/>
    <cellStyle name="Normal 13 10" xfId="461" xr:uid="{00000000-0005-0000-0000-0000C5030000}"/>
    <cellStyle name="Normal 13 10 2" xfId="2415" xr:uid="{00000000-0005-0000-0000-0000C6030000}"/>
    <cellStyle name="Normal 13 10 2 2" xfId="6336" xr:uid="{28254B13-9A71-41AB-BD1E-3B02A2F2F5C0}"/>
    <cellStyle name="Normal 13 10 2 2 2" xfId="14196" xr:uid="{072A16D6-634F-468A-99DF-DA49D4D8B255}"/>
    <cellStyle name="Normal 13 10 2 3" xfId="10276" xr:uid="{436AE776-C258-47A1-9359-DE26AB6EF75C}"/>
    <cellStyle name="Normal 13 10 3" xfId="4382" xr:uid="{B1F41BC1-4205-441C-BB6F-99A5579305F4}"/>
    <cellStyle name="Normal 13 10 3 2" xfId="12242" xr:uid="{562B9FA3-290E-4909-ACD9-3BCB20AAB286}"/>
    <cellStyle name="Normal 13 10 4" xfId="8323" xr:uid="{BB9FFD82-9129-4475-9330-FED577FB065D}"/>
    <cellStyle name="Normal 13 11" xfId="697" xr:uid="{00000000-0005-0000-0000-0000C7030000}"/>
    <cellStyle name="Normal 13 11 2" xfId="2651" xr:uid="{00000000-0005-0000-0000-0000C8030000}"/>
    <cellStyle name="Normal 13 11 2 2" xfId="6572" xr:uid="{1970EB75-55C0-40F8-9A5B-B07B4CD7D5C8}"/>
    <cellStyle name="Normal 13 11 2 2 2" xfId="14432" xr:uid="{1195FEAB-D64D-4CA4-B4F9-057296D28D3A}"/>
    <cellStyle name="Normal 13 11 2 3" xfId="10512" xr:uid="{24F04D22-6D00-49C5-82FD-5CAC2B641F4B}"/>
    <cellStyle name="Normal 13 11 3" xfId="4618" xr:uid="{3F49EE24-ACCE-40AD-BB85-012E23E17877}"/>
    <cellStyle name="Normal 13 11 3 2" xfId="12478" xr:uid="{0D416B1B-598B-460E-8C78-A6DA9C325F31}"/>
    <cellStyle name="Normal 13 11 4" xfId="8559" xr:uid="{910EF405-CFFE-4834-81FE-F5CA27D221B7}"/>
    <cellStyle name="Normal 13 12" xfId="1134" xr:uid="{00000000-0005-0000-0000-0000C9030000}"/>
    <cellStyle name="Normal 13 12 2" xfId="3088" xr:uid="{00000000-0005-0000-0000-0000CA030000}"/>
    <cellStyle name="Normal 13 12 2 2" xfId="7009" xr:uid="{078C58FB-762F-4479-AFE5-42C4494C6AB8}"/>
    <cellStyle name="Normal 13 12 2 2 2" xfId="14869" xr:uid="{4E04B224-B3F4-4244-BB51-CA4DDE243594}"/>
    <cellStyle name="Normal 13 12 2 3" xfId="10949" xr:uid="{AEF6CA2C-5B10-4440-9AC7-3F17C3EA6F6E}"/>
    <cellStyle name="Normal 13 12 3" xfId="5055" xr:uid="{7EA6C5AF-5CF4-467D-8B03-0A18B9471AF9}"/>
    <cellStyle name="Normal 13 12 3 2" xfId="12915" xr:uid="{EB68AE67-D893-430E-B94D-62349A4EE387}"/>
    <cellStyle name="Normal 13 12 4" xfId="8996" xr:uid="{78D78893-390B-452E-83B5-3C87CA279D0D}"/>
    <cellStyle name="Normal 13 13" xfId="1954" xr:uid="{00000000-0005-0000-0000-0000CB030000}"/>
    <cellStyle name="Normal 13 13 2" xfId="3905" xr:uid="{00000000-0005-0000-0000-0000CC030000}"/>
    <cellStyle name="Normal 13 13 2 2" xfId="7826" xr:uid="{67A67B58-4B0F-414C-A897-E681AA56E33F}"/>
    <cellStyle name="Normal 13 13 2 2 2" xfId="15686" xr:uid="{28041B8E-FAC5-48A2-8C46-4FD0FC8F4566}"/>
    <cellStyle name="Normal 13 13 2 3" xfId="11766" xr:uid="{35118D3D-9942-4E9A-853D-930147F8AD63}"/>
    <cellStyle name="Normal 13 13 3" xfId="5875" xr:uid="{19C7DC8C-7D73-4D70-A582-522749031DD2}"/>
    <cellStyle name="Normal 13 13 3 2" xfId="13735" xr:uid="{815F8D45-A6C9-4112-AE6B-6C9597DC1098}"/>
    <cellStyle name="Normal 13 13 4" xfId="9816" xr:uid="{F207528C-0B03-461D-B7A6-AD70BC13A93E}"/>
    <cellStyle name="Normal 13 14" xfId="1927" xr:uid="{00000000-0005-0000-0000-0000CD030000}"/>
    <cellStyle name="Normal 13 14 2" xfId="3880" xr:uid="{00000000-0005-0000-0000-0000CE030000}"/>
    <cellStyle name="Normal 13 14 2 2" xfId="7801" xr:uid="{C1ADEEEC-416F-414E-9159-A8E14FBFB2D8}"/>
    <cellStyle name="Normal 13 14 2 2 2" xfId="15661" xr:uid="{F5684CD5-2696-48F3-A118-9C381BF220CC}"/>
    <cellStyle name="Normal 13 14 2 3" xfId="11741" xr:uid="{D665BC19-CEE0-4958-8337-2AD0D189BC3F}"/>
    <cellStyle name="Normal 13 14 3" xfId="5848" xr:uid="{CC78C5D4-BEA9-41C2-82D0-B483F0069297}"/>
    <cellStyle name="Normal 13 14 3 2" xfId="13708" xr:uid="{8152E6C5-2BF8-44BE-9C4E-5485DD5D1D6C}"/>
    <cellStyle name="Normal 13 14 4" xfId="9789" xr:uid="{B71E4494-5557-4E84-B694-1605D2689B1C}"/>
    <cellStyle name="Normal 13 15" xfId="1964" xr:uid="{00000000-0005-0000-0000-0000CF030000}"/>
    <cellStyle name="Normal 13 15 2" xfId="3915" xr:uid="{00000000-0005-0000-0000-0000D0030000}"/>
    <cellStyle name="Normal 13 15 2 2" xfId="7836" xr:uid="{5C9E9FC2-5BC4-442E-8017-974B7A655CBD}"/>
    <cellStyle name="Normal 13 15 2 2 2" xfId="15696" xr:uid="{13BDC475-CCBF-4A51-B3AD-C3A13FADF221}"/>
    <cellStyle name="Normal 13 15 2 3" xfId="11776" xr:uid="{FFF93447-0EF8-44F3-9371-B2B986B000AF}"/>
    <cellStyle name="Normal 13 15 3" xfId="5885" xr:uid="{7F8E5E77-D1C7-470D-A53D-07902C1EB605}"/>
    <cellStyle name="Normal 13 15 3 2" xfId="13745" xr:uid="{4932E601-6F90-48C8-A1B7-307D9DC1132A}"/>
    <cellStyle name="Normal 13 15 4" xfId="9826" xr:uid="{FF6EE4B5-C248-4882-95D7-1E63AD93518F}"/>
    <cellStyle name="Normal 13 16" xfId="1980" xr:uid="{00000000-0005-0000-0000-0000D1030000}"/>
    <cellStyle name="Normal 13 16 2" xfId="5901" xr:uid="{0730697F-E3F0-4328-85A5-5726C1262D91}"/>
    <cellStyle name="Normal 13 16 2 2" xfId="13761" xr:uid="{1F351CE4-D075-4FF2-9FBE-E00F09185EE5}"/>
    <cellStyle name="Normal 13 16 3" xfId="9841" xr:uid="{4350CF25-38B0-4999-918D-70D4F3925F8C}"/>
    <cellStyle name="Normal 13 17" xfId="3946" xr:uid="{8F877498-5155-4B47-A1D7-320226AE0ED6}"/>
    <cellStyle name="Normal 13 17 2" xfId="11806" xr:uid="{4C472D14-AA5C-47C1-8A8A-3431FB5959D3}"/>
    <cellStyle name="Normal 13 18" xfId="7883" xr:uid="{55AD1ADB-DCF2-4C40-9B0A-1481097C75D6}"/>
    <cellStyle name="Normal 13 2" xfId="20" xr:uid="{00000000-0005-0000-0000-0000D2030000}"/>
    <cellStyle name="Normal 13 2 10" xfId="1991" xr:uid="{00000000-0005-0000-0000-0000D3030000}"/>
    <cellStyle name="Normal 13 2 10 2" xfId="5912" xr:uid="{95C88A5C-0638-4EA2-9368-3F4CB2F71881}"/>
    <cellStyle name="Normal 13 2 10 2 2" xfId="13772" xr:uid="{C212E4DA-BC32-4393-A54F-FA83EDD8774E}"/>
    <cellStyle name="Normal 13 2 10 3" xfId="9852" xr:uid="{D98EDEEC-339A-4C26-A295-20676D14330C}"/>
    <cellStyle name="Normal 13 2 11" xfId="3958" xr:uid="{07F35A5E-B2EE-4637-B806-B92E55A1E7DF}"/>
    <cellStyle name="Normal 13 2 11 2" xfId="11818" xr:uid="{963C26AC-0C3C-4314-89BD-8AA9110CAA67}"/>
    <cellStyle name="Normal 13 2 12" xfId="7895" xr:uid="{874431E5-023D-4142-B310-9F684021436A}"/>
    <cellStyle name="Normal 13 2 2" xfId="62" xr:uid="{00000000-0005-0000-0000-0000D4030000}"/>
    <cellStyle name="Normal 13 2 2 10" xfId="3998" xr:uid="{28DB4C6B-C21F-4EDC-837E-8EB2692A842F}"/>
    <cellStyle name="Normal 13 2 2 10 2" xfId="11858" xr:uid="{12DB310F-37C2-4AC1-AF3D-184E943F2050}"/>
    <cellStyle name="Normal 13 2 2 11" xfId="7936" xr:uid="{836E98B7-1D89-49E4-985D-A26244FEB7F0}"/>
    <cellStyle name="Normal 13 2 2 2" xfId="218" xr:uid="{00000000-0005-0000-0000-0000D5030000}"/>
    <cellStyle name="Normal 13 2 2 2 2" xfId="670" xr:uid="{00000000-0005-0000-0000-0000D6030000}"/>
    <cellStyle name="Normal 13 2 2 2 2 2" xfId="2624" xr:uid="{00000000-0005-0000-0000-0000D7030000}"/>
    <cellStyle name="Normal 13 2 2 2 2 2 2" xfId="6545" xr:uid="{5C9742EC-A8E2-4CFA-BF9F-F39855889FD0}"/>
    <cellStyle name="Normal 13 2 2 2 2 2 2 2" xfId="14405" xr:uid="{862434B9-CAA0-4A7E-8776-AB060D438A39}"/>
    <cellStyle name="Normal 13 2 2 2 2 2 3" xfId="10485" xr:uid="{E9C2C9FD-0AB6-44BF-8B4C-249A93923B22}"/>
    <cellStyle name="Normal 13 2 2 2 2 3" xfId="4591" xr:uid="{598413A7-608C-4CEF-AF53-B8D977809EAE}"/>
    <cellStyle name="Normal 13 2 2 2 2 3 2" xfId="12451" xr:uid="{5D1E95BC-7BC3-477D-B381-A75B6F6262FC}"/>
    <cellStyle name="Normal 13 2 2 2 2 4" xfId="8532" xr:uid="{90F55382-3855-4602-AB1E-6639B5D79695}"/>
    <cellStyle name="Normal 13 2 2 2 3" xfId="1107" xr:uid="{00000000-0005-0000-0000-0000D8030000}"/>
    <cellStyle name="Normal 13 2 2 2 3 2" xfId="3061" xr:uid="{00000000-0005-0000-0000-0000D9030000}"/>
    <cellStyle name="Normal 13 2 2 2 3 2 2" xfId="6982" xr:uid="{D6852747-112E-4977-963F-9F4160B6C745}"/>
    <cellStyle name="Normal 13 2 2 2 3 2 2 2" xfId="14842" xr:uid="{53D2D937-3413-438C-8B84-5C549BE1840D}"/>
    <cellStyle name="Normal 13 2 2 2 3 2 3" xfId="10922" xr:uid="{46F010CE-9AF2-4E93-97D0-C5FFA521BCD5}"/>
    <cellStyle name="Normal 13 2 2 2 3 3" xfId="5028" xr:uid="{473D2C2A-52E2-469A-8B56-4B8ECE14BD39}"/>
    <cellStyle name="Normal 13 2 2 2 3 3 2" xfId="12888" xr:uid="{58A57026-7BED-4C75-9EAF-4C9534399F21}"/>
    <cellStyle name="Normal 13 2 2 2 3 4" xfId="8969" xr:uid="{B929124C-159E-4D2A-8625-7B13929F03AC}"/>
    <cellStyle name="Normal 13 2 2 2 4" xfId="1534" xr:uid="{00000000-0005-0000-0000-0000DA030000}"/>
    <cellStyle name="Normal 13 2 2 2 4 2" xfId="3488" xr:uid="{00000000-0005-0000-0000-0000DB030000}"/>
    <cellStyle name="Normal 13 2 2 2 4 2 2" xfId="7409" xr:uid="{10243FB0-7B7E-40F7-801B-BFE1F95C8FAF}"/>
    <cellStyle name="Normal 13 2 2 2 4 2 2 2" xfId="15269" xr:uid="{15642B6F-2205-4881-A1B5-4B1429CE3062}"/>
    <cellStyle name="Normal 13 2 2 2 4 2 3" xfId="11349" xr:uid="{B10ACDB6-3AED-426D-8A37-5825E16A21C7}"/>
    <cellStyle name="Normal 13 2 2 2 4 3" xfId="5455" xr:uid="{4E33AED5-6BDE-42DF-AAB1-4E02DA6737D9}"/>
    <cellStyle name="Normal 13 2 2 2 4 3 2" xfId="13315" xr:uid="{B941FB12-AC47-4D70-BD78-10948898FB3B}"/>
    <cellStyle name="Normal 13 2 2 2 4 4" xfId="9396" xr:uid="{EA75DEF6-0873-4226-9491-3A39E8B57A80}"/>
    <cellStyle name="Normal 13 2 2 2 5" xfId="2187" xr:uid="{00000000-0005-0000-0000-0000DC030000}"/>
    <cellStyle name="Normal 13 2 2 2 5 2" xfId="6108" xr:uid="{118A3E5D-D226-4102-B770-B39C960192BE}"/>
    <cellStyle name="Normal 13 2 2 2 5 2 2" xfId="13968" xr:uid="{ABAF589A-BBD2-4661-8B77-F2602A88BC7A}"/>
    <cellStyle name="Normal 13 2 2 2 5 3" xfId="10048" xr:uid="{31489AFF-41A8-42A9-AE44-DECDA2F038BA}"/>
    <cellStyle name="Normal 13 2 2 2 6" xfId="4154" xr:uid="{A4E42531-B55E-451B-8F51-EB9D26632AAF}"/>
    <cellStyle name="Normal 13 2 2 2 6 2" xfId="12014" xr:uid="{0DAD2C72-212F-4149-93FE-206728F11DDF}"/>
    <cellStyle name="Normal 13 2 2 2 7" xfId="8092" xr:uid="{65E52F5F-EAEC-41FE-9F69-82D408315923}"/>
    <cellStyle name="Normal 13 2 2 3" xfId="140" xr:uid="{00000000-0005-0000-0000-0000DD030000}"/>
    <cellStyle name="Normal 13 2 2 3 2" xfId="592" xr:uid="{00000000-0005-0000-0000-0000DE030000}"/>
    <cellStyle name="Normal 13 2 2 3 2 2" xfId="2546" xr:uid="{00000000-0005-0000-0000-0000DF030000}"/>
    <cellStyle name="Normal 13 2 2 3 2 2 2" xfId="6467" xr:uid="{BF99566B-EC53-4B5A-A7E9-DBD0EE81AE0F}"/>
    <cellStyle name="Normal 13 2 2 3 2 2 2 2" xfId="14327" xr:uid="{4DE4127B-775C-4E99-8F60-C640BB4F5067}"/>
    <cellStyle name="Normal 13 2 2 3 2 2 3" xfId="10407" xr:uid="{340B6BE5-6FA4-4AFE-B3F0-3264FA1EFDE9}"/>
    <cellStyle name="Normal 13 2 2 3 2 3" xfId="4513" xr:uid="{E2CC8E04-B258-4823-BE01-B86664A4DE84}"/>
    <cellStyle name="Normal 13 2 2 3 2 3 2" xfId="12373" xr:uid="{6287AB97-27DB-4A88-B7B0-89555559C9FC}"/>
    <cellStyle name="Normal 13 2 2 3 2 4" xfId="8454" xr:uid="{63C5EFA5-27BC-4D31-8E12-1C7231CD357C}"/>
    <cellStyle name="Normal 13 2 2 3 3" xfId="1029" xr:uid="{00000000-0005-0000-0000-0000E0030000}"/>
    <cellStyle name="Normal 13 2 2 3 3 2" xfId="2983" xr:uid="{00000000-0005-0000-0000-0000E1030000}"/>
    <cellStyle name="Normal 13 2 2 3 3 2 2" xfId="6904" xr:uid="{8F59FE16-DA59-4A1B-AA92-60FA32B39098}"/>
    <cellStyle name="Normal 13 2 2 3 3 2 2 2" xfId="14764" xr:uid="{43AC2AFD-5CC0-421A-9D3B-31190CA76AC9}"/>
    <cellStyle name="Normal 13 2 2 3 3 2 3" xfId="10844" xr:uid="{B6BCA524-1D4C-412C-8920-20CE92CFBB5E}"/>
    <cellStyle name="Normal 13 2 2 3 3 3" xfId="4950" xr:uid="{81640334-CCB5-455F-83D1-B971C117CA38}"/>
    <cellStyle name="Normal 13 2 2 3 3 3 2" xfId="12810" xr:uid="{3469669C-F43C-4776-AF0B-F8813B1F776B}"/>
    <cellStyle name="Normal 13 2 2 3 3 4" xfId="8891" xr:uid="{2C17AC50-3D5F-47CA-8A57-724B7FCC2A6D}"/>
    <cellStyle name="Normal 13 2 2 3 4" xfId="1456" xr:uid="{00000000-0005-0000-0000-0000E2030000}"/>
    <cellStyle name="Normal 13 2 2 3 4 2" xfId="3410" xr:uid="{00000000-0005-0000-0000-0000E3030000}"/>
    <cellStyle name="Normal 13 2 2 3 4 2 2" xfId="7331" xr:uid="{CD528D9F-43B8-4AB3-94AF-BA99A2103F73}"/>
    <cellStyle name="Normal 13 2 2 3 4 2 2 2" xfId="15191" xr:uid="{CD15F9AB-A2C0-4633-A56C-390555C8DCC0}"/>
    <cellStyle name="Normal 13 2 2 3 4 2 3" xfId="11271" xr:uid="{13CC0C89-BC40-4759-BBA9-CCFB9B32FB5D}"/>
    <cellStyle name="Normal 13 2 2 3 4 3" xfId="5377" xr:uid="{B6325E6C-8F39-4C41-B978-85A7FD5F189F}"/>
    <cellStyle name="Normal 13 2 2 3 4 3 2" xfId="13237" xr:uid="{35420B9D-93BE-4017-9D79-DA5A8C9A187C}"/>
    <cellStyle name="Normal 13 2 2 3 4 4" xfId="9318" xr:uid="{F38C60C1-31AC-431E-BAC3-861749ED6AD5}"/>
    <cellStyle name="Normal 13 2 2 3 5" xfId="2109" xr:uid="{00000000-0005-0000-0000-0000E4030000}"/>
    <cellStyle name="Normal 13 2 2 3 5 2" xfId="6030" xr:uid="{397A0E8F-CF52-47A5-9403-9AEF6A959033}"/>
    <cellStyle name="Normal 13 2 2 3 5 2 2" xfId="13890" xr:uid="{864DD47B-7402-4243-8CBA-3C47E44455AE}"/>
    <cellStyle name="Normal 13 2 2 3 5 3" xfId="9970" xr:uid="{6E80A056-575A-499F-9AB5-CB90830C6A2C}"/>
    <cellStyle name="Normal 13 2 2 3 6" xfId="4076" xr:uid="{5A6825FC-D80B-4D9B-9C25-1DA2DA632801}"/>
    <cellStyle name="Normal 13 2 2 3 6 2" xfId="11936" xr:uid="{9A888971-7596-4B3F-8315-D83EE4CAD68F}"/>
    <cellStyle name="Normal 13 2 2 3 7" xfId="8014" xr:uid="{13889EA4-547F-4BF4-8B9B-71D29C42359F}"/>
    <cellStyle name="Normal 13 2 2 4" xfId="324" xr:uid="{00000000-0005-0000-0000-0000E5030000}"/>
    <cellStyle name="Normal 13 2 2 4 2" xfId="776" xr:uid="{00000000-0005-0000-0000-0000E6030000}"/>
    <cellStyle name="Normal 13 2 2 4 2 2" xfId="2730" xr:uid="{00000000-0005-0000-0000-0000E7030000}"/>
    <cellStyle name="Normal 13 2 2 4 2 2 2" xfId="6651" xr:uid="{B13F698F-7370-449F-BAFE-4699819C5540}"/>
    <cellStyle name="Normal 13 2 2 4 2 2 2 2" xfId="14511" xr:uid="{FC1F6B5A-9AD9-4B3B-85F8-FCD5526D9D07}"/>
    <cellStyle name="Normal 13 2 2 4 2 2 3" xfId="10591" xr:uid="{DCF7237F-9354-4C52-BED8-E39826A6D465}"/>
    <cellStyle name="Normal 13 2 2 4 2 3" xfId="4697" xr:uid="{229255A2-0F7A-40B1-9DEE-861593FBCF15}"/>
    <cellStyle name="Normal 13 2 2 4 2 3 2" xfId="12557" xr:uid="{071633FE-EA03-4BBE-ABDE-D3893B522A30}"/>
    <cellStyle name="Normal 13 2 2 4 2 4" xfId="8638" xr:uid="{61A9B62B-01E2-4BF1-A039-8864FC58B8AA}"/>
    <cellStyle name="Normal 13 2 2 4 3" xfId="1211" xr:uid="{00000000-0005-0000-0000-0000E8030000}"/>
    <cellStyle name="Normal 13 2 2 4 3 2" xfId="3165" xr:uid="{00000000-0005-0000-0000-0000E9030000}"/>
    <cellStyle name="Normal 13 2 2 4 3 2 2" xfId="7086" xr:uid="{63CF6C56-1E73-4BED-AF6F-B9DBF9E5DBCE}"/>
    <cellStyle name="Normal 13 2 2 4 3 2 2 2" xfId="14946" xr:uid="{E4969FB4-586C-40A8-B97D-47AB136D5846}"/>
    <cellStyle name="Normal 13 2 2 4 3 2 3" xfId="11026" xr:uid="{3E3167A1-7FB3-423E-AAF6-D79105648215}"/>
    <cellStyle name="Normal 13 2 2 4 3 3" xfId="5132" xr:uid="{733AF8B4-583B-4F95-B4F6-5CFFF93AECE8}"/>
    <cellStyle name="Normal 13 2 2 4 3 3 2" xfId="12992" xr:uid="{93E28CF5-25E5-4CAF-AE54-1750959B6D94}"/>
    <cellStyle name="Normal 13 2 2 4 3 4" xfId="9073" xr:uid="{5A1436AA-86B7-4EA1-8C07-F454BA948B29}"/>
    <cellStyle name="Normal 13 2 2 4 4" xfId="1631" xr:uid="{00000000-0005-0000-0000-0000EA030000}"/>
    <cellStyle name="Normal 13 2 2 4 4 2" xfId="3585" xr:uid="{00000000-0005-0000-0000-0000EB030000}"/>
    <cellStyle name="Normal 13 2 2 4 4 2 2" xfId="7506" xr:uid="{87CFB56B-3944-4490-BA66-A8DBC3627274}"/>
    <cellStyle name="Normal 13 2 2 4 4 2 2 2" xfId="15366" xr:uid="{1D32850D-2FEC-4ECE-AC9E-F6D6E36CCA6F}"/>
    <cellStyle name="Normal 13 2 2 4 4 2 3" xfId="11446" xr:uid="{C8E6F471-6EF0-4584-8EC5-E46308E39646}"/>
    <cellStyle name="Normal 13 2 2 4 4 3" xfId="5552" xr:uid="{BE73E3B2-1112-462B-B240-BBF4B274584A}"/>
    <cellStyle name="Normal 13 2 2 4 4 3 2" xfId="13412" xr:uid="{3A136B08-E878-4AD9-81F5-1D40D12125F8}"/>
    <cellStyle name="Normal 13 2 2 4 4 4" xfId="9493" xr:uid="{F2C40E6D-FD67-4B43-A5C6-ACD0A6A34620}"/>
    <cellStyle name="Normal 13 2 2 4 5" xfId="2285" xr:uid="{00000000-0005-0000-0000-0000EC030000}"/>
    <cellStyle name="Normal 13 2 2 4 5 2" xfId="6206" xr:uid="{75BFCC54-084A-4FDC-A526-81CEC916E4F0}"/>
    <cellStyle name="Normal 13 2 2 4 5 2 2" xfId="14066" xr:uid="{5C12065F-8379-42CD-ACC6-D0F697E732B2}"/>
    <cellStyle name="Normal 13 2 2 4 5 3" xfId="10146" xr:uid="{F14D376F-EA3C-4DEB-AC8B-53E22F611D91}"/>
    <cellStyle name="Normal 13 2 2 4 6" xfId="4252" xr:uid="{031621DE-E5DD-4DA3-8DBA-8AF7DB7257F9}"/>
    <cellStyle name="Normal 13 2 2 4 6 2" xfId="12112" xr:uid="{270648AB-9CD5-42D0-A1DD-99CDBBF1346F}"/>
    <cellStyle name="Normal 13 2 2 4 7" xfId="8191" xr:uid="{94F838E9-AD14-4EA1-8254-CBDF34AF8A24}"/>
    <cellStyle name="Normal 13 2 2 5" xfId="422" xr:uid="{00000000-0005-0000-0000-0000ED030000}"/>
    <cellStyle name="Normal 13 2 2 5 2" xfId="873" xr:uid="{00000000-0005-0000-0000-0000EE030000}"/>
    <cellStyle name="Normal 13 2 2 5 2 2" xfId="2827" xr:uid="{00000000-0005-0000-0000-0000EF030000}"/>
    <cellStyle name="Normal 13 2 2 5 2 2 2" xfId="6748" xr:uid="{72EFB2D0-4B3B-44C8-B224-1C3B1524C09D}"/>
    <cellStyle name="Normal 13 2 2 5 2 2 2 2" xfId="14608" xr:uid="{1737C162-A690-4DBD-8A37-D0CDFED69C8A}"/>
    <cellStyle name="Normal 13 2 2 5 2 2 3" xfId="10688" xr:uid="{A7E90AEF-A746-468D-A67B-898201D85F3D}"/>
    <cellStyle name="Normal 13 2 2 5 2 3" xfId="4794" xr:uid="{4BF8AF5C-D022-4BD9-A109-B761AA8D040E}"/>
    <cellStyle name="Normal 13 2 2 5 2 3 2" xfId="12654" xr:uid="{0998B8E9-241E-4292-91AD-170FB436DD59}"/>
    <cellStyle name="Normal 13 2 2 5 2 4" xfId="8735" xr:uid="{856EF523-058B-40B8-8969-9F159BDF52D6}"/>
    <cellStyle name="Normal 13 2 2 5 3" xfId="1305" xr:uid="{00000000-0005-0000-0000-0000F0030000}"/>
    <cellStyle name="Normal 13 2 2 5 3 2" xfId="3259" xr:uid="{00000000-0005-0000-0000-0000F1030000}"/>
    <cellStyle name="Normal 13 2 2 5 3 2 2" xfId="7180" xr:uid="{E0ACC4C8-529D-4E84-951B-444DC07181DF}"/>
    <cellStyle name="Normal 13 2 2 5 3 2 2 2" xfId="15040" xr:uid="{9DB93F82-FAF5-49C4-9B38-AE6C9CEC6359}"/>
    <cellStyle name="Normal 13 2 2 5 3 2 3" xfId="11120" xr:uid="{AF643FF9-BD52-49BC-B7DD-2B391E8F469F}"/>
    <cellStyle name="Normal 13 2 2 5 3 3" xfId="5226" xr:uid="{F96EDA6E-AF49-4CCB-8D3D-1DAD26D1BDD3}"/>
    <cellStyle name="Normal 13 2 2 5 3 3 2" xfId="13086" xr:uid="{413F36DB-A07A-411A-96BF-DFD1EED01D42}"/>
    <cellStyle name="Normal 13 2 2 5 3 4" xfId="9167" xr:uid="{5BAB88A3-4289-4337-B07D-FD783D941D89}"/>
    <cellStyle name="Normal 13 2 2 5 4" xfId="1723" xr:uid="{00000000-0005-0000-0000-0000F2030000}"/>
    <cellStyle name="Normal 13 2 2 5 4 2" xfId="3677" xr:uid="{00000000-0005-0000-0000-0000F3030000}"/>
    <cellStyle name="Normal 13 2 2 5 4 2 2" xfId="7598" xr:uid="{0FC6F45A-1F49-4C43-BBF1-5DE99BFD0251}"/>
    <cellStyle name="Normal 13 2 2 5 4 2 2 2" xfId="15458" xr:uid="{4ED2219C-9029-4979-93DD-05CDDD56ED81}"/>
    <cellStyle name="Normal 13 2 2 5 4 2 3" xfId="11538" xr:uid="{A553A734-E333-4B82-B748-21213166690F}"/>
    <cellStyle name="Normal 13 2 2 5 4 3" xfId="5644" xr:uid="{AF0B5D17-313F-41C6-9D5B-627803FA7D1D}"/>
    <cellStyle name="Normal 13 2 2 5 4 3 2" xfId="13504" xr:uid="{2A4BE66B-1D97-4133-8E39-E93952E189B4}"/>
    <cellStyle name="Normal 13 2 2 5 4 4" xfId="9585" xr:uid="{2632BC68-ADEB-4415-B3FE-08F11F662D7C}"/>
    <cellStyle name="Normal 13 2 2 5 5" xfId="2377" xr:uid="{00000000-0005-0000-0000-0000F4030000}"/>
    <cellStyle name="Normal 13 2 2 5 5 2" xfId="6298" xr:uid="{8C76FC9C-35D6-4A13-A00E-6131CF0FAC02}"/>
    <cellStyle name="Normal 13 2 2 5 5 2 2" xfId="14158" xr:uid="{15C4F8A6-E5EC-43B0-BA59-54B54ACADA24}"/>
    <cellStyle name="Normal 13 2 2 5 5 3" xfId="10238" xr:uid="{E587500F-AE48-4DA7-86F3-D2619CAB2ECA}"/>
    <cellStyle name="Normal 13 2 2 5 6" xfId="4344" xr:uid="{F8B7970D-3314-4678-A40B-5A5E85296B4A}"/>
    <cellStyle name="Normal 13 2 2 5 6 2" xfId="12204" xr:uid="{BB37FFBA-DF8D-4E55-9A43-828239C5E437}"/>
    <cellStyle name="Normal 13 2 2 5 7" xfId="8285" xr:uid="{E3548ADC-10A6-4DE0-ACCE-2E22E050B3D2}"/>
    <cellStyle name="Normal 13 2 2 6" xfId="514" xr:uid="{00000000-0005-0000-0000-0000F5030000}"/>
    <cellStyle name="Normal 13 2 2 6 2" xfId="2468" xr:uid="{00000000-0005-0000-0000-0000F6030000}"/>
    <cellStyle name="Normal 13 2 2 6 2 2" xfId="6389" xr:uid="{B9ED74A4-DD42-489A-A088-47747A27A8A9}"/>
    <cellStyle name="Normal 13 2 2 6 2 2 2" xfId="14249" xr:uid="{BA90593F-73BC-485E-8569-02D3D6ECA8A5}"/>
    <cellStyle name="Normal 13 2 2 6 2 3" xfId="10329" xr:uid="{51C576D3-7138-456A-B1A6-521F6B3A4896}"/>
    <cellStyle name="Normal 13 2 2 6 3" xfId="4435" xr:uid="{DE2233A6-09E6-467A-8C2D-21A52B0036FC}"/>
    <cellStyle name="Normal 13 2 2 6 3 2" xfId="12295" xr:uid="{9BE80272-777B-476E-A9C6-81000B0E922D}"/>
    <cellStyle name="Normal 13 2 2 6 4" xfId="8376" xr:uid="{A7A78B59-E198-4A21-983C-B5A3A3755685}"/>
    <cellStyle name="Normal 13 2 2 7" xfId="951" xr:uid="{00000000-0005-0000-0000-0000F7030000}"/>
    <cellStyle name="Normal 13 2 2 7 2" xfId="2905" xr:uid="{00000000-0005-0000-0000-0000F8030000}"/>
    <cellStyle name="Normal 13 2 2 7 2 2" xfId="6826" xr:uid="{BA3F4680-9E1F-42A8-8590-1BFB7A1F1B01}"/>
    <cellStyle name="Normal 13 2 2 7 2 2 2" xfId="14686" xr:uid="{1D05A539-209B-4EC9-B7BB-39E132D54CE2}"/>
    <cellStyle name="Normal 13 2 2 7 2 3" xfId="10766" xr:uid="{76EF0FAA-624A-4973-96D1-C56059AD5D77}"/>
    <cellStyle name="Normal 13 2 2 7 3" xfId="4872" xr:uid="{5DC3B18F-06E0-45D2-A75C-83B5148AE22C}"/>
    <cellStyle name="Normal 13 2 2 7 3 2" xfId="12732" xr:uid="{C24D2958-4EE1-4108-8C3D-E43FD7620ECA}"/>
    <cellStyle name="Normal 13 2 2 7 4" xfId="8813" xr:uid="{9BCEE3D8-97E1-4BA6-B65D-5FBEB78B7986}"/>
    <cellStyle name="Normal 13 2 2 8" xfId="1378" xr:uid="{00000000-0005-0000-0000-0000F9030000}"/>
    <cellStyle name="Normal 13 2 2 8 2" xfId="3332" xr:uid="{00000000-0005-0000-0000-0000FA030000}"/>
    <cellStyle name="Normal 13 2 2 8 2 2" xfId="7253" xr:uid="{F0F22F62-01F1-4B6B-8704-876DFD7633A6}"/>
    <cellStyle name="Normal 13 2 2 8 2 2 2" xfId="15113" xr:uid="{921102C5-8150-4282-B8AE-B17416768F04}"/>
    <cellStyle name="Normal 13 2 2 8 2 3" xfId="11193" xr:uid="{45CB2828-781B-4FCA-9D7E-C036DE75E383}"/>
    <cellStyle name="Normal 13 2 2 8 3" xfId="5299" xr:uid="{0BA05F90-0338-4B4C-AF18-22390D85A9BA}"/>
    <cellStyle name="Normal 13 2 2 8 3 2" xfId="13159" xr:uid="{68A79509-D3FC-4F96-9404-2B7AF5DE317E}"/>
    <cellStyle name="Normal 13 2 2 8 4" xfId="9240" xr:uid="{1C090BF6-A4C5-4752-98A0-4738CE4E8380}"/>
    <cellStyle name="Normal 13 2 2 9" xfId="2031" xr:uid="{00000000-0005-0000-0000-0000FB030000}"/>
    <cellStyle name="Normal 13 2 2 9 2" xfId="5952" xr:uid="{BACF7784-E7D1-4577-9E6E-46F3022D7ADB}"/>
    <cellStyle name="Normal 13 2 2 9 2 2" xfId="13812" xr:uid="{B243C834-01B3-4C94-9258-94354FB38005}"/>
    <cellStyle name="Normal 13 2 2 9 3" xfId="9892" xr:uid="{00A9E2BC-1749-48A4-9B23-915E69A40354}"/>
    <cellStyle name="Normal 13 2 3" xfId="179" xr:uid="{00000000-0005-0000-0000-0000FC030000}"/>
    <cellStyle name="Normal 13 2 3 2" xfId="631" xr:uid="{00000000-0005-0000-0000-0000FD030000}"/>
    <cellStyle name="Normal 13 2 3 2 2" xfId="2585" xr:uid="{00000000-0005-0000-0000-0000FE030000}"/>
    <cellStyle name="Normal 13 2 3 2 2 2" xfId="6506" xr:uid="{DF87CAB9-D4BF-4193-9224-59D974D25198}"/>
    <cellStyle name="Normal 13 2 3 2 2 2 2" xfId="14366" xr:uid="{8ADE890D-3FDA-46D1-B4E3-C0638D303F91}"/>
    <cellStyle name="Normal 13 2 3 2 2 3" xfId="10446" xr:uid="{0896950E-23CB-408A-9616-0B8114BCA1E8}"/>
    <cellStyle name="Normal 13 2 3 2 3" xfId="4552" xr:uid="{742488D1-7693-4C28-972A-0AFD50198381}"/>
    <cellStyle name="Normal 13 2 3 2 3 2" xfId="12412" xr:uid="{78C42F35-4CAD-49AE-B919-674A907DE8E3}"/>
    <cellStyle name="Normal 13 2 3 2 4" xfId="8493" xr:uid="{046663D9-AA38-4F5C-8196-FC65AD53DD82}"/>
    <cellStyle name="Normal 13 2 3 3" xfId="1068" xr:uid="{00000000-0005-0000-0000-0000FF030000}"/>
    <cellStyle name="Normal 13 2 3 3 2" xfId="3022" xr:uid="{00000000-0005-0000-0000-000000040000}"/>
    <cellStyle name="Normal 13 2 3 3 2 2" xfId="6943" xr:uid="{2850E5D1-E069-4CE4-88E8-6DE6F973E997}"/>
    <cellStyle name="Normal 13 2 3 3 2 2 2" xfId="14803" xr:uid="{F86C5EED-2780-4AD3-9EB2-4BD36FF7BEBB}"/>
    <cellStyle name="Normal 13 2 3 3 2 3" xfId="10883" xr:uid="{1D369C43-F3B6-4C3E-B3FD-68C1F8D30ED0}"/>
    <cellStyle name="Normal 13 2 3 3 3" xfId="4989" xr:uid="{A158221C-F909-4EC5-8F2D-E8D0D3EB95E3}"/>
    <cellStyle name="Normal 13 2 3 3 3 2" xfId="12849" xr:uid="{53393F78-5885-41F5-9441-89DF4BEE6CE2}"/>
    <cellStyle name="Normal 13 2 3 3 4" xfId="8930" xr:uid="{6D03A3F4-FDB0-4F2B-AFC4-ABFA259608A3}"/>
    <cellStyle name="Normal 13 2 3 4" xfId="1495" xr:uid="{00000000-0005-0000-0000-000001040000}"/>
    <cellStyle name="Normal 13 2 3 4 2" xfId="3449" xr:uid="{00000000-0005-0000-0000-000002040000}"/>
    <cellStyle name="Normal 13 2 3 4 2 2" xfId="7370" xr:uid="{9DAC2CF6-97CF-4909-B62D-D0F110D5B755}"/>
    <cellStyle name="Normal 13 2 3 4 2 2 2" xfId="15230" xr:uid="{62D71128-6B6F-4DE9-B743-7200CDD5F10E}"/>
    <cellStyle name="Normal 13 2 3 4 2 3" xfId="11310" xr:uid="{CD52E651-1288-4AC4-BC92-EF0FEA4A07DC}"/>
    <cellStyle name="Normal 13 2 3 4 3" xfId="5416" xr:uid="{EF9B552B-8967-4C31-8A5B-CCEC94135D96}"/>
    <cellStyle name="Normal 13 2 3 4 3 2" xfId="13276" xr:uid="{0DDAE3F0-9C8E-43EE-A2CE-7D36FD36E645}"/>
    <cellStyle name="Normal 13 2 3 4 4" xfId="9357" xr:uid="{90B08BA8-A8B0-4B08-AECB-95D2F7878BAA}"/>
    <cellStyle name="Normal 13 2 3 5" xfId="2148" xr:uid="{00000000-0005-0000-0000-000003040000}"/>
    <cellStyle name="Normal 13 2 3 5 2" xfId="6069" xr:uid="{63A22DF3-A653-4EE4-8DD3-DEBDE95735ED}"/>
    <cellStyle name="Normal 13 2 3 5 2 2" xfId="13929" xr:uid="{9D9F2747-4A06-41EC-A010-7726F3DE44B4}"/>
    <cellStyle name="Normal 13 2 3 5 3" xfId="10009" xr:uid="{37D93930-3C3A-4EBE-8146-08AAFB46CBEB}"/>
    <cellStyle name="Normal 13 2 3 6" xfId="4115" xr:uid="{AA603DB3-CF6A-45CA-9B16-947D448BBF9C}"/>
    <cellStyle name="Normal 13 2 3 6 2" xfId="11975" xr:uid="{D6EC16D6-31EC-4545-98C3-753EB31A416E}"/>
    <cellStyle name="Normal 13 2 3 7" xfId="8053" xr:uid="{4A6CB309-933A-42E5-99D2-9107D090DB2C}"/>
    <cellStyle name="Normal 13 2 4" xfId="101" xr:uid="{00000000-0005-0000-0000-000004040000}"/>
    <cellStyle name="Normal 13 2 4 2" xfId="553" xr:uid="{00000000-0005-0000-0000-000005040000}"/>
    <cellStyle name="Normal 13 2 4 2 2" xfId="2507" xr:uid="{00000000-0005-0000-0000-000006040000}"/>
    <cellStyle name="Normal 13 2 4 2 2 2" xfId="6428" xr:uid="{B80BEF0B-5774-49CA-A517-7A70EE5788D8}"/>
    <cellStyle name="Normal 13 2 4 2 2 2 2" xfId="14288" xr:uid="{DD8DF156-270E-4AFC-B5EC-D8F989EC873A}"/>
    <cellStyle name="Normal 13 2 4 2 2 3" xfId="10368" xr:uid="{22EE8694-803C-45D5-8264-C0CBFFB85C3D}"/>
    <cellStyle name="Normal 13 2 4 2 3" xfId="4474" xr:uid="{5629BF27-5312-4166-91A1-C43078E90E89}"/>
    <cellStyle name="Normal 13 2 4 2 3 2" xfId="12334" xr:uid="{2C4E0725-FDCE-46E4-A124-CD4C684CA818}"/>
    <cellStyle name="Normal 13 2 4 2 4" xfId="8415" xr:uid="{41E724AB-1195-4671-951C-A3EB07FFC7ED}"/>
    <cellStyle name="Normal 13 2 4 3" xfId="990" xr:uid="{00000000-0005-0000-0000-000007040000}"/>
    <cellStyle name="Normal 13 2 4 3 2" xfId="2944" xr:uid="{00000000-0005-0000-0000-000008040000}"/>
    <cellStyle name="Normal 13 2 4 3 2 2" xfId="6865" xr:uid="{9ED80BA5-4D1B-4461-959C-58B542A2B039}"/>
    <cellStyle name="Normal 13 2 4 3 2 2 2" xfId="14725" xr:uid="{4F4FF7D9-26A5-4058-AF64-DD6C40D62F57}"/>
    <cellStyle name="Normal 13 2 4 3 2 3" xfId="10805" xr:uid="{3088483B-4F58-4D2B-9CD1-436032498364}"/>
    <cellStyle name="Normal 13 2 4 3 3" xfId="4911" xr:uid="{5CB7B617-7511-47D4-9761-27387F4E48C7}"/>
    <cellStyle name="Normal 13 2 4 3 3 2" xfId="12771" xr:uid="{BC857F51-B53A-4E14-BBB7-BA5783AA216C}"/>
    <cellStyle name="Normal 13 2 4 3 4" xfId="8852" xr:uid="{FA88B674-076E-435C-99AD-D6F02DCA07EC}"/>
    <cellStyle name="Normal 13 2 4 4" xfId="1417" xr:uid="{00000000-0005-0000-0000-000009040000}"/>
    <cellStyle name="Normal 13 2 4 4 2" xfId="3371" xr:uid="{00000000-0005-0000-0000-00000A040000}"/>
    <cellStyle name="Normal 13 2 4 4 2 2" xfId="7292" xr:uid="{D44F09E6-1709-4A26-AF10-5C99699156A9}"/>
    <cellStyle name="Normal 13 2 4 4 2 2 2" xfId="15152" xr:uid="{5FD1B030-66AA-45BE-91CC-9AD55973494D}"/>
    <cellStyle name="Normal 13 2 4 4 2 3" xfId="11232" xr:uid="{9EB82BEC-603D-4D38-B248-293CE3A942D6}"/>
    <cellStyle name="Normal 13 2 4 4 3" xfId="5338" xr:uid="{F976B339-7AC2-418E-9646-7A761B432E32}"/>
    <cellStyle name="Normal 13 2 4 4 3 2" xfId="13198" xr:uid="{0A8A1D95-8027-4B86-AEAF-C3934C2FCD9B}"/>
    <cellStyle name="Normal 13 2 4 4 4" xfId="9279" xr:uid="{EA14DD40-FE77-4131-8A24-67DBFD5619B8}"/>
    <cellStyle name="Normal 13 2 4 5" xfId="2070" xr:uid="{00000000-0005-0000-0000-00000B040000}"/>
    <cellStyle name="Normal 13 2 4 5 2" xfId="5991" xr:uid="{406A55C1-3509-4153-A1FB-C2573948F767}"/>
    <cellStyle name="Normal 13 2 4 5 2 2" xfId="13851" xr:uid="{117A4E94-168F-4EE5-AD97-618DDD27107D}"/>
    <cellStyle name="Normal 13 2 4 5 3" xfId="9931" xr:uid="{D7CB8644-5189-4F48-9CCA-A0CC352B571C}"/>
    <cellStyle name="Normal 13 2 4 6" xfId="4037" xr:uid="{9EED95D0-BC7A-4508-A86B-3C2517CA5256}"/>
    <cellStyle name="Normal 13 2 4 6 2" xfId="11897" xr:uid="{C338F1B2-4F00-4943-991A-87204CDC3398}"/>
    <cellStyle name="Normal 13 2 4 7" xfId="7975" xr:uid="{DB22A3AD-BABA-4B90-A93E-09BD5773A604}"/>
    <cellStyle name="Normal 13 2 5" xfId="277" xr:uid="{00000000-0005-0000-0000-00000C040000}"/>
    <cellStyle name="Normal 13 2 5 2" xfId="729" xr:uid="{00000000-0005-0000-0000-00000D040000}"/>
    <cellStyle name="Normal 13 2 5 2 2" xfId="2683" xr:uid="{00000000-0005-0000-0000-00000E040000}"/>
    <cellStyle name="Normal 13 2 5 2 2 2" xfId="6604" xr:uid="{AFF43D9E-6BC2-45DC-AFF0-F66C11958368}"/>
    <cellStyle name="Normal 13 2 5 2 2 2 2" xfId="14464" xr:uid="{D30C85B3-8180-48F8-9EE1-5FFA15A4A70F}"/>
    <cellStyle name="Normal 13 2 5 2 2 3" xfId="10544" xr:uid="{06F64A69-71EF-4883-A720-982B2DC5DA8E}"/>
    <cellStyle name="Normal 13 2 5 2 3" xfId="4650" xr:uid="{7C01B89A-DF21-42C9-9F4B-8008AE7EA668}"/>
    <cellStyle name="Normal 13 2 5 2 3 2" xfId="12510" xr:uid="{8DF7C282-DD14-48C8-97D6-757F5B37320A}"/>
    <cellStyle name="Normal 13 2 5 2 4" xfId="8591" xr:uid="{7B59C77B-290F-4F38-93CA-B8C69DCD4DAE}"/>
    <cellStyle name="Normal 13 2 5 3" xfId="1165" xr:uid="{00000000-0005-0000-0000-00000F040000}"/>
    <cellStyle name="Normal 13 2 5 3 2" xfId="3119" xr:uid="{00000000-0005-0000-0000-000010040000}"/>
    <cellStyle name="Normal 13 2 5 3 2 2" xfId="7040" xr:uid="{F4CA334A-0366-420B-BFF3-DD608F8C7B2C}"/>
    <cellStyle name="Normal 13 2 5 3 2 2 2" xfId="14900" xr:uid="{45AD0FD7-A7EE-4F73-B2F7-A6E6729E6319}"/>
    <cellStyle name="Normal 13 2 5 3 2 3" xfId="10980" xr:uid="{20B1EA62-B823-4FB6-91CA-61FF3436980F}"/>
    <cellStyle name="Normal 13 2 5 3 3" xfId="5086" xr:uid="{341915B3-AA5A-497F-A3FB-F73B5B8B2F60}"/>
    <cellStyle name="Normal 13 2 5 3 3 2" xfId="12946" xr:uid="{65D7969D-40C2-41C5-8C5A-36F3D149D64A}"/>
    <cellStyle name="Normal 13 2 5 3 4" xfId="9027" xr:uid="{5015A79B-244C-445A-A9CC-46688ACD396D}"/>
    <cellStyle name="Normal 13 2 5 4" xfId="1586" xr:uid="{00000000-0005-0000-0000-000011040000}"/>
    <cellStyle name="Normal 13 2 5 4 2" xfId="3540" xr:uid="{00000000-0005-0000-0000-000012040000}"/>
    <cellStyle name="Normal 13 2 5 4 2 2" xfId="7461" xr:uid="{58CB7357-5D66-4CEC-BD3D-A204341E41CB}"/>
    <cellStyle name="Normal 13 2 5 4 2 2 2" xfId="15321" xr:uid="{7596DED6-D961-4EAD-ABC0-10BA01EB92E8}"/>
    <cellStyle name="Normal 13 2 5 4 2 3" xfId="11401" xr:uid="{E978C3A8-99E3-4AC6-A8A1-41177180C797}"/>
    <cellStyle name="Normal 13 2 5 4 3" xfId="5507" xr:uid="{E2014CE7-1941-4955-BB87-039708BE887A}"/>
    <cellStyle name="Normal 13 2 5 4 3 2" xfId="13367" xr:uid="{5F7173BC-631A-4753-9B2B-FA0DA35458B7}"/>
    <cellStyle name="Normal 13 2 5 4 4" xfId="9448" xr:uid="{EA1CBE30-6E32-4CDA-A634-3B5E475E47D6}"/>
    <cellStyle name="Normal 13 2 5 5" xfId="2240" xr:uid="{00000000-0005-0000-0000-000013040000}"/>
    <cellStyle name="Normal 13 2 5 5 2" xfId="6161" xr:uid="{E1581B3D-F245-492C-A0B4-469285C34C4A}"/>
    <cellStyle name="Normal 13 2 5 5 2 2" xfId="14021" xr:uid="{0EC81E5A-9988-4C3B-8FA0-B3CE9D072F0B}"/>
    <cellStyle name="Normal 13 2 5 5 3" xfId="10101" xr:uid="{B868FDDF-0185-407E-8ECB-C47F854B8BF5}"/>
    <cellStyle name="Normal 13 2 5 6" xfId="4207" xr:uid="{B1781C9D-01B1-401A-850D-3888ADE13AD3}"/>
    <cellStyle name="Normal 13 2 5 6 2" xfId="12067" xr:uid="{D476CEE9-BAD2-412C-94FB-8798DA7A4C30}"/>
    <cellStyle name="Normal 13 2 5 7" xfId="8146" xr:uid="{B8CEF663-EBC9-4EA1-BF49-0C720DD07DA6}"/>
    <cellStyle name="Normal 13 2 6" xfId="377" xr:uid="{00000000-0005-0000-0000-000014040000}"/>
    <cellStyle name="Normal 13 2 6 2" xfId="828" xr:uid="{00000000-0005-0000-0000-000015040000}"/>
    <cellStyle name="Normal 13 2 6 2 2" xfId="2782" xr:uid="{00000000-0005-0000-0000-000016040000}"/>
    <cellStyle name="Normal 13 2 6 2 2 2" xfId="6703" xr:uid="{B5A73452-AD81-4872-A54C-DDF29726063C}"/>
    <cellStyle name="Normal 13 2 6 2 2 2 2" xfId="14563" xr:uid="{D251FDCF-4E19-4385-AF4A-AD2D832E80BD}"/>
    <cellStyle name="Normal 13 2 6 2 2 3" xfId="10643" xr:uid="{7A7C3CA3-0506-4F24-B197-DC24381D9604}"/>
    <cellStyle name="Normal 13 2 6 2 3" xfId="4749" xr:uid="{B8A68270-082F-446D-926A-589B8DCD33D2}"/>
    <cellStyle name="Normal 13 2 6 2 3 2" xfId="12609" xr:uid="{AEE25963-3176-4ED4-94AC-8B7F53DCBC56}"/>
    <cellStyle name="Normal 13 2 6 2 4" xfId="8690" xr:uid="{DBDC96E8-3A6B-45F7-B34E-86C65E6E09DA}"/>
    <cellStyle name="Normal 13 2 6 3" xfId="1260" xr:uid="{00000000-0005-0000-0000-000017040000}"/>
    <cellStyle name="Normal 13 2 6 3 2" xfId="3214" xr:uid="{00000000-0005-0000-0000-000018040000}"/>
    <cellStyle name="Normal 13 2 6 3 2 2" xfId="7135" xr:uid="{F6189946-2244-4401-8413-C7AE582FFB25}"/>
    <cellStyle name="Normal 13 2 6 3 2 2 2" xfId="14995" xr:uid="{7A3EED6A-4C09-4C03-8BBC-890F27283017}"/>
    <cellStyle name="Normal 13 2 6 3 2 3" xfId="11075" xr:uid="{6E6A4F7B-9996-40C2-872C-A89433A4257E}"/>
    <cellStyle name="Normal 13 2 6 3 3" xfId="5181" xr:uid="{1D5C5CB0-63C6-40D7-A869-CDA6B34A8B5F}"/>
    <cellStyle name="Normal 13 2 6 3 3 2" xfId="13041" xr:uid="{786619B1-3AF0-489E-BDE7-E65F3CE8C8B7}"/>
    <cellStyle name="Normal 13 2 6 3 4" xfId="9122" xr:uid="{8FFD8503-886A-4113-8209-5E0186D25F73}"/>
    <cellStyle name="Normal 13 2 6 4" xfId="1678" xr:uid="{00000000-0005-0000-0000-000019040000}"/>
    <cellStyle name="Normal 13 2 6 4 2" xfId="3632" xr:uid="{00000000-0005-0000-0000-00001A040000}"/>
    <cellStyle name="Normal 13 2 6 4 2 2" xfId="7553" xr:uid="{251D73E0-8FAE-4D60-97D3-67D5372F40DF}"/>
    <cellStyle name="Normal 13 2 6 4 2 2 2" xfId="15413" xr:uid="{5D59532B-C67C-43E3-9806-BE654C493A9E}"/>
    <cellStyle name="Normal 13 2 6 4 2 3" xfId="11493" xr:uid="{7D97F413-4972-4D33-AD44-FFBEFBA795EB}"/>
    <cellStyle name="Normal 13 2 6 4 3" xfId="5599" xr:uid="{1F085DB1-0714-4DF3-84EC-1145238BE597}"/>
    <cellStyle name="Normal 13 2 6 4 3 2" xfId="13459" xr:uid="{B91C4A81-EA4D-4B90-ADEA-96436629F407}"/>
    <cellStyle name="Normal 13 2 6 4 4" xfId="9540" xr:uid="{A18EB917-F4DE-4E97-A203-9489435C8CBD}"/>
    <cellStyle name="Normal 13 2 6 5" xfId="2332" xr:uid="{00000000-0005-0000-0000-00001B040000}"/>
    <cellStyle name="Normal 13 2 6 5 2" xfId="6253" xr:uid="{0F750826-ACE8-4F68-9207-7AD9828EBE9A}"/>
    <cellStyle name="Normal 13 2 6 5 2 2" xfId="14113" xr:uid="{0E038512-6BC0-44AD-BC17-2458A48DD12A}"/>
    <cellStyle name="Normal 13 2 6 5 3" xfId="10193" xr:uid="{02D5F03F-5139-4DFD-A4F1-C69C3D993B2F}"/>
    <cellStyle name="Normal 13 2 6 6" xfId="4299" xr:uid="{A96C2F46-DB5C-481B-8504-6EA6CBFAE5A9}"/>
    <cellStyle name="Normal 13 2 6 6 2" xfId="12159" xr:uid="{88874605-6682-44AE-A92D-5EBD158F302F}"/>
    <cellStyle name="Normal 13 2 6 7" xfId="8240" xr:uid="{200725D6-A69E-4B29-85CE-2417CA6C44E7}"/>
    <cellStyle name="Normal 13 2 7" xfId="474" xr:uid="{00000000-0005-0000-0000-00001C040000}"/>
    <cellStyle name="Normal 13 2 7 2" xfId="2428" xr:uid="{00000000-0005-0000-0000-00001D040000}"/>
    <cellStyle name="Normal 13 2 7 2 2" xfId="6349" xr:uid="{8463717A-A148-4D11-A597-8624F57F3FBF}"/>
    <cellStyle name="Normal 13 2 7 2 2 2" xfId="14209" xr:uid="{666D8B1C-CDE8-4285-8FF1-B6B5A0014F3B}"/>
    <cellStyle name="Normal 13 2 7 2 3" xfId="10289" xr:uid="{6DB6B54D-9897-4253-9706-E8CCA58076A6}"/>
    <cellStyle name="Normal 13 2 7 3" xfId="4395" xr:uid="{296DE2BE-4466-43DC-B51E-3BE2C3D4585D}"/>
    <cellStyle name="Normal 13 2 7 3 2" xfId="12255" xr:uid="{A812F5F7-EE5D-4D81-9F56-3EF86F957600}"/>
    <cellStyle name="Normal 13 2 7 4" xfId="8336" xr:uid="{1965CCC1-52D0-4CFB-B21B-7B7A06609FBB}"/>
    <cellStyle name="Normal 13 2 8" xfId="910" xr:uid="{00000000-0005-0000-0000-00001E040000}"/>
    <cellStyle name="Normal 13 2 8 2" xfId="2864" xr:uid="{00000000-0005-0000-0000-00001F040000}"/>
    <cellStyle name="Normal 13 2 8 2 2" xfId="6785" xr:uid="{6010C7E9-5305-4461-8FD4-D44254B66C96}"/>
    <cellStyle name="Normal 13 2 8 2 2 2" xfId="14645" xr:uid="{30C5C419-5F0C-4DA9-935A-D86935DC9CE3}"/>
    <cellStyle name="Normal 13 2 8 2 3" xfId="10725" xr:uid="{84EA3138-C6ED-4932-9C12-3B201B92207B}"/>
    <cellStyle name="Normal 13 2 8 3" xfId="4831" xr:uid="{EAA31686-DA26-4EAE-AD4D-D9F18CFEA889}"/>
    <cellStyle name="Normal 13 2 8 3 2" xfId="12691" xr:uid="{EB4F2DDC-3F53-49C6-B4C2-C594E966B566}"/>
    <cellStyle name="Normal 13 2 8 4" xfId="8772" xr:uid="{BDC73FB5-906B-478A-BFF2-729A8E3138F4}"/>
    <cellStyle name="Normal 13 2 9" xfId="1339" xr:uid="{00000000-0005-0000-0000-000020040000}"/>
    <cellStyle name="Normal 13 2 9 2" xfId="3293" xr:uid="{00000000-0005-0000-0000-000021040000}"/>
    <cellStyle name="Normal 13 2 9 2 2" xfId="7214" xr:uid="{6E529442-6B74-456D-950F-661FB2EDAE65}"/>
    <cellStyle name="Normal 13 2 9 2 2 2" xfId="15074" xr:uid="{9183EBF3-8BB0-4E65-A2DE-01D8EC1E046B}"/>
    <cellStyle name="Normal 13 2 9 2 3" xfId="11154" xr:uid="{34F7750E-67D5-4759-A7E9-EE620DC14D97}"/>
    <cellStyle name="Normal 13 2 9 3" xfId="5260" xr:uid="{A9C13E0A-76C1-4A04-86EC-E4C38153AC09}"/>
    <cellStyle name="Normal 13 2 9 3 2" xfId="13120" xr:uid="{233022A2-2108-4027-B0F0-DAA79198AEB4}"/>
    <cellStyle name="Normal 13 2 9 4" xfId="9201" xr:uid="{3336244A-2EA5-447D-98E8-2697C5A831A5}"/>
    <cellStyle name="Normal 13 3" xfId="31" xr:uid="{00000000-0005-0000-0000-000022040000}"/>
    <cellStyle name="Normal 13 3 10" xfId="2002" xr:uid="{00000000-0005-0000-0000-000023040000}"/>
    <cellStyle name="Normal 13 3 10 2" xfId="5923" xr:uid="{7E250C2C-9C50-4EEC-852E-65FDDD5F0AD6}"/>
    <cellStyle name="Normal 13 3 10 2 2" xfId="13783" xr:uid="{F1577A16-EEB5-4234-876A-B0B5AF653ABF}"/>
    <cellStyle name="Normal 13 3 10 3" xfId="9863" xr:uid="{058F5AA9-74C6-423D-815A-A1A1E66F5C26}"/>
    <cellStyle name="Normal 13 3 11" xfId="3969" xr:uid="{FBC474E4-FB1C-4EE2-BE2C-A14A37CC5C3A}"/>
    <cellStyle name="Normal 13 3 11 2" xfId="11829" xr:uid="{378AA33B-EF70-4B1F-B3FD-9420DAD9F7E0}"/>
    <cellStyle name="Normal 13 3 12" xfId="7906" xr:uid="{68CA0F14-2D0B-40E7-B3B6-6DBBF7BD047C}"/>
    <cellStyle name="Normal 13 3 2" xfId="73" xr:uid="{00000000-0005-0000-0000-000024040000}"/>
    <cellStyle name="Normal 13 3 2 10" xfId="4009" xr:uid="{A56D0E03-15ED-45CE-B7BE-F31DCDEBE340}"/>
    <cellStyle name="Normal 13 3 2 10 2" xfId="11869" xr:uid="{1F82F54F-0951-49C8-AD9C-7C15F8EE6142}"/>
    <cellStyle name="Normal 13 3 2 11" xfId="7947" xr:uid="{E3950E4B-FA7D-4130-A664-79E34959AD3C}"/>
    <cellStyle name="Normal 13 3 2 2" xfId="229" xr:uid="{00000000-0005-0000-0000-000025040000}"/>
    <cellStyle name="Normal 13 3 2 2 2" xfId="681" xr:uid="{00000000-0005-0000-0000-000026040000}"/>
    <cellStyle name="Normal 13 3 2 2 2 2" xfId="2635" xr:uid="{00000000-0005-0000-0000-000027040000}"/>
    <cellStyle name="Normal 13 3 2 2 2 2 2" xfId="6556" xr:uid="{AAAD0637-808A-4F16-9433-B6103A9AA969}"/>
    <cellStyle name="Normal 13 3 2 2 2 2 2 2" xfId="14416" xr:uid="{A6F1089B-9ECA-458A-AC09-E574A94D15B9}"/>
    <cellStyle name="Normal 13 3 2 2 2 2 3" xfId="10496" xr:uid="{4636DBEE-3916-49D9-8562-6DD5878BBADB}"/>
    <cellStyle name="Normal 13 3 2 2 2 3" xfId="4602" xr:uid="{3066B835-426B-4E9E-8606-38F4B815002F}"/>
    <cellStyle name="Normal 13 3 2 2 2 3 2" xfId="12462" xr:uid="{06DFD578-E6DB-415F-B9A0-30C275D2D5E8}"/>
    <cellStyle name="Normal 13 3 2 2 2 4" xfId="8543" xr:uid="{6B0DBBDB-FB95-4D32-89BD-1D399B86C144}"/>
    <cellStyle name="Normal 13 3 2 2 3" xfId="1118" xr:uid="{00000000-0005-0000-0000-000028040000}"/>
    <cellStyle name="Normal 13 3 2 2 3 2" xfId="3072" xr:uid="{00000000-0005-0000-0000-000029040000}"/>
    <cellStyle name="Normal 13 3 2 2 3 2 2" xfId="6993" xr:uid="{3F1EF177-7922-4550-98C8-5B4B30379F0B}"/>
    <cellStyle name="Normal 13 3 2 2 3 2 2 2" xfId="14853" xr:uid="{10EF363F-E2B6-4ED6-BBEB-D6F7034E7179}"/>
    <cellStyle name="Normal 13 3 2 2 3 2 3" xfId="10933" xr:uid="{2EC6C5E7-D0F9-4637-8A8F-9CBE9D281D80}"/>
    <cellStyle name="Normal 13 3 2 2 3 3" xfId="5039" xr:uid="{44BC6279-9D1F-4896-8576-667013D03B59}"/>
    <cellStyle name="Normal 13 3 2 2 3 3 2" xfId="12899" xr:uid="{1CF3A57F-AFEC-419A-B4EE-BE66DD96DD5F}"/>
    <cellStyle name="Normal 13 3 2 2 3 4" xfId="8980" xr:uid="{679E5006-E287-4E89-8A39-AEFD250F2425}"/>
    <cellStyle name="Normal 13 3 2 2 4" xfId="1545" xr:uid="{00000000-0005-0000-0000-00002A040000}"/>
    <cellStyle name="Normal 13 3 2 2 4 2" xfId="3499" xr:uid="{00000000-0005-0000-0000-00002B040000}"/>
    <cellStyle name="Normal 13 3 2 2 4 2 2" xfId="7420" xr:uid="{A52DE92D-51FE-4EC1-8CED-5C2F798E022E}"/>
    <cellStyle name="Normal 13 3 2 2 4 2 2 2" xfId="15280" xr:uid="{9078D18C-A274-4E6A-BCC1-9E9B23085085}"/>
    <cellStyle name="Normal 13 3 2 2 4 2 3" xfId="11360" xr:uid="{AB431349-2A00-478F-A1D6-15665EA9A6A5}"/>
    <cellStyle name="Normal 13 3 2 2 4 3" xfId="5466" xr:uid="{0F854FC8-AC2A-4462-85E7-F2C1A24B403F}"/>
    <cellStyle name="Normal 13 3 2 2 4 3 2" xfId="13326" xr:uid="{EB6D497F-576F-4FC8-907B-8A7DC46DAACC}"/>
    <cellStyle name="Normal 13 3 2 2 4 4" xfId="9407" xr:uid="{FE9FC2E9-D626-4180-B41B-BC4937B4D949}"/>
    <cellStyle name="Normal 13 3 2 2 5" xfId="2198" xr:uid="{00000000-0005-0000-0000-00002C040000}"/>
    <cellStyle name="Normal 13 3 2 2 5 2" xfId="6119" xr:uid="{2675528E-B601-493B-9727-CE2B4A04E1BA}"/>
    <cellStyle name="Normal 13 3 2 2 5 2 2" xfId="13979" xr:uid="{5D50AEAD-D04F-474B-8DAF-F5A3AD69A4F6}"/>
    <cellStyle name="Normal 13 3 2 2 5 3" xfId="10059" xr:uid="{92DFBA25-64EF-47F6-A9B9-95FF7EF887E3}"/>
    <cellStyle name="Normal 13 3 2 2 6" xfId="4165" xr:uid="{FB2E4124-27D3-43BF-B2BE-27B6F4925841}"/>
    <cellStyle name="Normal 13 3 2 2 6 2" xfId="12025" xr:uid="{48A26141-DF0A-43D6-A490-DA7991443109}"/>
    <cellStyle name="Normal 13 3 2 2 7" xfId="8103" xr:uid="{5D4B1E9D-E3BC-433F-89FB-5D3B81BCFD11}"/>
    <cellStyle name="Normal 13 3 2 3" xfId="151" xr:uid="{00000000-0005-0000-0000-00002D040000}"/>
    <cellStyle name="Normal 13 3 2 3 2" xfId="603" xr:uid="{00000000-0005-0000-0000-00002E040000}"/>
    <cellStyle name="Normal 13 3 2 3 2 2" xfId="2557" xr:uid="{00000000-0005-0000-0000-00002F040000}"/>
    <cellStyle name="Normal 13 3 2 3 2 2 2" xfId="6478" xr:uid="{48CD675C-C34A-4BA2-9F06-122509D7674D}"/>
    <cellStyle name="Normal 13 3 2 3 2 2 2 2" xfId="14338" xr:uid="{6E48089C-336D-405F-A818-5A76B4AB56E2}"/>
    <cellStyle name="Normal 13 3 2 3 2 2 3" xfId="10418" xr:uid="{84C3D8B9-19CE-4FDC-8CED-CB245468365B}"/>
    <cellStyle name="Normal 13 3 2 3 2 3" xfId="4524" xr:uid="{04324836-D7A3-4719-8E9D-44579AB3E7D0}"/>
    <cellStyle name="Normal 13 3 2 3 2 3 2" xfId="12384" xr:uid="{FB73A1B7-DAA2-4BA2-BA7D-19D40A3CCF24}"/>
    <cellStyle name="Normal 13 3 2 3 2 4" xfId="8465" xr:uid="{94A76B21-152F-47EB-BC91-CD67EA913301}"/>
    <cellStyle name="Normal 13 3 2 3 3" xfId="1040" xr:uid="{00000000-0005-0000-0000-000030040000}"/>
    <cellStyle name="Normal 13 3 2 3 3 2" xfId="2994" xr:uid="{00000000-0005-0000-0000-000031040000}"/>
    <cellStyle name="Normal 13 3 2 3 3 2 2" xfId="6915" xr:uid="{FF85044C-11E5-48A6-B21C-D2E9C9B5C831}"/>
    <cellStyle name="Normal 13 3 2 3 3 2 2 2" xfId="14775" xr:uid="{87BE7C55-DD39-463F-A5B3-4EE01B4800ED}"/>
    <cellStyle name="Normal 13 3 2 3 3 2 3" xfId="10855" xr:uid="{7E78364F-8D3E-42CA-99C9-5CD85B30A1E4}"/>
    <cellStyle name="Normal 13 3 2 3 3 3" xfId="4961" xr:uid="{5FEE6C97-0891-4937-9219-9FE4774EA2CA}"/>
    <cellStyle name="Normal 13 3 2 3 3 3 2" xfId="12821" xr:uid="{A088EC76-1083-4BDE-8893-F7F413662712}"/>
    <cellStyle name="Normal 13 3 2 3 3 4" xfId="8902" xr:uid="{AA42E7A6-3B52-4618-9679-8678BA48E25E}"/>
    <cellStyle name="Normal 13 3 2 3 4" xfId="1467" xr:uid="{00000000-0005-0000-0000-000032040000}"/>
    <cellStyle name="Normal 13 3 2 3 4 2" xfId="3421" xr:uid="{00000000-0005-0000-0000-000033040000}"/>
    <cellStyle name="Normal 13 3 2 3 4 2 2" xfId="7342" xr:uid="{C1BAF146-3693-43D6-9D80-54130380BDDF}"/>
    <cellStyle name="Normal 13 3 2 3 4 2 2 2" xfId="15202" xr:uid="{80E3C5A7-892D-4C92-8151-84ECDBE8482B}"/>
    <cellStyle name="Normal 13 3 2 3 4 2 3" xfId="11282" xr:uid="{414B5AFD-B1BE-47B7-9A74-35E84DA2EF7F}"/>
    <cellStyle name="Normal 13 3 2 3 4 3" xfId="5388" xr:uid="{BAD6C1F1-03C6-456D-BDBD-B9E9B6670E23}"/>
    <cellStyle name="Normal 13 3 2 3 4 3 2" xfId="13248" xr:uid="{5962E468-B519-49A0-BBCC-0B92FA0993F4}"/>
    <cellStyle name="Normal 13 3 2 3 4 4" xfId="9329" xr:uid="{E8E6FD2E-8950-4F75-9FB6-5D5597E14553}"/>
    <cellStyle name="Normal 13 3 2 3 5" xfId="2120" xr:uid="{00000000-0005-0000-0000-000034040000}"/>
    <cellStyle name="Normal 13 3 2 3 5 2" xfId="6041" xr:uid="{932B6AF4-B60E-4FAC-BB2F-012B75C4853B}"/>
    <cellStyle name="Normal 13 3 2 3 5 2 2" xfId="13901" xr:uid="{6FB8B4DE-95DC-49AF-B3C8-1B1BBAAE5AB0}"/>
    <cellStyle name="Normal 13 3 2 3 5 3" xfId="9981" xr:uid="{E59A36FE-D6B2-47B7-9A4B-3EBDBAFFC623}"/>
    <cellStyle name="Normal 13 3 2 3 6" xfId="4087" xr:uid="{8976773F-1C5F-4C2B-A134-77D014B8BBC6}"/>
    <cellStyle name="Normal 13 3 2 3 6 2" xfId="11947" xr:uid="{3304AB51-F1CB-4396-9939-A1C5D2E8871C}"/>
    <cellStyle name="Normal 13 3 2 3 7" xfId="8025" xr:uid="{514DD2C5-6D41-4184-8A19-0CAB460C41A7}"/>
    <cellStyle name="Normal 13 3 2 4" xfId="336" xr:uid="{00000000-0005-0000-0000-000035040000}"/>
    <cellStyle name="Normal 13 3 2 4 2" xfId="788" xr:uid="{00000000-0005-0000-0000-000036040000}"/>
    <cellStyle name="Normal 13 3 2 4 2 2" xfId="2742" xr:uid="{00000000-0005-0000-0000-000037040000}"/>
    <cellStyle name="Normal 13 3 2 4 2 2 2" xfId="6663" xr:uid="{D7D06FAC-2F66-4C95-B39C-EA897A001681}"/>
    <cellStyle name="Normal 13 3 2 4 2 2 2 2" xfId="14523" xr:uid="{0F40550F-F884-4948-9B6A-0F96DAFB2199}"/>
    <cellStyle name="Normal 13 3 2 4 2 2 3" xfId="10603" xr:uid="{AA55A6C8-DAD3-403A-BD49-59CF1835B5EB}"/>
    <cellStyle name="Normal 13 3 2 4 2 3" xfId="4709" xr:uid="{F4544BD9-14EE-4420-93FD-339DA9C6B536}"/>
    <cellStyle name="Normal 13 3 2 4 2 3 2" xfId="12569" xr:uid="{C6BA7DB8-B314-4419-87E6-D2A379A080DD}"/>
    <cellStyle name="Normal 13 3 2 4 2 4" xfId="8650" xr:uid="{02C6FCBE-F8CB-4838-BBF9-150CF9DD024D}"/>
    <cellStyle name="Normal 13 3 2 4 3" xfId="1222" xr:uid="{00000000-0005-0000-0000-000038040000}"/>
    <cellStyle name="Normal 13 3 2 4 3 2" xfId="3176" xr:uid="{00000000-0005-0000-0000-000039040000}"/>
    <cellStyle name="Normal 13 3 2 4 3 2 2" xfId="7097" xr:uid="{E4C851E1-E421-444B-B537-7E7A7B22A72D}"/>
    <cellStyle name="Normal 13 3 2 4 3 2 2 2" xfId="14957" xr:uid="{19F874AB-B976-4BEB-B575-97B275666BC5}"/>
    <cellStyle name="Normal 13 3 2 4 3 2 3" xfId="11037" xr:uid="{1DB46DC0-D211-4306-8B88-7A9C88B58AE2}"/>
    <cellStyle name="Normal 13 3 2 4 3 3" xfId="5143" xr:uid="{AA16E20D-CCA9-40FD-B1F0-DDEAC678EEBA}"/>
    <cellStyle name="Normal 13 3 2 4 3 3 2" xfId="13003" xr:uid="{50E1445B-9FFA-40B3-ABF5-9FECBB7866FB}"/>
    <cellStyle name="Normal 13 3 2 4 3 4" xfId="9084" xr:uid="{C0929B84-29FB-4383-87D2-0AC88EEC1410}"/>
    <cellStyle name="Normal 13 3 2 4 4" xfId="1642" xr:uid="{00000000-0005-0000-0000-00003A040000}"/>
    <cellStyle name="Normal 13 3 2 4 4 2" xfId="3596" xr:uid="{00000000-0005-0000-0000-00003B040000}"/>
    <cellStyle name="Normal 13 3 2 4 4 2 2" xfId="7517" xr:uid="{3F54306A-3AB3-4C27-A43B-1312D25588B7}"/>
    <cellStyle name="Normal 13 3 2 4 4 2 2 2" xfId="15377" xr:uid="{F07A8891-65CF-4839-8CBF-EC7975764D6E}"/>
    <cellStyle name="Normal 13 3 2 4 4 2 3" xfId="11457" xr:uid="{5180A6C5-C0B2-4227-87A2-6807873744DB}"/>
    <cellStyle name="Normal 13 3 2 4 4 3" xfId="5563" xr:uid="{0FC0BFF9-1A9B-4A36-9274-CCA06A9B7401}"/>
    <cellStyle name="Normal 13 3 2 4 4 3 2" xfId="13423" xr:uid="{93B1A5DD-F501-4892-84EC-F46FFA0E39CE}"/>
    <cellStyle name="Normal 13 3 2 4 4 4" xfId="9504" xr:uid="{166ACAAE-7525-4FF9-AFF6-929C8B8746C6}"/>
    <cellStyle name="Normal 13 3 2 4 5" xfId="2296" xr:uid="{00000000-0005-0000-0000-00003C040000}"/>
    <cellStyle name="Normal 13 3 2 4 5 2" xfId="6217" xr:uid="{2AB3F449-8935-460A-9F8E-D9CDA7A07D77}"/>
    <cellStyle name="Normal 13 3 2 4 5 2 2" xfId="14077" xr:uid="{8931B0DA-4ED2-4719-ACA5-F8B00CF55870}"/>
    <cellStyle name="Normal 13 3 2 4 5 3" xfId="10157" xr:uid="{97B454B3-2EFC-4282-988B-0CE4DF75C27C}"/>
    <cellStyle name="Normal 13 3 2 4 6" xfId="4263" xr:uid="{84543A7B-DB54-4263-9F6C-BDF9F480FE44}"/>
    <cellStyle name="Normal 13 3 2 4 6 2" xfId="12123" xr:uid="{D97B3EB3-44D0-4716-B21F-AE0608CB9537}"/>
    <cellStyle name="Normal 13 3 2 4 7" xfId="8202" xr:uid="{F92FE92B-00C9-464B-BB33-C47159AB819B}"/>
    <cellStyle name="Normal 13 3 2 5" xfId="433" xr:uid="{00000000-0005-0000-0000-00003D040000}"/>
    <cellStyle name="Normal 13 3 2 5 2" xfId="884" xr:uid="{00000000-0005-0000-0000-00003E040000}"/>
    <cellStyle name="Normal 13 3 2 5 2 2" xfId="2838" xr:uid="{00000000-0005-0000-0000-00003F040000}"/>
    <cellStyle name="Normal 13 3 2 5 2 2 2" xfId="6759" xr:uid="{B23555A3-FCFB-4F80-9152-C8A0B9FD33AF}"/>
    <cellStyle name="Normal 13 3 2 5 2 2 2 2" xfId="14619" xr:uid="{A8F90E0C-41D2-4367-B228-795EA6698516}"/>
    <cellStyle name="Normal 13 3 2 5 2 2 3" xfId="10699" xr:uid="{F6F54322-408F-412F-B29F-0BE9B0A10142}"/>
    <cellStyle name="Normal 13 3 2 5 2 3" xfId="4805" xr:uid="{778B763D-EEF9-4B5E-BC9C-78429371905B}"/>
    <cellStyle name="Normal 13 3 2 5 2 3 2" xfId="12665" xr:uid="{B359529B-07D7-45E4-887A-0762870663D3}"/>
    <cellStyle name="Normal 13 3 2 5 2 4" xfId="8746" xr:uid="{96DD3000-9E93-4AF8-B9A2-AEA800390873}"/>
    <cellStyle name="Normal 13 3 2 5 3" xfId="1316" xr:uid="{00000000-0005-0000-0000-000040040000}"/>
    <cellStyle name="Normal 13 3 2 5 3 2" xfId="3270" xr:uid="{00000000-0005-0000-0000-000041040000}"/>
    <cellStyle name="Normal 13 3 2 5 3 2 2" xfId="7191" xr:uid="{30AA4E62-6DD9-439B-824A-B8429C260588}"/>
    <cellStyle name="Normal 13 3 2 5 3 2 2 2" xfId="15051" xr:uid="{29F3B671-533C-43F1-A14A-842BE9FF421F}"/>
    <cellStyle name="Normal 13 3 2 5 3 2 3" xfId="11131" xr:uid="{816B22A8-B885-49F6-923D-357B9FFD24FB}"/>
    <cellStyle name="Normal 13 3 2 5 3 3" xfId="5237" xr:uid="{A5C803AD-CD86-4E58-865C-AD83B44B20F2}"/>
    <cellStyle name="Normal 13 3 2 5 3 3 2" xfId="13097" xr:uid="{91FFDDDE-8E56-4C7D-AEE0-46D0E7AC4920}"/>
    <cellStyle name="Normal 13 3 2 5 3 4" xfId="9178" xr:uid="{79483077-FE00-4B2B-A5ED-961D8A26714D}"/>
    <cellStyle name="Normal 13 3 2 5 4" xfId="1734" xr:uid="{00000000-0005-0000-0000-000042040000}"/>
    <cellStyle name="Normal 13 3 2 5 4 2" xfId="3688" xr:uid="{00000000-0005-0000-0000-000043040000}"/>
    <cellStyle name="Normal 13 3 2 5 4 2 2" xfId="7609" xr:uid="{48222C02-37A6-400A-A308-F3A4E76D442D}"/>
    <cellStyle name="Normal 13 3 2 5 4 2 2 2" xfId="15469" xr:uid="{8E7F5A0A-B26C-4CDB-B47D-C2D388C6B829}"/>
    <cellStyle name="Normal 13 3 2 5 4 2 3" xfId="11549" xr:uid="{A7B27EB0-ADC2-406C-9F18-1A6CF56240FC}"/>
    <cellStyle name="Normal 13 3 2 5 4 3" xfId="5655" xr:uid="{44A41A7F-9050-449E-9386-09F6878B79CE}"/>
    <cellStyle name="Normal 13 3 2 5 4 3 2" xfId="13515" xr:uid="{E33DE6CC-09CA-4A15-BA3A-4D30EE91D9E0}"/>
    <cellStyle name="Normal 13 3 2 5 4 4" xfId="9596" xr:uid="{685AFE56-E7D5-441E-98EF-1DA5D368ECE5}"/>
    <cellStyle name="Normal 13 3 2 5 5" xfId="2388" xr:uid="{00000000-0005-0000-0000-000044040000}"/>
    <cellStyle name="Normal 13 3 2 5 5 2" xfId="6309" xr:uid="{F26A3C73-F981-49D8-B434-C45DDD79CD03}"/>
    <cellStyle name="Normal 13 3 2 5 5 2 2" xfId="14169" xr:uid="{B9302B2D-2405-4873-B5E6-E2CFD95F74C2}"/>
    <cellStyle name="Normal 13 3 2 5 5 3" xfId="10249" xr:uid="{79662FE6-4B90-4480-BBC5-E152C78A19D1}"/>
    <cellStyle name="Normal 13 3 2 5 6" xfId="4355" xr:uid="{A999ABF6-D5AD-4521-80F8-533A01578131}"/>
    <cellStyle name="Normal 13 3 2 5 6 2" xfId="12215" xr:uid="{71820E86-7CE2-4AB3-A667-BC59E3815A9B}"/>
    <cellStyle name="Normal 13 3 2 5 7" xfId="8296" xr:uid="{667BB335-0219-45E6-AA91-E3509AADB5D3}"/>
    <cellStyle name="Normal 13 3 2 6" xfId="525" xr:uid="{00000000-0005-0000-0000-000045040000}"/>
    <cellStyle name="Normal 13 3 2 6 2" xfId="2479" xr:uid="{00000000-0005-0000-0000-000046040000}"/>
    <cellStyle name="Normal 13 3 2 6 2 2" xfId="6400" xr:uid="{4AFA3501-5651-4AE8-B97A-819C388B169F}"/>
    <cellStyle name="Normal 13 3 2 6 2 2 2" xfId="14260" xr:uid="{7180C9F5-808C-4105-8AB1-BB5C8E51ED9A}"/>
    <cellStyle name="Normal 13 3 2 6 2 3" xfId="10340" xr:uid="{5A036C62-DCE3-482A-9437-78BA35F9017F}"/>
    <cellStyle name="Normal 13 3 2 6 3" xfId="4446" xr:uid="{65B8CDCE-5451-48DC-B7AD-09DB800448B3}"/>
    <cellStyle name="Normal 13 3 2 6 3 2" xfId="12306" xr:uid="{A8845CDE-D8B7-4E33-956E-B41E2FBEBE64}"/>
    <cellStyle name="Normal 13 3 2 6 4" xfId="8387" xr:uid="{1715A4C7-3BFF-44A7-A7E9-AB69D775ADD4}"/>
    <cellStyle name="Normal 13 3 2 7" xfId="962" xr:uid="{00000000-0005-0000-0000-000047040000}"/>
    <cellStyle name="Normal 13 3 2 7 2" xfId="2916" xr:uid="{00000000-0005-0000-0000-000048040000}"/>
    <cellStyle name="Normal 13 3 2 7 2 2" xfId="6837" xr:uid="{D7A5C6BF-61A6-47BD-9F1B-8F5BDDB2935C}"/>
    <cellStyle name="Normal 13 3 2 7 2 2 2" xfId="14697" xr:uid="{4F79346B-ADD0-4815-8D54-A7496061301D}"/>
    <cellStyle name="Normal 13 3 2 7 2 3" xfId="10777" xr:uid="{9A27CBD7-528D-4F70-A9A8-68FF7FBEFF8F}"/>
    <cellStyle name="Normal 13 3 2 7 3" xfId="4883" xr:uid="{DC9CD358-4B0E-49E4-9679-86046CADC957}"/>
    <cellStyle name="Normal 13 3 2 7 3 2" xfId="12743" xr:uid="{A0FA9DE8-8F45-4B80-94DB-BAA2D70636B7}"/>
    <cellStyle name="Normal 13 3 2 7 4" xfId="8824" xr:uid="{53679699-3202-44B0-B07B-131B5B97586D}"/>
    <cellStyle name="Normal 13 3 2 8" xfId="1389" xr:uid="{00000000-0005-0000-0000-000049040000}"/>
    <cellStyle name="Normal 13 3 2 8 2" xfId="3343" xr:uid="{00000000-0005-0000-0000-00004A040000}"/>
    <cellStyle name="Normal 13 3 2 8 2 2" xfId="7264" xr:uid="{C81ED237-9A1B-4948-83CD-80BAC79BA4B9}"/>
    <cellStyle name="Normal 13 3 2 8 2 2 2" xfId="15124" xr:uid="{1A064398-78CD-4F6A-A487-7F3A73C76051}"/>
    <cellStyle name="Normal 13 3 2 8 2 3" xfId="11204" xr:uid="{48262234-165E-4CE6-8500-886C46C12934}"/>
    <cellStyle name="Normal 13 3 2 8 3" xfId="5310" xr:uid="{55FAB01E-93A0-4028-BA38-0A1E6EB87E9D}"/>
    <cellStyle name="Normal 13 3 2 8 3 2" xfId="13170" xr:uid="{FBE46321-0CC5-4860-B16F-B2758ED888B3}"/>
    <cellStyle name="Normal 13 3 2 8 4" xfId="9251" xr:uid="{E15BC37F-1CDB-4526-BE59-AD5BB2D99200}"/>
    <cellStyle name="Normal 13 3 2 9" xfId="2042" xr:uid="{00000000-0005-0000-0000-00004B040000}"/>
    <cellStyle name="Normal 13 3 2 9 2" xfId="5963" xr:uid="{9622D7ED-35D3-4BC1-989E-72B794C77BC3}"/>
    <cellStyle name="Normal 13 3 2 9 2 2" xfId="13823" xr:uid="{A09E4B8A-F96D-4FF2-BC8A-46E95DAD6A8F}"/>
    <cellStyle name="Normal 13 3 2 9 3" xfId="9903" xr:uid="{1D191BF8-757F-4555-9CA6-06204EEB7D18}"/>
    <cellStyle name="Normal 13 3 3" xfId="190" xr:uid="{00000000-0005-0000-0000-00004C040000}"/>
    <cellStyle name="Normal 13 3 3 2" xfId="642" xr:uid="{00000000-0005-0000-0000-00004D040000}"/>
    <cellStyle name="Normal 13 3 3 2 2" xfId="2596" xr:uid="{00000000-0005-0000-0000-00004E040000}"/>
    <cellStyle name="Normal 13 3 3 2 2 2" xfId="6517" xr:uid="{C57EAD86-22D7-4BBF-9B6E-E38C350157E5}"/>
    <cellStyle name="Normal 13 3 3 2 2 2 2" xfId="14377" xr:uid="{C0681BCE-66BE-4A7A-BB61-59BD90020AE5}"/>
    <cellStyle name="Normal 13 3 3 2 2 3" xfId="10457" xr:uid="{BF53721B-5DFA-4B1E-AE7D-E11DEAA94825}"/>
    <cellStyle name="Normal 13 3 3 2 3" xfId="4563" xr:uid="{E3A9DD85-FE30-49D0-9CF1-42C8106A4C94}"/>
    <cellStyle name="Normal 13 3 3 2 3 2" xfId="12423" xr:uid="{4BBD24EB-82E2-4A0F-A49C-BC6E7E81E51A}"/>
    <cellStyle name="Normal 13 3 3 2 4" xfId="8504" xr:uid="{72FFD265-DBE1-4E89-A712-25471E5B7110}"/>
    <cellStyle name="Normal 13 3 3 3" xfId="1079" xr:uid="{00000000-0005-0000-0000-00004F040000}"/>
    <cellStyle name="Normal 13 3 3 3 2" xfId="3033" xr:uid="{00000000-0005-0000-0000-000050040000}"/>
    <cellStyle name="Normal 13 3 3 3 2 2" xfId="6954" xr:uid="{C2CA15BB-0587-416A-8289-F311F97C31DC}"/>
    <cellStyle name="Normal 13 3 3 3 2 2 2" xfId="14814" xr:uid="{4EBE3C71-C7C6-4B58-9C90-46A71057D400}"/>
    <cellStyle name="Normal 13 3 3 3 2 3" xfId="10894" xr:uid="{A2CAB2B2-8420-4D39-AB2C-8119D03922E0}"/>
    <cellStyle name="Normal 13 3 3 3 3" xfId="5000" xr:uid="{003814E8-7719-4367-9478-64B6B54C895F}"/>
    <cellStyle name="Normal 13 3 3 3 3 2" xfId="12860" xr:uid="{E010C7A2-4DD0-47E7-8317-00D4B48122BE}"/>
    <cellStyle name="Normal 13 3 3 3 4" xfId="8941" xr:uid="{311313DD-C92D-4914-A2AE-625C5812AFD3}"/>
    <cellStyle name="Normal 13 3 3 4" xfId="1506" xr:uid="{00000000-0005-0000-0000-000051040000}"/>
    <cellStyle name="Normal 13 3 3 4 2" xfId="3460" xr:uid="{00000000-0005-0000-0000-000052040000}"/>
    <cellStyle name="Normal 13 3 3 4 2 2" xfId="7381" xr:uid="{40754B1F-B3EC-4592-A5E4-4900331E91D5}"/>
    <cellStyle name="Normal 13 3 3 4 2 2 2" xfId="15241" xr:uid="{6A6A052F-BE16-4706-BEF7-B63240A980B3}"/>
    <cellStyle name="Normal 13 3 3 4 2 3" xfId="11321" xr:uid="{1D31AA01-0301-4CCE-BF5C-12B092C8BE7A}"/>
    <cellStyle name="Normal 13 3 3 4 3" xfId="5427" xr:uid="{51CA5C21-D8BC-4654-B045-34394C9F137B}"/>
    <cellStyle name="Normal 13 3 3 4 3 2" xfId="13287" xr:uid="{B44CEE28-433B-46EF-8E3B-22C9728A90CE}"/>
    <cellStyle name="Normal 13 3 3 4 4" xfId="9368" xr:uid="{CFC26D6C-11F3-48C4-92B5-B9A0D8152281}"/>
    <cellStyle name="Normal 13 3 3 5" xfId="2159" xr:uid="{00000000-0005-0000-0000-000053040000}"/>
    <cellStyle name="Normal 13 3 3 5 2" xfId="6080" xr:uid="{42731233-2195-4459-BC7E-2985EFEA6588}"/>
    <cellStyle name="Normal 13 3 3 5 2 2" xfId="13940" xr:uid="{1D3F4E8E-A0AC-4AE7-8775-A795E5829497}"/>
    <cellStyle name="Normal 13 3 3 5 3" xfId="10020" xr:uid="{A9C1F80D-E944-491F-A76A-9287869989CD}"/>
    <cellStyle name="Normal 13 3 3 6" xfId="4126" xr:uid="{7EC21A73-30E6-4690-BB8D-DBDFC3A781B2}"/>
    <cellStyle name="Normal 13 3 3 6 2" xfId="11986" xr:uid="{48BA74F0-60ED-47D8-B413-61728A010A2B}"/>
    <cellStyle name="Normal 13 3 3 7" xfId="8064" xr:uid="{C46AE1AF-F0D6-4967-BC40-CB96FADC1EBE}"/>
    <cellStyle name="Normal 13 3 4" xfId="112" xr:uid="{00000000-0005-0000-0000-000054040000}"/>
    <cellStyle name="Normal 13 3 4 2" xfId="564" xr:uid="{00000000-0005-0000-0000-000055040000}"/>
    <cellStyle name="Normal 13 3 4 2 2" xfId="2518" xr:uid="{00000000-0005-0000-0000-000056040000}"/>
    <cellStyle name="Normal 13 3 4 2 2 2" xfId="6439" xr:uid="{BA056AD7-72C2-4CB7-8F97-790BDF19A81D}"/>
    <cellStyle name="Normal 13 3 4 2 2 2 2" xfId="14299" xr:uid="{DF5872CC-7492-428E-A451-9A58A8FF59EF}"/>
    <cellStyle name="Normal 13 3 4 2 2 3" xfId="10379" xr:uid="{A4052B1F-FC46-4520-9B9C-43D21A1E9256}"/>
    <cellStyle name="Normal 13 3 4 2 3" xfId="4485" xr:uid="{4457C70D-16FD-4C9D-8CF7-EF7CC6CE34D3}"/>
    <cellStyle name="Normal 13 3 4 2 3 2" xfId="12345" xr:uid="{9BD61C5E-C2B9-4683-978F-6C0BD439B020}"/>
    <cellStyle name="Normal 13 3 4 2 4" xfId="8426" xr:uid="{C3E89BAD-87C3-4E92-B846-26A44787BB98}"/>
    <cellStyle name="Normal 13 3 4 3" xfId="1001" xr:uid="{00000000-0005-0000-0000-000057040000}"/>
    <cellStyle name="Normal 13 3 4 3 2" xfId="2955" xr:uid="{00000000-0005-0000-0000-000058040000}"/>
    <cellStyle name="Normal 13 3 4 3 2 2" xfId="6876" xr:uid="{D85BACCA-DEAE-4E1A-85EC-EE6A28242DFF}"/>
    <cellStyle name="Normal 13 3 4 3 2 2 2" xfId="14736" xr:uid="{F9D88039-A011-4249-A15D-D78992E59F02}"/>
    <cellStyle name="Normal 13 3 4 3 2 3" xfId="10816" xr:uid="{7FDC95AB-4554-488A-B46F-0C0EB95A225F}"/>
    <cellStyle name="Normal 13 3 4 3 3" xfId="4922" xr:uid="{BFD85B41-7534-413C-8F1F-E3A7EE784236}"/>
    <cellStyle name="Normal 13 3 4 3 3 2" xfId="12782" xr:uid="{8B29B868-9E1A-409C-91BA-7CA1923C91A5}"/>
    <cellStyle name="Normal 13 3 4 3 4" xfId="8863" xr:uid="{158F4543-C4D8-468F-A3A9-33EB08075901}"/>
    <cellStyle name="Normal 13 3 4 4" xfId="1428" xr:uid="{00000000-0005-0000-0000-000059040000}"/>
    <cellStyle name="Normal 13 3 4 4 2" xfId="3382" xr:uid="{00000000-0005-0000-0000-00005A040000}"/>
    <cellStyle name="Normal 13 3 4 4 2 2" xfId="7303" xr:uid="{215B17FD-A740-4247-8A75-91E9BF290BA5}"/>
    <cellStyle name="Normal 13 3 4 4 2 2 2" xfId="15163" xr:uid="{20CC6C29-B17A-4197-9339-C0D5F8F51458}"/>
    <cellStyle name="Normal 13 3 4 4 2 3" xfId="11243" xr:uid="{BD5E3209-4E14-44F8-984C-E528F7204109}"/>
    <cellStyle name="Normal 13 3 4 4 3" xfId="5349" xr:uid="{6AFC39E5-FF97-48A9-8372-226CB6131C5C}"/>
    <cellStyle name="Normal 13 3 4 4 3 2" xfId="13209" xr:uid="{F50F189F-4E0A-473E-AF26-26021EA6F79C}"/>
    <cellStyle name="Normal 13 3 4 4 4" xfId="9290" xr:uid="{AAADA935-7B70-480C-BD34-919767EE6D1C}"/>
    <cellStyle name="Normal 13 3 4 5" xfId="2081" xr:uid="{00000000-0005-0000-0000-00005B040000}"/>
    <cellStyle name="Normal 13 3 4 5 2" xfId="6002" xr:uid="{85870113-22E2-46C9-A470-C2DDBA3A604F}"/>
    <cellStyle name="Normal 13 3 4 5 2 2" xfId="13862" xr:uid="{59C268CD-CA76-41B1-9120-B3D6C0C70151}"/>
    <cellStyle name="Normal 13 3 4 5 3" xfId="9942" xr:uid="{A6CB5E99-73EB-4BF5-9F54-FB37415BC363}"/>
    <cellStyle name="Normal 13 3 4 6" xfId="4048" xr:uid="{9BB0BCA3-E6D4-46F6-8848-15FCBB2701C6}"/>
    <cellStyle name="Normal 13 3 4 6 2" xfId="11908" xr:uid="{DC1AD010-CD87-473F-93AF-E5CAFA0415FB}"/>
    <cellStyle name="Normal 13 3 4 7" xfId="7986" xr:uid="{F23D4C30-6D35-411F-9FDA-3775BEC5D389}"/>
    <cellStyle name="Normal 13 3 5" xfId="289" xr:uid="{00000000-0005-0000-0000-00005C040000}"/>
    <cellStyle name="Normal 13 3 5 2" xfId="741" xr:uid="{00000000-0005-0000-0000-00005D040000}"/>
    <cellStyle name="Normal 13 3 5 2 2" xfId="2695" xr:uid="{00000000-0005-0000-0000-00005E040000}"/>
    <cellStyle name="Normal 13 3 5 2 2 2" xfId="6616" xr:uid="{D5C3E063-2450-4453-B99A-7B932FCBC86D}"/>
    <cellStyle name="Normal 13 3 5 2 2 2 2" xfId="14476" xr:uid="{9FA16FF3-3CF1-4EDE-85D7-EEC9D9774D7E}"/>
    <cellStyle name="Normal 13 3 5 2 2 3" xfId="10556" xr:uid="{BADBD73B-D2A2-4BE7-8263-AD67FA86C77D}"/>
    <cellStyle name="Normal 13 3 5 2 3" xfId="4662" xr:uid="{3E08CEFD-9026-48D9-867A-E60D3259F36D}"/>
    <cellStyle name="Normal 13 3 5 2 3 2" xfId="12522" xr:uid="{215604E1-46F5-4755-A9EF-A1CC21382A97}"/>
    <cellStyle name="Normal 13 3 5 2 4" xfId="8603" xr:uid="{E3DD3971-8F07-4538-92F9-288DE6DEE1A0}"/>
    <cellStyle name="Normal 13 3 5 3" xfId="1177" xr:uid="{00000000-0005-0000-0000-00005F040000}"/>
    <cellStyle name="Normal 13 3 5 3 2" xfId="3131" xr:uid="{00000000-0005-0000-0000-000060040000}"/>
    <cellStyle name="Normal 13 3 5 3 2 2" xfId="7052" xr:uid="{B73F5696-6080-400F-BE14-C98744AADDA5}"/>
    <cellStyle name="Normal 13 3 5 3 2 2 2" xfId="14912" xr:uid="{FEDC046E-DB66-4661-A97E-2E10D6D782BF}"/>
    <cellStyle name="Normal 13 3 5 3 2 3" xfId="10992" xr:uid="{B68DF64A-BEE8-4DD6-8E21-E0C1EAF975E9}"/>
    <cellStyle name="Normal 13 3 5 3 3" xfId="5098" xr:uid="{D27561FA-7760-486D-AD9B-4A69B4D457CA}"/>
    <cellStyle name="Normal 13 3 5 3 3 2" xfId="12958" xr:uid="{A97160A4-5098-469E-B747-EB31F7BB2F3C}"/>
    <cellStyle name="Normal 13 3 5 3 4" xfId="9039" xr:uid="{551F781C-9A22-43FB-8D09-387563B3725C}"/>
    <cellStyle name="Normal 13 3 5 4" xfId="1597" xr:uid="{00000000-0005-0000-0000-000061040000}"/>
    <cellStyle name="Normal 13 3 5 4 2" xfId="3551" xr:uid="{00000000-0005-0000-0000-000062040000}"/>
    <cellStyle name="Normal 13 3 5 4 2 2" xfId="7472" xr:uid="{7017401A-8903-4B9B-8289-E4A8B358391B}"/>
    <cellStyle name="Normal 13 3 5 4 2 2 2" xfId="15332" xr:uid="{2BE42D59-E9AF-42DD-B085-A7F1DB69956B}"/>
    <cellStyle name="Normal 13 3 5 4 2 3" xfId="11412" xr:uid="{94C965A9-FAF7-4E1D-A0D0-58016B3D8D41}"/>
    <cellStyle name="Normal 13 3 5 4 3" xfId="5518" xr:uid="{3233294B-5A4D-4E04-8E91-908249204E62}"/>
    <cellStyle name="Normal 13 3 5 4 3 2" xfId="13378" xr:uid="{BB62EC27-5E06-42E1-BCFC-3965564576BA}"/>
    <cellStyle name="Normal 13 3 5 4 4" xfId="9459" xr:uid="{4727AFAA-759B-44DE-81D0-FB763AEEAF2C}"/>
    <cellStyle name="Normal 13 3 5 5" xfId="2251" xr:uid="{00000000-0005-0000-0000-000063040000}"/>
    <cellStyle name="Normal 13 3 5 5 2" xfId="6172" xr:uid="{57BD3191-2A7A-4526-93E2-02E7F1B53F55}"/>
    <cellStyle name="Normal 13 3 5 5 2 2" xfId="14032" xr:uid="{9980241B-6307-48E8-AC0C-F0C54F5B753F}"/>
    <cellStyle name="Normal 13 3 5 5 3" xfId="10112" xr:uid="{EC460EC0-78D3-4856-B6D3-4DCDAEBE65F0}"/>
    <cellStyle name="Normal 13 3 5 6" xfId="4218" xr:uid="{362355A8-179A-4368-B6DF-5F0634FD92C3}"/>
    <cellStyle name="Normal 13 3 5 6 2" xfId="12078" xr:uid="{CDB512D4-1420-488E-B680-FB3B03571C42}"/>
    <cellStyle name="Normal 13 3 5 7" xfId="8157" xr:uid="{30074138-E2F1-4CEA-BF84-0043468A5C0A}"/>
    <cellStyle name="Normal 13 3 6" xfId="388" xr:uid="{00000000-0005-0000-0000-000064040000}"/>
    <cellStyle name="Normal 13 3 6 2" xfId="839" xr:uid="{00000000-0005-0000-0000-000065040000}"/>
    <cellStyle name="Normal 13 3 6 2 2" xfId="2793" xr:uid="{00000000-0005-0000-0000-000066040000}"/>
    <cellStyle name="Normal 13 3 6 2 2 2" xfId="6714" xr:uid="{E176F95C-B1E4-4D55-A983-41641D5B389F}"/>
    <cellStyle name="Normal 13 3 6 2 2 2 2" xfId="14574" xr:uid="{23AAF348-2D1F-49F8-82BC-BF3E9607B4A3}"/>
    <cellStyle name="Normal 13 3 6 2 2 3" xfId="10654" xr:uid="{419ADB58-3570-4B4D-963F-7E4DC5FC3C6B}"/>
    <cellStyle name="Normal 13 3 6 2 3" xfId="4760" xr:uid="{C95616D8-8D25-422A-A368-F14A64BA6643}"/>
    <cellStyle name="Normal 13 3 6 2 3 2" xfId="12620" xr:uid="{74B35F84-06B2-4E2B-84D4-3D6B9A0647AC}"/>
    <cellStyle name="Normal 13 3 6 2 4" xfId="8701" xr:uid="{AA2C5025-CBB8-4EBC-8FB5-DF3B43227140}"/>
    <cellStyle name="Normal 13 3 6 3" xfId="1271" xr:uid="{00000000-0005-0000-0000-000067040000}"/>
    <cellStyle name="Normal 13 3 6 3 2" xfId="3225" xr:uid="{00000000-0005-0000-0000-000068040000}"/>
    <cellStyle name="Normal 13 3 6 3 2 2" xfId="7146" xr:uid="{CEF12FD2-D9D8-414E-9F9B-F4A5BBD3CB40}"/>
    <cellStyle name="Normal 13 3 6 3 2 2 2" xfId="15006" xr:uid="{57F5E87C-C119-41E4-9EF9-0FFBA628EA8B}"/>
    <cellStyle name="Normal 13 3 6 3 2 3" xfId="11086" xr:uid="{439E343C-2215-4692-88B1-93E88B2A18B6}"/>
    <cellStyle name="Normal 13 3 6 3 3" xfId="5192" xr:uid="{89DF3BC2-3649-468C-AF23-983843B07FC9}"/>
    <cellStyle name="Normal 13 3 6 3 3 2" xfId="13052" xr:uid="{565829A3-6C95-4C06-AF66-FDF700E7C4A9}"/>
    <cellStyle name="Normal 13 3 6 3 4" xfId="9133" xr:uid="{9F2E9B70-DC20-4725-A1FD-6DB629C394CF}"/>
    <cellStyle name="Normal 13 3 6 4" xfId="1689" xr:uid="{00000000-0005-0000-0000-000069040000}"/>
    <cellStyle name="Normal 13 3 6 4 2" xfId="3643" xr:uid="{00000000-0005-0000-0000-00006A040000}"/>
    <cellStyle name="Normal 13 3 6 4 2 2" xfId="7564" xr:uid="{A91924F8-D429-4E1A-990C-27D6F76BBA0B}"/>
    <cellStyle name="Normal 13 3 6 4 2 2 2" xfId="15424" xr:uid="{6C738A88-C1B3-4B2A-92D8-725C05B7CA1E}"/>
    <cellStyle name="Normal 13 3 6 4 2 3" xfId="11504" xr:uid="{27309F3A-E5A1-416B-B1E3-E87436CE5269}"/>
    <cellStyle name="Normal 13 3 6 4 3" xfId="5610" xr:uid="{15807CC2-E8C6-4F55-8E21-1314B824CE3E}"/>
    <cellStyle name="Normal 13 3 6 4 3 2" xfId="13470" xr:uid="{85431FCE-BDF2-4A04-9370-13BFDC58577C}"/>
    <cellStyle name="Normal 13 3 6 4 4" xfId="9551" xr:uid="{EE5E12E7-7E78-4C59-8BB6-3ED60FE767E8}"/>
    <cellStyle name="Normal 13 3 6 5" xfId="2343" xr:uid="{00000000-0005-0000-0000-00006B040000}"/>
    <cellStyle name="Normal 13 3 6 5 2" xfId="6264" xr:uid="{5FDD63F4-EC14-41BD-9CFE-214A815A3F6C}"/>
    <cellStyle name="Normal 13 3 6 5 2 2" xfId="14124" xr:uid="{1CAE809A-D874-41B9-B9D5-5168EEF5DD05}"/>
    <cellStyle name="Normal 13 3 6 5 3" xfId="10204" xr:uid="{705F6110-65B4-47AF-BB41-3549C71862D7}"/>
    <cellStyle name="Normal 13 3 6 6" xfId="4310" xr:uid="{C866A1F0-F942-4D9D-8119-1CB36B8C9930}"/>
    <cellStyle name="Normal 13 3 6 6 2" xfId="12170" xr:uid="{C23BD028-B787-439D-B7BF-9C1F80E044AA}"/>
    <cellStyle name="Normal 13 3 6 7" xfId="8251" xr:uid="{34E896E2-D6EC-4986-95BD-59653E9BE54F}"/>
    <cellStyle name="Normal 13 3 7" xfId="485" xr:uid="{00000000-0005-0000-0000-00006C040000}"/>
    <cellStyle name="Normal 13 3 7 2" xfId="2439" xr:uid="{00000000-0005-0000-0000-00006D040000}"/>
    <cellStyle name="Normal 13 3 7 2 2" xfId="6360" xr:uid="{FB2073EB-C21C-4B82-8C25-5775171BE2BF}"/>
    <cellStyle name="Normal 13 3 7 2 2 2" xfId="14220" xr:uid="{03703B56-A3EC-461D-9B7D-77ADBF2227EF}"/>
    <cellStyle name="Normal 13 3 7 2 3" xfId="10300" xr:uid="{1D4E3684-BBB3-49D4-B445-525A45F8B393}"/>
    <cellStyle name="Normal 13 3 7 3" xfId="4406" xr:uid="{9EBDCAF0-D226-4C10-8746-39A975CE567A}"/>
    <cellStyle name="Normal 13 3 7 3 2" xfId="12266" xr:uid="{47C91097-8308-46D9-8255-F35A1406EF4E}"/>
    <cellStyle name="Normal 13 3 7 4" xfId="8347" xr:uid="{ABB66242-FBF2-43C6-ACB0-2597D4DAD749}"/>
    <cellStyle name="Normal 13 3 8" xfId="921" xr:uid="{00000000-0005-0000-0000-00006E040000}"/>
    <cellStyle name="Normal 13 3 8 2" xfId="2875" xr:uid="{00000000-0005-0000-0000-00006F040000}"/>
    <cellStyle name="Normal 13 3 8 2 2" xfId="6796" xr:uid="{E66F1CF0-106C-43C1-8515-05E9CC7C99ED}"/>
    <cellStyle name="Normal 13 3 8 2 2 2" xfId="14656" xr:uid="{4B55906C-C05D-4201-BCCC-4066D819AE1A}"/>
    <cellStyle name="Normal 13 3 8 2 3" xfId="10736" xr:uid="{6328367B-0CFA-4C88-ADC8-4EC400FEAAEF}"/>
    <cellStyle name="Normal 13 3 8 3" xfId="4842" xr:uid="{B105B5FD-FB24-45E0-965C-334E55950926}"/>
    <cellStyle name="Normal 13 3 8 3 2" xfId="12702" xr:uid="{95167B7C-5937-41CC-B868-7EDB50B2F79D}"/>
    <cellStyle name="Normal 13 3 8 4" xfId="8783" xr:uid="{6625259F-8B18-4D44-B5E8-659833B880F0}"/>
    <cellStyle name="Normal 13 3 9" xfId="1350" xr:uid="{00000000-0005-0000-0000-000070040000}"/>
    <cellStyle name="Normal 13 3 9 2" xfId="3304" xr:uid="{00000000-0005-0000-0000-000071040000}"/>
    <cellStyle name="Normal 13 3 9 2 2" xfId="7225" xr:uid="{7CF7B03A-0BC2-429A-A1F9-EAF813CF1D53}"/>
    <cellStyle name="Normal 13 3 9 2 2 2" xfId="15085" xr:uid="{02ACC472-0FD7-4239-A08B-4AB0275FFF94}"/>
    <cellStyle name="Normal 13 3 9 2 3" xfId="11165" xr:uid="{76148E1E-23FE-40C5-BFDF-0039A8EA0141}"/>
    <cellStyle name="Normal 13 3 9 3" xfId="5271" xr:uid="{687F6AA2-7E60-43A1-96E0-0A91BA6C06DC}"/>
    <cellStyle name="Normal 13 3 9 3 2" xfId="13131" xr:uid="{983C6932-34A8-40DD-B2FD-33897FBD8A63}"/>
    <cellStyle name="Normal 13 3 9 4" xfId="9212" xr:uid="{9FCD3193-9332-4369-A219-CA2253789B79}"/>
    <cellStyle name="Normal 13 4" xfId="51" xr:uid="{00000000-0005-0000-0000-000072040000}"/>
    <cellStyle name="Normal 13 4 10" xfId="3987" xr:uid="{BE909E4B-2DD4-479B-A458-CC171F4AD9B3}"/>
    <cellStyle name="Normal 13 4 10 2" xfId="11847" xr:uid="{938C41BA-17A6-4B19-B7BC-8AEF07FAF783}"/>
    <cellStyle name="Normal 13 4 11" xfId="7925" xr:uid="{6137B846-213E-4740-955C-DD44734E8E0F}"/>
    <cellStyle name="Normal 13 4 2" xfId="207" xr:uid="{00000000-0005-0000-0000-000073040000}"/>
    <cellStyle name="Normal 13 4 2 2" xfId="659" xr:uid="{00000000-0005-0000-0000-000074040000}"/>
    <cellStyle name="Normal 13 4 2 2 2" xfId="2613" xr:uid="{00000000-0005-0000-0000-000075040000}"/>
    <cellStyle name="Normal 13 4 2 2 2 2" xfId="6534" xr:uid="{C2D5DA1F-2E03-439F-A08F-95313881F9F3}"/>
    <cellStyle name="Normal 13 4 2 2 2 2 2" xfId="14394" xr:uid="{99FF1DE0-5970-45D1-AF2A-16E3506AC413}"/>
    <cellStyle name="Normal 13 4 2 2 2 3" xfId="10474" xr:uid="{D71273D0-9F40-468E-B7B3-0C64A5698C7C}"/>
    <cellStyle name="Normal 13 4 2 2 3" xfId="4580" xr:uid="{B1C9DFC1-C365-4C25-8FAE-0E0DC6930333}"/>
    <cellStyle name="Normal 13 4 2 2 3 2" xfId="12440" xr:uid="{A609B35B-8E8E-4560-ABEB-49B058C11EB8}"/>
    <cellStyle name="Normal 13 4 2 2 4" xfId="8521" xr:uid="{3F7571BA-5274-476C-B59D-04EA05E6949B}"/>
    <cellStyle name="Normal 13 4 2 3" xfId="1096" xr:uid="{00000000-0005-0000-0000-000076040000}"/>
    <cellStyle name="Normal 13 4 2 3 2" xfId="3050" xr:uid="{00000000-0005-0000-0000-000077040000}"/>
    <cellStyle name="Normal 13 4 2 3 2 2" xfId="6971" xr:uid="{A9F37E94-755C-48F7-94A5-A2D6B6C7C6AD}"/>
    <cellStyle name="Normal 13 4 2 3 2 2 2" xfId="14831" xr:uid="{AFA6B66E-E575-4C9B-B94A-E3B13B8C43E0}"/>
    <cellStyle name="Normal 13 4 2 3 2 3" xfId="10911" xr:uid="{3CAE84DD-B627-4233-B207-C9DB38826AE6}"/>
    <cellStyle name="Normal 13 4 2 3 3" xfId="5017" xr:uid="{9DA1826C-18ED-4DD7-A2EC-B3DACEF7CA97}"/>
    <cellStyle name="Normal 13 4 2 3 3 2" xfId="12877" xr:uid="{18A57DEB-5A6F-43E9-9C40-692CD0C43258}"/>
    <cellStyle name="Normal 13 4 2 3 4" xfId="8958" xr:uid="{334D3590-EBFC-4D98-ACC6-292FA7E9D8FE}"/>
    <cellStyle name="Normal 13 4 2 4" xfId="1523" xr:uid="{00000000-0005-0000-0000-000078040000}"/>
    <cellStyle name="Normal 13 4 2 4 2" xfId="3477" xr:uid="{00000000-0005-0000-0000-000079040000}"/>
    <cellStyle name="Normal 13 4 2 4 2 2" xfId="7398" xr:uid="{06FDE211-6214-4C27-81F8-ED4E91627306}"/>
    <cellStyle name="Normal 13 4 2 4 2 2 2" xfId="15258" xr:uid="{EC136DCC-1E1A-424D-AC9B-BC32A4C59B48}"/>
    <cellStyle name="Normal 13 4 2 4 2 3" xfId="11338" xr:uid="{A792A014-1DDD-48CF-80B8-14EAD7110ACE}"/>
    <cellStyle name="Normal 13 4 2 4 3" xfId="5444" xr:uid="{726D7C5C-EEDE-4EB7-9FF2-09FB43FA49EA}"/>
    <cellStyle name="Normal 13 4 2 4 3 2" xfId="13304" xr:uid="{5B454259-35A0-48A5-8EFF-F72ACDD3C401}"/>
    <cellStyle name="Normal 13 4 2 4 4" xfId="9385" xr:uid="{76D7741E-5EB6-4A52-B6A1-0127054B3043}"/>
    <cellStyle name="Normal 13 4 2 5" xfId="2176" xr:uid="{00000000-0005-0000-0000-00007A040000}"/>
    <cellStyle name="Normal 13 4 2 5 2" xfId="6097" xr:uid="{CECC2272-B484-4E51-B0F9-42C1E8EA3E40}"/>
    <cellStyle name="Normal 13 4 2 5 2 2" xfId="13957" xr:uid="{47224D34-45C4-43D7-A641-EAD138435019}"/>
    <cellStyle name="Normal 13 4 2 5 3" xfId="10037" xr:uid="{00CBB92F-2DC2-49F6-9E2B-D8F1D539165C}"/>
    <cellStyle name="Normal 13 4 2 6" xfId="4143" xr:uid="{49B1E769-6F74-4634-94E8-245E52B60033}"/>
    <cellStyle name="Normal 13 4 2 6 2" xfId="12003" xr:uid="{E9890BA9-2C5B-4B5E-83BC-0F181290D945}"/>
    <cellStyle name="Normal 13 4 2 7" xfId="8081" xr:uid="{CA8EC5E8-806D-4DD6-86DF-924970C82B55}"/>
    <cellStyle name="Normal 13 4 3" xfId="129" xr:uid="{00000000-0005-0000-0000-00007B040000}"/>
    <cellStyle name="Normal 13 4 3 2" xfId="581" xr:uid="{00000000-0005-0000-0000-00007C040000}"/>
    <cellStyle name="Normal 13 4 3 2 2" xfId="2535" xr:uid="{00000000-0005-0000-0000-00007D040000}"/>
    <cellStyle name="Normal 13 4 3 2 2 2" xfId="6456" xr:uid="{253B1DC9-30A7-411D-B016-CA5148D43729}"/>
    <cellStyle name="Normal 13 4 3 2 2 2 2" xfId="14316" xr:uid="{73DABEF1-955E-4D7D-9F11-E68DB5251C5F}"/>
    <cellStyle name="Normal 13 4 3 2 2 3" xfId="10396" xr:uid="{DD3BFD27-A7D4-45EA-B793-CBB8A3B63A7A}"/>
    <cellStyle name="Normal 13 4 3 2 3" xfId="4502" xr:uid="{24DDDDE8-510E-4534-891E-8EDB1D428CFC}"/>
    <cellStyle name="Normal 13 4 3 2 3 2" xfId="12362" xr:uid="{1AD6341F-FDDD-4563-97CD-5D7E18B0BC85}"/>
    <cellStyle name="Normal 13 4 3 2 4" xfId="8443" xr:uid="{DE210231-6226-4296-8425-FA83A10AF999}"/>
    <cellStyle name="Normal 13 4 3 3" xfId="1018" xr:uid="{00000000-0005-0000-0000-00007E040000}"/>
    <cellStyle name="Normal 13 4 3 3 2" xfId="2972" xr:uid="{00000000-0005-0000-0000-00007F040000}"/>
    <cellStyle name="Normal 13 4 3 3 2 2" xfId="6893" xr:uid="{958EE25F-3E47-4041-B34F-B19C1497136E}"/>
    <cellStyle name="Normal 13 4 3 3 2 2 2" xfId="14753" xr:uid="{16917D34-2506-4615-90D5-762E3905FCC0}"/>
    <cellStyle name="Normal 13 4 3 3 2 3" xfId="10833" xr:uid="{188F8403-C4F6-4CBF-AFCD-FCF3DACFC9D6}"/>
    <cellStyle name="Normal 13 4 3 3 3" xfId="4939" xr:uid="{E8DE6F57-36F6-4158-B4FE-0E2066560D56}"/>
    <cellStyle name="Normal 13 4 3 3 3 2" xfId="12799" xr:uid="{BBBC94A0-6A0A-4A34-973A-7E80C0D82357}"/>
    <cellStyle name="Normal 13 4 3 3 4" xfId="8880" xr:uid="{0C6F22E0-67E7-498B-A878-252ECE5C5AC3}"/>
    <cellStyle name="Normal 13 4 3 4" xfId="1445" xr:uid="{00000000-0005-0000-0000-000080040000}"/>
    <cellStyle name="Normal 13 4 3 4 2" xfId="3399" xr:uid="{00000000-0005-0000-0000-000081040000}"/>
    <cellStyle name="Normal 13 4 3 4 2 2" xfId="7320" xr:uid="{D5322DF6-71E3-4353-990E-D4FDB6F41945}"/>
    <cellStyle name="Normal 13 4 3 4 2 2 2" xfId="15180" xr:uid="{61685D2A-7271-454E-8CA7-62071F3147CA}"/>
    <cellStyle name="Normal 13 4 3 4 2 3" xfId="11260" xr:uid="{02AE80A2-81B1-4CD8-9A4A-C79B3B282F7A}"/>
    <cellStyle name="Normal 13 4 3 4 3" xfId="5366" xr:uid="{F4D596E9-5B90-472B-B30B-C930AC9FF877}"/>
    <cellStyle name="Normal 13 4 3 4 3 2" xfId="13226" xr:uid="{6C577C71-679C-4F20-BD45-BD09C9724B90}"/>
    <cellStyle name="Normal 13 4 3 4 4" xfId="9307" xr:uid="{8F1ECBCF-5A6A-4927-AA6C-54A3F816B7A1}"/>
    <cellStyle name="Normal 13 4 3 5" xfId="2098" xr:uid="{00000000-0005-0000-0000-000082040000}"/>
    <cellStyle name="Normal 13 4 3 5 2" xfId="6019" xr:uid="{F57C08CE-5A62-4A56-A56C-FE8E2011A125}"/>
    <cellStyle name="Normal 13 4 3 5 2 2" xfId="13879" xr:uid="{957E6B59-24F7-4E6A-814A-A94F4E11BF7C}"/>
    <cellStyle name="Normal 13 4 3 5 3" xfId="9959" xr:uid="{73E4455C-F378-46C5-91E9-C4E5D90A7084}"/>
    <cellStyle name="Normal 13 4 3 6" xfId="4065" xr:uid="{B38ADE5C-62E8-4988-81DA-913670515E93}"/>
    <cellStyle name="Normal 13 4 3 6 2" xfId="11925" xr:uid="{05D5EEAE-F6B4-45AE-A425-508D44628F17}"/>
    <cellStyle name="Normal 13 4 3 7" xfId="8003" xr:uid="{3830F770-1B72-4B15-901D-86AE594F34EA}"/>
    <cellStyle name="Normal 13 4 4" xfId="314" xr:uid="{00000000-0005-0000-0000-000083040000}"/>
    <cellStyle name="Normal 13 4 4 2" xfId="766" xr:uid="{00000000-0005-0000-0000-000084040000}"/>
    <cellStyle name="Normal 13 4 4 2 2" xfId="2720" xr:uid="{00000000-0005-0000-0000-000085040000}"/>
    <cellStyle name="Normal 13 4 4 2 2 2" xfId="6641" xr:uid="{72F51873-21D1-400D-B1E1-ACB598251317}"/>
    <cellStyle name="Normal 13 4 4 2 2 2 2" xfId="14501" xr:uid="{45407A2A-8AC0-4158-91DD-66B6A49BDA5E}"/>
    <cellStyle name="Normal 13 4 4 2 2 3" xfId="10581" xr:uid="{A4C69C31-7776-447E-A53A-A6600767430C}"/>
    <cellStyle name="Normal 13 4 4 2 3" xfId="4687" xr:uid="{4952EB2E-5A6A-43E4-B2C6-D7938AD38BC6}"/>
    <cellStyle name="Normal 13 4 4 2 3 2" xfId="12547" xr:uid="{83DC0D0F-F583-47D6-9E08-2232AA83AAAF}"/>
    <cellStyle name="Normal 13 4 4 2 4" xfId="8628" xr:uid="{BF1FC3E9-263B-4D75-A127-C6A448E6E386}"/>
    <cellStyle name="Normal 13 4 4 3" xfId="1201" xr:uid="{00000000-0005-0000-0000-000086040000}"/>
    <cellStyle name="Normal 13 4 4 3 2" xfId="3155" xr:uid="{00000000-0005-0000-0000-000087040000}"/>
    <cellStyle name="Normal 13 4 4 3 2 2" xfId="7076" xr:uid="{5B77A17E-6787-4698-9CB0-DDC8D8ACA858}"/>
    <cellStyle name="Normal 13 4 4 3 2 2 2" xfId="14936" xr:uid="{10DCA02F-FDA1-45B3-A2D4-324CD21EE48E}"/>
    <cellStyle name="Normal 13 4 4 3 2 3" xfId="11016" xr:uid="{D7F0EA4C-A31E-453B-AC52-4622375F4FA2}"/>
    <cellStyle name="Normal 13 4 4 3 3" xfId="5122" xr:uid="{59B85A2D-5242-4AFC-8369-18B19CFDE0A8}"/>
    <cellStyle name="Normal 13 4 4 3 3 2" xfId="12982" xr:uid="{6D1B6D4D-236B-4885-9DB0-815AAFC8FF5E}"/>
    <cellStyle name="Normal 13 4 4 3 4" xfId="9063" xr:uid="{0899BBFE-CDE3-4A25-8D99-2A7322FA6E50}"/>
    <cellStyle name="Normal 13 4 4 4" xfId="1621" xr:uid="{00000000-0005-0000-0000-000088040000}"/>
    <cellStyle name="Normal 13 4 4 4 2" xfId="3575" xr:uid="{00000000-0005-0000-0000-000089040000}"/>
    <cellStyle name="Normal 13 4 4 4 2 2" xfId="7496" xr:uid="{663F1F59-279C-4BDF-9B90-BFD84519DE2E}"/>
    <cellStyle name="Normal 13 4 4 4 2 2 2" xfId="15356" xr:uid="{CA212873-EA9B-4ED9-B86D-07CBAAF8E3E3}"/>
    <cellStyle name="Normal 13 4 4 4 2 3" xfId="11436" xr:uid="{229817AA-DEF5-4235-8F14-F980AA365B63}"/>
    <cellStyle name="Normal 13 4 4 4 3" xfId="5542" xr:uid="{20C8D13E-9D81-481B-8112-C9D5696FD3EE}"/>
    <cellStyle name="Normal 13 4 4 4 3 2" xfId="13402" xr:uid="{6416D18F-956C-4A7E-AF46-A4C4070509F7}"/>
    <cellStyle name="Normal 13 4 4 4 4" xfId="9483" xr:uid="{92FCEA06-E720-4A8D-BE7E-D3E8B91AFFD9}"/>
    <cellStyle name="Normal 13 4 4 5" xfId="2275" xr:uid="{00000000-0005-0000-0000-00008A040000}"/>
    <cellStyle name="Normal 13 4 4 5 2" xfId="6196" xr:uid="{16D8E90F-F6FD-493E-A5FE-2107E7D30A5C}"/>
    <cellStyle name="Normal 13 4 4 5 2 2" xfId="14056" xr:uid="{AB871975-0EE6-469B-BFC3-9155CE17BFBF}"/>
    <cellStyle name="Normal 13 4 4 5 3" xfId="10136" xr:uid="{775B62D4-5033-491B-8F1E-260325A4A3C5}"/>
    <cellStyle name="Normal 13 4 4 6" xfId="4242" xr:uid="{233ECA9F-604D-485F-B51E-8C517561AD43}"/>
    <cellStyle name="Normal 13 4 4 6 2" xfId="12102" xr:uid="{B5F4A5E6-1AD1-4515-9996-2A063D645CEB}"/>
    <cellStyle name="Normal 13 4 4 7" xfId="8181" xr:uid="{8FA5281D-8F47-47D2-90AF-1E9872C8101A}"/>
    <cellStyle name="Normal 13 4 5" xfId="412" xr:uid="{00000000-0005-0000-0000-00008B040000}"/>
    <cellStyle name="Normal 13 4 5 2" xfId="863" xr:uid="{00000000-0005-0000-0000-00008C040000}"/>
    <cellStyle name="Normal 13 4 5 2 2" xfId="2817" xr:uid="{00000000-0005-0000-0000-00008D040000}"/>
    <cellStyle name="Normal 13 4 5 2 2 2" xfId="6738" xr:uid="{619A2558-37E8-4E7D-B727-D054426B0F0B}"/>
    <cellStyle name="Normal 13 4 5 2 2 2 2" xfId="14598" xr:uid="{D95B194D-8FDC-461D-AB09-27524BA6A0A8}"/>
    <cellStyle name="Normal 13 4 5 2 2 3" xfId="10678" xr:uid="{30A1639C-5841-40B7-9957-171E22C6836D}"/>
    <cellStyle name="Normal 13 4 5 2 3" xfId="4784" xr:uid="{D47EFE0C-45F0-41C0-AB0C-0690ACAB0D52}"/>
    <cellStyle name="Normal 13 4 5 2 3 2" xfId="12644" xr:uid="{126233FF-DD40-4E58-A7AD-53500B0EAFDE}"/>
    <cellStyle name="Normal 13 4 5 2 4" xfId="8725" xr:uid="{287654FF-F06D-485B-B280-2287AF54D17F}"/>
    <cellStyle name="Normal 13 4 5 3" xfId="1295" xr:uid="{00000000-0005-0000-0000-00008E040000}"/>
    <cellStyle name="Normal 13 4 5 3 2" xfId="3249" xr:uid="{00000000-0005-0000-0000-00008F040000}"/>
    <cellStyle name="Normal 13 4 5 3 2 2" xfId="7170" xr:uid="{B0F6AC1A-91F8-49BC-963B-8A4F23CFED51}"/>
    <cellStyle name="Normal 13 4 5 3 2 2 2" xfId="15030" xr:uid="{7CB5AFFF-649B-47B3-B88C-FB2EB019C156}"/>
    <cellStyle name="Normal 13 4 5 3 2 3" xfId="11110" xr:uid="{DA90106B-75C4-4FAF-BA3D-CA412C43B31A}"/>
    <cellStyle name="Normal 13 4 5 3 3" xfId="5216" xr:uid="{B5DAA4BE-5699-4D87-B1BE-980BAD1C8C0D}"/>
    <cellStyle name="Normal 13 4 5 3 3 2" xfId="13076" xr:uid="{FBEA1091-2651-47DE-A310-0D087D5676CE}"/>
    <cellStyle name="Normal 13 4 5 3 4" xfId="9157" xr:uid="{26D34976-991A-4DF8-A1E5-D71CCD29F088}"/>
    <cellStyle name="Normal 13 4 5 4" xfId="1713" xr:uid="{00000000-0005-0000-0000-000090040000}"/>
    <cellStyle name="Normal 13 4 5 4 2" xfId="3667" xr:uid="{00000000-0005-0000-0000-000091040000}"/>
    <cellStyle name="Normal 13 4 5 4 2 2" xfId="7588" xr:uid="{8712416C-6AAD-4306-AA80-3DB65F91A714}"/>
    <cellStyle name="Normal 13 4 5 4 2 2 2" xfId="15448" xr:uid="{FAFA5219-CFD1-4DC9-AB3B-F2EC1807E9A5}"/>
    <cellStyle name="Normal 13 4 5 4 2 3" xfId="11528" xr:uid="{A196D79F-BDF9-4A41-A0A1-F0356A9A06C5}"/>
    <cellStyle name="Normal 13 4 5 4 3" xfId="5634" xr:uid="{AA95485A-3380-4094-8DA2-BE7D096EC2B1}"/>
    <cellStyle name="Normal 13 4 5 4 3 2" xfId="13494" xr:uid="{5C1C8435-E4BF-464C-B7A6-B9ED4B08F1CE}"/>
    <cellStyle name="Normal 13 4 5 4 4" xfId="9575" xr:uid="{4B89327C-623F-4FEA-A3DD-C42F083AA69E}"/>
    <cellStyle name="Normal 13 4 5 5" xfId="2367" xr:uid="{00000000-0005-0000-0000-000092040000}"/>
    <cellStyle name="Normal 13 4 5 5 2" xfId="6288" xr:uid="{2748F7B3-0B6E-48E3-80C1-F2965E951321}"/>
    <cellStyle name="Normal 13 4 5 5 2 2" xfId="14148" xr:uid="{91C21E92-6F5B-43D8-8704-A94CA3CF8C15}"/>
    <cellStyle name="Normal 13 4 5 5 3" xfId="10228" xr:uid="{DAF46122-D784-4262-B6FF-3A56EE782269}"/>
    <cellStyle name="Normal 13 4 5 6" xfId="4334" xr:uid="{E506F93E-F9C9-4620-A46B-A720C41612A6}"/>
    <cellStyle name="Normal 13 4 5 6 2" xfId="12194" xr:uid="{868ECF4D-4EB9-46C7-865F-7E5685E60BA7}"/>
    <cellStyle name="Normal 13 4 5 7" xfId="8275" xr:uid="{D231220B-A6D0-41BB-9B89-A56BE8A9EB2A}"/>
    <cellStyle name="Normal 13 4 6" xfId="503" xr:uid="{00000000-0005-0000-0000-000093040000}"/>
    <cellStyle name="Normal 13 4 6 2" xfId="2457" xr:uid="{00000000-0005-0000-0000-000094040000}"/>
    <cellStyle name="Normal 13 4 6 2 2" xfId="6378" xr:uid="{A0F2A355-452C-433B-8437-9F175ABE7025}"/>
    <cellStyle name="Normal 13 4 6 2 2 2" xfId="14238" xr:uid="{0DCBEE3C-138C-4B53-8D40-35DF6C60357E}"/>
    <cellStyle name="Normal 13 4 6 2 3" xfId="10318" xr:uid="{D8FAF544-6527-4B65-AD63-54D5CB058624}"/>
    <cellStyle name="Normal 13 4 6 3" xfId="4424" xr:uid="{A8334973-9CFF-4C5B-868D-3040C5575C5C}"/>
    <cellStyle name="Normal 13 4 6 3 2" xfId="12284" xr:uid="{46EF5F10-F6C5-4A89-9538-CE8A423CC559}"/>
    <cellStyle name="Normal 13 4 6 4" xfId="8365" xr:uid="{2D719FA3-03DE-4773-BF14-5BCE47963961}"/>
    <cellStyle name="Normal 13 4 7" xfId="940" xr:uid="{00000000-0005-0000-0000-000095040000}"/>
    <cellStyle name="Normal 13 4 7 2" xfId="2894" xr:uid="{00000000-0005-0000-0000-000096040000}"/>
    <cellStyle name="Normal 13 4 7 2 2" xfId="6815" xr:uid="{AB10F81C-DB96-4B66-870E-6A7E1DBBE18B}"/>
    <cellStyle name="Normal 13 4 7 2 2 2" xfId="14675" xr:uid="{DCFBD8BE-3E00-4F2E-9982-A7E0CA024165}"/>
    <cellStyle name="Normal 13 4 7 2 3" xfId="10755" xr:uid="{55A0CE81-2C35-4AFF-8987-9B4582AB73D5}"/>
    <cellStyle name="Normal 13 4 7 3" xfId="4861" xr:uid="{767A4B28-82E4-4C13-B93D-213629325A11}"/>
    <cellStyle name="Normal 13 4 7 3 2" xfId="12721" xr:uid="{033B82D6-1173-4501-9426-E276F4BE55E9}"/>
    <cellStyle name="Normal 13 4 7 4" xfId="8802" xr:uid="{B52D87EA-EF24-43C6-93E9-E298AA09EBEC}"/>
    <cellStyle name="Normal 13 4 8" xfId="1367" xr:uid="{00000000-0005-0000-0000-000097040000}"/>
    <cellStyle name="Normal 13 4 8 2" xfId="3321" xr:uid="{00000000-0005-0000-0000-000098040000}"/>
    <cellStyle name="Normal 13 4 8 2 2" xfId="7242" xr:uid="{25339473-B7CB-4FB1-8744-A7D7665BC76E}"/>
    <cellStyle name="Normal 13 4 8 2 2 2" xfId="15102" xr:uid="{45353A1B-9482-423D-8540-B5F18BC8C5F3}"/>
    <cellStyle name="Normal 13 4 8 2 3" xfId="11182" xr:uid="{781BF257-2FFF-411D-ADBA-3E39A2A868EB}"/>
    <cellStyle name="Normal 13 4 8 3" xfId="5288" xr:uid="{87EF991C-841F-41F1-9CDF-3660C26AF5BC}"/>
    <cellStyle name="Normal 13 4 8 3 2" xfId="13148" xr:uid="{4D83F4BF-3781-479D-8621-05893CBD7D19}"/>
    <cellStyle name="Normal 13 4 8 4" xfId="9229" xr:uid="{E72653E1-4B3A-4D6C-AA3B-A15A7FE34955}"/>
    <cellStyle name="Normal 13 4 9" xfId="2020" xr:uid="{00000000-0005-0000-0000-000099040000}"/>
    <cellStyle name="Normal 13 4 9 2" xfId="5941" xr:uid="{46AEBB23-6713-4246-A527-E1B535DE7E7F}"/>
    <cellStyle name="Normal 13 4 9 2 2" xfId="13801" xr:uid="{585EC4F5-9271-4ECF-BA3D-2D0454D2A374}"/>
    <cellStyle name="Normal 13 4 9 3" xfId="9881" xr:uid="{D8C54EC3-747A-4E7D-B272-8CD580E46A82}"/>
    <cellStyle name="Normal 13 5" xfId="168" xr:uid="{00000000-0005-0000-0000-00009A040000}"/>
    <cellStyle name="Normal 13 5 2" xfId="620" xr:uid="{00000000-0005-0000-0000-00009B040000}"/>
    <cellStyle name="Normal 13 5 2 2" xfId="2574" xr:uid="{00000000-0005-0000-0000-00009C040000}"/>
    <cellStyle name="Normal 13 5 2 2 2" xfId="6495" xr:uid="{8E6108EE-0A53-4325-925D-3A37715E6438}"/>
    <cellStyle name="Normal 13 5 2 2 2 2" xfId="14355" xr:uid="{80DFA68E-E2F5-432C-A4EF-A010CF19A21E}"/>
    <cellStyle name="Normal 13 5 2 2 3" xfId="10435" xr:uid="{DFD0066F-189E-4C5E-A32B-6A6B2B3354F6}"/>
    <cellStyle name="Normal 13 5 2 3" xfId="4541" xr:uid="{7086F43C-9872-42D7-B3A3-1C56117D4AAD}"/>
    <cellStyle name="Normal 13 5 2 3 2" xfId="12401" xr:uid="{7D1C437D-EB3B-4891-8DB5-E3B6B01F2E32}"/>
    <cellStyle name="Normal 13 5 2 4" xfId="8482" xr:uid="{DC32531F-E2B2-4F4B-88A4-9113AD56A9A8}"/>
    <cellStyle name="Normal 13 5 3" xfId="1057" xr:uid="{00000000-0005-0000-0000-00009D040000}"/>
    <cellStyle name="Normal 13 5 3 2" xfId="3011" xr:uid="{00000000-0005-0000-0000-00009E040000}"/>
    <cellStyle name="Normal 13 5 3 2 2" xfId="6932" xr:uid="{0795681F-CE59-41D4-BD1E-E14C2A2BDF17}"/>
    <cellStyle name="Normal 13 5 3 2 2 2" xfId="14792" xr:uid="{E2B1A41B-4748-4E9B-A131-514EA8474B13}"/>
    <cellStyle name="Normal 13 5 3 2 3" xfId="10872" xr:uid="{9025E6C6-440B-4E58-81D6-29A5FDBEA00F}"/>
    <cellStyle name="Normal 13 5 3 3" xfId="4978" xr:uid="{9F53A472-E4CD-450C-A938-67A82AE6912D}"/>
    <cellStyle name="Normal 13 5 3 3 2" xfId="12838" xr:uid="{539DA308-FD13-49DC-890D-905506B4C969}"/>
    <cellStyle name="Normal 13 5 3 4" xfId="8919" xr:uid="{0A67A398-7C2A-4B06-8B3D-D21B51C970E2}"/>
    <cellStyle name="Normal 13 5 4" xfId="1484" xr:uid="{00000000-0005-0000-0000-00009F040000}"/>
    <cellStyle name="Normal 13 5 4 2" xfId="3438" xr:uid="{00000000-0005-0000-0000-0000A0040000}"/>
    <cellStyle name="Normal 13 5 4 2 2" xfId="7359" xr:uid="{2DA73A4F-A414-4AA5-A98B-E257217342F4}"/>
    <cellStyle name="Normal 13 5 4 2 2 2" xfId="15219" xr:uid="{98BD6CDD-C42E-421A-AC2C-8DA52933FE45}"/>
    <cellStyle name="Normal 13 5 4 2 3" xfId="11299" xr:uid="{C40B888C-E23B-4134-BD88-E822852B5E16}"/>
    <cellStyle name="Normal 13 5 4 3" xfId="5405" xr:uid="{7731F234-63E5-4C31-9DDD-FBEA6FC33872}"/>
    <cellStyle name="Normal 13 5 4 3 2" xfId="13265" xr:uid="{A6F3EA4C-BFC8-4D2E-9D1A-D9340D59CB7A}"/>
    <cellStyle name="Normal 13 5 4 4" xfId="9346" xr:uid="{48F643CB-4AE7-4AF1-B98A-B686BF7FB078}"/>
    <cellStyle name="Normal 13 5 5" xfId="2137" xr:uid="{00000000-0005-0000-0000-0000A1040000}"/>
    <cellStyle name="Normal 13 5 5 2" xfId="6058" xr:uid="{AB6E9D74-1068-42B4-9BD6-0DE79B44ADE0}"/>
    <cellStyle name="Normal 13 5 5 2 2" xfId="13918" xr:uid="{528025BC-FDA0-4381-9E31-3180DE15990A}"/>
    <cellStyle name="Normal 13 5 5 3" xfId="9998" xr:uid="{4AF60191-4C23-4E40-92DA-EE7833595BBC}"/>
    <cellStyle name="Normal 13 5 6" xfId="4104" xr:uid="{31EE1D59-A5AD-43F8-87D0-6B220A12DA32}"/>
    <cellStyle name="Normal 13 5 6 2" xfId="11964" xr:uid="{898393E5-419A-4C3D-A35D-74D969D98236}"/>
    <cellStyle name="Normal 13 5 7" xfId="8042" xr:uid="{08C48E43-E401-44BA-AED7-B49646B9E82C}"/>
    <cellStyle name="Normal 13 6" xfId="90" xr:uid="{00000000-0005-0000-0000-0000A2040000}"/>
    <cellStyle name="Normal 13 6 2" xfId="542" xr:uid="{00000000-0005-0000-0000-0000A3040000}"/>
    <cellStyle name="Normal 13 6 2 2" xfId="2496" xr:uid="{00000000-0005-0000-0000-0000A4040000}"/>
    <cellStyle name="Normal 13 6 2 2 2" xfId="6417" xr:uid="{92E57A5E-47E9-480F-B2BE-C95CE9E15519}"/>
    <cellStyle name="Normal 13 6 2 2 2 2" xfId="14277" xr:uid="{368BABA0-61FD-4D39-B338-54DBAED0EE92}"/>
    <cellStyle name="Normal 13 6 2 2 3" xfId="10357" xr:uid="{43FAC610-4DB6-4BD2-9DB4-DA58E18767CB}"/>
    <cellStyle name="Normal 13 6 2 3" xfId="4463" xr:uid="{DEC25AB1-531A-4E83-B809-AF64087DBA58}"/>
    <cellStyle name="Normal 13 6 2 3 2" xfId="12323" xr:uid="{18370D24-F3B4-460F-86D2-E943A93DFD71}"/>
    <cellStyle name="Normal 13 6 2 4" xfId="8404" xr:uid="{F22FA947-F709-4575-8C2D-7D0EB0BA9ABF}"/>
    <cellStyle name="Normal 13 6 3" xfId="979" xr:uid="{00000000-0005-0000-0000-0000A5040000}"/>
    <cellStyle name="Normal 13 6 3 2" xfId="2933" xr:uid="{00000000-0005-0000-0000-0000A6040000}"/>
    <cellStyle name="Normal 13 6 3 2 2" xfId="6854" xr:uid="{55DF34B4-077F-4F2E-8131-A44F61AAC7A4}"/>
    <cellStyle name="Normal 13 6 3 2 2 2" xfId="14714" xr:uid="{501290BA-EB14-4440-AC92-978023BF1A53}"/>
    <cellStyle name="Normal 13 6 3 2 3" xfId="10794" xr:uid="{A55D469F-5305-4880-934A-ACB43A1F05AB}"/>
    <cellStyle name="Normal 13 6 3 3" xfId="4900" xr:uid="{4A425B33-6059-48E5-89C2-096B50EC3114}"/>
    <cellStyle name="Normal 13 6 3 3 2" xfId="12760" xr:uid="{A25E99EE-8E46-478F-AB0E-849A92A0FCB1}"/>
    <cellStyle name="Normal 13 6 3 4" xfId="8841" xr:uid="{2091D10D-1BE9-4CA9-8678-DB64F8E8B562}"/>
    <cellStyle name="Normal 13 6 4" xfId="1406" xr:uid="{00000000-0005-0000-0000-0000A7040000}"/>
    <cellStyle name="Normal 13 6 4 2" xfId="3360" xr:uid="{00000000-0005-0000-0000-0000A8040000}"/>
    <cellStyle name="Normal 13 6 4 2 2" xfId="7281" xr:uid="{0F35C05F-60F4-48F0-A78A-0CF4EF001EE9}"/>
    <cellStyle name="Normal 13 6 4 2 2 2" xfId="15141" xr:uid="{F156A14B-66EC-4266-9AB3-A4E563944CAA}"/>
    <cellStyle name="Normal 13 6 4 2 3" xfId="11221" xr:uid="{B7E71547-E10A-44D6-A7F2-A7F4E807D94F}"/>
    <cellStyle name="Normal 13 6 4 3" xfId="5327" xr:uid="{5E6851B2-F120-4FF3-8B18-19618F2E0FEE}"/>
    <cellStyle name="Normal 13 6 4 3 2" xfId="13187" xr:uid="{72A2B9D0-933A-45E2-80BA-098456B29044}"/>
    <cellStyle name="Normal 13 6 4 4" xfId="9268" xr:uid="{6AE6EF57-5F6C-4819-84A2-D9691432E967}"/>
    <cellStyle name="Normal 13 6 5" xfId="2059" xr:uid="{00000000-0005-0000-0000-0000A9040000}"/>
    <cellStyle name="Normal 13 6 5 2" xfId="5980" xr:uid="{305085B6-FED0-470A-9A77-E6BF8F407AD6}"/>
    <cellStyle name="Normal 13 6 5 2 2" xfId="13840" xr:uid="{1DBEA09D-49D3-44AE-A7B5-3745500B9B34}"/>
    <cellStyle name="Normal 13 6 5 3" xfId="9920" xr:uid="{980A4E7B-C8DD-40B6-8327-F7D4EDF791AC}"/>
    <cellStyle name="Normal 13 6 6" xfId="4026" xr:uid="{6EA6D435-EBE1-45FC-BD6B-515F92F24676}"/>
    <cellStyle name="Normal 13 6 6 2" xfId="11886" xr:uid="{3DAC095E-42F8-4322-9892-A86E8A89C263}"/>
    <cellStyle name="Normal 13 6 7" xfId="7964" xr:uid="{5BE93F36-353B-4D3C-97AF-08036569DB7B}"/>
    <cellStyle name="Normal 13 7" xfId="260" xr:uid="{00000000-0005-0000-0000-0000AA040000}"/>
    <cellStyle name="Normal 13 7 2" xfId="712" xr:uid="{00000000-0005-0000-0000-0000AB040000}"/>
    <cellStyle name="Normal 13 7 2 2" xfId="2666" xr:uid="{00000000-0005-0000-0000-0000AC040000}"/>
    <cellStyle name="Normal 13 7 2 2 2" xfId="6587" xr:uid="{CD1DC986-77C9-45C5-AD41-08DD83E1932C}"/>
    <cellStyle name="Normal 13 7 2 2 2 2" xfId="14447" xr:uid="{E8907B7B-B946-4D96-B773-E366D11EF8F4}"/>
    <cellStyle name="Normal 13 7 2 2 3" xfId="10527" xr:uid="{156CDF35-269F-43AC-B5FA-267751F45DBF}"/>
    <cellStyle name="Normal 13 7 2 3" xfId="4633" xr:uid="{D5403171-2F25-4CD5-851F-046EF4879B98}"/>
    <cellStyle name="Normal 13 7 2 3 2" xfId="12493" xr:uid="{F10DB35A-3123-44A3-BBFB-8D917E58A1A6}"/>
    <cellStyle name="Normal 13 7 2 4" xfId="8574" xr:uid="{8B01FAC5-0EFD-4406-B5A4-A5549AD378D4}"/>
    <cellStyle name="Normal 13 7 3" xfId="1149" xr:uid="{00000000-0005-0000-0000-0000AD040000}"/>
    <cellStyle name="Normal 13 7 3 2" xfId="3103" xr:uid="{00000000-0005-0000-0000-0000AE040000}"/>
    <cellStyle name="Normal 13 7 3 2 2" xfId="7024" xr:uid="{FBB51967-E3EE-4EC3-BBA0-B8ECA6459A98}"/>
    <cellStyle name="Normal 13 7 3 2 2 2" xfId="14884" xr:uid="{2EAF2954-D962-489C-ADFC-B42796E681FE}"/>
    <cellStyle name="Normal 13 7 3 2 3" xfId="10964" xr:uid="{8A1C28C4-4414-4B07-AA11-5E468E142E95}"/>
    <cellStyle name="Normal 13 7 3 3" xfId="5070" xr:uid="{27BC102F-589E-4479-9B90-D638C96872DA}"/>
    <cellStyle name="Normal 13 7 3 3 2" xfId="12930" xr:uid="{4382A16A-2109-4A87-9873-6775CDD9DA0B}"/>
    <cellStyle name="Normal 13 7 3 4" xfId="9011" xr:uid="{44E876A1-7ECD-47FB-B436-CE5EEE33351F}"/>
    <cellStyle name="Normal 13 7 4" xfId="1570" xr:uid="{00000000-0005-0000-0000-0000AF040000}"/>
    <cellStyle name="Normal 13 7 4 2" xfId="3524" xr:uid="{00000000-0005-0000-0000-0000B0040000}"/>
    <cellStyle name="Normal 13 7 4 2 2" xfId="7445" xr:uid="{842562C7-9698-48F4-A773-94F16C75FA0D}"/>
    <cellStyle name="Normal 13 7 4 2 2 2" xfId="15305" xr:uid="{28B29E7F-9525-47D1-BA22-4C076CFDEACE}"/>
    <cellStyle name="Normal 13 7 4 2 3" xfId="11385" xr:uid="{490C586A-3835-492F-82F7-782ED136CE66}"/>
    <cellStyle name="Normal 13 7 4 3" xfId="5491" xr:uid="{4434B920-A0D3-4718-9156-3ADFF8C6A95C}"/>
    <cellStyle name="Normal 13 7 4 3 2" xfId="13351" xr:uid="{F67D76BB-6998-4E27-B0D0-8325F6EFD87B}"/>
    <cellStyle name="Normal 13 7 4 4" xfId="9432" xr:uid="{F578A344-DEB2-4A86-B86E-FE90B207FB1A}"/>
    <cellStyle name="Normal 13 7 5" xfId="2223" xr:uid="{00000000-0005-0000-0000-0000B1040000}"/>
    <cellStyle name="Normal 13 7 5 2" xfId="6144" xr:uid="{2F83A99F-51A7-484B-83BB-684D24D7CCB2}"/>
    <cellStyle name="Normal 13 7 5 2 2" xfId="14004" xr:uid="{C425AA10-6519-4DE1-B59A-2B3B8A41E415}"/>
    <cellStyle name="Normal 13 7 5 3" xfId="10084" xr:uid="{2C68EEBF-26EA-4C9A-BD54-6E990A20EB0B}"/>
    <cellStyle name="Normal 13 7 6" xfId="4190" xr:uid="{CC9DD5D7-C47A-43DB-81A5-00B77455F7BD}"/>
    <cellStyle name="Normal 13 7 6 2" xfId="12050" xr:uid="{AF1251A7-F929-4F7D-A695-4F7D8AF7B978}"/>
    <cellStyle name="Normal 13 7 7" xfId="8129" xr:uid="{E972E225-3206-4DFE-ADC5-E4F82F5ABF9D}"/>
    <cellStyle name="Normal 13 8" xfId="266" xr:uid="{00000000-0005-0000-0000-0000B2040000}"/>
    <cellStyle name="Normal 13 8 2" xfId="718" xr:uid="{00000000-0005-0000-0000-0000B3040000}"/>
    <cellStyle name="Normal 13 8 2 2" xfId="2672" xr:uid="{00000000-0005-0000-0000-0000B4040000}"/>
    <cellStyle name="Normal 13 8 2 2 2" xfId="6593" xr:uid="{19AB733C-BBEE-42EF-BF9B-95A8ED425A8F}"/>
    <cellStyle name="Normal 13 8 2 2 2 2" xfId="14453" xr:uid="{E0897455-2138-494B-BFDB-4ED547682626}"/>
    <cellStyle name="Normal 13 8 2 2 3" xfId="10533" xr:uid="{0DC53DA2-B81F-4412-BC59-3F632E06AD99}"/>
    <cellStyle name="Normal 13 8 2 3" xfId="4639" xr:uid="{86B20973-D0FC-4D7A-B8F2-72AD24ABD105}"/>
    <cellStyle name="Normal 13 8 2 3 2" xfId="12499" xr:uid="{8A68AD52-938B-4A9B-A30E-BD259A9D5135}"/>
    <cellStyle name="Normal 13 8 2 4" xfId="8580" xr:uid="{422391CA-A104-4699-A20A-130B0BB67A77}"/>
    <cellStyle name="Normal 13 8 3" xfId="1154" xr:uid="{00000000-0005-0000-0000-0000B5040000}"/>
    <cellStyle name="Normal 13 8 3 2" xfId="3108" xr:uid="{00000000-0005-0000-0000-0000B6040000}"/>
    <cellStyle name="Normal 13 8 3 2 2" xfId="7029" xr:uid="{1658C957-5346-4B5A-921D-7BE722C8ADE5}"/>
    <cellStyle name="Normal 13 8 3 2 2 2" xfId="14889" xr:uid="{20C7CB7C-8B0F-4D58-9FE3-E2B37593F7C4}"/>
    <cellStyle name="Normal 13 8 3 2 3" xfId="10969" xr:uid="{7DC17A12-66C6-4AF1-89AB-CF812B585C25}"/>
    <cellStyle name="Normal 13 8 3 3" xfId="5075" xr:uid="{7EA89946-A9AD-42B1-8E90-6530B2C82330}"/>
    <cellStyle name="Normal 13 8 3 3 2" xfId="12935" xr:uid="{D9CE0CCA-FD96-437B-8CBE-455969F367E5}"/>
    <cellStyle name="Normal 13 8 3 4" xfId="9016" xr:uid="{690FCFDB-7C92-47FC-858A-279F2CF9D4DF}"/>
    <cellStyle name="Normal 13 8 4" xfId="1575" xr:uid="{00000000-0005-0000-0000-0000B7040000}"/>
    <cellStyle name="Normal 13 8 4 2" xfId="3529" xr:uid="{00000000-0005-0000-0000-0000B8040000}"/>
    <cellStyle name="Normal 13 8 4 2 2" xfId="7450" xr:uid="{8E4E7B93-95CB-4A93-A802-D30F273111EE}"/>
    <cellStyle name="Normal 13 8 4 2 2 2" xfId="15310" xr:uid="{F5B209F6-584D-45DF-8A1E-6CFED1A31272}"/>
    <cellStyle name="Normal 13 8 4 2 3" xfId="11390" xr:uid="{8E4684CB-79CB-469F-9A04-8DBF997CAC32}"/>
    <cellStyle name="Normal 13 8 4 3" xfId="5496" xr:uid="{968A9A61-7BF0-46BD-8872-F7A1F2F63604}"/>
    <cellStyle name="Normal 13 8 4 3 2" xfId="13356" xr:uid="{2DA1962F-9172-49F3-9519-A19B46E7819E}"/>
    <cellStyle name="Normal 13 8 4 4" xfId="9437" xr:uid="{95CB64E1-7FC8-472E-81B0-B38B1470D273}"/>
    <cellStyle name="Normal 13 8 5" xfId="2229" xr:uid="{00000000-0005-0000-0000-0000B9040000}"/>
    <cellStyle name="Normal 13 8 5 2" xfId="6150" xr:uid="{903BA3F7-35EC-491B-A690-54DCD895D0D1}"/>
    <cellStyle name="Normal 13 8 5 2 2" xfId="14010" xr:uid="{87149CD9-3039-4772-B3F9-F778A33E65C7}"/>
    <cellStyle name="Normal 13 8 5 3" xfId="10090" xr:uid="{B3561CF1-2256-42AA-B90C-15F7E69CE224}"/>
    <cellStyle name="Normal 13 8 6" xfId="4196" xr:uid="{EFCBFC20-13B3-4905-A775-18ED5937FE3F}"/>
    <cellStyle name="Normal 13 8 6 2" xfId="12056" xr:uid="{3B59ABC6-BE0F-4D91-BCC8-D7B2DD11C163}"/>
    <cellStyle name="Normal 13 8 7" xfId="8135" xr:uid="{5AFC42C4-C317-4ED4-A9B0-1F4B595467A8}"/>
    <cellStyle name="Normal 13 9" xfId="366" xr:uid="{00000000-0005-0000-0000-0000BA040000}"/>
    <cellStyle name="Normal 13 9 2" xfId="817" xr:uid="{00000000-0005-0000-0000-0000BB040000}"/>
    <cellStyle name="Normal 13 9 2 2" xfId="2771" xr:uid="{00000000-0005-0000-0000-0000BC040000}"/>
    <cellStyle name="Normal 13 9 2 2 2" xfId="6692" xr:uid="{050D0C25-5839-4469-AEC8-7B23A70DA9C2}"/>
    <cellStyle name="Normal 13 9 2 2 2 2" xfId="14552" xr:uid="{86A0C6FD-CCEF-4FC8-AE38-B9530258ED2A}"/>
    <cellStyle name="Normal 13 9 2 2 3" xfId="10632" xr:uid="{ACAFF72B-F11A-4330-92AF-1A69AA4DAA4F}"/>
    <cellStyle name="Normal 13 9 2 3" xfId="4738" xr:uid="{F1C95210-ED4B-4442-940B-CA1A2A71FF8E}"/>
    <cellStyle name="Normal 13 9 2 3 2" xfId="12598" xr:uid="{103D857E-5AFD-4271-8EC5-0C957A1BA437}"/>
    <cellStyle name="Normal 13 9 2 4" xfId="8679" xr:uid="{9020345E-9961-4B56-9644-F5F5F41AC15A}"/>
    <cellStyle name="Normal 13 9 3" xfId="1249" xr:uid="{00000000-0005-0000-0000-0000BD040000}"/>
    <cellStyle name="Normal 13 9 3 2" xfId="3203" xr:uid="{00000000-0005-0000-0000-0000BE040000}"/>
    <cellStyle name="Normal 13 9 3 2 2" xfId="7124" xr:uid="{994F8F6B-8EDB-4BA4-BE69-347E46C7EDE8}"/>
    <cellStyle name="Normal 13 9 3 2 2 2" xfId="14984" xr:uid="{075A69A3-4A58-4C0C-AD7B-F478B66E1C6C}"/>
    <cellStyle name="Normal 13 9 3 2 3" xfId="11064" xr:uid="{2ECC7DF5-9AEF-4465-BCF4-17C2DE1671BF}"/>
    <cellStyle name="Normal 13 9 3 3" xfId="5170" xr:uid="{29F275C0-4798-45A9-B217-80EF3D47362E}"/>
    <cellStyle name="Normal 13 9 3 3 2" xfId="13030" xr:uid="{CED3110E-C589-4B2C-A13A-D8C898D6099E}"/>
    <cellStyle name="Normal 13 9 3 4" xfId="9111" xr:uid="{C3FE00DD-D74D-4834-967E-57AC4B557CED}"/>
    <cellStyle name="Normal 13 9 4" xfId="1667" xr:uid="{00000000-0005-0000-0000-0000BF040000}"/>
    <cellStyle name="Normal 13 9 4 2" xfId="3621" xr:uid="{00000000-0005-0000-0000-0000C0040000}"/>
    <cellStyle name="Normal 13 9 4 2 2" xfId="7542" xr:uid="{81A74CCB-37B5-415D-9D37-3F656CBD39D8}"/>
    <cellStyle name="Normal 13 9 4 2 2 2" xfId="15402" xr:uid="{241DEBFB-E154-4C3F-BEEA-451F5EBADC34}"/>
    <cellStyle name="Normal 13 9 4 2 3" xfId="11482" xr:uid="{E1A4C4F3-12FE-4FB1-841F-750C2551AB93}"/>
    <cellStyle name="Normal 13 9 4 3" xfId="5588" xr:uid="{F7C44B50-3953-4B64-B847-5F504D8B9F65}"/>
    <cellStyle name="Normal 13 9 4 3 2" xfId="13448" xr:uid="{1AB91A7B-107D-475B-8C1F-604F8A9B22DD}"/>
    <cellStyle name="Normal 13 9 4 4" xfId="9529" xr:uid="{93E2F345-28D0-4111-9F4D-E14914FC6514}"/>
    <cellStyle name="Normal 13 9 5" xfId="2321" xr:uid="{00000000-0005-0000-0000-0000C1040000}"/>
    <cellStyle name="Normal 13 9 5 2" xfId="6242" xr:uid="{701E2172-EE8D-4764-99F1-3216D10F0436}"/>
    <cellStyle name="Normal 13 9 5 2 2" xfId="14102" xr:uid="{BB7FB392-D22D-49DB-9A6B-FB82F67795F9}"/>
    <cellStyle name="Normal 13 9 5 3" xfId="10182" xr:uid="{C031F2C1-BB4D-4887-99FC-7556766B9868}"/>
    <cellStyle name="Normal 13 9 6" xfId="4288" xr:uid="{20478298-322A-492B-8EAD-0AEB5746C41B}"/>
    <cellStyle name="Normal 13 9 6 2" xfId="12148" xr:uid="{0095C872-EB67-4F98-8E18-C8013B3CF83B}"/>
    <cellStyle name="Normal 13 9 7" xfId="8229" xr:uid="{BDFB1A14-CEF3-475F-82EA-E181A2891618}"/>
    <cellStyle name="Normal 14" xfId="358" xr:uid="{00000000-0005-0000-0000-0000C2040000}"/>
    <cellStyle name="Normal 14 2" xfId="452" xr:uid="{00000000-0005-0000-0000-0000C3040000}"/>
    <cellStyle name="Normal 14 2 2" xfId="903" xr:uid="{00000000-0005-0000-0000-0000C4040000}"/>
    <cellStyle name="Normal 14 2 2 2" xfId="2857" xr:uid="{00000000-0005-0000-0000-0000C5040000}"/>
    <cellStyle name="Normal 14 2 2 2 2" xfId="6778" xr:uid="{617FB368-A8BB-4B53-B4E4-06A9408CE560}"/>
    <cellStyle name="Normal 14 2 2 2 2 2" xfId="14638" xr:uid="{93C72508-D4B5-4F86-A10C-AB92DB392354}"/>
    <cellStyle name="Normal 14 2 2 2 3" xfId="10718" xr:uid="{9739E593-91BF-48A1-BDD5-0740705EFDFA}"/>
    <cellStyle name="Normal 14 2 2 3" xfId="4824" xr:uid="{DE071692-C9A1-46DA-844F-ECE5726D9A21}"/>
    <cellStyle name="Normal 14 2 2 3 2" xfId="12684" xr:uid="{22FCE412-54D6-4630-80E5-D68B1A7D28BD}"/>
    <cellStyle name="Normal 14 2 2 4" xfId="8765" xr:uid="{362F8735-37BB-49DD-9A63-036FA15C9362}"/>
    <cellStyle name="Normal 14 2 3" xfId="1335" xr:uid="{00000000-0005-0000-0000-0000C6040000}"/>
    <cellStyle name="Normal 14 2 3 2" xfId="3289" xr:uid="{00000000-0005-0000-0000-0000C7040000}"/>
    <cellStyle name="Normal 14 2 3 2 2" xfId="7210" xr:uid="{36B15E65-E295-48C7-8C41-18940BEA2AF0}"/>
    <cellStyle name="Normal 14 2 3 2 2 2" xfId="15070" xr:uid="{A611B192-0D1B-4254-B2AD-21A164A8B5A5}"/>
    <cellStyle name="Normal 14 2 3 2 3" xfId="11150" xr:uid="{28C2E3E6-29C9-4690-BEE1-F7C6E45E2733}"/>
    <cellStyle name="Normal 14 2 3 3" xfId="5256" xr:uid="{2F97280A-04A3-414F-8ADF-655CB9FB5180}"/>
    <cellStyle name="Normal 14 2 3 3 2" xfId="13116" xr:uid="{29CD42A4-878F-4361-8243-3A3E14DF2CB0}"/>
    <cellStyle name="Normal 14 2 3 4" xfId="9197" xr:uid="{3C170435-3F02-4E12-A740-6C1310489FA3}"/>
    <cellStyle name="Normal 14 2 4" xfId="1753" xr:uid="{00000000-0005-0000-0000-0000C8040000}"/>
    <cellStyle name="Normal 14 2 4 2" xfId="3707" xr:uid="{00000000-0005-0000-0000-0000C9040000}"/>
    <cellStyle name="Normal 14 2 4 2 2" xfId="7628" xr:uid="{00B54F84-0DBA-4C7A-AE6C-8DFDB28A2719}"/>
    <cellStyle name="Normal 14 2 4 2 2 2" xfId="15488" xr:uid="{C5513CA6-AC92-4B8D-9F67-65CA9C263673}"/>
    <cellStyle name="Normal 14 2 4 2 3" xfId="11568" xr:uid="{60738ACC-E431-47AA-BF56-A804E53CE513}"/>
    <cellStyle name="Normal 14 2 4 3" xfId="5674" xr:uid="{2CF96BB8-C858-4B00-8A71-3B88599EFB98}"/>
    <cellStyle name="Normal 14 2 4 3 2" xfId="13534" xr:uid="{51A5C4A8-1C66-4B2D-9DD9-717AF3D1F3D6}"/>
    <cellStyle name="Normal 14 2 4 4" xfId="9615" xr:uid="{FE016DD4-B1D9-4D54-9A26-E4B946662A35}"/>
    <cellStyle name="Normal 14 2 5" xfId="2407" xr:uid="{00000000-0005-0000-0000-0000CA040000}"/>
    <cellStyle name="Normal 14 2 5 2" xfId="6328" xr:uid="{F476085A-B06B-4B1E-A662-DEAFF8D086AF}"/>
    <cellStyle name="Normal 14 2 5 2 2" xfId="14188" xr:uid="{B3B6F0F2-03F7-4370-AC36-E47BE76257F6}"/>
    <cellStyle name="Normal 14 2 5 3" xfId="10268" xr:uid="{2526161F-C2A7-4AB0-8A05-F2B68EEBE1CA}"/>
    <cellStyle name="Normal 14 2 6" xfId="4374" xr:uid="{BA6BCDC5-889A-4CCE-8079-273494A2FC55}"/>
    <cellStyle name="Normal 14 2 6 2" xfId="12234" xr:uid="{EC5540F3-1C58-4078-9F78-CF0B8CF04B81}"/>
    <cellStyle name="Normal 14 2 7" xfId="8315" xr:uid="{098298E0-37C4-4625-9CBC-2DF5952FF27D}"/>
    <cellStyle name="Normal 14 3" xfId="809" xr:uid="{00000000-0005-0000-0000-0000CB040000}"/>
    <cellStyle name="Normal 14 3 2" xfId="2763" xr:uid="{00000000-0005-0000-0000-0000CC040000}"/>
    <cellStyle name="Normal 14 3 2 2" xfId="6684" xr:uid="{58E8B7C1-4C89-436A-98E8-6B29A23DA790}"/>
    <cellStyle name="Normal 14 3 2 2 2" xfId="14544" xr:uid="{F7851CC0-4B1A-4B4D-A2E1-D3050FBDBD51}"/>
    <cellStyle name="Normal 14 3 2 3" xfId="10624" xr:uid="{90EF09C2-C115-4102-A286-CEEF2D5E42ED}"/>
    <cellStyle name="Normal 14 3 3" xfId="4730" xr:uid="{07A9AA65-FBCD-4339-B57B-120E9C8FE3AF}"/>
    <cellStyle name="Normal 14 3 3 2" xfId="12590" xr:uid="{2B23EDA5-D015-483C-8B06-9594100402FD}"/>
    <cellStyle name="Normal 14 3 4" xfId="8671" xr:uid="{D83810E7-13B6-4514-9B3A-53EDEC9678CC}"/>
    <cellStyle name="Normal 14 4" xfId="1243" xr:uid="{00000000-0005-0000-0000-0000CD040000}"/>
    <cellStyle name="Normal 14 4 2" xfId="3197" xr:uid="{00000000-0005-0000-0000-0000CE040000}"/>
    <cellStyle name="Normal 14 4 2 2" xfId="7118" xr:uid="{D1D74888-7EBD-4668-A315-DB3E28288090}"/>
    <cellStyle name="Normal 14 4 2 2 2" xfId="14978" xr:uid="{8CDCF2C9-B979-4736-A60C-D2FEBC7222B6}"/>
    <cellStyle name="Normal 14 4 2 3" xfId="11058" xr:uid="{68FDFCF3-B60E-44DE-A456-C117E0E710FD}"/>
    <cellStyle name="Normal 14 4 3" xfId="5164" xr:uid="{63F68348-5375-4BC7-9B8D-5AF549C7641B}"/>
    <cellStyle name="Normal 14 4 3 2" xfId="13024" xr:uid="{7C2A3245-0966-445D-AC2A-E47701A690BA}"/>
    <cellStyle name="Normal 14 4 4" xfId="9105" xr:uid="{47FA8477-B82B-45DB-A697-BDB7BA45330F}"/>
    <cellStyle name="Normal 14 5" xfId="1661" xr:uid="{00000000-0005-0000-0000-0000CF040000}"/>
    <cellStyle name="Normal 14 5 2" xfId="3615" xr:uid="{00000000-0005-0000-0000-0000D0040000}"/>
    <cellStyle name="Normal 14 5 2 2" xfId="7536" xr:uid="{88ADDC9D-FA8E-4F80-86B4-F1C5CA9AFBAB}"/>
    <cellStyle name="Normal 14 5 2 2 2" xfId="15396" xr:uid="{15C8B6D6-5F47-4496-879B-296E47C922AA}"/>
    <cellStyle name="Normal 14 5 2 3" xfId="11476" xr:uid="{3F5E2C3E-44B3-4E21-AABF-A01FA3BA8AE1}"/>
    <cellStyle name="Normal 14 5 3" xfId="5582" xr:uid="{DEFFEF94-3EDE-4291-9C51-8AA2D3F1311D}"/>
    <cellStyle name="Normal 14 5 3 2" xfId="13442" xr:uid="{B448454D-E65C-4B7C-B331-B2243860A08F}"/>
    <cellStyle name="Normal 14 5 4" xfId="9523" xr:uid="{16674064-9BC6-4523-9091-63220BC53F51}"/>
    <cellStyle name="Normal 14 6" xfId="2315" xr:uid="{00000000-0005-0000-0000-0000D1040000}"/>
    <cellStyle name="Normal 14 6 2" xfId="6236" xr:uid="{A8BA258A-ED68-4008-83F3-41D868B0481C}"/>
    <cellStyle name="Normal 14 6 2 2" xfId="14096" xr:uid="{304368B4-0207-4671-B123-F0CCB3DBB711}"/>
    <cellStyle name="Normal 14 6 3" xfId="10176" xr:uid="{23DC0017-E3EC-488A-8A1B-3D4EDF6238AE}"/>
    <cellStyle name="Normal 14 7" xfId="4282" xr:uid="{6063C3E6-D1DD-45F0-AF40-5E241A1BF949}"/>
    <cellStyle name="Normal 14 7 2" xfId="12142" xr:uid="{E3787110-E282-4956-A28C-990DEF093F51}"/>
    <cellStyle name="Normal 14 8" xfId="8223" xr:uid="{565341BE-5C02-49DD-8E52-ED31F41F1E83}"/>
    <cellStyle name="Normal 15" xfId="359" xr:uid="{00000000-0005-0000-0000-0000D2040000}"/>
    <cellStyle name="Normal 15 2" xfId="454" xr:uid="{00000000-0005-0000-0000-0000D3040000}"/>
    <cellStyle name="Normal 15 2 2" xfId="905" xr:uid="{00000000-0005-0000-0000-0000D4040000}"/>
    <cellStyle name="Normal 15 2 2 2" xfId="2859" xr:uid="{00000000-0005-0000-0000-0000D5040000}"/>
    <cellStyle name="Normal 15 2 2 2 2" xfId="6780" xr:uid="{E7307BBD-9853-4191-BD24-71D71AAE09A1}"/>
    <cellStyle name="Normal 15 2 2 2 2 2" xfId="14640" xr:uid="{43FAA719-6F88-426B-BBA2-0A8E37D7D4C9}"/>
    <cellStyle name="Normal 15 2 2 2 3" xfId="10720" xr:uid="{1BAA6C8D-372F-44CA-8129-9D4E0683A31F}"/>
    <cellStyle name="Normal 15 2 2 3" xfId="4826" xr:uid="{0AB4BC86-779E-4749-B276-82E1F6BAFBD2}"/>
    <cellStyle name="Normal 15 2 2 3 2" xfId="12686" xr:uid="{B1181C01-0B4F-4494-A48E-D3966350ECED}"/>
    <cellStyle name="Normal 15 2 2 4" xfId="8767" xr:uid="{C53610CB-7932-4F8D-B302-90EFFEDFA7C3}"/>
    <cellStyle name="Normal 15 2 3" xfId="1337" xr:uid="{00000000-0005-0000-0000-0000D6040000}"/>
    <cellStyle name="Normal 15 2 3 2" xfId="3291" xr:uid="{00000000-0005-0000-0000-0000D7040000}"/>
    <cellStyle name="Normal 15 2 3 2 2" xfId="7212" xr:uid="{6929F0A2-B655-4C7F-AF38-BDCD002927B8}"/>
    <cellStyle name="Normal 15 2 3 2 2 2" xfId="15072" xr:uid="{E9B501D5-5272-4213-A067-13AFB0E196D2}"/>
    <cellStyle name="Normal 15 2 3 2 3" xfId="11152" xr:uid="{675F9D51-1EB8-4AF5-8181-99CDE2BE2007}"/>
    <cellStyle name="Normal 15 2 3 3" xfId="5258" xr:uid="{55CEB32E-4BB4-46FA-BC2C-01C4ECDFB213}"/>
    <cellStyle name="Normal 15 2 3 3 2" xfId="13118" xr:uid="{C4D4841E-383B-4042-A7AA-73A510B514F7}"/>
    <cellStyle name="Normal 15 2 3 4" xfId="9199" xr:uid="{66D9DA7F-C8EC-4EDA-8F75-F37B94F4CCDC}"/>
    <cellStyle name="Normal 15 2 4" xfId="1755" xr:uid="{00000000-0005-0000-0000-0000D8040000}"/>
    <cellStyle name="Normal 15 2 4 2" xfId="3709" xr:uid="{00000000-0005-0000-0000-0000D9040000}"/>
    <cellStyle name="Normal 15 2 4 2 2" xfId="7630" xr:uid="{57083A40-C005-4FC9-9907-4A000C244F39}"/>
    <cellStyle name="Normal 15 2 4 2 2 2" xfId="15490" xr:uid="{60100FCD-EBCA-458B-BE4D-6F05C492487C}"/>
    <cellStyle name="Normal 15 2 4 2 3" xfId="11570" xr:uid="{324D6D98-8C29-4105-B726-4FC3D6813AE9}"/>
    <cellStyle name="Normal 15 2 4 3" xfId="5676" xr:uid="{9B41EC94-A667-4086-8E38-05ABE1257F70}"/>
    <cellStyle name="Normal 15 2 4 3 2" xfId="13536" xr:uid="{985B273E-4A75-4752-B57B-63F966C016CB}"/>
    <cellStyle name="Normal 15 2 4 4" xfId="9617" xr:uid="{500D4B9C-A3E8-4D2C-B2F4-C3EED210E95D}"/>
    <cellStyle name="Normal 15 2 5" xfId="2409" xr:uid="{00000000-0005-0000-0000-0000DA040000}"/>
    <cellStyle name="Normal 15 2 5 2" xfId="6330" xr:uid="{8C6A8CE4-FE19-46A4-973F-85941A11557C}"/>
    <cellStyle name="Normal 15 2 5 2 2" xfId="14190" xr:uid="{A9DE97CF-D350-4617-805B-6C50AB0DD609}"/>
    <cellStyle name="Normal 15 2 5 3" xfId="10270" xr:uid="{47685216-4699-4537-8BCF-71DC143EE2B1}"/>
    <cellStyle name="Normal 15 2 6" xfId="4376" xr:uid="{CE3CDA8F-101D-44D5-9AC5-B11E5DA18916}"/>
    <cellStyle name="Normal 15 2 6 2" xfId="12236" xr:uid="{48671579-1AF0-48CF-96D8-46B7B18AD2E4}"/>
    <cellStyle name="Normal 15 2 7" xfId="8317" xr:uid="{C43F1CDE-9F5E-4C14-AF6C-FDA99A3790FE}"/>
    <cellStyle name="Normal 16" xfId="456" xr:uid="{00000000-0005-0000-0000-0000DB040000}"/>
    <cellStyle name="Normal 17" xfId="455" xr:uid="{00000000-0005-0000-0000-0000DC040000}"/>
    <cellStyle name="Normal 17 2" xfId="2410" xr:uid="{00000000-0005-0000-0000-0000DD040000}"/>
    <cellStyle name="Normal 17 2 2" xfId="6331" xr:uid="{0FB50AB9-2CAC-439E-95C3-FD489982A26F}"/>
    <cellStyle name="Normal 17 2 2 2" xfId="14191" xr:uid="{BD59FBA2-5515-4BCF-B5DF-CF3C0B5FAFC1}"/>
    <cellStyle name="Normal 17 2 3" xfId="10271" xr:uid="{D3086FF6-D12D-4FD6-9FC9-8D34E43503D9}"/>
    <cellStyle name="Normal 17 3" xfId="4377" xr:uid="{472B93E1-26B2-4403-BC79-945648962DC8}"/>
    <cellStyle name="Normal 17 3 2" xfId="12237" xr:uid="{3BB4F921-E1AF-4313-952C-44C6B0CD7990}"/>
    <cellStyle name="Normal 17 4" xfId="8318" xr:uid="{8F4A5271-5AE5-4929-8F53-6F81116E1EE3}"/>
    <cellStyle name="Normal 18" xfId="736" xr:uid="{00000000-0005-0000-0000-0000DE040000}"/>
    <cellStyle name="Normal 18 2" xfId="2690" xr:uid="{00000000-0005-0000-0000-0000DF040000}"/>
    <cellStyle name="Normal 18 2 2" xfId="6611" xr:uid="{6CA94F61-AA65-4E6D-9736-94ED268A0E2C}"/>
    <cellStyle name="Normal 18 2 2 2" xfId="14471" xr:uid="{30655F5A-0CDB-4FAB-A72B-CB5B5C9A5E57}"/>
    <cellStyle name="Normal 18 2 3" xfId="10551" xr:uid="{1C61450A-E37B-4B09-92D8-359E84D29D2B}"/>
    <cellStyle name="Normal 18 3" xfId="4657" xr:uid="{6FC7757E-0D4C-47B3-AD06-BE24373047A4}"/>
    <cellStyle name="Normal 18 3 2" xfId="12517" xr:uid="{9E768929-77CF-4411-9EBC-59E970B818AB}"/>
    <cellStyle name="Normal 18 4" xfId="8598" xr:uid="{6FC486A7-B7EB-4D38-A11E-A03DFC3A63E0}"/>
    <cellStyle name="Normal 19" xfId="1172" xr:uid="{00000000-0005-0000-0000-0000E0040000}"/>
    <cellStyle name="Normal 19 2" xfId="3126" xr:uid="{00000000-0005-0000-0000-0000E1040000}"/>
    <cellStyle name="Normal 19 2 2" xfId="7047" xr:uid="{E65C43D5-519C-484E-893C-B5C9127BB516}"/>
    <cellStyle name="Normal 19 2 2 2" xfId="14907" xr:uid="{BE19F0BA-2C49-43D8-A313-0734A2B7B2E0}"/>
    <cellStyle name="Normal 19 2 3" xfId="10987" xr:uid="{9D67ED1D-0878-485B-A50A-1DB8C5E17ECF}"/>
    <cellStyle name="Normal 19 3" xfId="5093" xr:uid="{023EEF8C-FC31-4C3B-9A64-2B6B983D4647}"/>
    <cellStyle name="Normal 19 3 2" xfId="12953" xr:uid="{2F5AB50B-D06E-4E87-A20F-5B4199228E3B}"/>
    <cellStyle name="Normal 19 4" xfId="9034" xr:uid="{59B88F2F-B3A4-450B-AB04-1B85BC8AFD2A}"/>
    <cellStyle name="Normal 2" xfId="3" xr:uid="{00000000-0005-0000-0000-0000E2040000}"/>
    <cellStyle name="Normal 2 10" xfId="363" xr:uid="{00000000-0005-0000-0000-0000E3040000}"/>
    <cellStyle name="Normal 2 10 2" xfId="814" xr:uid="{00000000-0005-0000-0000-0000E4040000}"/>
    <cellStyle name="Normal 2 10 2 2" xfId="2768" xr:uid="{00000000-0005-0000-0000-0000E5040000}"/>
    <cellStyle name="Normal 2 10 2 2 2" xfId="6689" xr:uid="{5620304F-90C7-4914-B3C7-3331CBA90401}"/>
    <cellStyle name="Normal 2 10 2 2 2 2" xfId="14549" xr:uid="{C3815291-11CF-4F59-BC25-FBDF525ADA6F}"/>
    <cellStyle name="Normal 2 10 2 2 3" xfId="10629" xr:uid="{9D17B805-B0A3-4015-BC1E-84190C1F910A}"/>
    <cellStyle name="Normal 2 10 2 3" xfId="4735" xr:uid="{FB38D4C1-F18D-4C54-A16F-177ED9964848}"/>
    <cellStyle name="Normal 2 10 2 3 2" xfId="12595" xr:uid="{83317D7A-C5DA-4E7F-ACA1-D9EA0D39E7DF}"/>
    <cellStyle name="Normal 2 10 2 4" xfId="8676" xr:uid="{8517DA34-44FB-4303-B5D6-3B5DC9757A45}"/>
    <cellStyle name="Normal 2 10 3" xfId="1246" xr:uid="{00000000-0005-0000-0000-0000E6040000}"/>
    <cellStyle name="Normal 2 10 3 2" xfId="3200" xr:uid="{00000000-0005-0000-0000-0000E7040000}"/>
    <cellStyle name="Normal 2 10 3 2 2" xfId="7121" xr:uid="{11354380-3881-4463-9EBA-9BFF3351DF25}"/>
    <cellStyle name="Normal 2 10 3 2 2 2" xfId="14981" xr:uid="{B78EE817-383F-4B4E-B5EB-2AE9F6C45C46}"/>
    <cellStyle name="Normal 2 10 3 2 3" xfId="11061" xr:uid="{D0255525-BE7C-4BF7-B4A0-210987C003CA}"/>
    <cellStyle name="Normal 2 10 3 3" xfId="5167" xr:uid="{E1356A74-B615-42AF-B0BF-F8E16DB31635}"/>
    <cellStyle name="Normal 2 10 3 3 2" xfId="13027" xr:uid="{A02231EA-E03A-4E7A-87B6-19A8B37700F1}"/>
    <cellStyle name="Normal 2 10 3 4" xfId="9108" xr:uid="{17A91D72-01A3-4F04-996B-834BEDD2FCD8}"/>
    <cellStyle name="Normal 2 10 4" xfId="1664" xr:uid="{00000000-0005-0000-0000-0000E8040000}"/>
    <cellStyle name="Normal 2 10 4 2" xfId="3618" xr:uid="{00000000-0005-0000-0000-0000E9040000}"/>
    <cellStyle name="Normal 2 10 4 2 2" xfId="7539" xr:uid="{8696C0D0-D20C-4B78-AC84-8A00CA9213F8}"/>
    <cellStyle name="Normal 2 10 4 2 2 2" xfId="15399" xr:uid="{145457A0-3581-4D55-BC90-E73FB733C9D1}"/>
    <cellStyle name="Normal 2 10 4 2 3" xfId="11479" xr:uid="{912DA75A-8CAC-4970-A8C4-B9A0F131BAF6}"/>
    <cellStyle name="Normal 2 10 4 3" xfId="5585" xr:uid="{0D5F96AF-712E-4ADB-BC62-5261405E7746}"/>
    <cellStyle name="Normal 2 10 4 3 2" xfId="13445" xr:uid="{94C2A0D2-58AF-44BC-96CB-67C23CC07616}"/>
    <cellStyle name="Normal 2 10 4 4" xfId="9526" xr:uid="{EB4EDB34-94DE-41C0-A30B-7A793CB6C3B3}"/>
    <cellStyle name="Normal 2 10 5" xfId="2318" xr:uid="{00000000-0005-0000-0000-0000EA040000}"/>
    <cellStyle name="Normal 2 10 5 2" xfId="6239" xr:uid="{29CF8FF4-D5D3-460C-90C3-1DF8E8F775E6}"/>
    <cellStyle name="Normal 2 10 5 2 2" xfId="14099" xr:uid="{DA3EA619-F9B8-425E-90F2-5F0319263F18}"/>
    <cellStyle name="Normal 2 10 5 3" xfId="10179" xr:uid="{0863B307-B263-4260-AA6F-3D88A12320DC}"/>
    <cellStyle name="Normal 2 10 6" xfId="4285" xr:uid="{D06645E9-5008-44EA-BA91-317DC16D4D89}"/>
    <cellStyle name="Normal 2 10 6 2" xfId="12145" xr:uid="{F7568983-FE5B-4AFC-8B55-7053593C10E2}"/>
    <cellStyle name="Normal 2 10 7" xfId="8226" xr:uid="{88ED07CB-91B6-4CFA-8AD1-14F7CBBC18E5}"/>
    <cellStyle name="Normal 2 11" xfId="458" xr:uid="{00000000-0005-0000-0000-0000EB040000}"/>
    <cellStyle name="Normal 2 11 2" xfId="2412" xr:uid="{00000000-0005-0000-0000-0000EC040000}"/>
    <cellStyle name="Normal 2 11 2 2" xfId="6333" xr:uid="{D5C7E475-A0C1-47AF-9C19-96D23AFCDBB2}"/>
    <cellStyle name="Normal 2 11 2 2 2" xfId="14193" xr:uid="{893A26D3-AA29-4750-8143-9E2B3ED19D33}"/>
    <cellStyle name="Normal 2 11 2 3" xfId="10273" xr:uid="{0D519BF5-73F5-4FA6-BB09-38BBCEB46390}"/>
    <cellStyle name="Normal 2 11 3" xfId="4379" xr:uid="{8F03C754-2BE9-4FB8-81AE-28D4B68FFB59}"/>
    <cellStyle name="Normal 2 11 3 2" xfId="12239" xr:uid="{B7DBD4C0-F4FB-4A97-A148-4E17863BAFB1}"/>
    <cellStyle name="Normal 2 11 4" xfId="8320" xr:uid="{7C17E138-0E33-41EC-90D3-6ED9EE401937}"/>
    <cellStyle name="Normal 2 12" xfId="707" xr:uid="{00000000-0005-0000-0000-0000ED040000}"/>
    <cellStyle name="Normal 2 12 2" xfId="2661" xr:uid="{00000000-0005-0000-0000-0000EE040000}"/>
    <cellStyle name="Normal 2 12 2 2" xfId="6582" xr:uid="{ED09060E-FE33-4F9D-818D-23F45C3922F9}"/>
    <cellStyle name="Normal 2 12 2 2 2" xfId="14442" xr:uid="{5D820308-3918-4492-97F7-CD0EA9A6E125}"/>
    <cellStyle name="Normal 2 12 2 3" xfId="10522" xr:uid="{5636947D-3DBE-49DA-9579-2806BAA9044D}"/>
    <cellStyle name="Normal 2 12 3" xfId="4628" xr:uid="{E2B2836F-49AA-4B47-BC58-EAC1F56F96C2}"/>
    <cellStyle name="Normal 2 12 3 2" xfId="12488" xr:uid="{A021E4C4-572F-434E-9C0B-C339D937B819}"/>
    <cellStyle name="Normal 2 12 4" xfId="8569" xr:uid="{B0DBD8E8-051F-4BD4-B189-6206B4F0455B}"/>
    <cellStyle name="Normal 2 13" xfId="1144" xr:uid="{00000000-0005-0000-0000-0000EF040000}"/>
    <cellStyle name="Normal 2 13 2" xfId="3098" xr:uid="{00000000-0005-0000-0000-0000F0040000}"/>
    <cellStyle name="Normal 2 13 2 2" xfId="7019" xr:uid="{8B444326-A201-467B-9FCE-8A2C7A2ADE4A}"/>
    <cellStyle name="Normal 2 13 2 2 2" xfId="14879" xr:uid="{11121E68-1F56-43E4-A29C-621048155857}"/>
    <cellStyle name="Normal 2 13 2 3" xfId="10959" xr:uid="{1223C8D4-A518-4187-991F-C3BE08A0994C}"/>
    <cellStyle name="Normal 2 13 3" xfId="5065" xr:uid="{434BD8A8-7E5E-4775-81F4-9A53A6C53323}"/>
    <cellStyle name="Normal 2 13 3 2" xfId="12925" xr:uid="{0924731E-B89F-4ED1-B882-F9A2D4D54D28}"/>
    <cellStyle name="Normal 2 13 4" xfId="9006" xr:uid="{41120D94-76F0-436E-B738-2711C447DE6B}"/>
    <cellStyle name="Normal 2 14" xfId="1952" xr:uid="{00000000-0005-0000-0000-0000F1040000}"/>
    <cellStyle name="Normal 2 14 2" xfId="3903" xr:uid="{00000000-0005-0000-0000-0000F2040000}"/>
    <cellStyle name="Normal 2 14 2 2" xfId="7824" xr:uid="{7A3C8350-77F5-41EB-A96A-507817B37F9C}"/>
    <cellStyle name="Normal 2 14 2 2 2" xfId="15684" xr:uid="{55BE092F-A953-48B9-8160-8777E86AC8D0}"/>
    <cellStyle name="Normal 2 14 2 3" xfId="11764" xr:uid="{C673C859-6448-461C-9D3B-BD25F164FCC1}"/>
    <cellStyle name="Normal 2 14 3" xfId="5873" xr:uid="{9AC81403-8E07-4571-86FC-17749AE073E9}"/>
    <cellStyle name="Normal 2 14 3 2" xfId="13733" xr:uid="{6C8BAB60-F738-494C-82D5-3F9A3913B5AD}"/>
    <cellStyle name="Normal 2 14 4" xfId="9814" xr:uid="{9AED80CB-B1FA-4505-B9D0-DD425EC62DC9}"/>
    <cellStyle name="Normal 2 15" xfId="1924" xr:uid="{00000000-0005-0000-0000-0000F3040000}"/>
    <cellStyle name="Normal 2 15 2" xfId="1936" xr:uid="{00000000-0005-0000-0000-0000F4040000}"/>
    <cellStyle name="Normal 2 15 2 2" xfId="3887" xr:uid="{00000000-0005-0000-0000-0000F5040000}"/>
    <cellStyle name="Normal 2 15 2 2 2" xfId="7808" xr:uid="{FDDE9406-02AC-4F6A-8F4D-A3CDEBB026CE}"/>
    <cellStyle name="Normal 2 15 2 2 2 2" xfId="15668" xr:uid="{9A472CA7-D0B8-4A86-A089-5DE512D8C25B}"/>
    <cellStyle name="Normal 2 15 2 2 3" xfId="11748" xr:uid="{66F74A62-C536-4800-BA73-670F32F40C10}"/>
    <cellStyle name="Normal 2 15 2 3" xfId="5857" xr:uid="{BD47C8CB-2172-4B90-9BAB-BBFAD520D474}"/>
    <cellStyle name="Normal 2 15 2 3 2" xfId="13717" xr:uid="{6A303DD3-8F38-47E5-91DE-3BDE9FDE0F07}"/>
    <cellStyle name="Normal 2 15 2 4" xfId="9798" xr:uid="{A9BAA818-CA58-4108-ABCA-BB416B6FB7F8}"/>
    <cellStyle name="Normal 2 15 3" xfId="3877" xr:uid="{00000000-0005-0000-0000-0000F6040000}"/>
    <cellStyle name="Normal 2 15 3 2" xfId="7798" xr:uid="{502B3F5B-2921-4D75-B53D-D9A543CFEF80}"/>
    <cellStyle name="Normal 2 15 3 2 2" xfId="15658" xr:uid="{CFB4638B-80D5-4F1C-BA58-CAB21ECEC5D6}"/>
    <cellStyle name="Normal 2 15 3 3" xfId="11738" xr:uid="{05E4BC0D-30E2-4094-8108-1710021BCAC9}"/>
    <cellStyle name="Normal 2 15 4" xfId="5845" xr:uid="{CAE5BC9A-DEDD-4DEE-82EF-B2DFA8119670}"/>
    <cellStyle name="Normal 2 15 4 2" xfId="13705" xr:uid="{A99932C1-A4EC-4FF9-9C6E-628A7BD3989A}"/>
    <cellStyle name="Normal 2 15 5" xfId="9786" xr:uid="{8B99A1B4-E4FA-4DB9-A37F-6B185431EBEC}"/>
    <cellStyle name="Normal 2 16" xfId="1963" xr:uid="{00000000-0005-0000-0000-0000F7040000}"/>
    <cellStyle name="Normal 2 16 2" xfId="3914" xr:uid="{00000000-0005-0000-0000-0000F8040000}"/>
    <cellStyle name="Normal 2 16 2 2" xfId="7835" xr:uid="{04C924EF-870F-48FC-865D-DD7D059F9DA1}"/>
    <cellStyle name="Normal 2 16 2 2 2" xfId="15695" xr:uid="{CED7D8A0-63BA-4241-B8DC-1344CD8FBDE9}"/>
    <cellStyle name="Normal 2 16 2 3" xfId="11775" xr:uid="{4681BC38-E941-4356-BB25-7A91E2344DB8}"/>
    <cellStyle name="Normal 2 16 3" xfId="5884" xr:uid="{934FB873-90C9-4BC5-892F-FF68FD9DC6D1}"/>
    <cellStyle name="Normal 2 16 3 2" xfId="13744" xr:uid="{A362347D-E2F1-455B-822F-BFEDF296EEDC}"/>
    <cellStyle name="Normal 2 16 4" xfId="9825" xr:uid="{D7D58F53-7FD1-4AD0-9F21-860BFF220E18}"/>
    <cellStyle name="Normal 2 17" xfId="1977" xr:uid="{00000000-0005-0000-0000-0000F9040000}"/>
    <cellStyle name="Normal 2 17 2" xfId="5898" xr:uid="{E439C0C5-22FC-44C9-8CEB-6F5430CFD69C}"/>
    <cellStyle name="Normal 2 17 2 2" xfId="13758" xr:uid="{EA977765-1C91-4B1B-91EB-C22426AC3F09}"/>
    <cellStyle name="Normal 2 17 3" xfId="9838" xr:uid="{659E4841-DFE2-4E07-B26F-98D591B05D3C}"/>
    <cellStyle name="Normal 2 18" xfId="3943" xr:uid="{3A63EB21-A348-4FDB-ADC4-C0A0C0B2ED0F}"/>
    <cellStyle name="Normal 2 18 2" xfId="11803" xr:uid="{565090F3-C862-47E1-BA52-D93EB6FC5C6C}"/>
    <cellStyle name="Normal 2 19" xfId="7880" xr:uid="{FC7435DE-8C71-4F51-BAEA-15DFD61080A9}"/>
    <cellStyle name="Normal 2 2" xfId="17" xr:uid="{00000000-0005-0000-0000-0000FA040000}"/>
    <cellStyle name="Normal 2 2 10" xfId="1988" xr:uid="{00000000-0005-0000-0000-0000FB040000}"/>
    <cellStyle name="Normal 2 2 10 2" xfId="5909" xr:uid="{86B58687-BA93-4915-AD7A-5FBFDD95095A}"/>
    <cellStyle name="Normal 2 2 10 2 2" xfId="13769" xr:uid="{BC6B913C-3AD6-4E02-944D-99FC29CBF822}"/>
    <cellStyle name="Normal 2 2 10 3" xfId="9849" xr:uid="{D43960AC-9545-4257-8215-89C086593DF0}"/>
    <cellStyle name="Normal 2 2 11" xfId="3955" xr:uid="{C34EDD73-F7CB-4553-9DE4-905D29F8F033}"/>
    <cellStyle name="Normal 2 2 11 2" xfId="11815" xr:uid="{F0390718-0FD7-477E-9C63-EDB85F1FDDF4}"/>
    <cellStyle name="Normal 2 2 12" xfId="7892" xr:uid="{E985B3FE-A615-4E82-9B5F-2ECD8CB2985F}"/>
    <cellStyle name="Normal 2 2 2" xfId="59" xr:uid="{00000000-0005-0000-0000-0000FC040000}"/>
    <cellStyle name="Normal 2 2 2 10" xfId="3995" xr:uid="{BB403AAC-9AE6-4171-BD1C-9C0EF97F90F5}"/>
    <cellStyle name="Normal 2 2 2 10 2" xfId="11855" xr:uid="{5737E148-B331-464D-8221-3C3421B7AC9F}"/>
    <cellStyle name="Normal 2 2 2 11" xfId="7933" xr:uid="{9E936897-1B85-45FC-845C-F41B4AA12F3A}"/>
    <cellStyle name="Normal 2 2 2 2" xfId="215" xr:uid="{00000000-0005-0000-0000-0000FD040000}"/>
    <cellStyle name="Normal 2 2 2 2 10" xfId="15753" xr:uid="{BA516323-8A97-446C-A981-806EE085B05D}"/>
    <cellStyle name="Normal 2 2 2 2 2" xfId="667" xr:uid="{00000000-0005-0000-0000-0000FE040000}"/>
    <cellStyle name="Normal 2 2 2 2 2 2" xfId="2621" xr:uid="{00000000-0005-0000-0000-0000FF040000}"/>
    <cellStyle name="Normal 2 2 2 2 2 2 2" xfId="6542" xr:uid="{49557F81-BEDB-49F7-B68D-D9E854AEDE7B}"/>
    <cellStyle name="Normal 2 2 2 2 2 2 2 2" xfId="14402" xr:uid="{BA3A2C0E-E9FB-4431-9ABE-45E42680F5A6}"/>
    <cellStyle name="Normal 2 2 2 2 2 2 3" xfId="10482" xr:uid="{E4A01145-6E07-47D4-96AF-04BE34124101}"/>
    <cellStyle name="Normal 2 2 2 2 2 3" xfId="4588" xr:uid="{A9B379EB-D252-4831-B08A-EA392853FA72}"/>
    <cellStyle name="Normal 2 2 2 2 2 3 2" xfId="12448" xr:uid="{67C37E7B-33FC-4EEA-82F7-44A7FEB08782}"/>
    <cellStyle name="Normal 2 2 2 2 2 4" xfId="8529" xr:uid="{21E60357-391C-499B-9101-CC6045FD16F8}"/>
    <cellStyle name="Normal 2 2 2 2 3" xfId="1104" xr:uid="{00000000-0005-0000-0000-000000050000}"/>
    <cellStyle name="Normal 2 2 2 2 3 2" xfId="3058" xr:uid="{00000000-0005-0000-0000-000001050000}"/>
    <cellStyle name="Normal 2 2 2 2 3 2 2" xfId="6979" xr:uid="{444D5B93-7E83-452D-9312-7246D412E0C1}"/>
    <cellStyle name="Normal 2 2 2 2 3 2 2 2" xfId="14839" xr:uid="{0FEF7642-8BAA-4C03-B555-E22196B60645}"/>
    <cellStyle name="Normal 2 2 2 2 3 2 3" xfId="10919" xr:uid="{A6A94454-CBF2-429C-8E1B-B629E09D91CC}"/>
    <cellStyle name="Normal 2 2 2 2 3 3" xfId="5025" xr:uid="{9819B727-E2E3-49A4-9824-7D4CCCC1888C}"/>
    <cellStyle name="Normal 2 2 2 2 3 3 2" xfId="12885" xr:uid="{65C9F6AD-6FF9-43B8-AEBF-B37030480F0D}"/>
    <cellStyle name="Normal 2 2 2 2 3 4" xfId="8966" xr:uid="{57FAE1E1-9F9B-42C6-80A3-2147D676EEB3}"/>
    <cellStyle name="Normal 2 2 2 2 4" xfId="1531" xr:uid="{00000000-0005-0000-0000-000002050000}"/>
    <cellStyle name="Normal 2 2 2 2 4 2" xfId="3485" xr:uid="{00000000-0005-0000-0000-000003050000}"/>
    <cellStyle name="Normal 2 2 2 2 4 2 2" xfId="7406" xr:uid="{F28DD05C-A2E6-4474-A309-FA125C58A243}"/>
    <cellStyle name="Normal 2 2 2 2 4 2 2 2" xfId="15266" xr:uid="{B3FB8F25-B3DB-4680-B5A9-A838E84A2FD4}"/>
    <cellStyle name="Normal 2 2 2 2 4 2 3" xfId="11346" xr:uid="{377772D8-FD35-4839-8805-DCC1FD3F415E}"/>
    <cellStyle name="Normal 2 2 2 2 4 3" xfId="5452" xr:uid="{969AA8BA-D5B8-4BFD-96C3-717D3B8DE237}"/>
    <cellStyle name="Normal 2 2 2 2 4 3 2" xfId="13312" xr:uid="{EAF570A4-8EEE-4AD6-BE75-C3531764B1EB}"/>
    <cellStyle name="Normal 2 2 2 2 4 4" xfId="9393" xr:uid="{DCE554E8-B5DA-45A9-9748-13D2D52BAC82}"/>
    <cellStyle name="Normal 2 2 2 2 5" xfId="1953" xr:uid="{00000000-0005-0000-0000-000004050000}"/>
    <cellStyle name="Normal 2 2 2 2 5 2" xfId="3904" xr:uid="{00000000-0005-0000-0000-000005050000}"/>
    <cellStyle name="Normal 2 2 2 2 5 2 2" xfId="7825" xr:uid="{FB606D22-E247-4C7E-8686-8E35C6FC47EE}"/>
    <cellStyle name="Normal 2 2 2 2 5 2 2 2" xfId="15685" xr:uid="{F415F9C8-CE1B-414F-A889-B2020B922B22}"/>
    <cellStyle name="Normal 2 2 2 2 5 2 3" xfId="11765" xr:uid="{B9816E2A-ADD8-45A0-BD22-91E0B6DB0CE0}"/>
    <cellStyle name="Normal 2 2 2 2 5 3" xfId="5874" xr:uid="{55734EF0-553A-465B-B331-D7F5FBCBB853}"/>
    <cellStyle name="Normal 2 2 2 2 5 3 2" xfId="13734" xr:uid="{DB20527F-6574-4416-9EDB-7F14F2DD9A5A}"/>
    <cellStyle name="Normal 2 2 2 2 5 4" xfId="9815" xr:uid="{1FDF7071-5856-45D8-8936-32217133235F}"/>
    <cellStyle name="Normal 2 2 2 2 6" xfId="1925" xr:uid="{00000000-0005-0000-0000-000006050000}"/>
    <cellStyle name="Normal 2 2 2 2 6 2" xfId="1937" xr:uid="{00000000-0005-0000-0000-000007050000}"/>
    <cellStyle name="Normal 2 2 2 2 6 2 2" xfId="3888" xr:uid="{00000000-0005-0000-0000-000008050000}"/>
    <cellStyle name="Normal 2 2 2 2 6 2 2 2" xfId="7809" xr:uid="{E14DF45B-2C7C-4C5A-92BD-547156B19994}"/>
    <cellStyle name="Normal 2 2 2 2 6 2 2 2 2" xfId="15669" xr:uid="{AA3FFE96-44BC-4796-A535-9EC497ED23A8}"/>
    <cellStyle name="Normal 2 2 2 2 6 2 2 3" xfId="11749" xr:uid="{806FF64C-BEE1-443A-8918-492B8A73BD34}"/>
    <cellStyle name="Normal 2 2 2 2 6 2 3" xfId="5858" xr:uid="{9F9673BB-2974-4E4E-8DF2-A7000F50EC71}"/>
    <cellStyle name="Normal 2 2 2 2 6 2 3 2" xfId="13718" xr:uid="{7E54D1C8-9617-4CED-BB4E-AE2CB4E83947}"/>
    <cellStyle name="Normal 2 2 2 2 6 2 4" xfId="9799" xr:uid="{A4993B24-0FAE-464A-9E3E-856A6679654B}"/>
    <cellStyle name="Normal 2 2 2 2 6 3" xfId="3878" xr:uid="{00000000-0005-0000-0000-000009050000}"/>
    <cellStyle name="Normal 2 2 2 2 6 3 2" xfId="7799" xr:uid="{76FF5759-E76B-46DF-A993-772844A93EFB}"/>
    <cellStyle name="Normal 2 2 2 2 6 3 2 2" xfId="15659" xr:uid="{CD095AA2-1974-4FB3-9853-F990067E689B}"/>
    <cellStyle name="Normal 2 2 2 2 6 3 3" xfId="11739" xr:uid="{AA1E2D82-CFE6-472E-B80B-80276D92D164}"/>
    <cellStyle name="Normal 2 2 2 2 6 4" xfId="5846" xr:uid="{C43B160A-6C27-4965-A4C0-05317A1EEA7B}"/>
    <cellStyle name="Normal 2 2 2 2 6 4 2" xfId="13706" xr:uid="{27F8B367-0A9D-4322-861F-1A85F14333C5}"/>
    <cellStyle name="Normal 2 2 2 2 6 5" xfId="9787" xr:uid="{15281186-B5AB-455A-986A-F477C335E48E}"/>
    <cellStyle name="Normal 2 2 2 2 7" xfId="2184" xr:uid="{00000000-0005-0000-0000-00000A050000}"/>
    <cellStyle name="Normal 2 2 2 2 7 2" xfId="6105" xr:uid="{3AC5E620-36B4-4F49-9D04-1AD66A86FEEC}"/>
    <cellStyle name="Normal 2 2 2 2 7 2 2" xfId="13965" xr:uid="{5C79C72F-9047-4D02-B791-D3822F7FEF03}"/>
    <cellStyle name="Normal 2 2 2 2 7 3" xfId="10045" xr:uid="{F010650B-0717-4EAD-8F5A-6C11824A2E6C}"/>
    <cellStyle name="Normal 2 2 2 2 8" xfId="4151" xr:uid="{0A1D0E70-D7A2-4634-BD3D-ACB9AFC23B65}"/>
    <cellStyle name="Normal 2 2 2 2 8 2" xfId="12011" xr:uid="{D051E1D5-B27F-42A4-84BA-2A93C0A61D1B}"/>
    <cellStyle name="Normal 2 2 2 2 9" xfId="8089" xr:uid="{FE2A1483-F86F-4CE0-BF2C-9BC055CA27D5}"/>
    <cellStyle name="Normal 2 2 2 3" xfId="137" xr:uid="{00000000-0005-0000-0000-00000B050000}"/>
    <cellStyle name="Normal 2 2 2 3 2" xfId="589" xr:uid="{00000000-0005-0000-0000-00000C050000}"/>
    <cellStyle name="Normal 2 2 2 3 2 2" xfId="2543" xr:uid="{00000000-0005-0000-0000-00000D050000}"/>
    <cellStyle name="Normal 2 2 2 3 2 2 2" xfId="6464" xr:uid="{1C07B015-FECD-474D-BE79-A4473B141FCD}"/>
    <cellStyle name="Normal 2 2 2 3 2 2 2 2" xfId="14324" xr:uid="{8E324957-9A1C-41E4-86ED-E348DC166830}"/>
    <cellStyle name="Normal 2 2 2 3 2 2 3" xfId="10404" xr:uid="{3827CB90-C3D1-48CE-9803-BF5EF380DB01}"/>
    <cellStyle name="Normal 2 2 2 3 2 3" xfId="4510" xr:uid="{D19FE991-C78E-4373-94D4-5AC636B3932B}"/>
    <cellStyle name="Normal 2 2 2 3 2 3 2" xfId="12370" xr:uid="{756C7BCA-8AB7-4D54-9BAB-D860E27BBF8D}"/>
    <cellStyle name="Normal 2 2 2 3 2 4" xfId="8451" xr:uid="{FD6BF208-7070-488B-AB1E-C06BF46FE18E}"/>
    <cellStyle name="Normal 2 2 2 3 3" xfId="1026" xr:uid="{00000000-0005-0000-0000-00000E050000}"/>
    <cellStyle name="Normal 2 2 2 3 3 2" xfId="2980" xr:uid="{00000000-0005-0000-0000-00000F050000}"/>
    <cellStyle name="Normal 2 2 2 3 3 2 2" xfId="6901" xr:uid="{D32F10E5-9521-4E99-8135-031FB512300E}"/>
    <cellStyle name="Normal 2 2 2 3 3 2 2 2" xfId="14761" xr:uid="{F8CD396B-8CCE-4B46-841F-7FCB68117BCE}"/>
    <cellStyle name="Normal 2 2 2 3 3 2 3" xfId="10841" xr:uid="{3849133F-47FF-49E0-B2C4-04D66A052B1D}"/>
    <cellStyle name="Normal 2 2 2 3 3 3" xfId="4947" xr:uid="{79D6E157-89D5-493C-9346-78CBCAD36222}"/>
    <cellStyle name="Normal 2 2 2 3 3 3 2" xfId="12807" xr:uid="{588B5A83-F273-42B4-A580-30B91ADB9215}"/>
    <cellStyle name="Normal 2 2 2 3 3 4" xfId="8888" xr:uid="{A7E22BF1-21CB-4439-8175-6C4B669710E7}"/>
    <cellStyle name="Normal 2 2 2 3 4" xfId="1453" xr:uid="{00000000-0005-0000-0000-000010050000}"/>
    <cellStyle name="Normal 2 2 2 3 4 2" xfId="3407" xr:uid="{00000000-0005-0000-0000-000011050000}"/>
    <cellStyle name="Normal 2 2 2 3 4 2 2" xfId="7328" xr:uid="{ED31A44C-DE02-4296-9C40-4D37947AC3F4}"/>
    <cellStyle name="Normal 2 2 2 3 4 2 2 2" xfId="15188" xr:uid="{693FB0AA-998A-4E04-8D85-A04CA79F0298}"/>
    <cellStyle name="Normal 2 2 2 3 4 2 3" xfId="11268" xr:uid="{18E2CE9A-4FE9-420F-8AEA-43C228BE7751}"/>
    <cellStyle name="Normal 2 2 2 3 4 3" xfId="5374" xr:uid="{E5243B88-6757-47B2-A35D-B560EF8ECE51}"/>
    <cellStyle name="Normal 2 2 2 3 4 3 2" xfId="13234" xr:uid="{EB8E2EC0-4162-4FBD-A991-B28E4E45D2A0}"/>
    <cellStyle name="Normal 2 2 2 3 4 4" xfId="9315" xr:uid="{236CE04D-E5EA-46CF-8718-CEA376312E1C}"/>
    <cellStyle name="Normal 2 2 2 3 5" xfId="2106" xr:uid="{00000000-0005-0000-0000-000012050000}"/>
    <cellStyle name="Normal 2 2 2 3 5 2" xfId="6027" xr:uid="{53DB230E-B915-42A4-85D3-E953804E280F}"/>
    <cellStyle name="Normal 2 2 2 3 5 2 2" xfId="13887" xr:uid="{07D13D2F-A799-4988-9F27-4E51C690E0D9}"/>
    <cellStyle name="Normal 2 2 2 3 5 3" xfId="9967" xr:uid="{AE1CDDB6-A2CE-49AC-B631-A1826D9715CC}"/>
    <cellStyle name="Normal 2 2 2 3 6" xfId="4073" xr:uid="{616D0081-C3B2-4519-ACB5-5CC97F08E6E1}"/>
    <cellStyle name="Normal 2 2 2 3 6 2" xfId="11933" xr:uid="{6D8B984D-1EBA-4437-AE3E-C47A9E371A45}"/>
    <cellStyle name="Normal 2 2 2 3 7" xfId="8011" xr:uid="{F96445FB-D37F-4DAA-8C57-D6BC91197C5F}"/>
    <cellStyle name="Normal 2 2 2 4" xfId="321" xr:uid="{00000000-0005-0000-0000-000013050000}"/>
    <cellStyle name="Normal 2 2 2 4 2" xfId="773" xr:uid="{00000000-0005-0000-0000-000014050000}"/>
    <cellStyle name="Normal 2 2 2 4 2 2" xfId="2727" xr:uid="{00000000-0005-0000-0000-000015050000}"/>
    <cellStyle name="Normal 2 2 2 4 2 2 2" xfId="6648" xr:uid="{F923F13B-8995-4BB0-8E51-C64D206E4705}"/>
    <cellStyle name="Normal 2 2 2 4 2 2 2 2" xfId="14508" xr:uid="{2A700C45-ACCB-43A5-AA94-D7608DDB493A}"/>
    <cellStyle name="Normal 2 2 2 4 2 2 3" xfId="10588" xr:uid="{31269C5A-29F7-438D-93FE-180442201B5B}"/>
    <cellStyle name="Normal 2 2 2 4 2 3" xfId="4694" xr:uid="{50B6A136-A7AD-412A-90E9-F473537D3071}"/>
    <cellStyle name="Normal 2 2 2 4 2 3 2" xfId="12554" xr:uid="{92156301-9B52-4784-A823-632DD5AC3946}"/>
    <cellStyle name="Normal 2 2 2 4 2 4" xfId="8635" xr:uid="{1E97074F-DF74-4BE9-96D3-00CC382479D6}"/>
    <cellStyle name="Normal 2 2 2 4 3" xfId="1208" xr:uid="{00000000-0005-0000-0000-000016050000}"/>
    <cellStyle name="Normal 2 2 2 4 3 2" xfId="3162" xr:uid="{00000000-0005-0000-0000-000017050000}"/>
    <cellStyle name="Normal 2 2 2 4 3 2 2" xfId="7083" xr:uid="{ED6832B7-5ACD-451F-A519-C074D836E745}"/>
    <cellStyle name="Normal 2 2 2 4 3 2 2 2" xfId="14943" xr:uid="{478080ED-7003-4F55-83E6-B737370915B5}"/>
    <cellStyle name="Normal 2 2 2 4 3 2 3" xfId="11023" xr:uid="{2A35EE8B-7D30-4CAF-BD39-123617565249}"/>
    <cellStyle name="Normal 2 2 2 4 3 3" xfId="5129" xr:uid="{5EDE20E7-35A1-4516-AFA5-FEE51F9D7C05}"/>
    <cellStyle name="Normal 2 2 2 4 3 3 2" xfId="12989" xr:uid="{9D3D03F8-DEAA-4FEB-AC09-856C2D04612E}"/>
    <cellStyle name="Normal 2 2 2 4 3 4" xfId="9070" xr:uid="{589F9CAC-0F15-43C8-AA8D-01DF7D743693}"/>
    <cellStyle name="Normal 2 2 2 4 4" xfId="1628" xr:uid="{00000000-0005-0000-0000-000018050000}"/>
    <cellStyle name="Normal 2 2 2 4 4 2" xfId="3582" xr:uid="{00000000-0005-0000-0000-000019050000}"/>
    <cellStyle name="Normal 2 2 2 4 4 2 2" xfId="7503" xr:uid="{522ABB6A-914B-455A-9774-EB453D714338}"/>
    <cellStyle name="Normal 2 2 2 4 4 2 2 2" xfId="15363" xr:uid="{475786B5-B4C7-4C6B-A3DD-95C85A3A0593}"/>
    <cellStyle name="Normal 2 2 2 4 4 2 3" xfId="11443" xr:uid="{A64CFD11-BF50-4F45-B36B-FD7F47C67B4E}"/>
    <cellStyle name="Normal 2 2 2 4 4 3" xfId="5549" xr:uid="{4208F788-C6FD-492B-B3BF-94D6DC65DD6F}"/>
    <cellStyle name="Normal 2 2 2 4 4 3 2" xfId="13409" xr:uid="{B26ED038-A6BF-4F59-B833-BC0239C04383}"/>
    <cellStyle name="Normal 2 2 2 4 4 4" xfId="9490" xr:uid="{DBB12787-EEDD-4E47-A7B8-A0C12291D69B}"/>
    <cellStyle name="Normal 2 2 2 4 5" xfId="2282" xr:uid="{00000000-0005-0000-0000-00001A050000}"/>
    <cellStyle name="Normal 2 2 2 4 5 2" xfId="6203" xr:uid="{743167F1-BD68-4766-8DD1-7D7038C2524E}"/>
    <cellStyle name="Normal 2 2 2 4 5 2 2" xfId="14063" xr:uid="{7B82EC8B-BB12-48D4-A058-627122CC993B}"/>
    <cellStyle name="Normal 2 2 2 4 5 3" xfId="10143" xr:uid="{915443DC-BCC6-4C2F-BC84-5516024487C8}"/>
    <cellStyle name="Normal 2 2 2 4 6" xfId="4249" xr:uid="{FB9ED182-1662-4EBE-9003-6CF473C53978}"/>
    <cellStyle name="Normal 2 2 2 4 6 2" xfId="12109" xr:uid="{1AD6D7CC-95CD-4BA1-A852-6808CAC80E46}"/>
    <cellStyle name="Normal 2 2 2 4 7" xfId="8188" xr:uid="{4635B49E-0998-4CA7-B153-A15FEDB29D1C}"/>
    <cellStyle name="Normal 2 2 2 5" xfId="419" xr:uid="{00000000-0005-0000-0000-00001B050000}"/>
    <cellStyle name="Normal 2 2 2 5 2" xfId="870" xr:uid="{00000000-0005-0000-0000-00001C050000}"/>
    <cellStyle name="Normal 2 2 2 5 2 2" xfId="2824" xr:uid="{00000000-0005-0000-0000-00001D050000}"/>
    <cellStyle name="Normal 2 2 2 5 2 2 2" xfId="6745" xr:uid="{1AA87DBB-ABB4-44C9-8FEC-BB5892B90D0F}"/>
    <cellStyle name="Normal 2 2 2 5 2 2 2 2" xfId="14605" xr:uid="{B37BB22B-7923-4087-8B16-617F313D54EB}"/>
    <cellStyle name="Normal 2 2 2 5 2 2 3" xfId="10685" xr:uid="{0AC0709F-F111-4E50-ADA3-D7DA245F7DFE}"/>
    <cellStyle name="Normal 2 2 2 5 2 3" xfId="4791" xr:uid="{02CF5624-8342-4698-B53E-E06DA1AC8F7A}"/>
    <cellStyle name="Normal 2 2 2 5 2 3 2" xfId="12651" xr:uid="{E01E601E-E744-4850-BCDB-A1014AD717A3}"/>
    <cellStyle name="Normal 2 2 2 5 2 4" xfId="8732" xr:uid="{0D201296-DC1D-4870-B002-4A2584028741}"/>
    <cellStyle name="Normal 2 2 2 5 3" xfId="1302" xr:uid="{00000000-0005-0000-0000-00001E050000}"/>
    <cellStyle name="Normal 2 2 2 5 3 2" xfId="3256" xr:uid="{00000000-0005-0000-0000-00001F050000}"/>
    <cellStyle name="Normal 2 2 2 5 3 2 2" xfId="7177" xr:uid="{61BCF670-6164-4909-8D3D-659C2E2C43C6}"/>
    <cellStyle name="Normal 2 2 2 5 3 2 2 2" xfId="15037" xr:uid="{1A5368AA-2E99-4D78-8F07-9D5B0A6A210E}"/>
    <cellStyle name="Normal 2 2 2 5 3 2 3" xfId="11117" xr:uid="{84B0A6AE-647F-4DD6-B186-ED5400E85FBB}"/>
    <cellStyle name="Normal 2 2 2 5 3 3" xfId="5223" xr:uid="{531599B0-25B1-445E-AFEE-110267DE8355}"/>
    <cellStyle name="Normal 2 2 2 5 3 3 2" xfId="13083" xr:uid="{A9D2EC3C-9A80-4697-81D9-4C1041C0C651}"/>
    <cellStyle name="Normal 2 2 2 5 3 4" xfId="9164" xr:uid="{FC113CC1-AB18-4840-95C7-7D6FCE67FF8F}"/>
    <cellStyle name="Normal 2 2 2 5 4" xfId="1720" xr:uid="{00000000-0005-0000-0000-000020050000}"/>
    <cellStyle name="Normal 2 2 2 5 4 2" xfId="3674" xr:uid="{00000000-0005-0000-0000-000021050000}"/>
    <cellStyle name="Normal 2 2 2 5 4 2 2" xfId="7595" xr:uid="{B786A44D-00CD-4007-8F32-7E31C5C6F6DB}"/>
    <cellStyle name="Normal 2 2 2 5 4 2 2 2" xfId="15455" xr:uid="{86C313D9-E924-4295-B2DD-C66C30D30217}"/>
    <cellStyle name="Normal 2 2 2 5 4 2 3" xfId="11535" xr:uid="{B4D04A67-118E-42D3-9431-E79F98ED635F}"/>
    <cellStyle name="Normal 2 2 2 5 4 3" xfId="5641" xr:uid="{4AE921E3-8575-45C5-9A28-F493093738B2}"/>
    <cellStyle name="Normal 2 2 2 5 4 3 2" xfId="13501" xr:uid="{EE6E900E-21D3-4961-8F74-C3AD27DBAC8B}"/>
    <cellStyle name="Normal 2 2 2 5 4 4" xfId="9582" xr:uid="{57688DD8-DFEE-4382-8C86-5F0298C0732D}"/>
    <cellStyle name="Normal 2 2 2 5 5" xfId="2374" xr:uid="{00000000-0005-0000-0000-000022050000}"/>
    <cellStyle name="Normal 2 2 2 5 5 2" xfId="6295" xr:uid="{6B2EEFF3-F1CA-4126-898A-5E71684D1DA0}"/>
    <cellStyle name="Normal 2 2 2 5 5 2 2" xfId="14155" xr:uid="{FFF66513-5FE3-45E3-9005-D44E1AA2B8F8}"/>
    <cellStyle name="Normal 2 2 2 5 5 3" xfId="10235" xr:uid="{8627C4B1-9423-4575-B1D4-4F0C776F8E87}"/>
    <cellStyle name="Normal 2 2 2 5 6" xfId="4341" xr:uid="{564ADCB9-829A-4916-AF6E-B235F81F0A14}"/>
    <cellStyle name="Normal 2 2 2 5 6 2" xfId="12201" xr:uid="{802D3AC1-2978-4309-BDED-A183E1E831A2}"/>
    <cellStyle name="Normal 2 2 2 5 7" xfId="8282" xr:uid="{1ABE0B42-9D0D-46BC-AEAD-7238168CE7D4}"/>
    <cellStyle name="Normal 2 2 2 6" xfId="511" xr:uid="{00000000-0005-0000-0000-000023050000}"/>
    <cellStyle name="Normal 2 2 2 6 2" xfId="2465" xr:uid="{00000000-0005-0000-0000-000024050000}"/>
    <cellStyle name="Normal 2 2 2 6 2 2" xfId="6386" xr:uid="{AE89F848-4AEB-4BD4-814A-18E4B3075E5E}"/>
    <cellStyle name="Normal 2 2 2 6 2 2 2" xfId="14246" xr:uid="{C67F780D-9E2B-4631-809B-05104495C28A}"/>
    <cellStyle name="Normal 2 2 2 6 2 3" xfId="10326" xr:uid="{836AF56B-77F9-4997-B57A-3E66F2A9F020}"/>
    <cellStyle name="Normal 2 2 2 6 3" xfId="4432" xr:uid="{E704D290-9E38-4058-BBE9-1E28F72FB6F2}"/>
    <cellStyle name="Normal 2 2 2 6 3 2" xfId="12292" xr:uid="{3677CD7E-1F2F-4DEC-AD6E-B6506F24F873}"/>
    <cellStyle name="Normal 2 2 2 6 4" xfId="8373" xr:uid="{683E9B79-5BEF-4751-8155-B9A49FE091BC}"/>
    <cellStyle name="Normal 2 2 2 7" xfId="948" xr:uid="{00000000-0005-0000-0000-000025050000}"/>
    <cellStyle name="Normal 2 2 2 7 2" xfId="2902" xr:uid="{00000000-0005-0000-0000-000026050000}"/>
    <cellStyle name="Normal 2 2 2 7 2 2" xfId="6823" xr:uid="{10CC26FA-513B-4A53-AAEC-D529F8FD81AF}"/>
    <cellStyle name="Normal 2 2 2 7 2 2 2" xfId="14683" xr:uid="{8602F7EE-6808-4615-B161-99AC5CB44B73}"/>
    <cellStyle name="Normal 2 2 2 7 2 3" xfId="10763" xr:uid="{00F1A0E8-7835-49EC-B2CE-F6245E521FBE}"/>
    <cellStyle name="Normal 2 2 2 7 3" xfId="4869" xr:uid="{DDED88D4-459A-4132-AA07-47DEC786E2C8}"/>
    <cellStyle name="Normal 2 2 2 7 3 2" xfId="12729" xr:uid="{70CD7F2F-D65F-4E15-9B6B-BEE96BE9FC82}"/>
    <cellStyle name="Normal 2 2 2 7 4" xfId="8810" xr:uid="{A65DB68D-DF06-4E76-9FFA-F6E573004D8B}"/>
    <cellStyle name="Normal 2 2 2 8" xfId="1375" xr:uid="{00000000-0005-0000-0000-000027050000}"/>
    <cellStyle name="Normal 2 2 2 8 2" xfId="3329" xr:uid="{00000000-0005-0000-0000-000028050000}"/>
    <cellStyle name="Normal 2 2 2 8 2 2" xfId="7250" xr:uid="{EDE47A26-839B-4496-8DCB-1B3B84C61514}"/>
    <cellStyle name="Normal 2 2 2 8 2 2 2" xfId="15110" xr:uid="{1689580F-76A9-4285-9FE6-2C4666EC44FA}"/>
    <cellStyle name="Normal 2 2 2 8 2 3" xfId="11190" xr:uid="{90269BD1-36B7-403F-A658-BED0374DE2DB}"/>
    <cellStyle name="Normal 2 2 2 8 3" xfId="5296" xr:uid="{5A2144E1-F189-45CB-8587-4D03AE7F1A19}"/>
    <cellStyle name="Normal 2 2 2 8 3 2" xfId="13156" xr:uid="{7FE537DF-11FB-4FAA-A356-591A3FC96FF0}"/>
    <cellStyle name="Normal 2 2 2 8 4" xfId="9237" xr:uid="{39220461-6967-4157-877F-4285F25D9A0A}"/>
    <cellStyle name="Normal 2 2 2 9" xfId="2028" xr:uid="{00000000-0005-0000-0000-000029050000}"/>
    <cellStyle name="Normal 2 2 2 9 2" xfId="5949" xr:uid="{7D955F17-9338-4764-BA5C-D0365528F532}"/>
    <cellStyle name="Normal 2 2 2 9 2 2" xfId="13809" xr:uid="{0D211521-6EF0-4936-96BA-163347CE5138}"/>
    <cellStyle name="Normal 2 2 2 9 3" xfId="9889" xr:uid="{0E7744E5-877B-437E-8E3A-6A5CEF47811E}"/>
    <cellStyle name="Normal 2 2 3" xfId="176" xr:uid="{00000000-0005-0000-0000-00002A050000}"/>
    <cellStyle name="Normal 2 2 3 2" xfId="628" xr:uid="{00000000-0005-0000-0000-00002B050000}"/>
    <cellStyle name="Normal 2 2 3 2 2" xfId="2582" xr:uid="{00000000-0005-0000-0000-00002C050000}"/>
    <cellStyle name="Normal 2 2 3 2 2 2" xfId="6503" xr:uid="{38408C3B-06F5-4B6B-9C69-323418FBFFDD}"/>
    <cellStyle name="Normal 2 2 3 2 2 2 2" xfId="14363" xr:uid="{2C7D25DD-D7B7-4C1E-B1B9-55F82A3F7631}"/>
    <cellStyle name="Normal 2 2 3 2 2 3" xfId="10443" xr:uid="{9BE1A5EA-F9C0-4402-B584-F14C32798FD2}"/>
    <cellStyle name="Normal 2 2 3 2 3" xfId="4549" xr:uid="{D03DEFD9-2D4C-4119-B63A-A3786332F967}"/>
    <cellStyle name="Normal 2 2 3 2 3 2" xfId="12409" xr:uid="{224D39A8-A1B0-4A82-A749-64124CE89F19}"/>
    <cellStyle name="Normal 2 2 3 2 4" xfId="8490" xr:uid="{2472F279-C1CC-4C3F-AF38-B74E02B1D848}"/>
    <cellStyle name="Normal 2 2 3 3" xfId="1065" xr:uid="{00000000-0005-0000-0000-00002D050000}"/>
    <cellStyle name="Normal 2 2 3 3 2" xfId="3019" xr:uid="{00000000-0005-0000-0000-00002E050000}"/>
    <cellStyle name="Normal 2 2 3 3 2 2" xfId="6940" xr:uid="{99F29C76-10B4-4FCF-91D1-C416FEC75945}"/>
    <cellStyle name="Normal 2 2 3 3 2 2 2" xfId="14800" xr:uid="{8A6E6F21-C4DC-4CF4-A616-554E513D9847}"/>
    <cellStyle name="Normal 2 2 3 3 2 3" xfId="10880" xr:uid="{A04ABB3E-8B35-4B5D-82C5-7B7268730BBF}"/>
    <cellStyle name="Normal 2 2 3 3 3" xfId="4986" xr:uid="{C9CACFC6-AB22-48A4-B53E-0AA2C7833EE9}"/>
    <cellStyle name="Normal 2 2 3 3 3 2" xfId="12846" xr:uid="{994937A8-8075-469C-9F55-C4B3017A0AE4}"/>
    <cellStyle name="Normal 2 2 3 3 4" xfId="8927" xr:uid="{FC4DAF39-A1A1-463D-AFBB-11D7419878F6}"/>
    <cellStyle name="Normal 2 2 3 4" xfId="1492" xr:uid="{00000000-0005-0000-0000-00002F050000}"/>
    <cellStyle name="Normal 2 2 3 4 2" xfId="3446" xr:uid="{00000000-0005-0000-0000-000030050000}"/>
    <cellStyle name="Normal 2 2 3 4 2 2" xfId="7367" xr:uid="{D7CFAC40-6946-4B6B-B9C4-254ADB7B5BBC}"/>
    <cellStyle name="Normal 2 2 3 4 2 2 2" xfId="15227" xr:uid="{35802415-11A6-4F1F-A5F4-E017299B428A}"/>
    <cellStyle name="Normal 2 2 3 4 2 3" xfId="11307" xr:uid="{146EFAFC-087F-454E-B3D6-6D7DD7AD7D69}"/>
    <cellStyle name="Normal 2 2 3 4 3" xfId="5413" xr:uid="{682F9846-F604-490B-8FBB-928939D9CCCF}"/>
    <cellStyle name="Normal 2 2 3 4 3 2" xfId="13273" xr:uid="{7EBCAFF3-2E29-444C-8D78-2D9065ABFFD2}"/>
    <cellStyle name="Normal 2 2 3 4 4" xfId="9354" xr:uid="{2C81C215-4E18-420B-A63C-A5FDB558DB62}"/>
    <cellStyle name="Normal 2 2 3 5" xfId="2145" xr:uid="{00000000-0005-0000-0000-000031050000}"/>
    <cellStyle name="Normal 2 2 3 5 2" xfId="6066" xr:uid="{66672235-1CFF-4516-A598-E719E7DACAF5}"/>
    <cellStyle name="Normal 2 2 3 5 2 2" xfId="13926" xr:uid="{EACE0E05-F8B0-4879-9248-8A6C1D7B5931}"/>
    <cellStyle name="Normal 2 2 3 5 3" xfId="10006" xr:uid="{B9E46EF0-7414-4E74-8F81-6A7D749C9B0B}"/>
    <cellStyle name="Normal 2 2 3 6" xfId="4112" xr:uid="{A883A37D-B0EC-4205-9EEC-1529849A29AC}"/>
    <cellStyle name="Normal 2 2 3 6 2" xfId="11972" xr:uid="{DA841138-5471-48C7-8879-A405AA218609}"/>
    <cellStyle name="Normal 2 2 3 7" xfId="8050" xr:uid="{0C455326-8367-4FC8-BE3E-A555A1E3CAEA}"/>
    <cellStyle name="Normal 2 2 4" xfId="98" xr:uid="{00000000-0005-0000-0000-000032050000}"/>
    <cellStyle name="Normal 2 2 4 2" xfId="550" xr:uid="{00000000-0005-0000-0000-000033050000}"/>
    <cellStyle name="Normal 2 2 4 2 2" xfId="2504" xr:uid="{00000000-0005-0000-0000-000034050000}"/>
    <cellStyle name="Normal 2 2 4 2 2 2" xfId="6425" xr:uid="{173D55C6-A7D4-49CB-AF7B-A2B083B0614E}"/>
    <cellStyle name="Normal 2 2 4 2 2 2 2" xfId="14285" xr:uid="{76555D87-BEB7-4DA0-97C2-5A27342C448C}"/>
    <cellStyle name="Normal 2 2 4 2 2 3" xfId="10365" xr:uid="{5D107E9F-8B7D-4612-B27C-E8EA4A3B03BE}"/>
    <cellStyle name="Normal 2 2 4 2 3" xfId="4471" xr:uid="{F4D7B1BA-8F70-43FE-A858-6E3FB9DE9530}"/>
    <cellStyle name="Normal 2 2 4 2 3 2" xfId="12331" xr:uid="{B0CE5A70-005F-4120-AA9C-AB34DBCAE050}"/>
    <cellStyle name="Normal 2 2 4 2 4" xfId="8412" xr:uid="{31B597DA-193C-4815-AE07-F3BD3E449A58}"/>
    <cellStyle name="Normal 2 2 4 3" xfId="987" xr:uid="{00000000-0005-0000-0000-000035050000}"/>
    <cellStyle name="Normal 2 2 4 3 2" xfId="2941" xr:uid="{00000000-0005-0000-0000-000036050000}"/>
    <cellStyle name="Normal 2 2 4 3 2 2" xfId="6862" xr:uid="{74D09ED1-B88E-4AA9-B181-5A27DB85A497}"/>
    <cellStyle name="Normal 2 2 4 3 2 2 2" xfId="14722" xr:uid="{288EEFB0-5556-4F59-9F80-B21F82012DEE}"/>
    <cellStyle name="Normal 2 2 4 3 2 3" xfId="10802" xr:uid="{766EACB9-4350-4512-8102-4DB84ED80BC1}"/>
    <cellStyle name="Normal 2 2 4 3 3" xfId="4908" xr:uid="{F38B4B4C-B055-4A15-BA73-1B67E6BB11C0}"/>
    <cellStyle name="Normal 2 2 4 3 3 2" xfId="12768" xr:uid="{A3B1AA3D-8D6B-40C4-A867-611CBD939367}"/>
    <cellStyle name="Normal 2 2 4 3 4" xfId="8849" xr:uid="{9F54AE06-5030-453E-AE55-763A64E218EB}"/>
    <cellStyle name="Normal 2 2 4 4" xfId="1414" xr:uid="{00000000-0005-0000-0000-000037050000}"/>
    <cellStyle name="Normal 2 2 4 4 2" xfId="3368" xr:uid="{00000000-0005-0000-0000-000038050000}"/>
    <cellStyle name="Normal 2 2 4 4 2 2" xfId="7289" xr:uid="{79A7CCD7-F086-4FEE-9785-595BFC8D1D73}"/>
    <cellStyle name="Normal 2 2 4 4 2 2 2" xfId="15149" xr:uid="{0E7E6C31-2D10-4D19-BB82-9321F92FB726}"/>
    <cellStyle name="Normal 2 2 4 4 2 3" xfId="11229" xr:uid="{BB3819B5-5837-4A65-AABF-B7C28CA45D1C}"/>
    <cellStyle name="Normal 2 2 4 4 3" xfId="5335" xr:uid="{49A42902-3A23-404F-8445-F3D8607F642C}"/>
    <cellStyle name="Normal 2 2 4 4 3 2" xfId="13195" xr:uid="{EBA41CA3-A862-4573-A966-E46EDA94B89F}"/>
    <cellStyle name="Normal 2 2 4 4 4" xfId="9276" xr:uid="{B9915904-E8AC-4255-8C9F-9E73B1F7FA2A}"/>
    <cellStyle name="Normal 2 2 4 5" xfId="2067" xr:uid="{00000000-0005-0000-0000-000039050000}"/>
    <cellStyle name="Normal 2 2 4 5 2" xfId="5988" xr:uid="{E925ABC9-E461-4812-BA34-F9E0CC6BB8F5}"/>
    <cellStyle name="Normal 2 2 4 5 2 2" xfId="13848" xr:uid="{00ECD87B-D148-48DE-8908-43E7F3CE5FBC}"/>
    <cellStyle name="Normal 2 2 4 5 3" xfId="9928" xr:uid="{7F42414C-9CDD-490D-964E-CC02DF1E823A}"/>
    <cellStyle name="Normal 2 2 4 6" xfId="4034" xr:uid="{B4AE5D25-CF3C-4C02-9F16-AE491714C07C}"/>
    <cellStyle name="Normal 2 2 4 6 2" xfId="11894" xr:uid="{00277D73-4761-4CE2-BD08-C6734ED75582}"/>
    <cellStyle name="Normal 2 2 4 7" xfId="7972" xr:uid="{234D9F80-9B71-4E87-BB30-332CC0A8AE99}"/>
    <cellStyle name="Normal 2 2 5" xfId="274" xr:uid="{00000000-0005-0000-0000-00003A050000}"/>
    <cellStyle name="Normal 2 2 5 2" xfId="726" xr:uid="{00000000-0005-0000-0000-00003B050000}"/>
    <cellStyle name="Normal 2 2 5 2 2" xfId="2680" xr:uid="{00000000-0005-0000-0000-00003C050000}"/>
    <cellStyle name="Normal 2 2 5 2 2 2" xfId="6601" xr:uid="{C0677F07-50E4-4330-B4F7-A1CE46B2480A}"/>
    <cellStyle name="Normal 2 2 5 2 2 2 2" xfId="14461" xr:uid="{F7362830-D54E-45D7-854C-010658FDF837}"/>
    <cellStyle name="Normal 2 2 5 2 2 3" xfId="10541" xr:uid="{BB6B4995-88B6-4017-99C4-9AD088C9CF49}"/>
    <cellStyle name="Normal 2 2 5 2 3" xfId="4647" xr:uid="{E75BA8D9-047F-49D2-98B7-0221CE9D7095}"/>
    <cellStyle name="Normal 2 2 5 2 3 2" xfId="12507" xr:uid="{DC157BE1-9F83-4B9C-ABBE-D09CD26BD9EB}"/>
    <cellStyle name="Normal 2 2 5 2 4" xfId="8588" xr:uid="{0DFE54BE-9688-4DF6-B318-99A708A64E63}"/>
    <cellStyle name="Normal 2 2 5 3" xfId="1162" xr:uid="{00000000-0005-0000-0000-00003D050000}"/>
    <cellStyle name="Normal 2 2 5 3 2" xfId="3116" xr:uid="{00000000-0005-0000-0000-00003E050000}"/>
    <cellStyle name="Normal 2 2 5 3 2 2" xfId="7037" xr:uid="{3BFD3772-3043-4120-8459-457BEBC2F8AE}"/>
    <cellStyle name="Normal 2 2 5 3 2 2 2" xfId="14897" xr:uid="{FA7C8E3D-91C1-41C3-AB98-582E9C8172F0}"/>
    <cellStyle name="Normal 2 2 5 3 2 3" xfId="10977" xr:uid="{017CE383-06DC-4217-AC5A-72AF8F1D2654}"/>
    <cellStyle name="Normal 2 2 5 3 3" xfId="5083" xr:uid="{FAA7F731-D465-473A-A291-DC80794CC7A1}"/>
    <cellStyle name="Normal 2 2 5 3 3 2" xfId="12943" xr:uid="{7F0452A4-F41E-4FA8-B24B-BB21845518F2}"/>
    <cellStyle name="Normal 2 2 5 3 4" xfId="9024" xr:uid="{E984B6CF-B592-41E6-AC11-D72E048F4634}"/>
    <cellStyle name="Normal 2 2 5 4" xfId="1583" xr:uid="{00000000-0005-0000-0000-00003F050000}"/>
    <cellStyle name="Normal 2 2 5 4 2" xfId="3537" xr:uid="{00000000-0005-0000-0000-000040050000}"/>
    <cellStyle name="Normal 2 2 5 4 2 2" xfId="7458" xr:uid="{1D1AFC9F-4087-47C1-A023-F97627F4BAEC}"/>
    <cellStyle name="Normal 2 2 5 4 2 2 2" xfId="15318" xr:uid="{7E9EE251-5325-4982-AE57-FEF317E92985}"/>
    <cellStyle name="Normal 2 2 5 4 2 3" xfId="11398" xr:uid="{DB878BB4-2694-4D57-A59E-B4C0CB364918}"/>
    <cellStyle name="Normal 2 2 5 4 3" xfId="5504" xr:uid="{818C3EE9-401E-4927-A737-D5B901995170}"/>
    <cellStyle name="Normal 2 2 5 4 3 2" xfId="13364" xr:uid="{E432C714-7CB8-45E0-A2A5-00D92C37C9FA}"/>
    <cellStyle name="Normal 2 2 5 4 4" xfId="9445" xr:uid="{0E71C88F-FE5E-43A8-A123-90DE1EE91A18}"/>
    <cellStyle name="Normal 2 2 5 5" xfId="2237" xr:uid="{00000000-0005-0000-0000-000041050000}"/>
    <cellStyle name="Normal 2 2 5 5 2" xfId="6158" xr:uid="{CD57381C-CD54-44F1-87F0-C4827A3B9D5F}"/>
    <cellStyle name="Normal 2 2 5 5 2 2" xfId="14018" xr:uid="{D11291FB-3905-4722-AC02-3201632B3AC1}"/>
    <cellStyle name="Normal 2 2 5 5 3" xfId="10098" xr:uid="{20F06F5C-CE81-4F53-A9AD-A491EE6813DF}"/>
    <cellStyle name="Normal 2 2 5 6" xfId="4204" xr:uid="{419BCD1C-AFE7-43C2-9FDF-47A0BB602B62}"/>
    <cellStyle name="Normal 2 2 5 6 2" xfId="12064" xr:uid="{E4B2EBA7-704A-4377-8C75-C85C36E8B5DA}"/>
    <cellStyle name="Normal 2 2 5 7" xfId="8143" xr:uid="{37A228B3-F3E3-470F-BB63-69DD9CEE37E4}"/>
    <cellStyle name="Normal 2 2 6" xfId="374" xr:uid="{00000000-0005-0000-0000-000042050000}"/>
    <cellStyle name="Normal 2 2 6 2" xfId="825" xr:uid="{00000000-0005-0000-0000-000043050000}"/>
    <cellStyle name="Normal 2 2 6 2 2" xfId="2779" xr:uid="{00000000-0005-0000-0000-000044050000}"/>
    <cellStyle name="Normal 2 2 6 2 2 2" xfId="6700" xr:uid="{789D1888-3A31-4EAF-95A6-9D1CE8B3941A}"/>
    <cellStyle name="Normal 2 2 6 2 2 2 2" xfId="14560" xr:uid="{5040C9C2-5601-4A6C-880E-2721FAFAA7C9}"/>
    <cellStyle name="Normal 2 2 6 2 2 3" xfId="10640" xr:uid="{7F20360E-00FC-4B78-ACC1-EF3FE6806F19}"/>
    <cellStyle name="Normal 2 2 6 2 3" xfId="4746" xr:uid="{54D3A25C-6BCE-4FBA-BFF3-FBC041585DF5}"/>
    <cellStyle name="Normal 2 2 6 2 3 2" xfId="12606" xr:uid="{6FD0BB07-AF13-422A-8DF0-807376EF7C0B}"/>
    <cellStyle name="Normal 2 2 6 2 4" xfId="8687" xr:uid="{C012BA36-66F0-46BA-80EA-4734E5B38546}"/>
    <cellStyle name="Normal 2 2 6 3" xfId="1257" xr:uid="{00000000-0005-0000-0000-000045050000}"/>
    <cellStyle name="Normal 2 2 6 3 2" xfId="3211" xr:uid="{00000000-0005-0000-0000-000046050000}"/>
    <cellStyle name="Normal 2 2 6 3 2 2" xfId="7132" xr:uid="{D1CBE909-8A78-4FA6-A285-E54756F6E521}"/>
    <cellStyle name="Normal 2 2 6 3 2 2 2" xfId="14992" xr:uid="{72614F07-6C57-4C66-8251-E13EFCB87C03}"/>
    <cellStyle name="Normal 2 2 6 3 2 3" xfId="11072" xr:uid="{715D67E3-85BB-4EDA-AF9E-B2948DACA851}"/>
    <cellStyle name="Normal 2 2 6 3 3" xfId="5178" xr:uid="{C37B1326-C842-4EBB-95BA-18605CCB3FFA}"/>
    <cellStyle name="Normal 2 2 6 3 3 2" xfId="13038" xr:uid="{462C3E72-D583-4A79-83CE-2AAFB4FFAAE8}"/>
    <cellStyle name="Normal 2 2 6 3 4" xfId="9119" xr:uid="{331EED47-C9F1-4F79-941E-78D0498762B6}"/>
    <cellStyle name="Normal 2 2 6 4" xfId="1675" xr:uid="{00000000-0005-0000-0000-000047050000}"/>
    <cellStyle name="Normal 2 2 6 4 2" xfId="3629" xr:uid="{00000000-0005-0000-0000-000048050000}"/>
    <cellStyle name="Normal 2 2 6 4 2 2" xfId="7550" xr:uid="{FB5CAD0E-E16C-45CC-8817-3FA88CF7A986}"/>
    <cellStyle name="Normal 2 2 6 4 2 2 2" xfId="15410" xr:uid="{466BD936-8FD4-4EAF-87B6-7DCB2A0D2EAB}"/>
    <cellStyle name="Normal 2 2 6 4 2 3" xfId="11490" xr:uid="{8511A19B-561C-469C-9F90-E6D4B2A61A77}"/>
    <cellStyle name="Normal 2 2 6 4 3" xfId="5596" xr:uid="{A9FF9925-9BA6-46F7-B107-611BD09D17A8}"/>
    <cellStyle name="Normal 2 2 6 4 3 2" xfId="13456" xr:uid="{A791B350-F922-4734-9D8D-A4EF6FB5A964}"/>
    <cellStyle name="Normal 2 2 6 4 4" xfId="9537" xr:uid="{2EEEA8A3-A87A-4965-A0B3-4279B59D1540}"/>
    <cellStyle name="Normal 2 2 6 5" xfId="2329" xr:uid="{00000000-0005-0000-0000-000049050000}"/>
    <cellStyle name="Normal 2 2 6 5 2" xfId="6250" xr:uid="{07974782-F5F5-47CF-82FF-C5ED6B520B09}"/>
    <cellStyle name="Normal 2 2 6 5 2 2" xfId="14110" xr:uid="{0C77D2D0-30B5-47B7-B1C4-A4608D806452}"/>
    <cellStyle name="Normal 2 2 6 5 3" xfId="10190" xr:uid="{AC1B6FB9-4873-4891-9CAE-033DACAABA27}"/>
    <cellStyle name="Normal 2 2 6 6" xfId="4296" xr:uid="{3EB36909-0AD0-4CC6-A08E-A7B96242998F}"/>
    <cellStyle name="Normal 2 2 6 6 2" xfId="12156" xr:uid="{D9827AB7-D21A-4567-BD8E-1D1999B8EDD7}"/>
    <cellStyle name="Normal 2 2 6 7" xfId="8237" xr:uid="{54F3CC9E-EB67-4D88-868D-A0D496E54F5E}"/>
    <cellStyle name="Normal 2 2 7" xfId="471" xr:uid="{00000000-0005-0000-0000-00004A050000}"/>
    <cellStyle name="Normal 2 2 7 2" xfId="2425" xr:uid="{00000000-0005-0000-0000-00004B050000}"/>
    <cellStyle name="Normal 2 2 7 2 2" xfId="6346" xr:uid="{48344AC4-4689-45D2-B095-8D98CD2A97F3}"/>
    <cellStyle name="Normal 2 2 7 2 2 2" xfId="14206" xr:uid="{253BB763-FB06-4DC9-AECC-B9D6C2A89D77}"/>
    <cellStyle name="Normal 2 2 7 2 3" xfId="10286" xr:uid="{F18C76AE-F7A0-490E-8B2F-630517F1F85D}"/>
    <cellStyle name="Normal 2 2 7 3" xfId="4392" xr:uid="{DB6CFFF3-882A-4AEC-A732-578D616EF918}"/>
    <cellStyle name="Normal 2 2 7 3 2" xfId="12252" xr:uid="{C453A767-A1AA-4EBD-8986-80DD1B34BB3B}"/>
    <cellStyle name="Normal 2 2 7 4" xfId="8333" xr:uid="{50500368-033D-4ED5-A54B-8BFD5C018327}"/>
    <cellStyle name="Normal 2 2 8" xfId="907" xr:uid="{00000000-0005-0000-0000-00004C050000}"/>
    <cellStyle name="Normal 2 2 8 2" xfId="2861" xr:uid="{00000000-0005-0000-0000-00004D050000}"/>
    <cellStyle name="Normal 2 2 8 2 2" xfId="6782" xr:uid="{94577443-83FA-4E0E-B2CA-400FAD87CF61}"/>
    <cellStyle name="Normal 2 2 8 2 2 2" xfId="14642" xr:uid="{63F03B26-68C0-4518-88F3-0E08F2EF2DC4}"/>
    <cellStyle name="Normal 2 2 8 2 3" xfId="10722" xr:uid="{CC5F7579-E363-4E84-A65D-2FADB5F28944}"/>
    <cellStyle name="Normal 2 2 8 3" xfId="4828" xr:uid="{64ED15F2-758D-4495-821D-9EEE9D759551}"/>
    <cellStyle name="Normal 2 2 8 3 2" xfId="12688" xr:uid="{CB1465F3-2B66-4329-8663-C2BF641CE76C}"/>
    <cellStyle name="Normal 2 2 8 4" xfId="8769" xr:uid="{3574C352-B893-4E23-8AB8-CD3B31303A81}"/>
    <cellStyle name="Normal 2 2 9" xfId="929" xr:uid="{00000000-0005-0000-0000-00004E050000}"/>
    <cellStyle name="Normal 2 2 9 2" xfId="2883" xr:uid="{00000000-0005-0000-0000-00004F050000}"/>
    <cellStyle name="Normal 2 2 9 2 2" xfId="6804" xr:uid="{422E208A-FAC6-4C32-8932-47D882544784}"/>
    <cellStyle name="Normal 2 2 9 2 2 2" xfId="14664" xr:uid="{A5882518-0D95-4797-94D8-0F58B74548E4}"/>
    <cellStyle name="Normal 2 2 9 2 3" xfId="10744" xr:uid="{96DD1C63-D89F-4A4A-B52C-5C15BA5AD150}"/>
    <cellStyle name="Normal 2 2 9 3" xfId="4850" xr:uid="{D90A6EB8-E138-461A-B30C-B4891DD599B6}"/>
    <cellStyle name="Normal 2 2 9 3 2" xfId="12710" xr:uid="{C328AB4E-C752-4DE8-B65B-55D99BAB98FB}"/>
    <cellStyle name="Normal 2 2 9 4" xfId="8791" xr:uid="{0F4F43A7-C804-4349-A9C7-A23CB22EDDB9}"/>
    <cellStyle name="Normal 2 20" xfId="15742" xr:uid="{FDF9D0DF-076C-4E15-927A-86E68F197E5C}"/>
    <cellStyle name="Normal 2 21" xfId="15751" xr:uid="{047859C3-3E51-40C3-BEA4-DB7DA794E883}"/>
    <cellStyle name="Normal 2 22" xfId="15755" xr:uid="{D4EECEE7-6057-4D0E-8B5C-E375205B91DF}"/>
    <cellStyle name="Normal 2 3" xfId="28" xr:uid="{00000000-0005-0000-0000-000050050000}"/>
    <cellStyle name="Normal 2 3 10" xfId="1999" xr:uid="{00000000-0005-0000-0000-000051050000}"/>
    <cellStyle name="Normal 2 3 10 2" xfId="5920" xr:uid="{B11D71BE-4456-4B50-839A-22C04344A3A6}"/>
    <cellStyle name="Normal 2 3 10 2 2" xfId="13780" xr:uid="{003E85EA-E956-44F4-B1E6-BBCC715AD62D}"/>
    <cellStyle name="Normal 2 3 10 3" xfId="9860" xr:uid="{63711BC7-3669-4AD7-AA48-59E9E96880DD}"/>
    <cellStyle name="Normal 2 3 11" xfId="1926" xr:uid="{00000000-0005-0000-0000-000052050000}"/>
    <cellStyle name="Normal 2 3 11 2" xfId="3879" xr:uid="{00000000-0005-0000-0000-000053050000}"/>
    <cellStyle name="Normal 2 3 11 2 2" xfId="7800" xr:uid="{93552A4E-2BAF-49AE-86ED-F3E42D3A9582}"/>
    <cellStyle name="Normal 2 3 11 2 2 2" xfId="15660" xr:uid="{42C032CC-756F-4C2C-ABA0-7B34C833FB82}"/>
    <cellStyle name="Normal 2 3 11 2 3" xfId="11740" xr:uid="{7C4BE33E-73F5-48CE-BB37-F438E5D1EC09}"/>
    <cellStyle name="Normal 2 3 11 3" xfId="5847" xr:uid="{FAABC4F9-EC52-4C17-985D-EE7C7F84C260}"/>
    <cellStyle name="Normal 2 3 11 3 2" xfId="13707" xr:uid="{781ED754-F808-40A6-A6D4-61708C5D0024}"/>
    <cellStyle name="Normal 2 3 11 4" xfId="9788" xr:uid="{613EE50B-3F71-43AE-BE67-E5822E8F24AE}"/>
    <cellStyle name="Normal 2 3 12" xfId="3966" xr:uid="{BC2EE8B0-FD8B-4C58-BAB0-7C9986CA74F3}"/>
    <cellStyle name="Normal 2 3 12 2" xfId="11826" xr:uid="{570A28A0-70E1-4101-9590-5B39A9BFD275}"/>
    <cellStyle name="Normal 2 3 13" xfId="7903" xr:uid="{85AC9223-0979-4223-9622-3B9D96E4D197}"/>
    <cellStyle name="Normal 2 3 14" xfId="15754" xr:uid="{CF046A03-C4B5-46DD-A396-BB08EBCB57E3}"/>
    <cellStyle name="Normal 2 3 15" xfId="15756" xr:uid="{547CAA11-A003-4201-8028-CB13B1A876E7}"/>
    <cellStyle name="Normal 2 3 2" xfId="70" xr:uid="{00000000-0005-0000-0000-000054050000}"/>
    <cellStyle name="Normal 2 3 2 10" xfId="4006" xr:uid="{06CFCA32-F8FE-4542-91D2-8F70464A32BD}"/>
    <cellStyle name="Normal 2 3 2 10 2" xfId="11866" xr:uid="{A83E909A-CFCA-427C-AFC3-E5D2F6DF5F9B}"/>
    <cellStyle name="Normal 2 3 2 11" xfId="7944" xr:uid="{E45EBF37-968A-4ED5-B282-69ECFEF27886}"/>
    <cellStyle name="Normal 2 3 2 2" xfId="226" xr:uid="{00000000-0005-0000-0000-000055050000}"/>
    <cellStyle name="Normal 2 3 2 2 2" xfId="678" xr:uid="{00000000-0005-0000-0000-000056050000}"/>
    <cellStyle name="Normal 2 3 2 2 2 2" xfId="2632" xr:uid="{00000000-0005-0000-0000-000057050000}"/>
    <cellStyle name="Normal 2 3 2 2 2 2 2" xfId="6553" xr:uid="{1E16CB1E-AABA-4088-B9EB-FE25B8E28F61}"/>
    <cellStyle name="Normal 2 3 2 2 2 2 2 2" xfId="14413" xr:uid="{1A0162FE-2E9F-42AA-A816-535AFA7C894D}"/>
    <cellStyle name="Normal 2 3 2 2 2 2 3" xfId="10493" xr:uid="{1CEEF086-4786-49BF-983C-B9E31F26F93B}"/>
    <cellStyle name="Normal 2 3 2 2 2 3" xfId="4599" xr:uid="{C299E1A8-21E0-47F2-9BAE-2EBD89F8122A}"/>
    <cellStyle name="Normal 2 3 2 2 2 3 2" xfId="12459" xr:uid="{E0C2526E-A72B-4BA0-93CC-CA00412A9AC1}"/>
    <cellStyle name="Normal 2 3 2 2 2 4" xfId="8540" xr:uid="{87211B07-48FF-4476-A2EB-EC141913566D}"/>
    <cellStyle name="Normal 2 3 2 2 3" xfId="1115" xr:uid="{00000000-0005-0000-0000-000058050000}"/>
    <cellStyle name="Normal 2 3 2 2 3 2" xfId="3069" xr:uid="{00000000-0005-0000-0000-000059050000}"/>
    <cellStyle name="Normal 2 3 2 2 3 2 2" xfId="6990" xr:uid="{50A740D4-596C-4FE3-9231-772AB9EA07FA}"/>
    <cellStyle name="Normal 2 3 2 2 3 2 2 2" xfId="14850" xr:uid="{F6BAF7A4-DB66-4972-A003-BAD6ED33B7BB}"/>
    <cellStyle name="Normal 2 3 2 2 3 2 3" xfId="10930" xr:uid="{E719749D-4175-4E2C-9435-B8337175137C}"/>
    <cellStyle name="Normal 2 3 2 2 3 3" xfId="5036" xr:uid="{7B80791C-5167-4CC2-BB73-B0CAD1C4D211}"/>
    <cellStyle name="Normal 2 3 2 2 3 3 2" xfId="12896" xr:uid="{AA4207BF-21CF-4860-9056-F47ACD21ABA0}"/>
    <cellStyle name="Normal 2 3 2 2 3 4" xfId="8977" xr:uid="{200CE5DF-223A-4BC9-883F-249758761D62}"/>
    <cellStyle name="Normal 2 3 2 2 4" xfId="1542" xr:uid="{00000000-0005-0000-0000-00005A050000}"/>
    <cellStyle name="Normal 2 3 2 2 4 2" xfId="3496" xr:uid="{00000000-0005-0000-0000-00005B050000}"/>
    <cellStyle name="Normal 2 3 2 2 4 2 2" xfId="7417" xr:uid="{8388D9A5-2662-4130-80AC-7003AB1B69BB}"/>
    <cellStyle name="Normal 2 3 2 2 4 2 2 2" xfId="15277" xr:uid="{63E0720F-507B-4AE8-A9DC-C617519DB85B}"/>
    <cellStyle name="Normal 2 3 2 2 4 2 3" xfId="11357" xr:uid="{BCF7C550-369A-4AFA-A4BB-1E91D2D5E36A}"/>
    <cellStyle name="Normal 2 3 2 2 4 3" xfId="5463" xr:uid="{5F2E622D-721A-498E-85D1-BC1FC4C7FD80}"/>
    <cellStyle name="Normal 2 3 2 2 4 3 2" xfId="13323" xr:uid="{ECB45668-2180-42F8-AF87-388199938E4E}"/>
    <cellStyle name="Normal 2 3 2 2 4 4" xfId="9404" xr:uid="{71DBCC72-73BE-4DD5-9017-F347D191168C}"/>
    <cellStyle name="Normal 2 3 2 2 5" xfId="2195" xr:uid="{00000000-0005-0000-0000-00005C050000}"/>
    <cellStyle name="Normal 2 3 2 2 5 2" xfId="6116" xr:uid="{5004064E-8A4A-4929-93F9-EA4ACCEC90DD}"/>
    <cellStyle name="Normal 2 3 2 2 5 2 2" xfId="13976" xr:uid="{DBAD9409-42F8-47BE-BC79-E0AC8744A425}"/>
    <cellStyle name="Normal 2 3 2 2 5 3" xfId="10056" xr:uid="{010B76F5-99C7-4E60-B6E7-7BD969DEE6F8}"/>
    <cellStyle name="Normal 2 3 2 2 6" xfId="4162" xr:uid="{1DAA10A9-7902-4AF3-81EF-2968C3C44FFB}"/>
    <cellStyle name="Normal 2 3 2 2 6 2" xfId="12022" xr:uid="{36DE72CC-7CBE-4438-9606-459D8CF82C94}"/>
    <cellStyle name="Normal 2 3 2 2 7" xfId="8100" xr:uid="{0FA47C77-C199-4E3B-B6EA-FB5FCAFE4E82}"/>
    <cellStyle name="Normal 2 3 2 3" xfId="148" xr:uid="{00000000-0005-0000-0000-00005D050000}"/>
    <cellStyle name="Normal 2 3 2 3 2" xfId="600" xr:uid="{00000000-0005-0000-0000-00005E050000}"/>
    <cellStyle name="Normal 2 3 2 3 2 2" xfId="2554" xr:uid="{00000000-0005-0000-0000-00005F050000}"/>
    <cellStyle name="Normal 2 3 2 3 2 2 2" xfId="6475" xr:uid="{74CCE8A5-F287-4370-84F4-147F8CA20C76}"/>
    <cellStyle name="Normal 2 3 2 3 2 2 2 2" xfId="14335" xr:uid="{632C10F2-0564-4E6A-8FE7-636740F324F1}"/>
    <cellStyle name="Normal 2 3 2 3 2 2 3" xfId="10415" xr:uid="{362B6621-98C3-4CCB-8D85-052A3BD7D979}"/>
    <cellStyle name="Normal 2 3 2 3 2 3" xfId="4521" xr:uid="{F7A272B2-D524-442E-BA2E-711C06F93816}"/>
    <cellStyle name="Normal 2 3 2 3 2 3 2" xfId="12381" xr:uid="{E4CE86BE-3380-4403-AF1E-6E3DB9DE9BE8}"/>
    <cellStyle name="Normal 2 3 2 3 2 4" xfId="8462" xr:uid="{91EF9AF2-61E3-4DA8-B822-D85E14892C70}"/>
    <cellStyle name="Normal 2 3 2 3 3" xfId="1037" xr:uid="{00000000-0005-0000-0000-000060050000}"/>
    <cellStyle name="Normal 2 3 2 3 3 2" xfId="2991" xr:uid="{00000000-0005-0000-0000-000061050000}"/>
    <cellStyle name="Normal 2 3 2 3 3 2 2" xfId="6912" xr:uid="{C81FAB9D-ABA3-4D83-8F7F-CA8E43A25C65}"/>
    <cellStyle name="Normal 2 3 2 3 3 2 2 2" xfId="14772" xr:uid="{C27752AD-1FCF-4D03-B0F1-3932848FCE99}"/>
    <cellStyle name="Normal 2 3 2 3 3 2 3" xfId="10852" xr:uid="{E7C337AE-F4FB-450D-84E4-ED6C9437F8C4}"/>
    <cellStyle name="Normal 2 3 2 3 3 3" xfId="4958" xr:uid="{DB52100D-5B13-42A0-B04B-35782A11E1EE}"/>
    <cellStyle name="Normal 2 3 2 3 3 3 2" xfId="12818" xr:uid="{4EA361C5-6459-4E6B-96DC-48244D7DD1C8}"/>
    <cellStyle name="Normal 2 3 2 3 3 4" xfId="8899" xr:uid="{9AF9E2FC-40E9-4B4A-997F-991868C34BC9}"/>
    <cellStyle name="Normal 2 3 2 3 4" xfId="1464" xr:uid="{00000000-0005-0000-0000-000062050000}"/>
    <cellStyle name="Normal 2 3 2 3 4 2" xfId="3418" xr:uid="{00000000-0005-0000-0000-000063050000}"/>
    <cellStyle name="Normal 2 3 2 3 4 2 2" xfId="7339" xr:uid="{ED15BB92-D5AC-40FD-81A0-C860D885340A}"/>
    <cellStyle name="Normal 2 3 2 3 4 2 2 2" xfId="15199" xr:uid="{E45BAF69-9995-4E91-AB22-90C563310146}"/>
    <cellStyle name="Normal 2 3 2 3 4 2 3" xfId="11279" xr:uid="{CE42ABB8-3A36-461F-B175-4CFA0336459B}"/>
    <cellStyle name="Normal 2 3 2 3 4 3" xfId="5385" xr:uid="{5A5366C3-A798-4E8E-B048-7CAC63DC12AF}"/>
    <cellStyle name="Normal 2 3 2 3 4 3 2" xfId="13245" xr:uid="{EC7EAA75-ED0C-4A1D-BE31-4F71A19ED30A}"/>
    <cellStyle name="Normal 2 3 2 3 4 4" xfId="9326" xr:uid="{EEA31BD8-0282-49FA-937B-7DA99BCC1181}"/>
    <cellStyle name="Normal 2 3 2 3 5" xfId="2117" xr:uid="{00000000-0005-0000-0000-000064050000}"/>
    <cellStyle name="Normal 2 3 2 3 5 2" xfId="6038" xr:uid="{F38F96D7-CE04-4A3E-967C-557DC93EEC8A}"/>
    <cellStyle name="Normal 2 3 2 3 5 2 2" xfId="13898" xr:uid="{A64D08D6-B701-4183-8CDD-611A33E3D193}"/>
    <cellStyle name="Normal 2 3 2 3 5 3" xfId="9978" xr:uid="{0A24C54B-8151-4B8D-9B2E-296C9CB261C8}"/>
    <cellStyle name="Normal 2 3 2 3 6" xfId="4084" xr:uid="{39D221FA-E822-4996-AE7F-E1D0C8FBB90C}"/>
    <cellStyle name="Normal 2 3 2 3 6 2" xfId="11944" xr:uid="{45D8E2A2-8A57-4F06-A003-76C4A2A2CB54}"/>
    <cellStyle name="Normal 2 3 2 3 7" xfId="8022" xr:uid="{880029B5-7C4E-4D71-8D75-73B2F936A601}"/>
    <cellStyle name="Normal 2 3 2 4" xfId="333" xr:uid="{00000000-0005-0000-0000-000065050000}"/>
    <cellStyle name="Normal 2 3 2 4 2" xfId="785" xr:uid="{00000000-0005-0000-0000-000066050000}"/>
    <cellStyle name="Normal 2 3 2 4 2 2" xfId="2739" xr:uid="{00000000-0005-0000-0000-000067050000}"/>
    <cellStyle name="Normal 2 3 2 4 2 2 2" xfId="6660" xr:uid="{C14469FA-A910-401F-BABF-E6294E9C7E91}"/>
    <cellStyle name="Normal 2 3 2 4 2 2 2 2" xfId="14520" xr:uid="{D56B6E62-2C47-424F-8F93-A1A249F7665F}"/>
    <cellStyle name="Normal 2 3 2 4 2 2 3" xfId="10600" xr:uid="{84B03899-040B-461C-8F6E-4BD5BE89C8D9}"/>
    <cellStyle name="Normal 2 3 2 4 2 3" xfId="4706" xr:uid="{94C0D83C-33D0-49EF-9EE3-A4BD49912B89}"/>
    <cellStyle name="Normal 2 3 2 4 2 3 2" xfId="12566" xr:uid="{B712BFF2-63BE-4A36-8A33-9B05B22B272E}"/>
    <cellStyle name="Normal 2 3 2 4 2 4" xfId="8647" xr:uid="{7CF01B6E-9117-4972-A816-066A1B7E5A5A}"/>
    <cellStyle name="Normal 2 3 2 4 3" xfId="1219" xr:uid="{00000000-0005-0000-0000-000068050000}"/>
    <cellStyle name="Normal 2 3 2 4 3 2" xfId="3173" xr:uid="{00000000-0005-0000-0000-000069050000}"/>
    <cellStyle name="Normal 2 3 2 4 3 2 2" xfId="7094" xr:uid="{DE286769-83C1-4AC6-8477-7BBEA1A5FD5C}"/>
    <cellStyle name="Normal 2 3 2 4 3 2 2 2" xfId="14954" xr:uid="{B7D4A5CA-09AD-4D21-BC61-FECB5E11CE8A}"/>
    <cellStyle name="Normal 2 3 2 4 3 2 3" xfId="11034" xr:uid="{B65722A6-2A23-4E93-A07F-E701D78A5EBF}"/>
    <cellStyle name="Normal 2 3 2 4 3 3" xfId="5140" xr:uid="{51AAB351-A70E-44F6-8031-02FA5AA62A92}"/>
    <cellStyle name="Normal 2 3 2 4 3 3 2" xfId="13000" xr:uid="{21C66420-7D35-4EE0-8726-1A63377C6B28}"/>
    <cellStyle name="Normal 2 3 2 4 3 4" xfId="9081" xr:uid="{34107926-3B39-4D36-B250-5038C5236D0D}"/>
    <cellStyle name="Normal 2 3 2 4 4" xfId="1639" xr:uid="{00000000-0005-0000-0000-00006A050000}"/>
    <cellStyle name="Normal 2 3 2 4 4 2" xfId="3593" xr:uid="{00000000-0005-0000-0000-00006B050000}"/>
    <cellStyle name="Normal 2 3 2 4 4 2 2" xfId="7514" xr:uid="{ECBFD35D-E341-4604-8878-E2C0CA5134ED}"/>
    <cellStyle name="Normal 2 3 2 4 4 2 2 2" xfId="15374" xr:uid="{19AAC736-6D16-45B2-99E5-905F1B257115}"/>
    <cellStyle name="Normal 2 3 2 4 4 2 3" xfId="11454" xr:uid="{95A3D8E6-6814-4AA8-8A12-C198C96B8CFB}"/>
    <cellStyle name="Normal 2 3 2 4 4 3" xfId="5560" xr:uid="{F2833321-BEF9-4109-8130-213CBA65637D}"/>
    <cellStyle name="Normal 2 3 2 4 4 3 2" xfId="13420" xr:uid="{18B40518-7738-4561-858E-96B39CDEDDAE}"/>
    <cellStyle name="Normal 2 3 2 4 4 4" xfId="9501" xr:uid="{95D73924-837B-4CB3-8AA5-FA7DA9F74177}"/>
    <cellStyle name="Normal 2 3 2 4 5" xfId="2293" xr:uid="{00000000-0005-0000-0000-00006C050000}"/>
    <cellStyle name="Normal 2 3 2 4 5 2" xfId="6214" xr:uid="{4A79CD24-F55B-4799-B793-58E9B1AFF765}"/>
    <cellStyle name="Normal 2 3 2 4 5 2 2" xfId="14074" xr:uid="{CA055A76-7C55-4AF5-8DE5-2074C5C205EC}"/>
    <cellStyle name="Normal 2 3 2 4 5 3" xfId="10154" xr:uid="{D4C808EB-07FB-455B-8E8C-D528AD7A6986}"/>
    <cellStyle name="Normal 2 3 2 4 6" xfId="4260" xr:uid="{37892AFC-7065-4869-9B64-0E82F555B1F3}"/>
    <cellStyle name="Normal 2 3 2 4 6 2" xfId="12120" xr:uid="{E1C46F5C-7425-4666-B3AA-131AA8E561A9}"/>
    <cellStyle name="Normal 2 3 2 4 7" xfId="8199" xr:uid="{B43FE842-A1EC-4814-BAA8-791E2E901EBE}"/>
    <cellStyle name="Normal 2 3 2 5" xfId="430" xr:uid="{00000000-0005-0000-0000-00006D050000}"/>
    <cellStyle name="Normal 2 3 2 5 2" xfId="881" xr:uid="{00000000-0005-0000-0000-00006E050000}"/>
    <cellStyle name="Normal 2 3 2 5 2 2" xfId="2835" xr:uid="{00000000-0005-0000-0000-00006F050000}"/>
    <cellStyle name="Normal 2 3 2 5 2 2 2" xfId="6756" xr:uid="{CB8508E6-7025-4BDA-B0E1-92238EA84D0A}"/>
    <cellStyle name="Normal 2 3 2 5 2 2 2 2" xfId="14616" xr:uid="{73112A2A-B62B-45EF-B073-30965177D16A}"/>
    <cellStyle name="Normal 2 3 2 5 2 2 3" xfId="10696" xr:uid="{8956493B-2B3A-48C5-B7A7-F39BAC29D153}"/>
    <cellStyle name="Normal 2 3 2 5 2 3" xfId="4802" xr:uid="{19912245-6081-4520-8EBB-AD54E188861F}"/>
    <cellStyle name="Normal 2 3 2 5 2 3 2" xfId="12662" xr:uid="{753A351B-A9A2-4676-9EB0-0A0AC1C1A272}"/>
    <cellStyle name="Normal 2 3 2 5 2 4" xfId="8743" xr:uid="{9B5A72BA-8519-46CE-A648-3C81C528D1F1}"/>
    <cellStyle name="Normal 2 3 2 5 3" xfId="1313" xr:uid="{00000000-0005-0000-0000-000070050000}"/>
    <cellStyle name="Normal 2 3 2 5 3 2" xfId="3267" xr:uid="{00000000-0005-0000-0000-000071050000}"/>
    <cellStyle name="Normal 2 3 2 5 3 2 2" xfId="7188" xr:uid="{D6433BCB-A5EC-452A-ADF0-F22C5ADD22A4}"/>
    <cellStyle name="Normal 2 3 2 5 3 2 2 2" xfId="15048" xr:uid="{5EDA06CA-B553-4D12-AE3C-9834DC1ECFD8}"/>
    <cellStyle name="Normal 2 3 2 5 3 2 3" xfId="11128" xr:uid="{0586FFE3-5772-4E99-ADB0-5A0ED554B403}"/>
    <cellStyle name="Normal 2 3 2 5 3 3" xfId="5234" xr:uid="{1BA1351A-52EC-40AF-9097-9ABAD85F72A2}"/>
    <cellStyle name="Normal 2 3 2 5 3 3 2" xfId="13094" xr:uid="{1CC28485-E9AA-4245-B0D2-C81B1E314853}"/>
    <cellStyle name="Normal 2 3 2 5 3 4" xfId="9175" xr:uid="{8D5028AE-92A9-4D22-9451-66B20B7F9CCF}"/>
    <cellStyle name="Normal 2 3 2 5 4" xfId="1731" xr:uid="{00000000-0005-0000-0000-000072050000}"/>
    <cellStyle name="Normal 2 3 2 5 4 2" xfId="3685" xr:uid="{00000000-0005-0000-0000-000073050000}"/>
    <cellStyle name="Normal 2 3 2 5 4 2 2" xfId="7606" xr:uid="{821FDEE1-EBF1-463C-BF12-BA1C940DDBD8}"/>
    <cellStyle name="Normal 2 3 2 5 4 2 2 2" xfId="15466" xr:uid="{1303B937-5E17-480C-8C29-3125634F1183}"/>
    <cellStyle name="Normal 2 3 2 5 4 2 3" xfId="11546" xr:uid="{8A9EF44D-3A4D-47AF-AF79-BB7D7DCFFB1B}"/>
    <cellStyle name="Normal 2 3 2 5 4 3" xfId="5652" xr:uid="{8210CB52-A5BD-4409-9BEB-73D556CADD5B}"/>
    <cellStyle name="Normal 2 3 2 5 4 3 2" xfId="13512" xr:uid="{D02AC37B-7AA2-44EB-A2A7-8B8C15514DBE}"/>
    <cellStyle name="Normal 2 3 2 5 4 4" xfId="9593" xr:uid="{6DA0FAF7-8EF9-421B-890E-10B0B803F682}"/>
    <cellStyle name="Normal 2 3 2 5 5" xfId="2385" xr:uid="{00000000-0005-0000-0000-000074050000}"/>
    <cellStyle name="Normal 2 3 2 5 5 2" xfId="6306" xr:uid="{C1A234F0-4176-4637-9AF3-AB2C7DA9DF98}"/>
    <cellStyle name="Normal 2 3 2 5 5 2 2" xfId="14166" xr:uid="{03A09DE7-EEDC-41D7-A14F-B68E827CE7EC}"/>
    <cellStyle name="Normal 2 3 2 5 5 3" xfId="10246" xr:uid="{80F1274E-EDEF-4975-99D3-C8048CF471D1}"/>
    <cellStyle name="Normal 2 3 2 5 6" xfId="4352" xr:uid="{D2508EF2-8D25-459E-88C6-D181B736106C}"/>
    <cellStyle name="Normal 2 3 2 5 6 2" xfId="12212" xr:uid="{9EA5D0A2-5D4B-4F7B-AC58-8ACC00534CB7}"/>
    <cellStyle name="Normal 2 3 2 5 7" xfId="8293" xr:uid="{6FCBDEE3-71A3-40B5-ABFF-3F7D17C1F984}"/>
    <cellStyle name="Normal 2 3 2 6" xfId="522" xr:uid="{00000000-0005-0000-0000-000075050000}"/>
    <cellStyle name="Normal 2 3 2 6 2" xfId="2476" xr:uid="{00000000-0005-0000-0000-000076050000}"/>
    <cellStyle name="Normal 2 3 2 6 2 2" xfId="6397" xr:uid="{791E7466-C6D8-48C1-9544-AFD3D73C2858}"/>
    <cellStyle name="Normal 2 3 2 6 2 2 2" xfId="14257" xr:uid="{6C54DA46-82D3-4735-BE9F-F5B549B29633}"/>
    <cellStyle name="Normal 2 3 2 6 2 3" xfId="10337" xr:uid="{C98D02C6-8B5D-4329-B6EA-7813769C56F9}"/>
    <cellStyle name="Normal 2 3 2 6 3" xfId="4443" xr:uid="{2C6F11F5-A40F-43ED-ACEA-8B4058713211}"/>
    <cellStyle name="Normal 2 3 2 6 3 2" xfId="12303" xr:uid="{A4DE70F8-97ED-46F1-A582-55CCEB096BB3}"/>
    <cellStyle name="Normal 2 3 2 6 4" xfId="8384" xr:uid="{AA337DA6-1729-4ECB-8BBC-2B58BAA269AF}"/>
    <cellStyle name="Normal 2 3 2 7" xfId="959" xr:uid="{00000000-0005-0000-0000-000077050000}"/>
    <cellStyle name="Normal 2 3 2 7 2" xfId="2913" xr:uid="{00000000-0005-0000-0000-000078050000}"/>
    <cellStyle name="Normal 2 3 2 7 2 2" xfId="6834" xr:uid="{775CE570-299C-4C7B-92F8-DC730F4225F6}"/>
    <cellStyle name="Normal 2 3 2 7 2 2 2" xfId="14694" xr:uid="{F63E6CE8-5E7C-456D-9F54-DED7A0B7220C}"/>
    <cellStyle name="Normal 2 3 2 7 2 3" xfId="10774" xr:uid="{680A71BC-5EF8-4223-A396-F2840C25C209}"/>
    <cellStyle name="Normal 2 3 2 7 3" xfId="4880" xr:uid="{48312E41-E28C-433A-8D5D-6F958498A22D}"/>
    <cellStyle name="Normal 2 3 2 7 3 2" xfId="12740" xr:uid="{C13E678A-9672-49CC-9729-8ABB64D478AF}"/>
    <cellStyle name="Normal 2 3 2 7 4" xfId="8821" xr:uid="{7E315144-0F2C-4EE2-9C02-0FFA71A6EC86}"/>
    <cellStyle name="Normal 2 3 2 8" xfId="1386" xr:uid="{00000000-0005-0000-0000-000079050000}"/>
    <cellStyle name="Normal 2 3 2 8 2" xfId="3340" xr:uid="{00000000-0005-0000-0000-00007A050000}"/>
    <cellStyle name="Normal 2 3 2 8 2 2" xfId="7261" xr:uid="{21911909-B53A-4B04-A31F-3B6A8A3CA501}"/>
    <cellStyle name="Normal 2 3 2 8 2 2 2" xfId="15121" xr:uid="{B04F7284-D4C0-4644-9C7C-4E9F1650FA16}"/>
    <cellStyle name="Normal 2 3 2 8 2 3" xfId="11201" xr:uid="{CBFAE2DF-3066-4043-85EB-FD73CC755001}"/>
    <cellStyle name="Normal 2 3 2 8 3" xfId="5307" xr:uid="{9319BA93-E809-4D49-B268-BEA70F70A59F}"/>
    <cellStyle name="Normal 2 3 2 8 3 2" xfId="13167" xr:uid="{ED2F2C8C-E978-4D15-B1E9-72B0DFA5FF05}"/>
    <cellStyle name="Normal 2 3 2 8 4" xfId="9248" xr:uid="{B50BC9C2-EDD0-4ECC-8B73-D79183DCB10B}"/>
    <cellStyle name="Normal 2 3 2 9" xfId="2039" xr:uid="{00000000-0005-0000-0000-00007B050000}"/>
    <cellStyle name="Normal 2 3 2 9 2" xfId="5960" xr:uid="{B669B9DF-541A-4B7D-AC92-2F977FB3698C}"/>
    <cellStyle name="Normal 2 3 2 9 2 2" xfId="13820" xr:uid="{EF56F0A7-3DD1-4CCB-AB33-CFCFF38A65B6}"/>
    <cellStyle name="Normal 2 3 2 9 3" xfId="9900" xr:uid="{DF683925-1FD0-4EBC-AB3F-7CEBC15FAAFE}"/>
    <cellStyle name="Normal 2 3 3" xfId="187" xr:uid="{00000000-0005-0000-0000-00007C050000}"/>
    <cellStyle name="Normal 2 3 3 2" xfId="639" xr:uid="{00000000-0005-0000-0000-00007D050000}"/>
    <cellStyle name="Normal 2 3 3 2 2" xfId="2593" xr:uid="{00000000-0005-0000-0000-00007E050000}"/>
    <cellStyle name="Normal 2 3 3 2 2 2" xfId="6514" xr:uid="{BD087681-CD80-4B33-BE2A-22266F1FDC6C}"/>
    <cellStyle name="Normal 2 3 3 2 2 2 2" xfId="14374" xr:uid="{0CEEECBA-C1C8-49CA-88CB-322E45002C28}"/>
    <cellStyle name="Normal 2 3 3 2 2 3" xfId="10454" xr:uid="{77CBE6AE-48F5-40EF-B82A-1F5D6664CF66}"/>
    <cellStyle name="Normal 2 3 3 2 3" xfId="4560" xr:uid="{35D331D9-B4AF-4FBA-BACD-1AEAC922F898}"/>
    <cellStyle name="Normal 2 3 3 2 3 2" xfId="12420" xr:uid="{28B3A636-5805-4EF6-A86B-9DF0D5EBB52B}"/>
    <cellStyle name="Normal 2 3 3 2 4" xfId="8501" xr:uid="{6ADE1414-EF8C-46BE-A651-D6AAFABEA7C4}"/>
    <cellStyle name="Normal 2 3 3 3" xfId="1076" xr:uid="{00000000-0005-0000-0000-00007F050000}"/>
    <cellStyle name="Normal 2 3 3 3 2" xfId="3030" xr:uid="{00000000-0005-0000-0000-000080050000}"/>
    <cellStyle name="Normal 2 3 3 3 2 2" xfId="6951" xr:uid="{85750C6D-E684-461C-AF3A-0540663B4DAC}"/>
    <cellStyle name="Normal 2 3 3 3 2 2 2" xfId="14811" xr:uid="{34B9B5AE-8812-403F-86F2-B28887033055}"/>
    <cellStyle name="Normal 2 3 3 3 2 3" xfId="10891" xr:uid="{840CF31B-C60C-4966-97C9-F2EEA1954DA9}"/>
    <cellStyle name="Normal 2 3 3 3 3" xfId="4997" xr:uid="{F16D850F-A006-4BBB-844A-FD3A1B73C649}"/>
    <cellStyle name="Normal 2 3 3 3 3 2" xfId="12857" xr:uid="{10EE3CBC-0468-429B-A7D0-E418A080C1A3}"/>
    <cellStyle name="Normal 2 3 3 3 4" xfId="8938" xr:uid="{AEE74151-89BE-4B60-9BED-37208780C523}"/>
    <cellStyle name="Normal 2 3 3 4" xfId="1503" xr:uid="{00000000-0005-0000-0000-000081050000}"/>
    <cellStyle name="Normal 2 3 3 4 2" xfId="3457" xr:uid="{00000000-0005-0000-0000-000082050000}"/>
    <cellStyle name="Normal 2 3 3 4 2 2" xfId="7378" xr:uid="{78B77296-D37A-4E07-88CC-63EB31E4F29E}"/>
    <cellStyle name="Normal 2 3 3 4 2 2 2" xfId="15238" xr:uid="{2D38B91D-F20F-4B43-A479-AF684DF9F5B7}"/>
    <cellStyle name="Normal 2 3 3 4 2 3" xfId="11318" xr:uid="{36F2D5E7-FBB0-4185-8717-A5D490D2FABE}"/>
    <cellStyle name="Normal 2 3 3 4 3" xfId="5424" xr:uid="{76E0A081-6CE1-4B26-A6C8-D834A9AE70DB}"/>
    <cellStyle name="Normal 2 3 3 4 3 2" xfId="13284" xr:uid="{6B5BD79C-7853-4E5F-9F61-B54ECAEFED04}"/>
    <cellStyle name="Normal 2 3 3 4 4" xfId="9365" xr:uid="{47905839-756F-4AF4-AB6C-E9BE5D46FAB2}"/>
    <cellStyle name="Normal 2 3 3 5" xfId="2156" xr:uid="{00000000-0005-0000-0000-000083050000}"/>
    <cellStyle name="Normal 2 3 3 5 2" xfId="6077" xr:uid="{32392A74-9A97-4FFE-BA6D-E2A252C5AAD5}"/>
    <cellStyle name="Normal 2 3 3 5 2 2" xfId="13937" xr:uid="{CA5407E3-3F8F-4594-9692-BDD4B484123D}"/>
    <cellStyle name="Normal 2 3 3 5 3" xfId="10017" xr:uid="{D7001896-0418-4CF9-B724-D7B22FD935FB}"/>
    <cellStyle name="Normal 2 3 3 6" xfId="4123" xr:uid="{19BC7F04-7A3A-4C6B-B091-52677FE05808}"/>
    <cellStyle name="Normal 2 3 3 6 2" xfId="11983" xr:uid="{FCE9BCF4-2B15-4E84-A81D-879FED78F7B9}"/>
    <cellStyle name="Normal 2 3 3 7" xfId="8061" xr:uid="{ED04653B-EA6E-4737-B084-16847B39D319}"/>
    <cellStyle name="Normal 2 3 4" xfId="109" xr:uid="{00000000-0005-0000-0000-000084050000}"/>
    <cellStyle name="Normal 2 3 4 2" xfId="561" xr:uid="{00000000-0005-0000-0000-000085050000}"/>
    <cellStyle name="Normal 2 3 4 2 2" xfId="2515" xr:uid="{00000000-0005-0000-0000-000086050000}"/>
    <cellStyle name="Normal 2 3 4 2 2 2" xfId="6436" xr:uid="{AD4D4D28-A88D-48EA-AB70-21082C8FA3C7}"/>
    <cellStyle name="Normal 2 3 4 2 2 2 2" xfId="14296" xr:uid="{D42077A5-BA1F-4281-AA09-D68B1ADE1FFC}"/>
    <cellStyle name="Normal 2 3 4 2 2 3" xfId="10376" xr:uid="{06C70660-41B0-4C41-9E12-FCE7C61E8F3B}"/>
    <cellStyle name="Normal 2 3 4 2 3" xfId="4482" xr:uid="{2092F29A-860E-4436-AEC2-C29DAD30E3C0}"/>
    <cellStyle name="Normal 2 3 4 2 3 2" xfId="12342" xr:uid="{C0A56251-B3A8-450D-B0C7-98B59DE9883F}"/>
    <cellStyle name="Normal 2 3 4 2 4" xfId="8423" xr:uid="{E22B478A-4F89-450D-A34B-A08D136FB995}"/>
    <cellStyle name="Normal 2 3 4 3" xfId="998" xr:uid="{00000000-0005-0000-0000-000087050000}"/>
    <cellStyle name="Normal 2 3 4 3 2" xfId="2952" xr:uid="{00000000-0005-0000-0000-000088050000}"/>
    <cellStyle name="Normal 2 3 4 3 2 2" xfId="6873" xr:uid="{7B482216-954E-495D-A16C-67F3ECD80434}"/>
    <cellStyle name="Normal 2 3 4 3 2 2 2" xfId="14733" xr:uid="{FC351D3A-E6C1-4BDD-9C44-DF6606FC3B88}"/>
    <cellStyle name="Normal 2 3 4 3 2 3" xfId="10813" xr:uid="{89E57D6F-9319-4E9E-86BD-61007BBAC57F}"/>
    <cellStyle name="Normal 2 3 4 3 3" xfId="4919" xr:uid="{F9BE0FA4-2847-44BA-8C7D-A23CBEE8D4E7}"/>
    <cellStyle name="Normal 2 3 4 3 3 2" xfId="12779" xr:uid="{CA292877-E087-41FF-B09F-3424C1B2D36B}"/>
    <cellStyle name="Normal 2 3 4 3 4" xfId="8860" xr:uid="{4D411876-8A64-433D-B2CF-8D97DCD7DDEF}"/>
    <cellStyle name="Normal 2 3 4 4" xfId="1425" xr:uid="{00000000-0005-0000-0000-000089050000}"/>
    <cellStyle name="Normal 2 3 4 4 2" xfId="3379" xr:uid="{00000000-0005-0000-0000-00008A050000}"/>
    <cellStyle name="Normal 2 3 4 4 2 2" xfId="7300" xr:uid="{86355C9E-DEA6-4D62-BCE1-16669A326359}"/>
    <cellStyle name="Normal 2 3 4 4 2 2 2" xfId="15160" xr:uid="{72CCAA41-7693-4740-A18E-972411EFE22D}"/>
    <cellStyle name="Normal 2 3 4 4 2 3" xfId="11240" xr:uid="{0EE9B157-54E8-43AC-B7ED-42F3D96BC5F5}"/>
    <cellStyle name="Normal 2 3 4 4 3" xfId="5346" xr:uid="{CB52BDB8-F69C-4DA1-9C5E-B9F10A81E810}"/>
    <cellStyle name="Normal 2 3 4 4 3 2" xfId="13206" xr:uid="{C89DF5C5-37B8-4FB6-B48D-A65678072B50}"/>
    <cellStyle name="Normal 2 3 4 4 4" xfId="9287" xr:uid="{61395A08-3AEA-4405-97C4-F09BB3856BB9}"/>
    <cellStyle name="Normal 2 3 4 5" xfId="2078" xr:uid="{00000000-0005-0000-0000-00008B050000}"/>
    <cellStyle name="Normal 2 3 4 5 2" xfId="5999" xr:uid="{DF4707E3-AAEF-478E-ABAE-B9361A75DC2A}"/>
    <cellStyle name="Normal 2 3 4 5 2 2" xfId="13859" xr:uid="{9D55C15D-EF96-4417-9E78-D19C7C314FFC}"/>
    <cellStyle name="Normal 2 3 4 5 3" xfId="9939" xr:uid="{151049FD-624B-4AB8-A1A3-5C673F8ACCF7}"/>
    <cellStyle name="Normal 2 3 4 6" xfId="4045" xr:uid="{67A0E963-CE9B-48C8-9138-81CAAD00DCE5}"/>
    <cellStyle name="Normal 2 3 4 6 2" xfId="11905" xr:uid="{41A71F6B-DE14-4C8D-8B67-960627C88570}"/>
    <cellStyle name="Normal 2 3 4 7" xfId="7983" xr:uid="{CB36B481-7F13-4A58-AD9A-063F1B3405BC}"/>
    <cellStyle name="Normal 2 3 5" xfId="286" xr:uid="{00000000-0005-0000-0000-00008C050000}"/>
    <cellStyle name="Normal 2 3 5 2" xfId="738" xr:uid="{00000000-0005-0000-0000-00008D050000}"/>
    <cellStyle name="Normal 2 3 5 2 2" xfId="2692" xr:uid="{00000000-0005-0000-0000-00008E050000}"/>
    <cellStyle name="Normal 2 3 5 2 2 2" xfId="6613" xr:uid="{FA898587-F2D2-40EE-9C97-71B029ADCD57}"/>
    <cellStyle name="Normal 2 3 5 2 2 2 2" xfId="14473" xr:uid="{F4E67D5D-524F-45FD-98FD-97935CEE5C35}"/>
    <cellStyle name="Normal 2 3 5 2 2 3" xfId="10553" xr:uid="{DBE1F8A7-C3B7-4D01-97EE-6BDB757DA2DF}"/>
    <cellStyle name="Normal 2 3 5 2 3" xfId="4659" xr:uid="{F6DE6E23-0068-41F8-AEC7-3FBBE1C1E554}"/>
    <cellStyle name="Normal 2 3 5 2 3 2" xfId="12519" xr:uid="{15BE424D-326B-45C4-BA4A-83DA22F7CA87}"/>
    <cellStyle name="Normal 2 3 5 2 4" xfId="8600" xr:uid="{8754504A-463B-47A9-81A4-1BAB07BBC22E}"/>
    <cellStyle name="Normal 2 3 5 3" xfId="1174" xr:uid="{00000000-0005-0000-0000-00008F050000}"/>
    <cellStyle name="Normal 2 3 5 3 2" xfId="3128" xr:uid="{00000000-0005-0000-0000-000090050000}"/>
    <cellStyle name="Normal 2 3 5 3 2 2" xfId="7049" xr:uid="{169B4EEC-D008-4B72-A850-16A9AAB2F28F}"/>
    <cellStyle name="Normal 2 3 5 3 2 2 2" xfId="14909" xr:uid="{E1C35E1A-DAFB-48D3-B07A-80E5F3FD993D}"/>
    <cellStyle name="Normal 2 3 5 3 2 3" xfId="10989" xr:uid="{A73C036A-1F48-4A2B-B720-4FFBF579FB30}"/>
    <cellStyle name="Normal 2 3 5 3 3" xfId="5095" xr:uid="{13C0167E-4C20-49E9-AD3B-BCAFE28C3CDF}"/>
    <cellStyle name="Normal 2 3 5 3 3 2" xfId="12955" xr:uid="{1B777145-4AAA-4809-9176-F662F8D6C031}"/>
    <cellStyle name="Normal 2 3 5 3 4" xfId="9036" xr:uid="{7A82666A-9D3F-44F4-89CB-7A0AE13E354B}"/>
    <cellStyle name="Normal 2 3 5 4" xfId="1594" xr:uid="{00000000-0005-0000-0000-000091050000}"/>
    <cellStyle name="Normal 2 3 5 4 2" xfId="3548" xr:uid="{00000000-0005-0000-0000-000092050000}"/>
    <cellStyle name="Normal 2 3 5 4 2 2" xfId="7469" xr:uid="{A756F64B-9B03-4153-AEFD-7B4CEC1C8616}"/>
    <cellStyle name="Normal 2 3 5 4 2 2 2" xfId="15329" xr:uid="{6F3B4448-071F-43CB-9332-A2DFFD00462C}"/>
    <cellStyle name="Normal 2 3 5 4 2 3" xfId="11409" xr:uid="{C35AABF8-63A3-4FE3-864D-16EA95BABC65}"/>
    <cellStyle name="Normal 2 3 5 4 3" xfId="5515" xr:uid="{4F58C741-638A-4D35-8C85-3CB49BEEC1C6}"/>
    <cellStyle name="Normal 2 3 5 4 3 2" xfId="13375" xr:uid="{ADE1BE51-4F47-4375-9931-4C9063AD42A8}"/>
    <cellStyle name="Normal 2 3 5 4 4" xfId="9456" xr:uid="{C93D7969-9512-44B2-8198-A7E1C5673803}"/>
    <cellStyle name="Normal 2 3 5 5" xfId="2248" xr:uid="{00000000-0005-0000-0000-000093050000}"/>
    <cellStyle name="Normal 2 3 5 5 2" xfId="6169" xr:uid="{0BB83324-82A8-4B6B-9AF1-3490BE7C11D2}"/>
    <cellStyle name="Normal 2 3 5 5 2 2" xfId="14029" xr:uid="{63B0DCE3-0A75-4BDE-95D7-6AE8F08A5A60}"/>
    <cellStyle name="Normal 2 3 5 5 3" xfId="10109" xr:uid="{5805765C-586F-4376-8C11-3931801184B6}"/>
    <cellStyle name="Normal 2 3 5 6" xfId="4215" xr:uid="{E886A921-0DEC-4068-8624-A30D99A4C273}"/>
    <cellStyle name="Normal 2 3 5 6 2" xfId="12075" xr:uid="{6C74586B-EBE6-45D3-9836-9CAC73977709}"/>
    <cellStyle name="Normal 2 3 5 7" xfId="8154" xr:uid="{12272115-A6F7-4127-8B20-FE7654C95C77}"/>
    <cellStyle name="Normal 2 3 6" xfId="385" xr:uid="{00000000-0005-0000-0000-000094050000}"/>
    <cellStyle name="Normal 2 3 6 2" xfId="836" xr:uid="{00000000-0005-0000-0000-000095050000}"/>
    <cellStyle name="Normal 2 3 6 2 2" xfId="2790" xr:uid="{00000000-0005-0000-0000-000096050000}"/>
    <cellStyle name="Normal 2 3 6 2 2 2" xfId="6711" xr:uid="{41D1C521-AFDB-455C-9EB6-B28DC8F799DD}"/>
    <cellStyle name="Normal 2 3 6 2 2 2 2" xfId="14571" xr:uid="{8D8F2FF4-609C-47A1-80AE-7B241779972B}"/>
    <cellStyle name="Normal 2 3 6 2 2 3" xfId="10651" xr:uid="{8FED7E7F-AB6D-4957-ADF3-35DA1675112F}"/>
    <cellStyle name="Normal 2 3 6 2 3" xfId="4757" xr:uid="{980897C3-8A51-413F-8522-E015D8BA5F45}"/>
    <cellStyle name="Normal 2 3 6 2 3 2" xfId="12617" xr:uid="{D940E829-6A63-43CF-B9E3-4357B66E1BDE}"/>
    <cellStyle name="Normal 2 3 6 2 4" xfId="8698" xr:uid="{5114A51F-F526-46A6-9285-C15D0DF0B88D}"/>
    <cellStyle name="Normal 2 3 6 3" xfId="1268" xr:uid="{00000000-0005-0000-0000-000097050000}"/>
    <cellStyle name="Normal 2 3 6 3 2" xfId="3222" xr:uid="{00000000-0005-0000-0000-000098050000}"/>
    <cellStyle name="Normal 2 3 6 3 2 2" xfId="7143" xr:uid="{0A434385-067A-4F53-9F89-3A85EE034E56}"/>
    <cellStyle name="Normal 2 3 6 3 2 2 2" xfId="15003" xr:uid="{C2226258-575E-40AD-A432-65EE6AD8589A}"/>
    <cellStyle name="Normal 2 3 6 3 2 3" xfId="11083" xr:uid="{42FE0B77-7399-458F-BD9C-04E29501DEA9}"/>
    <cellStyle name="Normal 2 3 6 3 3" xfId="5189" xr:uid="{13253C89-CA12-44AA-B9E6-B12D73A09B44}"/>
    <cellStyle name="Normal 2 3 6 3 3 2" xfId="13049" xr:uid="{63A6446C-EFB9-48F5-B6DA-21ABF7EBE827}"/>
    <cellStyle name="Normal 2 3 6 3 4" xfId="9130" xr:uid="{D741E4F2-7B5C-429D-BBBD-F01BD01BFA91}"/>
    <cellStyle name="Normal 2 3 6 4" xfId="1686" xr:uid="{00000000-0005-0000-0000-000099050000}"/>
    <cellStyle name="Normal 2 3 6 4 2" xfId="3640" xr:uid="{00000000-0005-0000-0000-00009A050000}"/>
    <cellStyle name="Normal 2 3 6 4 2 2" xfId="7561" xr:uid="{592D2C64-042B-4F66-902B-E8FBAF08A4DC}"/>
    <cellStyle name="Normal 2 3 6 4 2 2 2" xfId="15421" xr:uid="{CC25E693-C29F-4563-84F7-3C432CCEEA3E}"/>
    <cellStyle name="Normal 2 3 6 4 2 3" xfId="11501" xr:uid="{8F4647AF-35C2-4354-B029-739D7834E128}"/>
    <cellStyle name="Normal 2 3 6 4 3" xfId="5607" xr:uid="{C39B943E-D77A-406A-A6AC-FB3EE55B04A5}"/>
    <cellStyle name="Normal 2 3 6 4 3 2" xfId="13467" xr:uid="{70C12088-CAF4-472E-9BBE-90D07072C82C}"/>
    <cellStyle name="Normal 2 3 6 4 4" xfId="9548" xr:uid="{C9B81FF2-681C-45DC-B5B7-77348D138CB5}"/>
    <cellStyle name="Normal 2 3 6 5" xfId="2340" xr:uid="{00000000-0005-0000-0000-00009B050000}"/>
    <cellStyle name="Normal 2 3 6 5 2" xfId="6261" xr:uid="{DDD226FF-FCAA-47A2-9E71-334FB856EAAF}"/>
    <cellStyle name="Normal 2 3 6 5 2 2" xfId="14121" xr:uid="{EC68099D-0B92-4A15-8B59-157489F5723C}"/>
    <cellStyle name="Normal 2 3 6 5 3" xfId="10201" xr:uid="{3EAC5816-DD11-454E-A409-D0F6BD5B4C0C}"/>
    <cellStyle name="Normal 2 3 6 6" xfId="4307" xr:uid="{8D0A0682-EC5C-428D-BB6E-87D4EC97D24B}"/>
    <cellStyle name="Normal 2 3 6 6 2" xfId="12167" xr:uid="{7A220EDA-6D20-47FE-947C-615668051929}"/>
    <cellStyle name="Normal 2 3 6 7" xfId="8248" xr:uid="{C23F943F-2FBD-42D5-9871-7FB6FE573BF0}"/>
    <cellStyle name="Normal 2 3 7" xfId="482" xr:uid="{00000000-0005-0000-0000-00009C050000}"/>
    <cellStyle name="Normal 2 3 7 2" xfId="2436" xr:uid="{00000000-0005-0000-0000-00009D050000}"/>
    <cellStyle name="Normal 2 3 7 2 2" xfId="6357" xr:uid="{C9A5BF37-C973-498A-BD2C-BDC453F3252D}"/>
    <cellStyle name="Normal 2 3 7 2 2 2" xfId="14217" xr:uid="{80DB5BF2-6813-49A6-9047-AD77D9EC9B89}"/>
    <cellStyle name="Normal 2 3 7 2 3" xfId="10297" xr:uid="{EF3BCCA1-E206-447D-9026-F1D464D2D873}"/>
    <cellStyle name="Normal 2 3 7 3" xfId="4403" xr:uid="{BB1FC938-86EF-432E-B0DF-EAC32D8B5862}"/>
    <cellStyle name="Normal 2 3 7 3 2" xfId="12263" xr:uid="{2F7D1B2D-0519-457E-BDD6-7BD0F0692AA0}"/>
    <cellStyle name="Normal 2 3 7 4" xfId="8344" xr:uid="{D5071057-739C-45BD-B2F5-3E144EBDD09D}"/>
    <cellStyle name="Normal 2 3 8" xfId="918" xr:uid="{00000000-0005-0000-0000-00009E050000}"/>
    <cellStyle name="Normal 2 3 8 2" xfId="2872" xr:uid="{00000000-0005-0000-0000-00009F050000}"/>
    <cellStyle name="Normal 2 3 8 2 2" xfId="6793" xr:uid="{176F442F-877B-4391-A74A-4E1E88D7BD1D}"/>
    <cellStyle name="Normal 2 3 8 2 2 2" xfId="14653" xr:uid="{AA4F8D4A-F6C5-416D-96D0-8E057955F2BE}"/>
    <cellStyle name="Normal 2 3 8 2 3" xfId="10733" xr:uid="{87276251-F849-4B10-8968-F975116ECADC}"/>
    <cellStyle name="Normal 2 3 8 3" xfId="4839" xr:uid="{87DBD2B0-CE6E-4948-AFF1-63EE985E0EF4}"/>
    <cellStyle name="Normal 2 3 8 3 2" xfId="12699" xr:uid="{F0EC4AB7-4EA4-4D4D-AF01-B73D4E679F4E}"/>
    <cellStyle name="Normal 2 3 8 4" xfId="8780" xr:uid="{F145AAAB-91C9-4D32-9A45-72F1D903DF8B}"/>
    <cellStyle name="Normal 2 3 9" xfId="1347" xr:uid="{00000000-0005-0000-0000-0000A0050000}"/>
    <cellStyle name="Normal 2 3 9 2" xfId="3301" xr:uid="{00000000-0005-0000-0000-0000A1050000}"/>
    <cellStyle name="Normal 2 3 9 2 2" xfId="7222" xr:uid="{77434DDD-2F2E-4DC9-B2B8-17294FD3B347}"/>
    <cellStyle name="Normal 2 3 9 2 2 2" xfId="15082" xr:uid="{24B79B88-89BE-4442-BC4B-8CDBEE6A19BD}"/>
    <cellStyle name="Normal 2 3 9 2 3" xfId="11162" xr:uid="{7E2AC4B9-5923-49DA-8582-3C9876CACFAE}"/>
    <cellStyle name="Normal 2 3 9 3" xfId="5268" xr:uid="{9E39FD73-C2B5-4171-B67B-C96C1489A0B7}"/>
    <cellStyle name="Normal 2 3 9 3 2" xfId="13128" xr:uid="{F0CA316A-494B-4C4E-9664-508C7DC3BFA1}"/>
    <cellStyle name="Normal 2 3 9 4" xfId="9209" xr:uid="{4536EB87-ADCB-4B62-A9FE-0C7567C3CDB3}"/>
    <cellStyle name="Normal 2 4" xfId="48" xr:uid="{00000000-0005-0000-0000-0000A2050000}"/>
    <cellStyle name="Normal 2 4 10" xfId="3984" xr:uid="{AE8DCAD8-97D5-4732-9221-76B37A19C5A5}"/>
    <cellStyle name="Normal 2 4 10 2" xfId="11844" xr:uid="{3A56F969-C5F2-4B05-90F0-1B9C80DEC793}"/>
    <cellStyle name="Normal 2 4 11" xfId="7922" xr:uid="{8230C98B-CEE1-4F1F-A6C0-D1C91249F862}"/>
    <cellStyle name="Normal 2 4 2" xfId="204" xr:uid="{00000000-0005-0000-0000-0000A3050000}"/>
    <cellStyle name="Normal 2 4 2 2" xfId="656" xr:uid="{00000000-0005-0000-0000-0000A4050000}"/>
    <cellStyle name="Normal 2 4 2 2 2" xfId="2610" xr:uid="{00000000-0005-0000-0000-0000A5050000}"/>
    <cellStyle name="Normal 2 4 2 2 2 2" xfId="6531" xr:uid="{1757B770-7C64-4790-8AAE-7F6D37814BDA}"/>
    <cellStyle name="Normal 2 4 2 2 2 2 2" xfId="14391" xr:uid="{025682FC-6A73-4F77-BDF6-B91A6448DE7F}"/>
    <cellStyle name="Normal 2 4 2 2 2 3" xfId="10471" xr:uid="{79AC3428-3335-4BA7-B34B-5E413878D18D}"/>
    <cellStyle name="Normal 2 4 2 2 3" xfId="4577" xr:uid="{F710ED40-E381-4643-9B29-B7751AB20EE5}"/>
    <cellStyle name="Normal 2 4 2 2 3 2" xfId="12437" xr:uid="{28FF1E06-038B-446E-8467-1F9E9529B318}"/>
    <cellStyle name="Normal 2 4 2 2 4" xfId="8518" xr:uid="{05273D81-2B99-49CF-8032-1034A259C28B}"/>
    <cellStyle name="Normal 2 4 2 3" xfId="1093" xr:uid="{00000000-0005-0000-0000-0000A6050000}"/>
    <cellStyle name="Normal 2 4 2 3 2" xfId="3047" xr:uid="{00000000-0005-0000-0000-0000A7050000}"/>
    <cellStyle name="Normal 2 4 2 3 2 2" xfId="6968" xr:uid="{7C505E73-458D-45E7-8E8E-826ACC673289}"/>
    <cellStyle name="Normal 2 4 2 3 2 2 2" xfId="14828" xr:uid="{357F0A32-270E-4C7D-B91D-42C8CB331342}"/>
    <cellStyle name="Normal 2 4 2 3 2 3" xfId="10908" xr:uid="{037A409B-1A58-45BD-8B5E-125F78D39172}"/>
    <cellStyle name="Normal 2 4 2 3 3" xfId="5014" xr:uid="{AFAD97A0-A677-48D6-BD0D-8B389402AA1C}"/>
    <cellStyle name="Normal 2 4 2 3 3 2" xfId="12874" xr:uid="{B62997F6-E192-49A6-9D86-354EBE7787E0}"/>
    <cellStyle name="Normal 2 4 2 3 4" xfId="8955" xr:uid="{5228ED40-3398-4FC6-A8F2-B25E456435CE}"/>
    <cellStyle name="Normal 2 4 2 4" xfId="1520" xr:uid="{00000000-0005-0000-0000-0000A8050000}"/>
    <cellStyle name="Normal 2 4 2 4 2" xfId="3474" xr:uid="{00000000-0005-0000-0000-0000A9050000}"/>
    <cellStyle name="Normal 2 4 2 4 2 2" xfId="7395" xr:uid="{1A442EBD-F108-4E9E-8934-B696933BB862}"/>
    <cellStyle name="Normal 2 4 2 4 2 2 2" xfId="15255" xr:uid="{1D1B170B-DDD8-4A25-8B80-5E4D20CC1B23}"/>
    <cellStyle name="Normal 2 4 2 4 2 3" xfId="11335" xr:uid="{DA363D6D-4B4B-4362-B8AC-E0EDA9B40320}"/>
    <cellStyle name="Normal 2 4 2 4 3" xfId="5441" xr:uid="{3575ADF1-7A13-4778-B181-879037066758}"/>
    <cellStyle name="Normal 2 4 2 4 3 2" xfId="13301" xr:uid="{661F43D4-18EE-4740-B67D-E5982726C15B}"/>
    <cellStyle name="Normal 2 4 2 4 4" xfId="9382" xr:uid="{F69FAA85-7ABC-43FA-A2D3-48778F788943}"/>
    <cellStyle name="Normal 2 4 2 5" xfId="2173" xr:uid="{00000000-0005-0000-0000-0000AA050000}"/>
    <cellStyle name="Normal 2 4 2 5 2" xfId="6094" xr:uid="{A0BE49FC-EF08-4592-9FF3-B1ED3B446ED2}"/>
    <cellStyle name="Normal 2 4 2 5 2 2" xfId="13954" xr:uid="{BAB00943-BBEA-4B81-BBE8-1C5198FD5DB4}"/>
    <cellStyle name="Normal 2 4 2 5 3" xfId="10034" xr:uid="{89E49D6F-85D5-44E6-984D-A2B2FC061AC8}"/>
    <cellStyle name="Normal 2 4 2 6" xfId="4140" xr:uid="{F3A79264-9CD4-4C3E-B5E4-EE47D81C2136}"/>
    <cellStyle name="Normal 2 4 2 6 2" xfId="12000" xr:uid="{604EE7B3-F90E-4ADF-ABB4-ABA19688CD11}"/>
    <cellStyle name="Normal 2 4 2 7" xfId="8078" xr:uid="{CE7E529D-C107-47C2-B606-F3FFE4C70190}"/>
    <cellStyle name="Normal 2 4 3" xfId="126" xr:uid="{00000000-0005-0000-0000-0000AB050000}"/>
    <cellStyle name="Normal 2 4 3 2" xfId="578" xr:uid="{00000000-0005-0000-0000-0000AC050000}"/>
    <cellStyle name="Normal 2 4 3 2 2" xfId="2532" xr:uid="{00000000-0005-0000-0000-0000AD050000}"/>
    <cellStyle name="Normal 2 4 3 2 2 2" xfId="6453" xr:uid="{9A3F923F-E114-444C-BF58-3956BDFAD65D}"/>
    <cellStyle name="Normal 2 4 3 2 2 2 2" xfId="14313" xr:uid="{E5B5D420-F2FA-4C4E-9915-468F54D0EFFE}"/>
    <cellStyle name="Normal 2 4 3 2 2 3" xfId="10393" xr:uid="{3CB4E53C-E037-40ED-B52E-76A6AE270231}"/>
    <cellStyle name="Normal 2 4 3 2 3" xfId="4499" xr:uid="{DF28F417-09B1-4B94-BBE1-B28E0BCD53A4}"/>
    <cellStyle name="Normal 2 4 3 2 3 2" xfId="12359" xr:uid="{63DC7EF1-2ECB-45F1-919E-0F1FA96914F3}"/>
    <cellStyle name="Normal 2 4 3 2 4" xfId="8440" xr:uid="{7D994B36-F02D-4DDF-810E-19073A937353}"/>
    <cellStyle name="Normal 2 4 3 3" xfId="1015" xr:uid="{00000000-0005-0000-0000-0000AE050000}"/>
    <cellStyle name="Normal 2 4 3 3 2" xfId="2969" xr:uid="{00000000-0005-0000-0000-0000AF050000}"/>
    <cellStyle name="Normal 2 4 3 3 2 2" xfId="6890" xr:uid="{E05B1830-7636-48E1-9013-7211F78080B8}"/>
    <cellStyle name="Normal 2 4 3 3 2 2 2" xfId="14750" xr:uid="{4BB7FD45-28E8-40EE-A162-0FAF85C08928}"/>
    <cellStyle name="Normal 2 4 3 3 2 3" xfId="10830" xr:uid="{937D57F9-EB74-41E8-9414-2ECA21203543}"/>
    <cellStyle name="Normal 2 4 3 3 3" xfId="4936" xr:uid="{93A25E75-9DB7-4A68-A17C-3E5536F4CED1}"/>
    <cellStyle name="Normal 2 4 3 3 3 2" xfId="12796" xr:uid="{926F0378-8435-4CBD-BAA2-D22B499DDBFA}"/>
    <cellStyle name="Normal 2 4 3 3 4" xfId="8877" xr:uid="{22529535-0FDA-4567-B815-491E0060342D}"/>
    <cellStyle name="Normal 2 4 3 4" xfId="1442" xr:uid="{00000000-0005-0000-0000-0000B0050000}"/>
    <cellStyle name="Normal 2 4 3 4 2" xfId="3396" xr:uid="{00000000-0005-0000-0000-0000B1050000}"/>
    <cellStyle name="Normal 2 4 3 4 2 2" xfId="7317" xr:uid="{185081C2-9FFF-4E2A-BA09-F9F59CC1D0EB}"/>
    <cellStyle name="Normal 2 4 3 4 2 2 2" xfId="15177" xr:uid="{0165C60D-6252-41B9-AB8A-235597635B89}"/>
    <cellStyle name="Normal 2 4 3 4 2 3" xfId="11257" xr:uid="{8F64C257-CF27-4ABF-A753-7921C87B1B65}"/>
    <cellStyle name="Normal 2 4 3 4 3" xfId="5363" xr:uid="{C6F059D8-867B-4706-9A75-0FCFBF6AE5CF}"/>
    <cellStyle name="Normal 2 4 3 4 3 2" xfId="13223" xr:uid="{68FDA218-7FED-4EE8-BF1E-93AC2540FA80}"/>
    <cellStyle name="Normal 2 4 3 4 4" xfId="9304" xr:uid="{DDC60B3B-82E3-49D6-B68D-E5AAF279D12B}"/>
    <cellStyle name="Normal 2 4 3 5" xfId="2095" xr:uid="{00000000-0005-0000-0000-0000B2050000}"/>
    <cellStyle name="Normal 2 4 3 5 2" xfId="6016" xr:uid="{5B5566B9-C422-4483-B966-C6B81C3ED59D}"/>
    <cellStyle name="Normal 2 4 3 5 2 2" xfId="13876" xr:uid="{823584F1-52D5-45AD-9977-560F7D744006}"/>
    <cellStyle name="Normal 2 4 3 5 3" xfId="9956" xr:uid="{CF16DC2E-EF1F-4E46-BDC9-0BC52C28779D}"/>
    <cellStyle name="Normal 2 4 3 6" xfId="4062" xr:uid="{BC9F9F67-AA05-4974-9071-D52218A561F7}"/>
    <cellStyle name="Normal 2 4 3 6 2" xfId="11922" xr:uid="{A48AD72B-9E14-4098-845E-5CD1285FAEB6}"/>
    <cellStyle name="Normal 2 4 3 7" xfId="8000" xr:uid="{26AE9DDA-3DA9-4FA7-9C3E-3B26F659CFD1}"/>
    <cellStyle name="Normal 2 4 4" xfId="311" xr:uid="{00000000-0005-0000-0000-0000B3050000}"/>
    <cellStyle name="Normal 2 4 4 2" xfId="763" xr:uid="{00000000-0005-0000-0000-0000B4050000}"/>
    <cellStyle name="Normal 2 4 4 2 2" xfId="2717" xr:uid="{00000000-0005-0000-0000-0000B5050000}"/>
    <cellStyle name="Normal 2 4 4 2 2 2" xfId="6638" xr:uid="{88FA1435-85DA-475F-ADF1-3D80B3DE495B}"/>
    <cellStyle name="Normal 2 4 4 2 2 2 2" xfId="14498" xr:uid="{F070EA58-78D3-475C-B913-F81D92A43086}"/>
    <cellStyle name="Normal 2 4 4 2 2 3" xfId="10578" xr:uid="{825C2750-C3F7-4F94-A1DC-462406C2867C}"/>
    <cellStyle name="Normal 2 4 4 2 3" xfId="4684" xr:uid="{1564A645-C4B1-49B5-859D-7FAA0302D7C9}"/>
    <cellStyle name="Normal 2 4 4 2 3 2" xfId="12544" xr:uid="{EE01A205-48CC-4E97-9C1E-EFD70015D534}"/>
    <cellStyle name="Normal 2 4 4 2 4" xfId="8625" xr:uid="{E02FA831-A9FA-433E-9375-12F271D49EEB}"/>
    <cellStyle name="Normal 2 4 4 3" xfId="1198" xr:uid="{00000000-0005-0000-0000-0000B6050000}"/>
    <cellStyle name="Normal 2 4 4 3 2" xfId="3152" xr:uid="{00000000-0005-0000-0000-0000B7050000}"/>
    <cellStyle name="Normal 2 4 4 3 2 2" xfId="7073" xr:uid="{77E0DDAC-4A8C-4A85-AA4B-A00CDDA2F9A6}"/>
    <cellStyle name="Normal 2 4 4 3 2 2 2" xfId="14933" xr:uid="{0416E928-DC67-4606-8AB2-1BB19CC1B6C6}"/>
    <cellStyle name="Normal 2 4 4 3 2 3" xfId="11013" xr:uid="{B580412A-FCD2-4682-9756-3308EFAAE52A}"/>
    <cellStyle name="Normal 2 4 4 3 3" xfId="5119" xr:uid="{6AAB636A-172E-4E65-8F8D-8B557E98AAFD}"/>
    <cellStyle name="Normal 2 4 4 3 3 2" xfId="12979" xr:uid="{35C15EEA-12D2-4A7D-86CB-8AF52F08B65B}"/>
    <cellStyle name="Normal 2 4 4 3 4" xfId="9060" xr:uid="{4AE3F255-FA7B-4636-B4C2-BB9E37A0F93F}"/>
    <cellStyle name="Normal 2 4 4 4" xfId="1618" xr:uid="{00000000-0005-0000-0000-0000B8050000}"/>
    <cellStyle name="Normal 2 4 4 4 2" xfId="3572" xr:uid="{00000000-0005-0000-0000-0000B9050000}"/>
    <cellStyle name="Normal 2 4 4 4 2 2" xfId="7493" xr:uid="{A44C64FD-D22F-4453-A473-C9BFEAAA031C}"/>
    <cellStyle name="Normal 2 4 4 4 2 2 2" xfId="15353" xr:uid="{AEDD312D-5FF8-4480-B44A-DE9F292B7139}"/>
    <cellStyle name="Normal 2 4 4 4 2 3" xfId="11433" xr:uid="{51F50726-6D9F-47D6-8AAB-442201858499}"/>
    <cellStyle name="Normal 2 4 4 4 3" xfId="5539" xr:uid="{5DAB5E0C-6B71-47D8-AA29-45D35DEA75C0}"/>
    <cellStyle name="Normal 2 4 4 4 3 2" xfId="13399" xr:uid="{2E255409-048A-442F-9990-E26852E1D00E}"/>
    <cellStyle name="Normal 2 4 4 4 4" xfId="9480" xr:uid="{2DE1012D-98E4-4527-9331-24D5EA887E1C}"/>
    <cellStyle name="Normal 2 4 4 5" xfId="2272" xr:uid="{00000000-0005-0000-0000-0000BA050000}"/>
    <cellStyle name="Normal 2 4 4 5 2" xfId="6193" xr:uid="{C471C09B-AA5F-410A-B765-FE208DB47243}"/>
    <cellStyle name="Normal 2 4 4 5 2 2" xfId="14053" xr:uid="{77B620AF-1BB6-4F87-859C-167A17CBF2ED}"/>
    <cellStyle name="Normal 2 4 4 5 3" xfId="10133" xr:uid="{CB9CD94E-607A-48A9-8ED9-AD00A25A6665}"/>
    <cellStyle name="Normal 2 4 4 6" xfId="4239" xr:uid="{43E73B34-B9CF-41EC-B818-CC40F85654FA}"/>
    <cellStyle name="Normal 2 4 4 6 2" xfId="12099" xr:uid="{C01BBA39-557E-4511-ADD8-F6E8B8CBBD29}"/>
    <cellStyle name="Normal 2 4 4 7" xfId="8178" xr:uid="{BE409158-204A-4EF8-A287-D2E615D77BE1}"/>
    <cellStyle name="Normal 2 4 5" xfId="409" xr:uid="{00000000-0005-0000-0000-0000BB050000}"/>
    <cellStyle name="Normal 2 4 5 2" xfId="860" xr:uid="{00000000-0005-0000-0000-0000BC050000}"/>
    <cellStyle name="Normal 2 4 5 2 2" xfId="2814" xr:uid="{00000000-0005-0000-0000-0000BD050000}"/>
    <cellStyle name="Normal 2 4 5 2 2 2" xfId="6735" xr:uid="{C431F81B-9F81-4A32-8794-EB2B1B9C4A9F}"/>
    <cellStyle name="Normal 2 4 5 2 2 2 2" xfId="14595" xr:uid="{DEDFFC9C-FEEA-43C7-AD0C-62DDD9E4F63B}"/>
    <cellStyle name="Normal 2 4 5 2 2 3" xfId="10675" xr:uid="{DF1CBC33-AE1D-4AB4-BCBB-7B2E8D221124}"/>
    <cellStyle name="Normal 2 4 5 2 3" xfId="4781" xr:uid="{9871D79D-C81B-4449-BDF8-C716829AFC69}"/>
    <cellStyle name="Normal 2 4 5 2 3 2" xfId="12641" xr:uid="{66A09ACA-559E-4B6D-9030-BD748A9E6E58}"/>
    <cellStyle name="Normal 2 4 5 2 4" xfId="8722" xr:uid="{0E26F58E-768C-4832-9E8A-9446D71119E4}"/>
    <cellStyle name="Normal 2 4 5 3" xfId="1292" xr:uid="{00000000-0005-0000-0000-0000BE050000}"/>
    <cellStyle name="Normal 2 4 5 3 2" xfId="3246" xr:uid="{00000000-0005-0000-0000-0000BF050000}"/>
    <cellStyle name="Normal 2 4 5 3 2 2" xfId="7167" xr:uid="{E551E440-F23A-4F96-9D62-DDE84CF085F7}"/>
    <cellStyle name="Normal 2 4 5 3 2 2 2" xfId="15027" xr:uid="{6E6E014A-BF90-4A3B-84CA-BCD06FEF2F3C}"/>
    <cellStyle name="Normal 2 4 5 3 2 3" xfId="11107" xr:uid="{1776220F-CE4E-4317-8B76-8F918C54E828}"/>
    <cellStyle name="Normal 2 4 5 3 3" xfId="5213" xr:uid="{25B282E8-6A54-43C6-BF05-1EC44CDC3873}"/>
    <cellStyle name="Normal 2 4 5 3 3 2" xfId="13073" xr:uid="{20E2B9DA-7194-4424-BEDC-0E7005F87D07}"/>
    <cellStyle name="Normal 2 4 5 3 4" xfId="9154" xr:uid="{4BFE4E5F-3FE0-45C1-B67E-469C994C4791}"/>
    <cellStyle name="Normal 2 4 5 4" xfId="1710" xr:uid="{00000000-0005-0000-0000-0000C0050000}"/>
    <cellStyle name="Normal 2 4 5 4 2" xfId="3664" xr:uid="{00000000-0005-0000-0000-0000C1050000}"/>
    <cellStyle name="Normal 2 4 5 4 2 2" xfId="7585" xr:uid="{B1660F8B-8D10-4DD8-8831-873010CA043B}"/>
    <cellStyle name="Normal 2 4 5 4 2 2 2" xfId="15445" xr:uid="{4DE8BE6D-921F-4AA8-8A01-495C81FC6C82}"/>
    <cellStyle name="Normal 2 4 5 4 2 3" xfId="11525" xr:uid="{D99CF0AD-B7E5-4919-8A1A-2E79B1B012D4}"/>
    <cellStyle name="Normal 2 4 5 4 3" xfId="5631" xr:uid="{967A19F6-A4A5-450E-BB09-70BCFBE6A031}"/>
    <cellStyle name="Normal 2 4 5 4 3 2" xfId="13491" xr:uid="{33B190C0-BA1A-41C0-9682-ED9479A1FB84}"/>
    <cellStyle name="Normal 2 4 5 4 4" xfId="9572" xr:uid="{EA303A5B-918B-4227-87A1-D958329FA413}"/>
    <cellStyle name="Normal 2 4 5 5" xfId="2364" xr:uid="{00000000-0005-0000-0000-0000C2050000}"/>
    <cellStyle name="Normal 2 4 5 5 2" xfId="6285" xr:uid="{25FEA47D-EC41-409B-9ED9-6D9266FE6AD0}"/>
    <cellStyle name="Normal 2 4 5 5 2 2" xfId="14145" xr:uid="{D32E434B-0849-44D2-81B3-2FB1E128151A}"/>
    <cellStyle name="Normal 2 4 5 5 3" xfId="10225" xr:uid="{64D655B1-BE4C-4ADB-ADFA-04C75F1C9285}"/>
    <cellStyle name="Normal 2 4 5 6" xfId="4331" xr:uid="{C129CE26-C210-44B0-88CA-601086D95721}"/>
    <cellStyle name="Normal 2 4 5 6 2" xfId="12191" xr:uid="{6448DFAE-5F55-4B76-A12D-10E3B9236B26}"/>
    <cellStyle name="Normal 2 4 5 7" xfId="8272" xr:uid="{C1B425EA-D1D8-414A-8A30-26E054B53B97}"/>
    <cellStyle name="Normal 2 4 6" xfId="500" xr:uid="{00000000-0005-0000-0000-0000C3050000}"/>
    <cellStyle name="Normal 2 4 6 2" xfId="2454" xr:uid="{00000000-0005-0000-0000-0000C4050000}"/>
    <cellStyle name="Normal 2 4 6 2 2" xfId="6375" xr:uid="{4841F797-E0CB-4522-A056-E93FA4BB23B5}"/>
    <cellStyle name="Normal 2 4 6 2 2 2" xfId="14235" xr:uid="{4D8463E3-F77E-49D1-8956-E58FCADBE1EC}"/>
    <cellStyle name="Normal 2 4 6 2 3" xfId="10315" xr:uid="{D7A4C4F2-A568-40D1-B876-471F43232C65}"/>
    <cellStyle name="Normal 2 4 6 3" xfId="4421" xr:uid="{6D76859B-356C-41E5-977B-ADE989B84E67}"/>
    <cellStyle name="Normal 2 4 6 3 2" xfId="12281" xr:uid="{1196439E-57A2-4BBF-8778-7597F6328F83}"/>
    <cellStyle name="Normal 2 4 6 4" xfId="8362" xr:uid="{9277BE81-B7F5-4464-B7BF-7EEA65A14722}"/>
    <cellStyle name="Normal 2 4 7" xfId="937" xr:uid="{00000000-0005-0000-0000-0000C5050000}"/>
    <cellStyle name="Normal 2 4 7 2" xfId="2891" xr:uid="{00000000-0005-0000-0000-0000C6050000}"/>
    <cellStyle name="Normal 2 4 7 2 2" xfId="6812" xr:uid="{69ABE6A5-1304-440A-8AB0-14B1BF837FFE}"/>
    <cellStyle name="Normal 2 4 7 2 2 2" xfId="14672" xr:uid="{6DD0DCB6-B782-4922-9633-2308DC90B081}"/>
    <cellStyle name="Normal 2 4 7 2 3" xfId="10752" xr:uid="{7156796C-7F1E-4DD0-84B6-9CC48E84366A}"/>
    <cellStyle name="Normal 2 4 7 3" xfId="4858" xr:uid="{78292D32-6898-43E0-BD06-2395C3CBA84B}"/>
    <cellStyle name="Normal 2 4 7 3 2" xfId="12718" xr:uid="{892EC316-68F0-49DC-B950-7DC1D2543008}"/>
    <cellStyle name="Normal 2 4 7 4" xfId="8799" xr:uid="{C0B89D7B-BE49-4712-9484-E26568032C92}"/>
    <cellStyle name="Normal 2 4 8" xfId="1364" xr:uid="{00000000-0005-0000-0000-0000C7050000}"/>
    <cellStyle name="Normal 2 4 8 2" xfId="3318" xr:uid="{00000000-0005-0000-0000-0000C8050000}"/>
    <cellStyle name="Normal 2 4 8 2 2" xfId="7239" xr:uid="{50A3D6F6-B7D0-4B9D-9438-95144BD54697}"/>
    <cellStyle name="Normal 2 4 8 2 2 2" xfId="15099" xr:uid="{A9F9835F-ACA1-4016-9492-6E8AAAB54BC0}"/>
    <cellStyle name="Normal 2 4 8 2 3" xfId="11179" xr:uid="{41B39FE9-6477-4D6D-AE16-28F7D435FE11}"/>
    <cellStyle name="Normal 2 4 8 3" xfId="5285" xr:uid="{6D159FAC-A48B-4C45-B084-A5D633AC100C}"/>
    <cellStyle name="Normal 2 4 8 3 2" xfId="13145" xr:uid="{A428452F-9246-4113-AA6E-6A2ADF6CDCF1}"/>
    <cellStyle name="Normal 2 4 8 4" xfId="9226" xr:uid="{8CD8EA6D-266D-4A6E-B314-94ECCCB79C7C}"/>
    <cellStyle name="Normal 2 4 9" xfId="2017" xr:uid="{00000000-0005-0000-0000-0000C9050000}"/>
    <cellStyle name="Normal 2 4 9 2" xfId="5938" xr:uid="{981B6DE6-6879-4E3E-BCAC-6B78A8F8F4D7}"/>
    <cellStyle name="Normal 2 4 9 2 2" xfId="13798" xr:uid="{FED03DE2-2715-46EB-8FED-04B1C58C77A8}"/>
    <cellStyle name="Normal 2 4 9 3" xfId="9878" xr:uid="{BCCA005B-6068-447C-9C7E-F09C12D687B6}"/>
    <cellStyle name="Normal 2 5" xfId="165" xr:uid="{00000000-0005-0000-0000-0000CA050000}"/>
    <cellStyle name="Normal 2 5 2" xfId="617" xr:uid="{00000000-0005-0000-0000-0000CB050000}"/>
    <cellStyle name="Normal 2 5 2 2" xfId="2571" xr:uid="{00000000-0005-0000-0000-0000CC050000}"/>
    <cellStyle name="Normal 2 5 2 2 2" xfId="6492" xr:uid="{C2BD3DF1-0A78-48CE-9872-53877604BB4A}"/>
    <cellStyle name="Normal 2 5 2 2 2 2" xfId="14352" xr:uid="{E2A7B079-DFAE-4FB7-B1D2-B622052A05E5}"/>
    <cellStyle name="Normal 2 5 2 2 3" xfId="10432" xr:uid="{5EEBFB5B-CF60-49C3-9698-B93A6BDAB844}"/>
    <cellStyle name="Normal 2 5 2 3" xfId="4538" xr:uid="{F8A0CE85-344F-4C9D-A843-77721A91EC11}"/>
    <cellStyle name="Normal 2 5 2 3 2" xfId="12398" xr:uid="{C1556B05-5DEC-4C32-B1E7-755BEF542403}"/>
    <cellStyle name="Normal 2 5 2 4" xfId="8479" xr:uid="{8C306FA8-9051-42B1-8997-1D61E566F4E2}"/>
    <cellStyle name="Normal 2 5 3" xfId="1054" xr:uid="{00000000-0005-0000-0000-0000CD050000}"/>
    <cellStyle name="Normal 2 5 3 2" xfId="3008" xr:uid="{00000000-0005-0000-0000-0000CE050000}"/>
    <cellStyle name="Normal 2 5 3 2 2" xfId="6929" xr:uid="{65C2A547-DC20-4B5C-A33B-96A05A65BE5C}"/>
    <cellStyle name="Normal 2 5 3 2 2 2" xfId="14789" xr:uid="{1BF4E209-03DE-4C45-8C36-A116CB2FF761}"/>
    <cellStyle name="Normal 2 5 3 2 3" xfId="10869" xr:uid="{1159D3A7-85D4-4BE7-B3D9-4C7239F6E6F9}"/>
    <cellStyle name="Normal 2 5 3 3" xfId="4975" xr:uid="{951A1C10-7FFE-422E-83B8-4B24912DF30E}"/>
    <cellStyle name="Normal 2 5 3 3 2" xfId="12835" xr:uid="{CE8DC390-9D32-4467-8761-CA1973374816}"/>
    <cellStyle name="Normal 2 5 3 4" xfId="8916" xr:uid="{2630BF2E-041B-48D2-9183-CD27CE0B5F6E}"/>
    <cellStyle name="Normal 2 5 4" xfId="1481" xr:uid="{00000000-0005-0000-0000-0000CF050000}"/>
    <cellStyle name="Normal 2 5 4 2" xfId="3435" xr:uid="{00000000-0005-0000-0000-0000D0050000}"/>
    <cellStyle name="Normal 2 5 4 2 2" xfId="7356" xr:uid="{8D449FCD-84A0-47B0-B37D-883022EFAB40}"/>
    <cellStyle name="Normal 2 5 4 2 2 2" xfId="15216" xr:uid="{C7A6E197-60AE-4A0D-9756-F773F35840D9}"/>
    <cellStyle name="Normal 2 5 4 2 3" xfId="11296" xr:uid="{A943EFD3-CBDD-4852-A0F6-9D0DE920EB55}"/>
    <cellStyle name="Normal 2 5 4 3" xfId="5402" xr:uid="{B8F53F8D-91EF-41E1-8A48-B4560217C2BF}"/>
    <cellStyle name="Normal 2 5 4 3 2" xfId="13262" xr:uid="{DCA4B91A-1DE2-41B7-ADAE-9EE9C0ABAA3B}"/>
    <cellStyle name="Normal 2 5 4 4" xfId="9343" xr:uid="{6E408A72-6E4A-497A-B719-9E68183A6F06}"/>
    <cellStyle name="Normal 2 5 5" xfId="2134" xr:uid="{00000000-0005-0000-0000-0000D1050000}"/>
    <cellStyle name="Normal 2 5 5 2" xfId="6055" xr:uid="{EB453E5B-9C0B-402A-BDC5-6D8926AFCA42}"/>
    <cellStyle name="Normal 2 5 5 2 2" xfId="13915" xr:uid="{EF04F41B-98DC-4047-8114-A76CFCA65762}"/>
    <cellStyle name="Normal 2 5 5 3" xfId="9995" xr:uid="{ECF613CA-C2F9-4D50-8193-4EA6299E45EB}"/>
    <cellStyle name="Normal 2 5 6" xfId="4101" xr:uid="{73AA2D3A-D46F-4E77-9282-CEF57B6381BC}"/>
    <cellStyle name="Normal 2 5 6 2" xfId="11961" xr:uid="{230E0D9E-DF31-4918-BFAF-E61736446B31}"/>
    <cellStyle name="Normal 2 5 7" xfId="8039" xr:uid="{5A37CA94-31FE-45B9-BDFB-96283514FA2B}"/>
    <cellStyle name="Normal 2 6" xfId="87" xr:uid="{00000000-0005-0000-0000-0000D2050000}"/>
    <cellStyle name="Normal 2 6 2" xfId="539" xr:uid="{00000000-0005-0000-0000-0000D3050000}"/>
    <cellStyle name="Normal 2 6 2 2" xfId="2493" xr:uid="{00000000-0005-0000-0000-0000D4050000}"/>
    <cellStyle name="Normal 2 6 2 2 2" xfId="6414" xr:uid="{BCAE0A4E-740E-48CF-8F30-4A33ECE0643E}"/>
    <cellStyle name="Normal 2 6 2 2 2 2" xfId="14274" xr:uid="{156DE40D-B0E6-410E-9CAE-20E9AE748491}"/>
    <cellStyle name="Normal 2 6 2 2 3" xfId="10354" xr:uid="{28CA34AC-59BB-427F-9C0F-D0C4E6C64790}"/>
    <cellStyle name="Normal 2 6 2 3" xfId="4460" xr:uid="{36C84A30-F54B-41E9-B916-C6A26B00EFF4}"/>
    <cellStyle name="Normal 2 6 2 3 2" xfId="12320" xr:uid="{086A52D9-EA1F-4C97-86A6-05D8FBD6E7F2}"/>
    <cellStyle name="Normal 2 6 2 4" xfId="8401" xr:uid="{7106F148-52CF-469B-B6ED-82C2EBD19A80}"/>
    <cellStyle name="Normal 2 6 3" xfId="976" xr:uid="{00000000-0005-0000-0000-0000D5050000}"/>
    <cellStyle name="Normal 2 6 3 2" xfId="2930" xr:uid="{00000000-0005-0000-0000-0000D6050000}"/>
    <cellStyle name="Normal 2 6 3 2 2" xfId="6851" xr:uid="{E259971D-67A4-446B-A2DF-3E6FEE0483D1}"/>
    <cellStyle name="Normal 2 6 3 2 2 2" xfId="14711" xr:uid="{C28375E9-050D-42ED-A181-98CBDC0739F2}"/>
    <cellStyle name="Normal 2 6 3 2 3" xfId="10791" xr:uid="{07F99EC8-34D9-4BD3-AC5B-8AEF599150C6}"/>
    <cellStyle name="Normal 2 6 3 3" xfId="4897" xr:uid="{AC11A950-5AC6-4B15-AAA8-3AD8826DBDF3}"/>
    <cellStyle name="Normal 2 6 3 3 2" xfId="12757" xr:uid="{5CD4A011-1900-4B6B-A1AB-06E3A9496D35}"/>
    <cellStyle name="Normal 2 6 3 4" xfId="8838" xr:uid="{E8D628F4-6B72-4941-8101-C34A8902CEDE}"/>
    <cellStyle name="Normal 2 6 4" xfId="1403" xr:uid="{00000000-0005-0000-0000-0000D7050000}"/>
    <cellStyle name="Normal 2 6 4 2" xfId="3357" xr:uid="{00000000-0005-0000-0000-0000D8050000}"/>
    <cellStyle name="Normal 2 6 4 2 2" xfId="7278" xr:uid="{12E8F58F-2084-4FDD-99D2-7479B623BC42}"/>
    <cellStyle name="Normal 2 6 4 2 2 2" xfId="15138" xr:uid="{C9712424-4B81-4173-A607-20BEC791FD72}"/>
    <cellStyle name="Normal 2 6 4 2 3" xfId="11218" xr:uid="{651DD40F-DE3B-4FE1-99E7-3CF48A5E0CED}"/>
    <cellStyle name="Normal 2 6 4 3" xfId="5324" xr:uid="{BCEDDAB6-C657-4E71-92C7-8609DC8939A5}"/>
    <cellStyle name="Normal 2 6 4 3 2" xfId="13184" xr:uid="{4B17BDE9-2B14-4C96-9D17-D5B6FEF7E86A}"/>
    <cellStyle name="Normal 2 6 4 4" xfId="9265" xr:uid="{558C787B-25D0-4B0D-A451-06C28005152F}"/>
    <cellStyle name="Normal 2 6 5" xfId="2056" xr:uid="{00000000-0005-0000-0000-0000D9050000}"/>
    <cellStyle name="Normal 2 6 5 2" xfId="5977" xr:uid="{B0907976-D014-4643-82B0-52517CAEC28A}"/>
    <cellStyle name="Normal 2 6 5 2 2" xfId="13837" xr:uid="{ECB1393B-D9FD-4C9B-9DF9-8AB441A758D2}"/>
    <cellStyle name="Normal 2 6 5 3" xfId="9917" xr:uid="{7F0D4389-F9B4-420D-8F65-C9BF44DFA3CF}"/>
    <cellStyle name="Normal 2 6 6" xfId="4023" xr:uid="{F4F10C53-6B9A-4DB2-95A3-736338D95CB9}"/>
    <cellStyle name="Normal 2 6 6 2" xfId="11883" xr:uid="{7B83108D-2769-48C1-BE7B-4A0118EC4BF8}"/>
    <cellStyle name="Normal 2 6 7" xfId="7961" xr:uid="{9C5881EE-11C8-443E-A4CD-0FE9F286B29C}"/>
    <cellStyle name="Normal 2 7" xfId="245" xr:uid="{00000000-0005-0000-0000-0000DA050000}"/>
    <cellStyle name="Normal 2 8" xfId="259" xr:uid="{00000000-0005-0000-0000-0000DB050000}"/>
    <cellStyle name="Normal 2 8 2" xfId="711" xr:uid="{00000000-0005-0000-0000-0000DC050000}"/>
    <cellStyle name="Normal 2 8 2 2" xfId="2665" xr:uid="{00000000-0005-0000-0000-0000DD050000}"/>
    <cellStyle name="Normal 2 8 2 2 2" xfId="6586" xr:uid="{429B3CF7-5080-461E-B596-8B7972D49E4E}"/>
    <cellStyle name="Normal 2 8 2 2 2 2" xfId="14446" xr:uid="{064C9726-731F-4769-B376-5128B9283582}"/>
    <cellStyle name="Normal 2 8 2 2 3" xfId="10526" xr:uid="{460C6261-48A2-4DCA-B496-493B94038774}"/>
    <cellStyle name="Normal 2 8 2 3" xfId="4632" xr:uid="{B48329A6-4914-47E2-84C5-76DD5D891FAA}"/>
    <cellStyle name="Normal 2 8 2 3 2" xfId="12492" xr:uid="{F5009FD5-80DA-42EB-B948-DF4B2D532928}"/>
    <cellStyle name="Normal 2 8 2 4" xfId="8573" xr:uid="{874D05C3-82DF-4C9C-856D-E6EC6E48FD0F}"/>
    <cellStyle name="Normal 2 8 3" xfId="1148" xr:uid="{00000000-0005-0000-0000-0000DE050000}"/>
    <cellStyle name="Normal 2 8 3 2" xfId="3102" xr:uid="{00000000-0005-0000-0000-0000DF050000}"/>
    <cellStyle name="Normal 2 8 3 2 2" xfId="7023" xr:uid="{E2D5431D-E429-4B87-976C-4D1AC554DE9D}"/>
    <cellStyle name="Normal 2 8 3 2 2 2" xfId="14883" xr:uid="{959ABE90-EBE7-4FBD-B203-6E658F555ABF}"/>
    <cellStyle name="Normal 2 8 3 2 3" xfId="10963" xr:uid="{5E1EA6EC-C6CE-4E7F-9B81-283D38ECA5C6}"/>
    <cellStyle name="Normal 2 8 3 3" xfId="5069" xr:uid="{04DA1CC7-A71B-4B43-A751-1CEEC7887CB2}"/>
    <cellStyle name="Normal 2 8 3 3 2" xfId="12929" xr:uid="{F2605FF4-2E21-408A-912B-5240B793662A}"/>
    <cellStyle name="Normal 2 8 3 4" xfId="9010" xr:uid="{033489A3-770D-4659-B19F-077B2CCFA931}"/>
    <cellStyle name="Normal 2 8 4" xfId="1569" xr:uid="{00000000-0005-0000-0000-0000E0050000}"/>
    <cellStyle name="Normal 2 8 4 2" xfId="3523" xr:uid="{00000000-0005-0000-0000-0000E1050000}"/>
    <cellStyle name="Normal 2 8 4 2 2" xfId="7444" xr:uid="{62E9F82C-4493-4CBD-8477-BAAED6018828}"/>
    <cellStyle name="Normal 2 8 4 2 2 2" xfId="15304" xr:uid="{2BB0F184-45CD-4528-806F-EAD0E2EB00F6}"/>
    <cellStyle name="Normal 2 8 4 2 3" xfId="11384" xr:uid="{E3D14FC8-ED1D-4687-9677-4691201791F8}"/>
    <cellStyle name="Normal 2 8 4 3" xfId="5490" xr:uid="{37860204-1BB2-41DD-8332-7D33065DCD51}"/>
    <cellStyle name="Normal 2 8 4 3 2" xfId="13350" xr:uid="{F75E2397-1360-481A-9F57-F5C9538E983F}"/>
    <cellStyle name="Normal 2 8 4 4" xfId="9431" xr:uid="{B0FB29F6-251F-42D8-B7AC-FDEDEB17BAEF}"/>
    <cellStyle name="Normal 2 8 5" xfId="2222" xr:uid="{00000000-0005-0000-0000-0000E2050000}"/>
    <cellStyle name="Normal 2 8 5 2" xfId="6143" xr:uid="{4FDC5712-112C-49EC-A974-7F91B9B70AE8}"/>
    <cellStyle name="Normal 2 8 5 2 2" xfId="14003" xr:uid="{8C552429-3C39-4444-93A7-E2C9531EDE28}"/>
    <cellStyle name="Normal 2 8 5 3" xfId="10083" xr:uid="{74669339-6497-4D77-8B24-C86756C331E1}"/>
    <cellStyle name="Normal 2 8 6" xfId="4189" xr:uid="{6F6B8FF4-C042-460B-BCB4-77CBE1D61AC8}"/>
    <cellStyle name="Normal 2 8 6 2" xfId="12049" xr:uid="{52123B3B-4FB5-43D5-A6D9-26597117F15C}"/>
    <cellStyle name="Normal 2 8 7" xfId="8128" xr:uid="{6FD30795-A1ED-4FFC-9C82-803435F2C7E8}"/>
    <cellStyle name="Normal 2 9" xfId="263" xr:uid="{00000000-0005-0000-0000-0000E3050000}"/>
    <cellStyle name="Normal 2 9 2" xfId="715" xr:uid="{00000000-0005-0000-0000-0000E4050000}"/>
    <cellStyle name="Normal 2 9 2 2" xfId="2669" xr:uid="{00000000-0005-0000-0000-0000E5050000}"/>
    <cellStyle name="Normal 2 9 2 2 2" xfId="6590" xr:uid="{643A93D3-ADA3-41E2-950A-2C6C08CE72D9}"/>
    <cellStyle name="Normal 2 9 2 2 2 2" xfId="14450" xr:uid="{09793C72-130B-47A6-BFD4-8DD41E21A058}"/>
    <cellStyle name="Normal 2 9 2 2 3" xfId="10530" xr:uid="{409B03B2-165E-435F-8F8C-2A393E5F1B2C}"/>
    <cellStyle name="Normal 2 9 2 3" xfId="4636" xr:uid="{ADFA3E09-477C-4E35-926C-9880045E4027}"/>
    <cellStyle name="Normal 2 9 2 3 2" xfId="12496" xr:uid="{368D7228-9157-4B23-A5ED-98C24FD65F29}"/>
    <cellStyle name="Normal 2 9 2 4" xfId="8577" xr:uid="{586962C5-7466-4FC0-BD0E-B184E6C08637}"/>
    <cellStyle name="Normal 2 9 3" xfId="1151" xr:uid="{00000000-0005-0000-0000-0000E6050000}"/>
    <cellStyle name="Normal 2 9 3 2" xfId="3105" xr:uid="{00000000-0005-0000-0000-0000E7050000}"/>
    <cellStyle name="Normal 2 9 3 2 2" xfId="7026" xr:uid="{E4376A06-6DE8-48E6-87EC-F8515A1145DD}"/>
    <cellStyle name="Normal 2 9 3 2 2 2" xfId="14886" xr:uid="{FFAFF12A-01AC-4C5E-8145-269C8F28A4A0}"/>
    <cellStyle name="Normal 2 9 3 2 3" xfId="10966" xr:uid="{1D556840-521A-4330-A121-E3BECFA89FD2}"/>
    <cellStyle name="Normal 2 9 3 3" xfId="5072" xr:uid="{991FE832-6F2A-4D28-A370-D9D4E0797DE2}"/>
    <cellStyle name="Normal 2 9 3 3 2" xfId="12932" xr:uid="{FD681C9B-61E9-4BD4-80FC-6553CB0D5FA1}"/>
    <cellStyle name="Normal 2 9 3 4" xfId="9013" xr:uid="{BBE3F0DA-FF27-4686-BD95-681138D5A6AD}"/>
    <cellStyle name="Normal 2 9 4" xfId="1572" xr:uid="{00000000-0005-0000-0000-0000E8050000}"/>
    <cellStyle name="Normal 2 9 4 2" xfId="3526" xr:uid="{00000000-0005-0000-0000-0000E9050000}"/>
    <cellStyle name="Normal 2 9 4 2 2" xfId="7447" xr:uid="{4F101FB7-62F0-486B-9327-B0956C079725}"/>
    <cellStyle name="Normal 2 9 4 2 2 2" xfId="15307" xr:uid="{3FE177B0-69F3-4940-A60F-A664D799D5B4}"/>
    <cellStyle name="Normal 2 9 4 2 3" xfId="11387" xr:uid="{5E01784A-1320-4A9D-8692-96FE8B364A28}"/>
    <cellStyle name="Normal 2 9 4 3" xfId="5493" xr:uid="{4E9844FC-F9A1-4E1C-8FC9-03C7B62CA336}"/>
    <cellStyle name="Normal 2 9 4 3 2" xfId="13353" xr:uid="{F1689099-CB44-43B3-824C-174AF84EF51A}"/>
    <cellStyle name="Normal 2 9 4 4" xfId="9434" xr:uid="{342893EC-4086-4121-88EB-6765117C0BA9}"/>
    <cellStyle name="Normal 2 9 5" xfId="2226" xr:uid="{00000000-0005-0000-0000-0000EA050000}"/>
    <cellStyle name="Normal 2 9 5 2" xfId="6147" xr:uid="{AAA63D29-0EBC-4BE1-B95E-0C06D86E2EB1}"/>
    <cellStyle name="Normal 2 9 5 2 2" xfId="14007" xr:uid="{D73CED0B-CF33-4684-8C9B-64D3E55597A8}"/>
    <cellStyle name="Normal 2 9 5 3" xfId="10087" xr:uid="{0FEA1BCC-DF20-4AF6-B987-CCF4F9E7A973}"/>
    <cellStyle name="Normal 2 9 6" xfId="4193" xr:uid="{4AC48840-FF9A-4286-A323-BD8BFFC3B9C2}"/>
    <cellStyle name="Normal 2 9 6 2" xfId="12053" xr:uid="{7C114893-EBEA-462E-9002-DC9E2954AE30}"/>
    <cellStyle name="Normal 2 9 7" xfId="8132" xr:uid="{CE93D69E-0088-4B83-AF6D-B95C5D9C95C3}"/>
    <cellStyle name="Normal 20" xfId="1756" xr:uid="{00000000-0005-0000-0000-0000EB050000}"/>
    <cellStyle name="Normal 20 2" xfId="3710" xr:uid="{00000000-0005-0000-0000-0000EC050000}"/>
    <cellStyle name="Normal 20 2 2" xfId="7631" xr:uid="{D903D800-71BA-4256-BA42-5DE0A37548D1}"/>
    <cellStyle name="Normal 20 2 2 2" xfId="15491" xr:uid="{8C956BF3-B9FC-4F75-970D-83DEACCED029}"/>
    <cellStyle name="Normal 20 2 3" xfId="11571" xr:uid="{9A2ADB32-16E0-445E-9C5E-270BDED2A0D2}"/>
    <cellStyle name="Normal 20 3" xfId="5677" xr:uid="{05507EFE-3D27-4AD1-929B-12EE7692D375}"/>
    <cellStyle name="Normal 20 3 2" xfId="13537" xr:uid="{08FE0C29-C230-49A5-AF52-9366F1050A39}"/>
    <cellStyle name="Normal 20 4" xfId="9618" xr:uid="{05CB1FD2-B492-4B72-AAC6-F8AD98F4B6B9}"/>
    <cellStyle name="Normal 21" xfId="1757" xr:uid="{00000000-0005-0000-0000-0000ED050000}"/>
    <cellStyle name="Normal 21 2" xfId="3711" xr:uid="{00000000-0005-0000-0000-0000EE050000}"/>
    <cellStyle name="Normal 21 2 2" xfId="7632" xr:uid="{E39F2F40-CF35-4D97-9ACF-71093A5A1AA8}"/>
    <cellStyle name="Normal 21 2 2 2" xfId="15492" xr:uid="{32D5C7CB-34B4-4F0A-9921-E168DF5F6673}"/>
    <cellStyle name="Normal 21 2 3" xfId="11572" xr:uid="{20093B48-C5C2-41D2-A69D-AE1C8E1F5E0E}"/>
    <cellStyle name="Normal 21 3" xfId="5678" xr:uid="{D58B3C0E-AA5C-4908-AC7F-36B8648BBC85}"/>
    <cellStyle name="Normal 21 3 2" xfId="13538" xr:uid="{B1D8CB22-3FC8-4580-8EB4-7DF22C94FD91}"/>
    <cellStyle name="Normal 21 4" xfId="9619" xr:uid="{E7D74602-B4FB-461E-A28A-9F5EB5A17953}"/>
    <cellStyle name="Normal 22" xfId="1758" xr:uid="{00000000-0005-0000-0000-0000EF050000}"/>
    <cellStyle name="Normal 22 2" xfId="1915" xr:uid="{00000000-0005-0000-0000-0000F0050000}"/>
    <cellStyle name="Normal 22 2 2" xfId="3868" xr:uid="{00000000-0005-0000-0000-0000F1050000}"/>
    <cellStyle name="Normal 22 2 2 2" xfId="7789" xr:uid="{2F7FCF0A-E39A-4AAC-A1F7-3A8A432111C8}"/>
    <cellStyle name="Normal 22 2 2 2 2" xfId="15649" xr:uid="{139DA242-4FBA-493B-B37B-0AB571677ACD}"/>
    <cellStyle name="Normal 22 2 2 3" xfId="11729" xr:uid="{16835E5B-82F1-4E4E-88B1-AECCFCBEEEE8}"/>
    <cellStyle name="Normal 22 2 3" xfId="3922" xr:uid="{F8DA285C-1808-4F8F-A553-62D7EA2749AF}"/>
    <cellStyle name="Normal 22 2 3 2" xfId="7843" xr:uid="{C9317802-57F5-4E45-8456-43553E783D29}"/>
    <cellStyle name="Normal 22 2 3 2 2" xfId="15703" xr:uid="{7DCFB387-7A2F-432D-B4EC-DE1D80A4DE18}"/>
    <cellStyle name="Normal 22 2 3 3" xfId="7863" xr:uid="{FC64246F-8F65-49BF-A7FA-4D0CC07BF6D8}"/>
    <cellStyle name="Normal 22 2 3 3 2" xfId="15723" xr:uid="{0BD39A6B-D9E5-46C8-9FF8-7470A085A320}"/>
    <cellStyle name="Normal 22 2 3 4" xfId="11783" xr:uid="{951DC663-9F71-4863-BD00-B9C066BC3AE2}"/>
    <cellStyle name="Normal 22 2 4" xfId="5836" xr:uid="{BF31E55E-5A79-46F1-BDBE-701606F47936}"/>
    <cellStyle name="Normal 22 2 4 2" xfId="13696" xr:uid="{2D013670-4ADA-4336-BD7F-2CC77D73F025}"/>
    <cellStyle name="Normal 22 2 5" xfId="9777" xr:uid="{4212F72F-6BA6-4A23-83C5-156A99BE68BC}"/>
    <cellStyle name="Normal 22 3" xfId="3712" xr:uid="{00000000-0005-0000-0000-0000F2050000}"/>
    <cellStyle name="Normal 22 3 2" xfId="7633" xr:uid="{01D9CE0F-CB53-4B28-933E-7A5BC4593A6A}"/>
    <cellStyle name="Normal 22 3 2 2" xfId="15493" xr:uid="{A60BFBA0-E7D3-4B45-85B3-C26FF44DE4F6}"/>
    <cellStyle name="Normal 22 3 3" xfId="11573" xr:uid="{12A87D21-0FA3-44C9-A243-57E2435AA320}"/>
    <cellStyle name="Normal 22 4" xfId="5679" xr:uid="{C8269E8E-3451-4E86-A91D-96D9CA2AC12C}"/>
    <cellStyle name="Normal 22 4 2" xfId="13539" xr:uid="{C28BCB72-907C-49C6-8C25-7C0135609C2E}"/>
    <cellStyle name="Normal 22 5" xfId="9620" xr:uid="{0278CB44-F407-43A6-93C6-15754080604D}"/>
    <cellStyle name="Normal 23" xfId="1760" xr:uid="{00000000-0005-0000-0000-0000F3050000}"/>
    <cellStyle name="Normal 23 2" xfId="3714" xr:uid="{00000000-0005-0000-0000-0000F4050000}"/>
    <cellStyle name="Normal 23 2 2" xfId="7635" xr:uid="{A2748788-C0CF-4127-A2E7-1334330DC77E}"/>
    <cellStyle name="Normal 23 2 2 2" xfId="15495" xr:uid="{CED6A4D1-9CEA-4339-A334-71B128BDA4FD}"/>
    <cellStyle name="Normal 23 2 3" xfId="11575" xr:uid="{91FA5E89-9D09-403E-B0F3-8F47C6DCA43E}"/>
    <cellStyle name="Normal 23 3" xfId="5681" xr:uid="{833D48E7-0F03-4A82-B9AD-2D0EDA10F9D6}"/>
    <cellStyle name="Normal 23 3 2" xfId="13541" xr:uid="{3EC5EFE8-CCE4-44D5-8E3F-215662CD3DFF}"/>
    <cellStyle name="Normal 23 4" xfId="9622" xr:uid="{B40B794C-CC1C-428E-8375-C89101686A1A}"/>
    <cellStyle name="Normal 24" xfId="1762" xr:uid="{00000000-0005-0000-0000-0000F5050000}"/>
    <cellStyle name="Normal 24 2" xfId="1928" xr:uid="{00000000-0005-0000-0000-0000F6050000}"/>
    <cellStyle name="Normal 24 2 2" xfId="1933" xr:uid="{00000000-0005-0000-0000-0000F7050000}"/>
    <cellStyle name="Normal 24 2 2 2" xfId="1969" xr:uid="{00000000-0005-0000-0000-0000F8050000}"/>
    <cellStyle name="Normal 24 2 2 2 2" xfId="5890" xr:uid="{903A23A4-101F-4B67-A59D-A0AE1569475A}"/>
    <cellStyle name="Normal 24 2 2 2 2 2" xfId="13750" xr:uid="{D3E27F77-E95B-4373-995B-E2F950CD2A68}"/>
    <cellStyle name="Normal 24 2 2 2 3" xfId="9831" xr:uid="{FE93152D-D506-4E22-99D7-8875639BFFBE}"/>
    <cellStyle name="Normal 24 2 2 3" xfId="5854" xr:uid="{8550EEFF-4CF1-401C-BBC7-1B3E832DAB01}"/>
    <cellStyle name="Normal 24 2 2 3 2" xfId="13714" xr:uid="{C5BB3372-02B9-46AD-9D4E-B47DE1DFE586}"/>
    <cellStyle name="Normal 24 2 2 4" xfId="9795" xr:uid="{62AC308F-0BCF-4DA3-B887-B171F473F8DE}"/>
    <cellStyle name="Normal 24 2 3" xfId="5849" xr:uid="{B1707298-0450-4535-B54A-00DD68906CEB}"/>
    <cellStyle name="Normal 24 2 3 2" xfId="13709" xr:uid="{47516D1D-28F0-446D-8B9B-13B0967B7274}"/>
    <cellStyle name="Normal 24 2 4" xfId="9790" xr:uid="{2F328FF5-9F48-47B4-A986-81A232C4BA02}"/>
    <cellStyle name="Normal 24 3" xfId="5683" xr:uid="{FB6CEA2A-83C5-4E80-AEE3-98B92FA91734}"/>
    <cellStyle name="Normal 24 3 2" xfId="13543" xr:uid="{0C5C5B8F-E0F9-4F1E-B247-9E63A64A228F}"/>
    <cellStyle name="Normal 24 4" xfId="9624" xr:uid="{AF8DF414-58C8-4007-BB4C-5139F2D94981}"/>
    <cellStyle name="Normal 25" xfId="1764" xr:uid="{00000000-0005-0000-0000-0000F9050000}"/>
    <cellStyle name="Normal 25 2" xfId="1930" xr:uid="{00000000-0005-0000-0000-0000FA050000}"/>
    <cellStyle name="Normal 25 2 2" xfId="1968" xr:uid="{00000000-0005-0000-0000-0000FB050000}"/>
    <cellStyle name="Normal 25 2 2 2" xfId="5889" xr:uid="{DEE07AE3-C07F-4A39-ADD8-33BFB3D3F41C}"/>
    <cellStyle name="Normal 25 2 2 2 2" xfId="13749" xr:uid="{EF54D84B-339D-4B63-8416-9529FC603298}"/>
    <cellStyle name="Normal 25 2 2 3" xfId="9830" xr:uid="{E8B25BDA-1C63-424A-8751-A3667978164B}"/>
    <cellStyle name="Normal 25 2 2 4" xfId="15760" xr:uid="{0BCCE5B2-D74F-407A-8DA7-D782F4480645}"/>
    <cellStyle name="Normal 25 2 3" xfId="3882" xr:uid="{00000000-0005-0000-0000-0000FC050000}"/>
    <cellStyle name="Normal 25 2 3 2" xfId="7803" xr:uid="{9FBA31B2-4E3A-4260-835E-2AA9A10FF591}"/>
    <cellStyle name="Normal 25 2 3 2 2" xfId="15663" xr:uid="{351BB062-F982-446C-B29A-B019D30510C8}"/>
    <cellStyle name="Normal 25 2 3 3" xfId="11743" xr:uid="{9C769B05-E307-4CE2-A6FB-327B5C084812}"/>
    <cellStyle name="Normal 25 2 4" xfId="5851" xr:uid="{72718C20-BDC7-44C4-9146-D4B3942C991F}"/>
    <cellStyle name="Normal 25 2 4 2" xfId="13711" xr:uid="{EC38C7AD-B096-450C-AE23-AD36DA46B6A4}"/>
    <cellStyle name="Normal 25 2 5" xfId="9792" xr:uid="{968A93DC-404C-4A67-A032-764C98CFA4D9}"/>
    <cellStyle name="Normal 25 3" xfId="3717" xr:uid="{00000000-0005-0000-0000-0000FD050000}"/>
    <cellStyle name="Normal 25 3 2" xfId="7638" xr:uid="{9463DE2B-1672-46C4-B962-60E745717905}"/>
    <cellStyle name="Normal 25 3 2 2" xfId="15498" xr:uid="{EDEC0B3F-163D-473F-AEEC-81C7D268616D}"/>
    <cellStyle name="Normal 25 3 3" xfId="11578" xr:uid="{DA467359-B2E0-41B7-BA32-6FC3B95B87A8}"/>
    <cellStyle name="Normal 25 4" xfId="5685" xr:uid="{EBA3E38F-2F90-4319-A350-0821A0ECF69F}"/>
    <cellStyle name="Normal 25 4 2" xfId="13545" xr:uid="{FB28A981-3A75-4E4D-ABDC-9368E9618762}"/>
    <cellStyle name="Normal 25 5" xfId="9626" xr:uid="{7DF62D54-9E3E-42C3-BF72-0DF2C00CD805}"/>
    <cellStyle name="Normal 26" xfId="1765" xr:uid="{00000000-0005-0000-0000-0000FE050000}"/>
    <cellStyle name="Normal 26 2" xfId="3718" xr:uid="{00000000-0005-0000-0000-0000FF050000}"/>
    <cellStyle name="Normal 26 2 2" xfId="7639" xr:uid="{BB5351DA-F129-4C92-8C94-BF19ED8D1AD1}"/>
    <cellStyle name="Normal 26 2 2 2" xfId="15499" xr:uid="{7013B44A-0DD9-4FCF-8578-5581177DFE73}"/>
    <cellStyle name="Normal 26 2 3" xfId="11579" xr:uid="{AFF4C692-460E-4508-8D25-585BACE4D127}"/>
    <cellStyle name="Normal 26 3" xfId="5686" xr:uid="{15DFBBFD-1294-4830-8439-215313A498CE}"/>
    <cellStyle name="Normal 26 3 2" xfId="13546" xr:uid="{6C2D6EF0-15DB-42D1-8D0E-F67FA9F4442D}"/>
    <cellStyle name="Normal 26 4" xfId="9627" xr:uid="{7AE7A7F6-9D65-4A7C-BCD9-F1AE916F9698}"/>
    <cellStyle name="Normal 27" xfId="1923" xr:uid="{00000000-0005-0000-0000-000000060000}"/>
    <cellStyle name="Normal 27 2" xfId="1943" xr:uid="{00000000-0005-0000-0000-000001060000}"/>
    <cellStyle name="Normal 27 2 2" xfId="1950" xr:uid="{00000000-0005-0000-0000-000002060000}"/>
    <cellStyle name="Normal 27 2 2 2" xfId="3901" xr:uid="{00000000-0005-0000-0000-000003060000}"/>
    <cellStyle name="Normal 27 2 2 2 2" xfId="7822" xr:uid="{3551DCDD-C2B7-449D-B815-A7EDF481CF43}"/>
    <cellStyle name="Normal 27 2 2 2 2 2" xfId="15682" xr:uid="{F7FEA9F2-75A3-4DE9-AA85-6F83B0634920}"/>
    <cellStyle name="Normal 27 2 2 2 3" xfId="11762" xr:uid="{FD698D89-2559-4D17-A3E7-B15F151E5475}"/>
    <cellStyle name="Normal 27 2 2 3" xfId="5871" xr:uid="{D3D109A6-481A-4FF7-AEBC-DEA59EA38499}"/>
    <cellStyle name="Normal 27 2 2 3 2" xfId="13731" xr:uid="{90D38EBA-998F-4924-A77B-CB92F57E4020}"/>
    <cellStyle name="Normal 27 2 2 4" xfId="9812" xr:uid="{34D8C561-4C25-4E75-B6D7-B0242D21F866}"/>
    <cellStyle name="Normal 27 2 3" xfId="3894" xr:uid="{00000000-0005-0000-0000-000004060000}"/>
    <cellStyle name="Normal 27 2 3 2" xfId="7815" xr:uid="{433802A2-BCA7-4FF6-817C-89B2D532AB1F}"/>
    <cellStyle name="Normal 27 2 3 2 2" xfId="15675" xr:uid="{E21FBDC4-E161-42E3-8C7F-5582381B0A26}"/>
    <cellStyle name="Normal 27 2 3 3" xfId="11755" xr:uid="{B02F7F12-F639-49F6-85B1-307AFE343D79}"/>
    <cellStyle name="Normal 27 2 4" xfId="5864" xr:uid="{D888199C-3C04-4127-BA18-760720F140EB}"/>
    <cellStyle name="Normal 27 2 4 2" xfId="13724" xr:uid="{AC94C940-8D82-44F7-AAFE-CDA492974BF0}"/>
    <cellStyle name="Normal 27 2 5" xfId="9805" xr:uid="{251093B2-A6BE-4646-AD86-65D29FDA556D}"/>
    <cellStyle name="Normal 27 3" xfId="3876" xr:uid="{00000000-0005-0000-0000-000005060000}"/>
    <cellStyle name="Normal 27 3 2" xfId="7797" xr:uid="{F18D445E-6D25-4A4B-94F9-90A693742780}"/>
    <cellStyle name="Normal 27 3 2 2" xfId="15657" xr:uid="{16383DE5-A838-4805-9CC0-FFFD4591A248}"/>
    <cellStyle name="Normal 27 3 3" xfId="11737" xr:uid="{144CFF53-E8B4-449A-9A2C-0F28D4A817C1}"/>
    <cellStyle name="Normal 27 4" xfId="5844" xr:uid="{17944C0E-F6CD-4C9B-BD65-0F4FB31C9B51}"/>
    <cellStyle name="Normal 27 4 2" xfId="13704" xr:uid="{FF7ABE78-DEF9-401B-A967-037A76EADCCD}"/>
    <cellStyle name="Normal 27 5" xfId="9785" xr:uid="{260B5C39-A18E-42AA-8BC8-853CE26438BB}"/>
    <cellStyle name="Normal 28" xfId="1935" xr:uid="{00000000-0005-0000-0000-000006060000}"/>
    <cellStyle name="Normal 28 2" xfId="1971" xr:uid="{00000000-0005-0000-0000-000007060000}"/>
    <cellStyle name="Normal 28 2 2" xfId="5892" xr:uid="{7901736D-088C-4A3E-895C-56F20BDA7EAC}"/>
    <cellStyle name="Normal 28 2 2 2" xfId="13752" xr:uid="{FD49CA73-2234-4066-B33A-225685BCF4BA}"/>
    <cellStyle name="Normal 28 2 3" xfId="9833" xr:uid="{4EF56471-A696-42D0-8F69-E1A8C8E1B3A7}"/>
    <cellStyle name="Normal 28 3" xfId="3886" xr:uid="{00000000-0005-0000-0000-000008060000}"/>
    <cellStyle name="Normal 28 3 2" xfId="7807" xr:uid="{E6ABB773-A0C0-420D-AD85-E8E19C3EF398}"/>
    <cellStyle name="Normal 28 3 2 2" xfId="15667" xr:uid="{77FBE562-96A6-4EA2-B28F-89BE838AAFA4}"/>
    <cellStyle name="Normal 28 3 3" xfId="11747" xr:uid="{75D713DE-F8BE-49DD-9507-06F74818D108}"/>
    <cellStyle name="Normal 28 4" xfId="5856" xr:uid="{1EDF10B6-FBF2-4208-8950-9B43FCDB9BBD}"/>
    <cellStyle name="Normal 28 4 2" xfId="13716" xr:uid="{88639DDE-4A0E-4388-B703-6C6183E974ED}"/>
    <cellStyle name="Normal 28 5" xfId="9797" xr:uid="{466F0CEF-247F-4B1E-9A5D-D95772F576E2}"/>
    <cellStyle name="Normal 29" xfId="1940" xr:uid="{00000000-0005-0000-0000-000009060000}"/>
    <cellStyle name="Normal 29 2" xfId="3891" xr:uid="{00000000-0005-0000-0000-00000A060000}"/>
    <cellStyle name="Normal 29 2 2" xfId="7812" xr:uid="{3E0E1E7F-73BF-4115-BD15-E0D0D441F204}"/>
    <cellStyle name="Normal 29 2 2 2" xfId="15672" xr:uid="{D3C4A32C-47C9-4150-A3C7-56D19F2954FD}"/>
    <cellStyle name="Normal 29 2 3" xfId="11752" xr:uid="{BF3EBF0D-E13C-4AD7-83A2-49047F492F48}"/>
    <cellStyle name="Normal 29 3" xfId="5861" xr:uid="{E7408713-ECAB-4CC4-A720-D5E0D2B979D6}"/>
    <cellStyle name="Normal 29 3 2" xfId="13721" xr:uid="{8904E6EF-4BAF-45AA-BAD1-93D1E1AC5130}"/>
    <cellStyle name="Normal 29 4" xfId="9802" xr:uid="{A8422B1A-FBB5-444D-8AD3-DC3C04EB96E8}"/>
    <cellStyle name="Normal 3" xfId="40" xr:uid="{00000000-0005-0000-0000-00000B060000}"/>
    <cellStyle name="Normal 3 10" xfId="930" xr:uid="{00000000-0005-0000-0000-00000C060000}"/>
    <cellStyle name="Normal 3 10 2" xfId="2884" xr:uid="{00000000-0005-0000-0000-00000D060000}"/>
    <cellStyle name="Normal 3 10 2 2" xfId="6805" xr:uid="{C63DB979-9A6A-4213-ADE9-B8F215239FD3}"/>
    <cellStyle name="Normal 3 10 2 2 2" xfId="14665" xr:uid="{63248739-372A-488A-A1BB-017B66833324}"/>
    <cellStyle name="Normal 3 10 2 3" xfId="10745" xr:uid="{6ADE05B8-0EE3-40B1-881D-8EFAF24C4CFA}"/>
    <cellStyle name="Normal 3 10 3" xfId="4851" xr:uid="{9FDB9D91-6A21-448A-BC89-43F50FEBE106}"/>
    <cellStyle name="Normal 3 10 3 2" xfId="12711" xr:uid="{2030A1C1-5D60-43F3-A9BD-5C5942E44718}"/>
    <cellStyle name="Normal 3 10 4" xfId="8792" xr:uid="{D77E0D9E-7BF7-4E3F-BCC0-50791520AECF}"/>
    <cellStyle name="Normal 3 11" xfId="1357" xr:uid="{00000000-0005-0000-0000-00000E060000}"/>
    <cellStyle name="Normal 3 11 2" xfId="3311" xr:uid="{00000000-0005-0000-0000-00000F060000}"/>
    <cellStyle name="Normal 3 11 2 2" xfId="7232" xr:uid="{5DBBB94A-FABC-4193-B336-7972F0C269A3}"/>
    <cellStyle name="Normal 3 11 2 2 2" xfId="15092" xr:uid="{4857C4F4-7271-4E36-9481-184C3F676399}"/>
    <cellStyle name="Normal 3 11 2 3" xfId="11172" xr:uid="{A3E148D8-915D-4523-93C2-D18B3005F553}"/>
    <cellStyle name="Normal 3 11 3" xfId="5278" xr:uid="{B2BC8C63-C038-4A28-9C6A-18CDFE2BED6C}"/>
    <cellStyle name="Normal 3 11 3 2" xfId="13138" xr:uid="{4D10DCE2-BA28-4543-A049-ECB49042EAE6}"/>
    <cellStyle name="Normal 3 11 4" xfId="9219" xr:uid="{42E3187D-511F-40D6-9549-FD3ED2171A38}"/>
    <cellStyle name="Normal 3 12" xfId="1909" xr:uid="{00000000-0005-0000-0000-000010060000}"/>
    <cellStyle name="Normal 3 12 2" xfId="3862" xr:uid="{00000000-0005-0000-0000-000011060000}"/>
    <cellStyle name="Normal 3 12 2 2" xfId="7783" xr:uid="{31D12FE6-809D-4897-89EA-96A2ADC077E9}"/>
    <cellStyle name="Normal 3 12 2 2 2" xfId="15643" xr:uid="{175C833D-3614-4AF6-B191-26B5797FE97F}"/>
    <cellStyle name="Normal 3 12 2 3" xfId="11723" xr:uid="{15B20DA0-186E-465C-8314-A7D9B23D30D2}"/>
    <cellStyle name="Normal 3 12 3" xfId="5830" xr:uid="{78D5E243-6015-4042-A634-4A129F5AD1AA}"/>
    <cellStyle name="Normal 3 12 3 2" xfId="13690" xr:uid="{8825D884-34DC-4BAB-8E0C-0EE1A61493F3}"/>
    <cellStyle name="Normal 3 12 4" xfId="9771" xr:uid="{C9510066-DC8A-4289-9365-767412CC9F0D}"/>
    <cellStyle name="Normal 3 13" xfId="2010" xr:uid="{00000000-0005-0000-0000-000012060000}"/>
    <cellStyle name="Normal 3 13 2" xfId="5931" xr:uid="{CEE3C09D-507F-4E77-9CF7-80637078B01A}"/>
    <cellStyle name="Normal 3 13 2 2" xfId="13791" xr:uid="{1D25DDEB-9D37-4D67-ABC3-CB1EF58E0009}"/>
    <cellStyle name="Normal 3 13 3" xfId="9871" xr:uid="{44F4476A-B12C-40AE-8BB5-2F7959538774}"/>
    <cellStyle name="Normal 3 14" xfId="3977" xr:uid="{9811A9C1-4A3E-4B39-8834-F7B4A005287F}"/>
    <cellStyle name="Normal 3 14 2" xfId="11837" xr:uid="{482F4B57-4039-40D1-A20A-8CDC072931DA}"/>
    <cellStyle name="Normal 3 15" xfId="7915" xr:uid="{D59AF2A5-95AB-4930-8D1C-D49C96AA9900}"/>
    <cellStyle name="Normal 3 2" xfId="14" xr:uid="{00000000-0005-0000-0000-000013060000}"/>
    <cellStyle name="Normal 3 2 10" xfId="487" xr:uid="{00000000-0005-0000-0000-000014060000}"/>
    <cellStyle name="Normal 3 2 10 2" xfId="2441" xr:uid="{00000000-0005-0000-0000-000015060000}"/>
    <cellStyle name="Normal 3 2 10 2 2" xfId="6362" xr:uid="{4DCD9825-F4DE-4414-94BB-88DCE52078A2}"/>
    <cellStyle name="Normal 3 2 10 2 2 2" xfId="14222" xr:uid="{594406BF-FB6C-4AFC-BAAC-25A0C73DCE36}"/>
    <cellStyle name="Normal 3 2 10 2 3" xfId="10302" xr:uid="{1AA39DE3-BD7E-4189-A28E-06C84F9C3AE3}"/>
    <cellStyle name="Normal 3 2 10 3" xfId="4408" xr:uid="{5C5F5276-7993-4904-B9DA-DF9B916D1773}"/>
    <cellStyle name="Normal 3 2 10 3 2" xfId="12268" xr:uid="{AA1535DA-8685-4EF1-938A-AC1FC12B0986}"/>
    <cellStyle name="Normal 3 2 10 4" xfId="8349" xr:uid="{C92E76D2-E484-402A-8D18-F636FBB41EF8}"/>
    <cellStyle name="Normal 3 2 11" xfId="1240" xr:uid="{00000000-0005-0000-0000-000016060000}"/>
    <cellStyle name="Normal 3 2 11 2" xfId="3194" xr:uid="{00000000-0005-0000-0000-000017060000}"/>
    <cellStyle name="Normal 3 2 11 2 2" xfId="7115" xr:uid="{C943650B-11FC-4D46-BCEA-25DD0FD2FF34}"/>
    <cellStyle name="Normal 3 2 11 2 2 2" xfId="14975" xr:uid="{B1141ABB-623E-4011-A105-E26E990C5BBE}"/>
    <cellStyle name="Normal 3 2 11 2 3" xfId="11055" xr:uid="{31E41A40-5DEF-489B-872B-2E9940E3DB7B}"/>
    <cellStyle name="Normal 3 2 11 3" xfId="5161" xr:uid="{19BA02CF-1A63-405B-8E95-AC2D08ADB56F}"/>
    <cellStyle name="Normal 3 2 11 3 2" xfId="13021" xr:uid="{07371374-2777-49F1-86F0-3FC7F909CCD8}"/>
    <cellStyle name="Normal 3 2 11 4" xfId="9102" xr:uid="{666DF84A-D14B-4DE2-B954-D77802062A93}"/>
    <cellStyle name="Normal 3 2 12" xfId="1917" xr:uid="{00000000-0005-0000-0000-000018060000}"/>
    <cellStyle name="Normal 3 2 12 2" xfId="3870" xr:uid="{00000000-0005-0000-0000-000019060000}"/>
    <cellStyle name="Normal 3 2 12 2 2" xfId="7791" xr:uid="{74815EDA-2439-454A-BA5F-CC764AF67A53}"/>
    <cellStyle name="Normal 3 2 12 2 2 2" xfId="15651" xr:uid="{C87545D5-8818-40AE-9D3B-8CEA5AE757A2}"/>
    <cellStyle name="Normal 3 2 12 2 3" xfId="11731" xr:uid="{6B0F425C-716B-4EF4-B810-09BA726A1C0B}"/>
    <cellStyle name="Normal 3 2 12 3" xfId="3923" xr:uid="{01C23A97-4B36-4B21-A7DA-7BBA546E9625}"/>
    <cellStyle name="Normal 3 2 12 3 2" xfId="7844" xr:uid="{7EF2B3CC-5512-49E8-ADA0-CCAF2A2E57E7}"/>
    <cellStyle name="Normal 3 2 12 3 2 2" xfId="15704" xr:uid="{AC03A169-8F4B-4AEA-9A52-C54900509F61}"/>
    <cellStyle name="Normal 3 2 12 3 3" xfId="7865" xr:uid="{E54DCBB0-FEF6-4D07-B366-943564B89B62}"/>
    <cellStyle name="Normal 3 2 12 3 3 2" xfId="15725" xr:uid="{D492143F-670D-49BE-8A73-9278938644CF}"/>
    <cellStyle name="Normal 3 2 12 3 4" xfId="11784" xr:uid="{F0D6BF88-DBC2-4C43-AF64-D85C593BB108}"/>
    <cellStyle name="Normal 3 2 12 4" xfId="5838" xr:uid="{20B1C152-9EE1-42A1-8F29-B7409E75C09F}"/>
    <cellStyle name="Normal 3 2 12 4 2" xfId="13698" xr:uid="{5E08DBB7-DE57-4490-9388-F64FB9A9F344}"/>
    <cellStyle name="Normal 3 2 12 5" xfId="9779" xr:uid="{3A228DF2-74D9-4A9E-AF81-4E62CA99983F}"/>
    <cellStyle name="Normal 3 2 13" xfId="1921" xr:uid="{00000000-0005-0000-0000-00001A060000}"/>
    <cellStyle name="Normal 3 2 13 2" xfId="3874" xr:uid="{00000000-0005-0000-0000-00001B060000}"/>
    <cellStyle name="Normal 3 2 13 2 2" xfId="7795" xr:uid="{C08F77CD-65C6-40BC-9986-D9AEF1BE5671}"/>
    <cellStyle name="Normal 3 2 13 2 2 2" xfId="15655" xr:uid="{600DD508-48C7-4246-821A-CDBAB9AF2CFB}"/>
    <cellStyle name="Normal 3 2 13 2 3" xfId="11735" xr:uid="{1AAA98EA-BB9D-4D70-B903-0035155D382A}"/>
    <cellStyle name="Normal 3 2 13 3" xfId="5842" xr:uid="{6C76F937-887B-48A5-ADD2-299CC5CCBDBC}"/>
    <cellStyle name="Normal 3 2 13 3 2" xfId="13702" xr:uid="{DA1D999B-6D2C-47E1-B28D-026020349921}"/>
    <cellStyle name="Normal 3 2 13 4" xfId="9783" xr:uid="{8B9023AD-AFC8-4936-9B27-9A6CE4EC89C8}"/>
    <cellStyle name="Normal 3 2 14" xfId="1985" xr:uid="{00000000-0005-0000-0000-00001C060000}"/>
    <cellStyle name="Normal 3 2 14 2" xfId="5906" xr:uid="{8C00AD1A-0EF6-4D15-803F-10FD01D889AF}"/>
    <cellStyle name="Normal 3 2 14 2 2" xfId="13766" xr:uid="{61AAED63-5066-47A6-9770-653FDCEBCF5E}"/>
    <cellStyle name="Normal 3 2 14 3" xfId="9846" xr:uid="{A9923449-523D-422B-B89A-031287C4F412}"/>
    <cellStyle name="Normal 3 2 15" xfId="3952" xr:uid="{74AB3389-849D-413F-AE9D-C913D2597384}"/>
    <cellStyle name="Normal 3 2 15 2" xfId="11812" xr:uid="{87808117-FFEA-4F11-ADBF-F311FE00E223}"/>
    <cellStyle name="Normal 3 2 16" xfId="7889" xr:uid="{71D19B0E-277B-4927-8226-CDA27A5BD7BA}"/>
    <cellStyle name="Normal 3 2 2" xfId="25" xr:uid="{00000000-0005-0000-0000-00001D060000}"/>
    <cellStyle name="Normal 3 2 2 10" xfId="1996" xr:uid="{00000000-0005-0000-0000-00001E060000}"/>
    <cellStyle name="Normal 3 2 2 10 2" xfId="5917" xr:uid="{C1744AE5-4F05-4EBE-98A7-A442D7C934FA}"/>
    <cellStyle name="Normal 3 2 2 10 2 2" xfId="13777" xr:uid="{0F20CEE4-9D5E-4B89-9F52-02942E0520F8}"/>
    <cellStyle name="Normal 3 2 2 10 3" xfId="9857" xr:uid="{050DF5EA-FE25-47BF-8470-91EB3E76E1A8}"/>
    <cellStyle name="Normal 3 2 2 11" xfId="3963" xr:uid="{40319168-1AA0-4E8F-8CA2-81912FEBA5FE}"/>
    <cellStyle name="Normal 3 2 2 11 2" xfId="11823" xr:uid="{605512F6-14D2-4995-A9F9-B1D1DE3C6665}"/>
    <cellStyle name="Normal 3 2 2 12" xfId="7900" xr:uid="{150C03F4-5BEA-44E9-8ABA-68E798293623}"/>
    <cellStyle name="Normal 3 2 2 2" xfId="67" xr:uid="{00000000-0005-0000-0000-00001F060000}"/>
    <cellStyle name="Normal 3 2 2 2 10" xfId="4003" xr:uid="{397D1C6A-8260-43CA-B9D1-DCDC1AA035E1}"/>
    <cellStyle name="Normal 3 2 2 2 10 2" xfId="11863" xr:uid="{4EE8665B-D563-494C-BAF3-25EE6307161C}"/>
    <cellStyle name="Normal 3 2 2 2 11" xfId="7941" xr:uid="{67A75DA3-84F2-47F0-9A20-6BB60DEF60F9}"/>
    <cellStyle name="Normal 3 2 2 2 2" xfId="223" xr:uid="{00000000-0005-0000-0000-000020060000}"/>
    <cellStyle name="Normal 3 2 2 2 2 2" xfId="675" xr:uid="{00000000-0005-0000-0000-000021060000}"/>
    <cellStyle name="Normal 3 2 2 2 2 2 2" xfId="2629" xr:uid="{00000000-0005-0000-0000-000022060000}"/>
    <cellStyle name="Normal 3 2 2 2 2 2 2 2" xfId="6550" xr:uid="{93C2C523-18E6-458F-85F0-CEC9932D0821}"/>
    <cellStyle name="Normal 3 2 2 2 2 2 2 2 2" xfId="14410" xr:uid="{93824EE0-89B3-4B4C-8C10-EC9D991D8580}"/>
    <cellStyle name="Normal 3 2 2 2 2 2 2 3" xfId="10490" xr:uid="{B1D2921D-5C5D-46EB-BE72-F8CED6C0F007}"/>
    <cellStyle name="Normal 3 2 2 2 2 2 3" xfId="4596" xr:uid="{10D8836E-A584-458F-B067-3C0B788DFC04}"/>
    <cellStyle name="Normal 3 2 2 2 2 2 3 2" xfId="12456" xr:uid="{FC91EDA7-478D-4B8A-A473-5AB343F6E422}"/>
    <cellStyle name="Normal 3 2 2 2 2 2 4" xfId="8537" xr:uid="{9A73345C-2550-4F8C-8E22-B69A730005BB}"/>
    <cellStyle name="Normal 3 2 2 2 2 3" xfId="1112" xr:uid="{00000000-0005-0000-0000-000023060000}"/>
    <cellStyle name="Normal 3 2 2 2 2 3 2" xfId="3066" xr:uid="{00000000-0005-0000-0000-000024060000}"/>
    <cellStyle name="Normal 3 2 2 2 2 3 2 2" xfId="6987" xr:uid="{DB3DB17A-20B5-4048-9DA6-2FB3CB84E787}"/>
    <cellStyle name="Normal 3 2 2 2 2 3 2 2 2" xfId="14847" xr:uid="{03CE8598-2460-4604-8400-4E5FF8E955AB}"/>
    <cellStyle name="Normal 3 2 2 2 2 3 2 3" xfId="10927" xr:uid="{283C1350-F358-4C01-80F9-1CE298BBCA67}"/>
    <cellStyle name="Normal 3 2 2 2 2 3 3" xfId="5033" xr:uid="{FD7B9431-0412-4FD6-9006-813C1C56CF37}"/>
    <cellStyle name="Normal 3 2 2 2 2 3 3 2" xfId="12893" xr:uid="{561A7C1D-AD0B-428C-832C-511DDD97A650}"/>
    <cellStyle name="Normal 3 2 2 2 2 3 4" xfId="8974" xr:uid="{1C74F8A7-146C-4C1F-99D6-1D72CB5EF6D6}"/>
    <cellStyle name="Normal 3 2 2 2 2 4" xfId="1539" xr:uid="{00000000-0005-0000-0000-000025060000}"/>
    <cellStyle name="Normal 3 2 2 2 2 4 2" xfId="3493" xr:uid="{00000000-0005-0000-0000-000026060000}"/>
    <cellStyle name="Normal 3 2 2 2 2 4 2 2" xfId="7414" xr:uid="{61CFC6E8-804A-4886-9C78-5D03AC31E03D}"/>
    <cellStyle name="Normal 3 2 2 2 2 4 2 2 2" xfId="15274" xr:uid="{F2A4754A-F646-4FA0-BA64-ED9428236D8E}"/>
    <cellStyle name="Normal 3 2 2 2 2 4 2 3" xfId="11354" xr:uid="{C6A6FDB0-18E0-48F1-A9DE-B4212FB02BF9}"/>
    <cellStyle name="Normal 3 2 2 2 2 4 3" xfId="5460" xr:uid="{6C805AC9-7652-45BB-AC37-0D6BF02159D0}"/>
    <cellStyle name="Normal 3 2 2 2 2 4 3 2" xfId="13320" xr:uid="{960C65F6-6965-471A-8171-2B3D2B4AFD3D}"/>
    <cellStyle name="Normal 3 2 2 2 2 4 4" xfId="9401" xr:uid="{94D133D8-0101-4B38-BA00-CFBF9A5A1E97}"/>
    <cellStyle name="Normal 3 2 2 2 2 5" xfId="1918" xr:uid="{00000000-0005-0000-0000-000027060000}"/>
    <cellStyle name="Normal 3 2 2 2 2 5 2" xfId="3871" xr:uid="{00000000-0005-0000-0000-000028060000}"/>
    <cellStyle name="Normal 3 2 2 2 2 5 2 2" xfId="7792" xr:uid="{EFAA4729-FDF5-4CE0-B643-EFFBAC5A5E69}"/>
    <cellStyle name="Normal 3 2 2 2 2 5 2 2 2" xfId="15652" xr:uid="{F8A79EE4-32CB-4B7E-8374-608A14334DC7}"/>
    <cellStyle name="Normal 3 2 2 2 2 5 2 3" xfId="11732" xr:uid="{BC32917C-E1F0-4902-B47F-1F519BDF5B65}"/>
    <cellStyle name="Normal 3 2 2 2 2 5 3" xfId="3924" xr:uid="{2071CA96-3742-4F3F-AEB3-5D425A9C4290}"/>
    <cellStyle name="Normal 3 2 2 2 2 5 3 2" xfId="7845" xr:uid="{FA539340-9237-4220-B215-46DFD8606259}"/>
    <cellStyle name="Normal 3 2 2 2 2 5 3 2 2" xfId="15705" xr:uid="{20935DA5-1875-46DB-9A0C-C2A9E4408798}"/>
    <cellStyle name="Normal 3 2 2 2 2 5 3 3" xfId="7866" xr:uid="{68737E0A-44C8-48F6-A1E8-50FA932F8992}"/>
    <cellStyle name="Normal 3 2 2 2 2 5 3 3 2" xfId="15726" xr:uid="{3F6CD829-5A58-4709-8D0F-844D0658A9DB}"/>
    <cellStyle name="Normal 3 2 2 2 2 5 3 4" xfId="11785" xr:uid="{E06FACB4-6C0E-4613-8F61-DF9761D31972}"/>
    <cellStyle name="Normal 3 2 2 2 2 5 4" xfId="5839" xr:uid="{4750138B-3B5C-479D-971C-7848D85149AC}"/>
    <cellStyle name="Normal 3 2 2 2 2 5 4 2" xfId="13699" xr:uid="{AE981EDD-10D9-43C7-8424-D8CFF12959CC}"/>
    <cellStyle name="Normal 3 2 2 2 2 5 5" xfId="9780" xr:uid="{50004E01-7E31-4A42-A9D8-8332679BF204}"/>
    <cellStyle name="Normal 3 2 2 2 2 6" xfId="2192" xr:uid="{00000000-0005-0000-0000-000029060000}"/>
    <cellStyle name="Normal 3 2 2 2 2 6 2" xfId="6113" xr:uid="{811E2D4B-FF29-4F79-B5A9-6F48D8EBAAE2}"/>
    <cellStyle name="Normal 3 2 2 2 2 6 2 2" xfId="13973" xr:uid="{D4B58CF7-A839-4600-8E47-3751A0C7DB69}"/>
    <cellStyle name="Normal 3 2 2 2 2 6 3" xfId="10053" xr:uid="{82115120-1B9A-4045-B6D5-06ECCEADDD1E}"/>
    <cellStyle name="Normal 3 2 2 2 2 7" xfId="4159" xr:uid="{27235046-9A2C-4EEE-9791-C4370D42C162}"/>
    <cellStyle name="Normal 3 2 2 2 2 7 2" xfId="12019" xr:uid="{5134FEDC-DE57-405F-8624-CD197A4AAA18}"/>
    <cellStyle name="Normal 3 2 2 2 2 8" xfId="8097" xr:uid="{098CA0C4-4CA5-4BBA-93E9-BDADC1DB49CA}"/>
    <cellStyle name="Normal 3 2 2 2 3" xfId="145" xr:uid="{00000000-0005-0000-0000-00002A060000}"/>
    <cellStyle name="Normal 3 2 2 2 3 2" xfId="597" xr:uid="{00000000-0005-0000-0000-00002B060000}"/>
    <cellStyle name="Normal 3 2 2 2 3 2 2" xfId="2551" xr:uid="{00000000-0005-0000-0000-00002C060000}"/>
    <cellStyle name="Normal 3 2 2 2 3 2 2 2" xfId="6472" xr:uid="{DEAAE76C-7765-4FB7-9D94-E5FF5F64D225}"/>
    <cellStyle name="Normal 3 2 2 2 3 2 2 2 2" xfId="14332" xr:uid="{28F8F692-2D88-4978-A243-EABD3FEA5A58}"/>
    <cellStyle name="Normal 3 2 2 2 3 2 2 3" xfId="10412" xr:uid="{3FB1F047-A12B-49D2-98AB-2A1A162C8A96}"/>
    <cellStyle name="Normal 3 2 2 2 3 2 3" xfId="4518" xr:uid="{E8709D6D-1EBA-457D-B67C-C8F4F47F28D9}"/>
    <cellStyle name="Normal 3 2 2 2 3 2 3 2" xfId="12378" xr:uid="{544502D3-98BE-41D3-A4B5-DA021A9EE5CE}"/>
    <cellStyle name="Normal 3 2 2 2 3 2 4" xfId="8459" xr:uid="{6F9EE257-9BFC-458E-8345-97DE3E177BC3}"/>
    <cellStyle name="Normal 3 2 2 2 3 3" xfId="1034" xr:uid="{00000000-0005-0000-0000-00002D060000}"/>
    <cellStyle name="Normal 3 2 2 2 3 3 2" xfId="2988" xr:uid="{00000000-0005-0000-0000-00002E060000}"/>
    <cellStyle name="Normal 3 2 2 2 3 3 2 2" xfId="6909" xr:uid="{1CCD194E-D91E-4745-B1F6-EA3CEA95F944}"/>
    <cellStyle name="Normal 3 2 2 2 3 3 2 2 2" xfId="14769" xr:uid="{873EF906-8385-4C67-9240-51A9390E6D2E}"/>
    <cellStyle name="Normal 3 2 2 2 3 3 2 3" xfId="10849" xr:uid="{826C3B1A-1A07-4DE7-8156-1DEB3321AE71}"/>
    <cellStyle name="Normal 3 2 2 2 3 3 3" xfId="4955" xr:uid="{A05EF78F-D4F2-41C0-B4FB-8819FA2E65B7}"/>
    <cellStyle name="Normal 3 2 2 2 3 3 3 2" xfId="12815" xr:uid="{67D481F5-5EE9-49DD-A074-CC66016E56E8}"/>
    <cellStyle name="Normal 3 2 2 2 3 3 4" xfId="8896" xr:uid="{A767DAC3-4926-47A7-BEB6-B8CC28C9646B}"/>
    <cellStyle name="Normal 3 2 2 2 3 4" xfId="1461" xr:uid="{00000000-0005-0000-0000-00002F060000}"/>
    <cellStyle name="Normal 3 2 2 2 3 4 2" xfId="3415" xr:uid="{00000000-0005-0000-0000-000030060000}"/>
    <cellStyle name="Normal 3 2 2 2 3 4 2 2" xfId="7336" xr:uid="{BC1E8D57-1424-4731-B467-3E7F32D157E8}"/>
    <cellStyle name="Normal 3 2 2 2 3 4 2 2 2" xfId="15196" xr:uid="{8F432F00-D754-464F-800E-75ADB7C13B69}"/>
    <cellStyle name="Normal 3 2 2 2 3 4 2 3" xfId="11276" xr:uid="{909B6A41-C9CD-476C-B90E-DBEA6CA5D1D0}"/>
    <cellStyle name="Normal 3 2 2 2 3 4 3" xfId="5382" xr:uid="{CB5E454C-7B39-47D3-AA29-951B236D56AF}"/>
    <cellStyle name="Normal 3 2 2 2 3 4 3 2" xfId="13242" xr:uid="{0EB16679-3846-4157-BE69-8D39A8FE1E5C}"/>
    <cellStyle name="Normal 3 2 2 2 3 4 4" xfId="9323" xr:uid="{53F3DC07-0FE8-45E4-B920-2335B5671EA3}"/>
    <cellStyle name="Normal 3 2 2 2 3 5" xfId="2114" xr:uid="{00000000-0005-0000-0000-000031060000}"/>
    <cellStyle name="Normal 3 2 2 2 3 5 2" xfId="6035" xr:uid="{9C2FA56C-C361-4780-9D64-F14BB81C6BAE}"/>
    <cellStyle name="Normal 3 2 2 2 3 5 2 2" xfId="13895" xr:uid="{038BB2FA-690F-4DB2-9CC1-3E6E106E8688}"/>
    <cellStyle name="Normal 3 2 2 2 3 5 3" xfId="9975" xr:uid="{63C1A7B1-04B7-4AAD-9F0F-89922876E2AE}"/>
    <cellStyle name="Normal 3 2 2 2 3 6" xfId="4081" xr:uid="{A8645303-BC25-4AB6-B872-81DE4814DDED}"/>
    <cellStyle name="Normal 3 2 2 2 3 6 2" xfId="11941" xr:uid="{47914E0C-0763-4D11-8EDB-C7A07FECD2F4}"/>
    <cellStyle name="Normal 3 2 2 2 3 7" xfId="8019" xr:uid="{7E43B5B3-084E-4B54-B56D-2775A8CE5007}"/>
    <cellStyle name="Normal 3 2 2 2 4" xfId="329" xr:uid="{00000000-0005-0000-0000-000032060000}"/>
    <cellStyle name="Normal 3 2 2 2 4 2" xfId="781" xr:uid="{00000000-0005-0000-0000-000033060000}"/>
    <cellStyle name="Normal 3 2 2 2 4 2 2" xfId="2735" xr:uid="{00000000-0005-0000-0000-000034060000}"/>
    <cellStyle name="Normal 3 2 2 2 4 2 2 2" xfId="6656" xr:uid="{A83F54AE-12F6-4E2B-838A-F8E63334AE7B}"/>
    <cellStyle name="Normal 3 2 2 2 4 2 2 2 2" xfId="14516" xr:uid="{CE8C136D-5AB4-42B3-AF58-BBD82435F990}"/>
    <cellStyle name="Normal 3 2 2 2 4 2 2 3" xfId="10596" xr:uid="{317C4058-5462-4ECD-AF1A-177D721BF965}"/>
    <cellStyle name="Normal 3 2 2 2 4 2 3" xfId="4702" xr:uid="{AB57C6A8-E32B-4BD1-8662-F224F4DBCA04}"/>
    <cellStyle name="Normal 3 2 2 2 4 2 3 2" xfId="12562" xr:uid="{220D6E34-A20E-444D-A656-FFEA36EC3B9D}"/>
    <cellStyle name="Normal 3 2 2 2 4 2 4" xfId="8643" xr:uid="{1C9485CF-16F0-4DD7-AF64-A215DF475296}"/>
    <cellStyle name="Normal 3 2 2 2 4 3" xfId="1216" xr:uid="{00000000-0005-0000-0000-000035060000}"/>
    <cellStyle name="Normal 3 2 2 2 4 3 2" xfId="3170" xr:uid="{00000000-0005-0000-0000-000036060000}"/>
    <cellStyle name="Normal 3 2 2 2 4 3 2 2" xfId="7091" xr:uid="{9600AAE3-65B8-4616-BC44-EDBBCCBF73C1}"/>
    <cellStyle name="Normal 3 2 2 2 4 3 2 2 2" xfId="14951" xr:uid="{E7B96685-28E2-46B6-8C6A-9B29311A4FEC}"/>
    <cellStyle name="Normal 3 2 2 2 4 3 2 3" xfId="11031" xr:uid="{CB3E30CC-2289-4566-903C-78016AE7AC33}"/>
    <cellStyle name="Normal 3 2 2 2 4 3 3" xfId="5137" xr:uid="{B96539D5-C318-48B8-8567-8A2A82B640A7}"/>
    <cellStyle name="Normal 3 2 2 2 4 3 3 2" xfId="12997" xr:uid="{C2FC825C-D659-4A1A-9498-606F0CD29D65}"/>
    <cellStyle name="Normal 3 2 2 2 4 3 4" xfId="9078" xr:uid="{78FC11AC-9AF6-4121-B55E-4026C2F7D25B}"/>
    <cellStyle name="Normal 3 2 2 2 4 4" xfId="1636" xr:uid="{00000000-0005-0000-0000-000037060000}"/>
    <cellStyle name="Normal 3 2 2 2 4 4 2" xfId="3590" xr:uid="{00000000-0005-0000-0000-000038060000}"/>
    <cellStyle name="Normal 3 2 2 2 4 4 2 2" xfId="7511" xr:uid="{C04723A8-9C84-4AA7-8A31-C36C015969FB}"/>
    <cellStyle name="Normal 3 2 2 2 4 4 2 2 2" xfId="15371" xr:uid="{632C6A3C-0CAC-4676-B4C8-8D154F9BDFF1}"/>
    <cellStyle name="Normal 3 2 2 2 4 4 2 3" xfId="11451" xr:uid="{E80DEF62-E8AA-470A-88E9-331B32647DFD}"/>
    <cellStyle name="Normal 3 2 2 2 4 4 3" xfId="5557" xr:uid="{405917A4-D9A3-4385-A4E6-1A9F3E684876}"/>
    <cellStyle name="Normal 3 2 2 2 4 4 3 2" xfId="13417" xr:uid="{091CBF90-077B-4B79-9051-05F0B7FADB5D}"/>
    <cellStyle name="Normal 3 2 2 2 4 4 4" xfId="9498" xr:uid="{1105D564-B6E8-4FBA-8023-220E11929805}"/>
    <cellStyle name="Normal 3 2 2 2 4 5" xfId="2290" xr:uid="{00000000-0005-0000-0000-000039060000}"/>
    <cellStyle name="Normal 3 2 2 2 4 5 2" xfId="6211" xr:uid="{A3157F8C-28B5-43D2-92B7-7C5A0AEA8222}"/>
    <cellStyle name="Normal 3 2 2 2 4 5 2 2" xfId="14071" xr:uid="{D5ABFBD2-8BC4-4B63-A46B-320DDF8CE42E}"/>
    <cellStyle name="Normal 3 2 2 2 4 5 3" xfId="10151" xr:uid="{64A8ADB8-4085-4514-B4BD-965E6BA0B761}"/>
    <cellStyle name="Normal 3 2 2 2 4 6" xfId="4257" xr:uid="{DF913C98-8099-400A-962D-49EBBED1BEB5}"/>
    <cellStyle name="Normal 3 2 2 2 4 6 2" xfId="12117" xr:uid="{789AAAF2-D060-4D1A-B694-85A98D995F41}"/>
    <cellStyle name="Normal 3 2 2 2 4 7" xfId="8196" xr:uid="{B00F4333-2055-42F3-B9A6-C67C37E07A05}"/>
    <cellStyle name="Normal 3 2 2 2 5" xfId="427" xr:uid="{00000000-0005-0000-0000-00003A060000}"/>
    <cellStyle name="Normal 3 2 2 2 5 2" xfId="878" xr:uid="{00000000-0005-0000-0000-00003B060000}"/>
    <cellStyle name="Normal 3 2 2 2 5 2 2" xfId="2832" xr:uid="{00000000-0005-0000-0000-00003C060000}"/>
    <cellStyle name="Normal 3 2 2 2 5 2 2 2" xfId="6753" xr:uid="{76DC1D8A-6C92-4AE6-BC79-2CCA43E67C82}"/>
    <cellStyle name="Normal 3 2 2 2 5 2 2 2 2" xfId="14613" xr:uid="{CBD07292-B444-4F19-AA5D-A208F1D9AFA9}"/>
    <cellStyle name="Normal 3 2 2 2 5 2 2 3" xfId="10693" xr:uid="{E5B3EDEE-6F19-4A5F-97C9-A57336957FD7}"/>
    <cellStyle name="Normal 3 2 2 2 5 2 3" xfId="4799" xr:uid="{F2BBCF84-816F-4E9C-9F2B-6DAD991E6174}"/>
    <cellStyle name="Normal 3 2 2 2 5 2 3 2" xfId="12659" xr:uid="{0E28927B-0883-4092-9EA8-3E107220592D}"/>
    <cellStyle name="Normal 3 2 2 2 5 2 4" xfId="8740" xr:uid="{6F417986-8DE4-460C-A438-57A97DA51B0A}"/>
    <cellStyle name="Normal 3 2 2 2 5 3" xfId="1310" xr:uid="{00000000-0005-0000-0000-00003D060000}"/>
    <cellStyle name="Normal 3 2 2 2 5 3 2" xfId="3264" xr:uid="{00000000-0005-0000-0000-00003E060000}"/>
    <cellStyle name="Normal 3 2 2 2 5 3 2 2" xfId="7185" xr:uid="{84B5D8C5-E0FB-4671-B794-0E887AFD600C}"/>
    <cellStyle name="Normal 3 2 2 2 5 3 2 2 2" xfId="15045" xr:uid="{8186414D-EBCB-43C8-B94B-D4BDF875BA4C}"/>
    <cellStyle name="Normal 3 2 2 2 5 3 2 3" xfId="11125" xr:uid="{67609080-B6FA-4787-848B-7DC771090FB3}"/>
    <cellStyle name="Normal 3 2 2 2 5 3 3" xfId="5231" xr:uid="{3D08F684-E100-4668-9F48-C01C34E4EDCF}"/>
    <cellStyle name="Normal 3 2 2 2 5 3 3 2" xfId="13091" xr:uid="{8A2703C3-3B9E-4E5E-A5E6-9E4E9AC599A1}"/>
    <cellStyle name="Normal 3 2 2 2 5 3 4" xfId="9172" xr:uid="{01BAF609-0C42-43AD-AF2C-7FED0E87E9F4}"/>
    <cellStyle name="Normal 3 2 2 2 5 4" xfId="1728" xr:uid="{00000000-0005-0000-0000-00003F060000}"/>
    <cellStyle name="Normal 3 2 2 2 5 4 2" xfId="3682" xr:uid="{00000000-0005-0000-0000-000040060000}"/>
    <cellStyle name="Normal 3 2 2 2 5 4 2 2" xfId="7603" xr:uid="{DD8F364B-4657-4366-A014-4F0A477150A5}"/>
    <cellStyle name="Normal 3 2 2 2 5 4 2 2 2" xfId="15463" xr:uid="{F35EAAF3-2885-45C4-B895-12B409794458}"/>
    <cellStyle name="Normal 3 2 2 2 5 4 2 3" xfId="11543" xr:uid="{1FD20757-E946-4D89-98E8-932D9466EB3A}"/>
    <cellStyle name="Normal 3 2 2 2 5 4 3" xfId="5649" xr:uid="{D65F7650-0D6A-47BE-9155-B6D80C5B28EF}"/>
    <cellStyle name="Normal 3 2 2 2 5 4 3 2" xfId="13509" xr:uid="{944D0BCB-E07D-4D85-9BB7-2201648D6170}"/>
    <cellStyle name="Normal 3 2 2 2 5 4 4" xfId="9590" xr:uid="{63ED72BD-F6CF-4BBF-AB98-A25554C80F23}"/>
    <cellStyle name="Normal 3 2 2 2 5 5" xfId="2382" xr:uid="{00000000-0005-0000-0000-000041060000}"/>
    <cellStyle name="Normal 3 2 2 2 5 5 2" xfId="6303" xr:uid="{7866A463-4F0A-481C-8DDD-5F60AC78B306}"/>
    <cellStyle name="Normal 3 2 2 2 5 5 2 2" xfId="14163" xr:uid="{92891F71-FFB2-4668-A74C-56F1216CFC5F}"/>
    <cellStyle name="Normal 3 2 2 2 5 5 3" xfId="10243" xr:uid="{0CBEEB64-E032-4888-8162-0ADDA48DE23D}"/>
    <cellStyle name="Normal 3 2 2 2 5 6" xfId="4349" xr:uid="{1765217D-A8F5-413B-9B7F-463C28DB2958}"/>
    <cellStyle name="Normal 3 2 2 2 5 6 2" xfId="12209" xr:uid="{6E3984AC-7161-401E-9A65-AC8BAD030BBB}"/>
    <cellStyle name="Normal 3 2 2 2 5 7" xfId="8290" xr:uid="{CFD62963-3CCD-4316-842E-5DBA9502DB6B}"/>
    <cellStyle name="Normal 3 2 2 2 6" xfId="519" xr:uid="{00000000-0005-0000-0000-000042060000}"/>
    <cellStyle name="Normal 3 2 2 2 6 2" xfId="2473" xr:uid="{00000000-0005-0000-0000-000043060000}"/>
    <cellStyle name="Normal 3 2 2 2 6 2 2" xfId="6394" xr:uid="{508181C8-62AE-489B-B999-40E1C43CC299}"/>
    <cellStyle name="Normal 3 2 2 2 6 2 2 2" xfId="14254" xr:uid="{1939DC69-08F5-4ECB-8875-9E9E98E3274C}"/>
    <cellStyle name="Normal 3 2 2 2 6 2 3" xfId="10334" xr:uid="{FED64EEA-3CF5-48F6-9F4F-33C6A25F1EA2}"/>
    <cellStyle name="Normal 3 2 2 2 6 3" xfId="4440" xr:uid="{C304C7A6-EA8F-4105-A608-8D005EF3AE68}"/>
    <cellStyle name="Normal 3 2 2 2 6 3 2" xfId="12300" xr:uid="{08CE7EB4-731B-44C0-BF48-5DE5D2B40ABD}"/>
    <cellStyle name="Normal 3 2 2 2 6 4" xfId="8381" xr:uid="{DB954046-5992-4C2F-81AB-3BF70184DA5D}"/>
    <cellStyle name="Normal 3 2 2 2 7" xfId="956" xr:uid="{00000000-0005-0000-0000-000044060000}"/>
    <cellStyle name="Normal 3 2 2 2 7 2" xfId="2910" xr:uid="{00000000-0005-0000-0000-000045060000}"/>
    <cellStyle name="Normal 3 2 2 2 7 2 2" xfId="6831" xr:uid="{C3C8CBF9-10D9-467F-9693-00400872FFF6}"/>
    <cellStyle name="Normal 3 2 2 2 7 2 2 2" xfId="14691" xr:uid="{479B0A7A-5AF3-4A3C-BCC3-5AFD853C5CD8}"/>
    <cellStyle name="Normal 3 2 2 2 7 2 3" xfId="10771" xr:uid="{B51D402A-87AA-4971-8F7A-47242C0F371C}"/>
    <cellStyle name="Normal 3 2 2 2 7 3" xfId="4877" xr:uid="{6E19F331-7158-471C-B4B8-B15AB343BEE4}"/>
    <cellStyle name="Normal 3 2 2 2 7 3 2" xfId="12737" xr:uid="{5E1AE31F-82D4-4570-A58C-3D70E7F7019E}"/>
    <cellStyle name="Normal 3 2 2 2 7 4" xfId="8818" xr:uid="{82B2EAE2-E813-417C-B6B9-69D42129C5D3}"/>
    <cellStyle name="Normal 3 2 2 2 8" xfId="1383" xr:uid="{00000000-0005-0000-0000-000046060000}"/>
    <cellStyle name="Normal 3 2 2 2 8 2" xfId="3337" xr:uid="{00000000-0005-0000-0000-000047060000}"/>
    <cellStyle name="Normal 3 2 2 2 8 2 2" xfId="7258" xr:uid="{FEAB8FD5-695E-4D6C-88F4-22A9C8423F09}"/>
    <cellStyle name="Normal 3 2 2 2 8 2 2 2" xfId="15118" xr:uid="{9455AEF9-AC18-4949-8284-C1EF40F6E558}"/>
    <cellStyle name="Normal 3 2 2 2 8 2 3" xfId="11198" xr:uid="{ED5E5EF4-FDE4-42FB-84F8-FCB4433C9414}"/>
    <cellStyle name="Normal 3 2 2 2 8 3" xfId="5304" xr:uid="{187EE1B5-DB42-47A7-876A-E46B55541B51}"/>
    <cellStyle name="Normal 3 2 2 2 8 3 2" xfId="13164" xr:uid="{F3DCA092-E433-4EA1-A6C9-9CB41A1DBA3C}"/>
    <cellStyle name="Normal 3 2 2 2 8 4" xfId="9245" xr:uid="{69C81055-9991-4AEA-B426-6B2415343B6A}"/>
    <cellStyle name="Normal 3 2 2 2 9" xfId="2036" xr:uid="{00000000-0005-0000-0000-000048060000}"/>
    <cellStyle name="Normal 3 2 2 2 9 2" xfId="5957" xr:uid="{AE491E73-D29D-4B5E-A3C4-61637277C3EA}"/>
    <cellStyle name="Normal 3 2 2 2 9 2 2" xfId="13817" xr:uid="{7697C36D-B78B-4FC7-B4A0-956873AE53DE}"/>
    <cellStyle name="Normal 3 2 2 2 9 3" xfId="9897" xr:uid="{5FE2EA2C-E908-468C-A4F4-4270336C70C0}"/>
    <cellStyle name="Normal 3 2 2 3" xfId="184" xr:uid="{00000000-0005-0000-0000-000049060000}"/>
    <cellStyle name="Normal 3 2 2 3 2" xfId="636" xr:uid="{00000000-0005-0000-0000-00004A060000}"/>
    <cellStyle name="Normal 3 2 2 3 2 2" xfId="2590" xr:uid="{00000000-0005-0000-0000-00004B060000}"/>
    <cellStyle name="Normal 3 2 2 3 2 2 2" xfId="6511" xr:uid="{81EF9BC0-883C-4B8B-A61C-A94C5EF54236}"/>
    <cellStyle name="Normal 3 2 2 3 2 2 2 2" xfId="14371" xr:uid="{74CA30A5-E52E-446E-9653-136974E4D4DB}"/>
    <cellStyle name="Normal 3 2 2 3 2 2 3" xfId="10451" xr:uid="{15FD5AF5-FBD8-4A0E-BC5B-D2436C1A55D3}"/>
    <cellStyle name="Normal 3 2 2 3 2 3" xfId="4557" xr:uid="{1565AAEB-0191-4788-8562-EB2468BF56F2}"/>
    <cellStyle name="Normal 3 2 2 3 2 3 2" xfId="12417" xr:uid="{B3A2C01A-FD5E-41F6-A4C8-09615A4F014D}"/>
    <cellStyle name="Normal 3 2 2 3 2 4" xfId="8498" xr:uid="{774E7010-14B5-4A03-B542-33189861B42A}"/>
    <cellStyle name="Normal 3 2 2 3 3" xfId="1073" xr:uid="{00000000-0005-0000-0000-00004C060000}"/>
    <cellStyle name="Normal 3 2 2 3 3 2" xfId="3027" xr:uid="{00000000-0005-0000-0000-00004D060000}"/>
    <cellStyle name="Normal 3 2 2 3 3 2 2" xfId="6948" xr:uid="{FFAE7659-B5DC-4023-B4AC-21B2C0D9D1BB}"/>
    <cellStyle name="Normal 3 2 2 3 3 2 2 2" xfId="14808" xr:uid="{703E9E72-5841-4026-97CD-1F16CD400313}"/>
    <cellStyle name="Normal 3 2 2 3 3 2 3" xfId="10888" xr:uid="{49C1B835-E159-49D1-9E76-ED4380CF80CB}"/>
    <cellStyle name="Normal 3 2 2 3 3 3" xfId="4994" xr:uid="{32106A80-2882-401B-B085-0F94F6F79061}"/>
    <cellStyle name="Normal 3 2 2 3 3 3 2" xfId="12854" xr:uid="{3E54D70E-92B1-4F69-9BF9-9FD073BF50B2}"/>
    <cellStyle name="Normal 3 2 2 3 3 4" xfId="8935" xr:uid="{D807A14F-72A3-41F9-915A-72EF2F92F972}"/>
    <cellStyle name="Normal 3 2 2 3 4" xfId="1500" xr:uid="{00000000-0005-0000-0000-00004E060000}"/>
    <cellStyle name="Normal 3 2 2 3 4 2" xfId="3454" xr:uid="{00000000-0005-0000-0000-00004F060000}"/>
    <cellStyle name="Normal 3 2 2 3 4 2 2" xfId="7375" xr:uid="{C41F97F9-1788-44B9-A368-76D1CE4930D6}"/>
    <cellStyle name="Normal 3 2 2 3 4 2 2 2" xfId="15235" xr:uid="{4848C1B9-AE77-4151-8A6E-7498FC6642BD}"/>
    <cellStyle name="Normal 3 2 2 3 4 2 3" xfId="11315" xr:uid="{A26607A2-D3F7-46AC-88A2-311DB15DA4A1}"/>
    <cellStyle name="Normal 3 2 2 3 4 3" xfId="5421" xr:uid="{7257379E-A0A6-4A36-88CE-7946A9E5F5F6}"/>
    <cellStyle name="Normal 3 2 2 3 4 3 2" xfId="13281" xr:uid="{A8CB9AE0-974F-4F07-A724-B1BF4CD5E8FB}"/>
    <cellStyle name="Normal 3 2 2 3 4 4" xfId="9362" xr:uid="{B74D2ABF-433C-48D7-8407-4652B255E2F6}"/>
    <cellStyle name="Normal 3 2 2 3 5" xfId="2153" xr:uid="{00000000-0005-0000-0000-000050060000}"/>
    <cellStyle name="Normal 3 2 2 3 5 2" xfId="6074" xr:uid="{0A14C725-C980-4ED1-8395-EDA9E8C5C102}"/>
    <cellStyle name="Normal 3 2 2 3 5 2 2" xfId="13934" xr:uid="{AAD3EB27-F4A8-4FC1-8C4A-956D033AE917}"/>
    <cellStyle name="Normal 3 2 2 3 5 3" xfId="10014" xr:uid="{C2B5E563-4865-4D16-A6EE-C59BC8A58BCD}"/>
    <cellStyle name="Normal 3 2 2 3 6" xfId="4120" xr:uid="{A516A61D-9BC0-403F-AA1D-E0A751308A35}"/>
    <cellStyle name="Normal 3 2 2 3 6 2" xfId="11980" xr:uid="{A0EA1BA4-D6D1-46E6-9B24-D4696ECCA5BA}"/>
    <cellStyle name="Normal 3 2 2 3 7" xfId="8058" xr:uid="{BA725BE6-71E5-4C6B-A9EE-1C1E7CA68403}"/>
    <cellStyle name="Normal 3 2 2 4" xfId="106" xr:uid="{00000000-0005-0000-0000-000051060000}"/>
    <cellStyle name="Normal 3 2 2 4 2" xfId="558" xr:uid="{00000000-0005-0000-0000-000052060000}"/>
    <cellStyle name="Normal 3 2 2 4 2 2" xfId="2512" xr:uid="{00000000-0005-0000-0000-000053060000}"/>
    <cellStyle name="Normal 3 2 2 4 2 2 2" xfId="6433" xr:uid="{6F1A28D4-5BF8-4162-9F82-888359B3E9AD}"/>
    <cellStyle name="Normal 3 2 2 4 2 2 2 2" xfId="14293" xr:uid="{A7EFE9B2-85E0-4F28-A613-F6B8D65A8B80}"/>
    <cellStyle name="Normal 3 2 2 4 2 2 3" xfId="10373" xr:uid="{85E948A3-FDD1-4549-905B-0B48AEA671E9}"/>
    <cellStyle name="Normal 3 2 2 4 2 3" xfId="4479" xr:uid="{2991AD78-E545-48B4-A34B-3BB12358A58C}"/>
    <cellStyle name="Normal 3 2 2 4 2 3 2" xfId="12339" xr:uid="{B2607D02-581A-41A5-A7F2-84560128FA7C}"/>
    <cellStyle name="Normal 3 2 2 4 2 4" xfId="8420" xr:uid="{4B0F94F6-E61E-4100-9E17-12DD5EA3C8CF}"/>
    <cellStyle name="Normal 3 2 2 4 3" xfId="995" xr:uid="{00000000-0005-0000-0000-000054060000}"/>
    <cellStyle name="Normal 3 2 2 4 3 2" xfId="2949" xr:uid="{00000000-0005-0000-0000-000055060000}"/>
    <cellStyle name="Normal 3 2 2 4 3 2 2" xfId="6870" xr:uid="{8EF7F448-5F70-4D86-9F57-1E3BF8E05E32}"/>
    <cellStyle name="Normal 3 2 2 4 3 2 2 2" xfId="14730" xr:uid="{74C707C8-EC1F-4CA1-8708-B454DEE5D629}"/>
    <cellStyle name="Normal 3 2 2 4 3 2 3" xfId="10810" xr:uid="{F4F5A100-8BAB-4255-91CC-060FD938EFBE}"/>
    <cellStyle name="Normal 3 2 2 4 3 3" xfId="4916" xr:uid="{5228CEB5-F8B0-4D11-ACA4-7125C9BA493F}"/>
    <cellStyle name="Normal 3 2 2 4 3 3 2" xfId="12776" xr:uid="{379110F2-819D-43D8-8E78-D6BB071CFD4C}"/>
    <cellStyle name="Normal 3 2 2 4 3 4" xfId="8857" xr:uid="{E2EA7495-5A0E-41BF-B201-6276537564B5}"/>
    <cellStyle name="Normal 3 2 2 4 4" xfId="1422" xr:uid="{00000000-0005-0000-0000-000056060000}"/>
    <cellStyle name="Normal 3 2 2 4 4 2" xfId="3376" xr:uid="{00000000-0005-0000-0000-000057060000}"/>
    <cellStyle name="Normal 3 2 2 4 4 2 2" xfId="7297" xr:uid="{D7079BB7-A34B-4EB9-B4CF-C7B67168C683}"/>
    <cellStyle name="Normal 3 2 2 4 4 2 2 2" xfId="15157" xr:uid="{658F2CA4-D121-4D58-A9FF-8B866461D2C2}"/>
    <cellStyle name="Normal 3 2 2 4 4 2 3" xfId="11237" xr:uid="{11C0CFCD-35DB-4F61-B7EC-F20FA8461EA9}"/>
    <cellStyle name="Normal 3 2 2 4 4 3" xfId="5343" xr:uid="{493A6E7E-0144-46B7-8DA7-F818679B9E06}"/>
    <cellStyle name="Normal 3 2 2 4 4 3 2" xfId="13203" xr:uid="{3B3B1157-97E7-406E-8587-6DBB8A8E0249}"/>
    <cellStyle name="Normal 3 2 2 4 4 4" xfId="9284" xr:uid="{E3C6B4DF-252E-4DEF-B775-9B87F478E546}"/>
    <cellStyle name="Normal 3 2 2 4 5" xfId="2075" xr:uid="{00000000-0005-0000-0000-000058060000}"/>
    <cellStyle name="Normal 3 2 2 4 5 2" xfId="5996" xr:uid="{D16D2EE7-9FFE-4FDB-B85F-10A87D63A48A}"/>
    <cellStyle name="Normal 3 2 2 4 5 2 2" xfId="13856" xr:uid="{CB42FD55-CC31-4D08-A5E8-FF2B2C6C08E6}"/>
    <cellStyle name="Normal 3 2 2 4 5 3" xfId="9936" xr:uid="{7360DEF2-FC5A-4E95-8BE5-61FA9EF69426}"/>
    <cellStyle name="Normal 3 2 2 4 6" xfId="4042" xr:uid="{720C1870-2F09-4010-A8B4-7F7C4AC69369}"/>
    <cellStyle name="Normal 3 2 2 4 6 2" xfId="11902" xr:uid="{402F4C9F-CE8B-4BB9-96D3-B839DEAFD9CD}"/>
    <cellStyle name="Normal 3 2 2 4 7" xfId="7980" xr:uid="{794911A0-3A05-4591-9351-4B6A121D1646}"/>
    <cellStyle name="Normal 3 2 2 5" xfId="282" xr:uid="{00000000-0005-0000-0000-000059060000}"/>
    <cellStyle name="Normal 3 2 2 5 2" xfId="734" xr:uid="{00000000-0005-0000-0000-00005A060000}"/>
    <cellStyle name="Normal 3 2 2 5 2 2" xfId="2688" xr:uid="{00000000-0005-0000-0000-00005B060000}"/>
    <cellStyle name="Normal 3 2 2 5 2 2 2" xfId="6609" xr:uid="{B91B8D0F-B2E0-4090-B8FF-9C7B42CEF186}"/>
    <cellStyle name="Normal 3 2 2 5 2 2 2 2" xfId="14469" xr:uid="{07F3CC7E-AA57-4AA6-949C-1B6B2BAED863}"/>
    <cellStyle name="Normal 3 2 2 5 2 2 3" xfId="10549" xr:uid="{7753DBFE-201E-42BD-B44C-961EC8DCFAE2}"/>
    <cellStyle name="Normal 3 2 2 5 2 3" xfId="4655" xr:uid="{848CA5EE-3926-4941-9D54-04B7828D79CC}"/>
    <cellStyle name="Normal 3 2 2 5 2 3 2" xfId="12515" xr:uid="{7E8D352A-C495-4A7B-84FA-DF430C60943E}"/>
    <cellStyle name="Normal 3 2 2 5 2 4" xfId="8596" xr:uid="{BC861279-ED86-4B43-8DCE-FDF43801DAD4}"/>
    <cellStyle name="Normal 3 2 2 5 3" xfId="1170" xr:uid="{00000000-0005-0000-0000-00005C060000}"/>
    <cellStyle name="Normal 3 2 2 5 3 2" xfId="3124" xr:uid="{00000000-0005-0000-0000-00005D060000}"/>
    <cellStyle name="Normal 3 2 2 5 3 2 2" xfId="7045" xr:uid="{E5F43256-E184-422F-84A1-C2E378EA561D}"/>
    <cellStyle name="Normal 3 2 2 5 3 2 2 2" xfId="14905" xr:uid="{6F12D5E9-A9DF-45A0-9586-8E2A68693F92}"/>
    <cellStyle name="Normal 3 2 2 5 3 2 3" xfId="10985" xr:uid="{3A548C5F-F700-4372-875F-68145ABB0FE8}"/>
    <cellStyle name="Normal 3 2 2 5 3 3" xfId="5091" xr:uid="{07F0CEDF-0410-4AAC-861C-9164BD484CBA}"/>
    <cellStyle name="Normal 3 2 2 5 3 3 2" xfId="12951" xr:uid="{87BE95CB-33F3-4326-8924-3629F68B9992}"/>
    <cellStyle name="Normal 3 2 2 5 3 4" xfId="9032" xr:uid="{21469792-9AC5-4C54-BDF5-304E79F7A0D5}"/>
    <cellStyle name="Normal 3 2 2 5 4" xfId="1591" xr:uid="{00000000-0005-0000-0000-00005E060000}"/>
    <cellStyle name="Normal 3 2 2 5 4 2" xfId="3545" xr:uid="{00000000-0005-0000-0000-00005F060000}"/>
    <cellStyle name="Normal 3 2 2 5 4 2 2" xfId="7466" xr:uid="{E97EE2F9-610D-4313-81AF-81DF67F5508C}"/>
    <cellStyle name="Normal 3 2 2 5 4 2 2 2" xfId="15326" xr:uid="{B409B8C6-07FC-4FBE-8C54-89310F08A59C}"/>
    <cellStyle name="Normal 3 2 2 5 4 2 3" xfId="11406" xr:uid="{A22673F9-6019-4C2A-82AB-6DCA71B55A37}"/>
    <cellStyle name="Normal 3 2 2 5 4 3" xfId="5512" xr:uid="{C5354FE0-2B5F-4A43-84DD-BFEA25D589A9}"/>
    <cellStyle name="Normal 3 2 2 5 4 3 2" xfId="13372" xr:uid="{0A7DCE1C-33F5-4C72-80EA-658E339ABEB9}"/>
    <cellStyle name="Normal 3 2 2 5 4 4" xfId="9453" xr:uid="{6147501A-42BD-48D8-AAB3-F4BD8D174FFA}"/>
    <cellStyle name="Normal 3 2 2 5 5" xfId="2245" xr:uid="{00000000-0005-0000-0000-000060060000}"/>
    <cellStyle name="Normal 3 2 2 5 5 2" xfId="6166" xr:uid="{8540E9DD-5E5F-4DE8-A4FA-DABBC97DB05A}"/>
    <cellStyle name="Normal 3 2 2 5 5 2 2" xfId="14026" xr:uid="{E1564795-08E2-4695-9063-7166E6968860}"/>
    <cellStyle name="Normal 3 2 2 5 5 3" xfId="10106" xr:uid="{302EB0EA-A5BF-4221-B6F1-75508CD58940}"/>
    <cellStyle name="Normal 3 2 2 5 6" xfId="4212" xr:uid="{196717A4-56C2-42EA-B640-8C3578157087}"/>
    <cellStyle name="Normal 3 2 2 5 6 2" xfId="12072" xr:uid="{5E6B370C-F4CC-4B27-B71C-ABC3BA06853A}"/>
    <cellStyle name="Normal 3 2 2 5 7" xfId="8151" xr:uid="{BA983B2C-CB5B-4691-8867-AA67D6786184}"/>
    <cellStyle name="Normal 3 2 2 6" xfId="382" xr:uid="{00000000-0005-0000-0000-000061060000}"/>
    <cellStyle name="Normal 3 2 2 6 2" xfId="833" xr:uid="{00000000-0005-0000-0000-000062060000}"/>
    <cellStyle name="Normal 3 2 2 6 2 2" xfId="2787" xr:uid="{00000000-0005-0000-0000-000063060000}"/>
    <cellStyle name="Normal 3 2 2 6 2 2 2" xfId="6708" xr:uid="{C540416A-3B6C-49E7-9C98-BA20BEFB3323}"/>
    <cellStyle name="Normal 3 2 2 6 2 2 2 2" xfId="14568" xr:uid="{E7BF64D5-CF42-48D1-B924-23E78C4BB8E7}"/>
    <cellStyle name="Normal 3 2 2 6 2 2 3" xfId="10648" xr:uid="{62D98A4F-4DDB-4FBA-AAB5-0ED25844733D}"/>
    <cellStyle name="Normal 3 2 2 6 2 3" xfId="4754" xr:uid="{548932EE-030A-4509-B0F9-E42181ADA382}"/>
    <cellStyle name="Normal 3 2 2 6 2 3 2" xfId="12614" xr:uid="{343583DB-CDFE-4B7C-8151-5F5A4AF8A5DB}"/>
    <cellStyle name="Normal 3 2 2 6 2 4" xfId="8695" xr:uid="{1CF56E2B-508D-4822-A374-C0DA748AE196}"/>
    <cellStyle name="Normal 3 2 2 6 3" xfId="1265" xr:uid="{00000000-0005-0000-0000-000064060000}"/>
    <cellStyle name="Normal 3 2 2 6 3 2" xfId="3219" xr:uid="{00000000-0005-0000-0000-000065060000}"/>
    <cellStyle name="Normal 3 2 2 6 3 2 2" xfId="7140" xr:uid="{A1DE279F-444D-402A-8225-E69F7F3A363C}"/>
    <cellStyle name="Normal 3 2 2 6 3 2 2 2" xfId="15000" xr:uid="{5DC0ACD1-07E6-4906-BEF6-3D75C58E30D3}"/>
    <cellStyle name="Normal 3 2 2 6 3 2 3" xfId="11080" xr:uid="{9CD89FE9-FF63-46B2-A811-4E42C0C26345}"/>
    <cellStyle name="Normal 3 2 2 6 3 3" xfId="5186" xr:uid="{66B4B0B2-74CD-4918-89D2-A47AF245758D}"/>
    <cellStyle name="Normal 3 2 2 6 3 3 2" xfId="13046" xr:uid="{DB636DDC-0FBD-48A6-87F9-A0DC37900DB8}"/>
    <cellStyle name="Normal 3 2 2 6 3 4" xfId="9127" xr:uid="{0F7CB941-609F-4A22-AE65-3134F389B8A1}"/>
    <cellStyle name="Normal 3 2 2 6 4" xfId="1683" xr:uid="{00000000-0005-0000-0000-000066060000}"/>
    <cellStyle name="Normal 3 2 2 6 4 2" xfId="3637" xr:uid="{00000000-0005-0000-0000-000067060000}"/>
    <cellStyle name="Normal 3 2 2 6 4 2 2" xfId="7558" xr:uid="{CEEF360A-4201-4364-9C58-1746BCF2757B}"/>
    <cellStyle name="Normal 3 2 2 6 4 2 2 2" xfId="15418" xr:uid="{87137B2F-2EBA-4652-BB6E-EE55F4EFC099}"/>
    <cellStyle name="Normal 3 2 2 6 4 2 3" xfId="11498" xr:uid="{06AF9F8C-E6A9-466A-9486-80F8F1ABADD9}"/>
    <cellStyle name="Normal 3 2 2 6 4 3" xfId="5604" xr:uid="{B6BD665D-F734-432C-9209-0C65D3C23198}"/>
    <cellStyle name="Normal 3 2 2 6 4 3 2" xfId="13464" xr:uid="{835F2CFF-86E5-4FFE-A69A-A1E35CA505B2}"/>
    <cellStyle name="Normal 3 2 2 6 4 4" xfId="9545" xr:uid="{A2B9802E-5E7F-496F-A830-7ACEDCD7FD37}"/>
    <cellStyle name="Normal 3 2 2 6 5" xfId="2337" xr:uid="{00000000-0005-0000-0000-000068060000}"/>
    <cellStyle name="Normal 3 2 2 6 5 2" xfId="6258" xr:uid="{7D7AF764-8BE2-4CF7-8DFC-803F7009DD2C}"/>
    <cellStyle name="Normal 3 2 2 6 5 2 2" xfId="14118" xr:uid="{2C2C69CE-9200-4E15-B9D6-977A45D4533E}"/>
    <cellStyle name="Normal 3 2 2 6 5 3" xfId="10198" xr:uid="{0C3B0D8D-B214-4B9F-9536-61479ED89774}"/>
    <cellStyle name="Normal 3 2 2 6 6" xfId="4304" xr:uid="{818ACC28-787C-40D6-A60B-D1BFF92B0AB9}"/>
    <cellStyle name="Normal 3 2 2 6 6 2" xfId="12164" xr:uid="{0DCEE10F-3CDE-46E8-AFF6-629E7C98B683}"/>
    <cellStyle name="Normal 3 2 2 6 7" xfId="8245" xr:uid="{59E22B73-8A4A-4C00-A44D-23CB42F22639}"/>
    <cellStyle name="Normal 3 2 2 7" xfId="479" xr:uid="{00000000-0005-0000-0000-000069060000}"/>
    <cellStyle name="Normal 3 2 2 7 2" xfId="2433" xr:uid="{00000000-0005-0000-0000-00006A060000}"/>
    <cellStyle name="Normal 3 2 2 7 2 2" xfId="6354" xr:uid="{9D568EEF-3C9B-49CB-BAE7-347525567101}"/>
    <cellStyle name="Normal 3 2 2 7 2 2 2" xfId="14214" xr:uid="{D8584D2C-3CF9-4E48-AA7F-918EBD106014}"/>
    <cellStyle name="Normal 3 2 2 7 2 3" xfId="10294" xr:uid="{B17E1E1E-2DFB-48C8-B7C0-5B50311CE4FF}"/>
    <cellStyle name="Normal 3 2 2 7 3" xfId="4400" xr:uid="{D7022811-F9CB-44AA-8E04-B7C975AA939C}"/>
    <cellStyle name="Normal 3 2 2 7 3 2" xfId="12260" xr:uid="{52E554DD-D231-4DCA-9DDE-ED17123862B5}"/>
    <cellStyle name="Normal 3 2 2 7 4" xfId="8341" xr:uid="{41AD1240-D469-4C6B-B948-5432F71F97AD}"/>
    <cellStyle name="Normal 3 2 2 8" xfId="915" xr:uid="{00000000-0005-0000-0000-00006B060000}"/>
    <cellStyle name="Normal 3 2 2 8 2" xfId="2869" xr:uid="{00000000-0005-0000-0000-00006C060000}"/>
    <cellStyle name="Normal 3 2 2 8 2 2" xfId="6790" xr:uid="{417B7C91-2537-4C86-A55F-1B163B135430}"/>
    <cellStyle name="Normal 3 2 2 8 2 2 2" xfId="14650" xr:uid="{A21483A6-B526-4C70-9B41-626436735F70}"/>
    <cellStyle name="Normal 3 2 2 8 2 3" xfId="10730" xr:uid="{1057E98C-D1AF-4515-A3E5-74EE2EDC81DC}"/>
    <cellStyle name="Normal 3 2 2 8 3" xfId="4836" xr:uid="{A5D9A387-1E5E-4628-B53C-F4DE69732545}"/>
    <cellStyle name="Normal 3 2 2 8 3 2" xfId="12696" xr:uid="{8D2DB87E-48AE-4B19-9046-1714F5282044}"/>
    <cellStyle name="Normal 3 2 2 8 4" xfId="8777" xr:uid="{051BCF9D-16FC-4F88-B9CA-3D6E617F33C9}"/>
    <cellStyle name="Normal 3 2 2 9" xfId="1344" xr:uid="{00000000-0005-0000-0000-00006D060000}"/>
    <cellStyle name="Normal 3 2 2 9 2" xfId="3298" xr:uid="{00000000-0005-0000-0000-00006E060000}"/>
    <cellStyle name="Normal 3 2 2 9 2 2" xfId="7219" xr:uid="{BBF31880-918E-4A3A-92A1-97896680EDF8}"/>
    <cellStyle name="Normal 3 2 2 9 2 2 2" xfId="15079" xr:uid="{6751E84B-3A1A-4CAE-A7FE-0B42DF63CC13}"/>
    <cellStyle name="Normal 3 2 2 9 2 3" xfId="11159" xr:uid="{1B20317D-8D35-4803-9042-F8932B8556A7}"/>
    <cellStyle name="Normal 3 2 2 9 3" xfId="5265" xr:uid="{9D97BCB5-FFB7-4A25-BDEA-24B38B8ABF3C}"/>
    <cellStyle name="Normal 3 2 2 9 3 2" xfId="13125" xr:uid="{7A8BFF43-D241-4ACF-8FB2-A52557EC9C98}"/>
    <cellStyle name="Normal 3 2 2 9 4" xfId="9206" xr:uid="{369AD453-CCF5-4207-8A46-646EFCB7736A}"/>
    <cellStyle name="Normal 3 2 3" xfId="37" xr:uid="{00000000-0005-0000-0000-00006F060000}"/>
    <cellStyle name="Normal 3 2 3 10" xfId="2007" xr:uid="{00000000-0005-0000-0000-000070060000}"/>
    <cellStyle name="Normal 3 2 3 10 2" xfId="5928" xr:uid="{4DDF8347-5AD0-4DB8-A19D-D70BB1685F5F}"/>
    <cellStyle name="Normal 3 2 3 10 2 2" xfId="13788" xr:uid="{0B2B3090-679D-4737-91A4-1BD98B7AEE7E}"/>
    <cellStyle name="Normal 3 2 3 10 3" xfId="9868" xr:uid="{12D2E12D-4024-4B6E-A033-672ABA407388}"/>
    <cellStyle name="Normal 3 2 3 11" xfId="3974" xr:uid="{71DC3CC9-5C73-40B0-8132-A95281777EBD}"/>
    <cellStyle name="Normal 3 2 3 11 2" xfId="11834" xr:uid="{73C94466-34F2-48A4-A85A-BD3AC3A7A277}"/>
    <cellStyle name="Normal 3 2 3 12" xfId="7912" xr:uid="{6F2DFFF5-EA86-4773-B9D4-2C65EB051925}"/>
    <cellStyle name="Normal 3 2 3 2" xfId="78" xr:uid="{00000000-0005-0000-0000-000071060000}"/>
    <cellStyle name="Normal 3 2 3 2 10" xfId="4014" xr:uid="{20D5872C-9371-4CA7-9959-8D3AC5115041}"/>
    <cellStyle name="Normal 3 2 3 2 10 2" xfId="11874" xr:uid="{8F6CEEC5-9ABD-408B-87BD-38AD4D3542D8}"/>
    <cellStyle name="Normal 3 2 3 2 11" xfId="7952" xr:uid="{891DB9EE-C1D8-401E-9D14-F2C65614BC3B}"/>
    <cellStyle name="Normal 3 2 3 2 2" xfId="234" xr:uid="{00000000-0005-0000-0000-000072060000}"/>
    <cellStyle name="Normal 3 2 3 2 2 2" xfId="686" xr:uid="{00000000-0005-0000-0000-000073060000}"/>
    <cellStyle name="Normal 3 2 3 2 2 2 2" xfId="2640" xr:uid="{00000000-0005-0000-0000-000074060000}"/>
    <cellStyle name="Normal 3 2 3 2 2 2 2 2" xfId="6561" xr:uid="{90EBC6D0-D473-4DAF-A443-AD47CC8D896A}"/>
    <cellStyle name="Normal 3 2 3 2 2 2 2 2 2" xfId="14421" xr:uid="{4C69E17E-8882-4572-A44E-F8C7AC54124D}"/>
    <cellStyle name="Normal 3 2 3 2 2 2 2 3" xfId="10501" xr:uid="{E01A2853-CE8B-44CE-BBEF-C67C6E683E13}"/>
    <cellStyle name="Normal 3 2 3 2 2 2 3" xfId="4607" xr:uid="{049B52BA-D09E-4FE7-BFA3-61F380B6EC81}"/>
    <cellStyle name="Normal 3 2 3 2 2 2 3 2" xfId="12467" xr:uid="{9D8B4F78-4DA9-491A-B869-4156E37B45C1}"/>
    <cellStyle name="Normal 3 2 3 2 2 2 4" xfId="8548" xr:uid="{38CA3488-A83F-43C6-A39A-4B72654BB944}"/>
    <cellStyle name="Normal 3 2 3 2 2 3" xfId="1123" xr:uid="{00000000-0005-0000-0000-000075060000}"/>
    <cellStyle name="Normal 3 2 3 2 2 3 2" xfId="3077" xr:uid="{00000000-0005-0000-0000-000076060000}"/>
    <cellStyle name="Normal 3 2 3 2 2 3 2 2" xfId="6998" xr:uid="{22292C97-CE0C-4480-BE3D-10E6D9130F2A}"/>
    <cellStyle name="Normal 3 2 3 2 2 3 2 2 2" xfId="14858" xr:uid="{095C67DA-C516-4B31-B429-7A2CF1DF9C85}"/>
    <cellStyle name="Normal 3 2 3 2 2 3 2 3" xfId="10938" xr:uid="{7C24056F-BCD6-4CFE-ADF1-BDD9184AD371}"/>
    <cellStyle name="Normal 3 2 3 2 2 3 3" xfId="5044" xr:uid="{5B28D2D8-68CC-4BF3-BC3A-E51B78D325BC}"/>
    <cellStyle name="Normal 3 2 3 2 2 3 3 2" xfId="12904" xr:uid="{BB7EEF30-E81F-4706-AD30-871E206B7C7A}"/>
    <cellStyle name="Normal 3 2 3 2 2 3 4" xfId="8985" xr:uid="{80F85720-3317-429D-B9D5-1457094BFD93}"/>
    <cellStyle name="Normal 3 2 3 2 2 4" xfId="1550" xr:uid="{00000000-0005-0000-0000-000077060000}"/>
    <cellStyle name="Normal 3 2 3 2 2 4 2" xfId="3504" xr:uid="{00000000-0005-0000-0000-000078060000}"/>
    <cellStyle name="Normal 3 2 3 2 2 4 2 2" xfId="7425" xr:uid="{8E9BECDD-DFC9-486C-B60C-9518B0B7E577}"/>
    <cellStyle name="Normal 3 2 3 2 2 4 2 2 2" xfId="15285" xr:uid="{ABC4DED3-0503-4CE1-8F2B-DDF53F4E028C}"/>
    <cellStyle name="Normal 3 2 3 2 2 4 2 3" xfId="11365" xr:uid="{E2C8394A-BFE2-4C20-9335-BC65B30F72E8}"/>
    <cellStyle name="Normal 3 2 3 2 2 4 3" xfId="5471" xr:uid="{4F63BA18-C17E-49FC-8BE8-25E618D6D881}"/>
    <cellStyle name="Normal 3 2 3 2 2 4 3 2" xfId="13331" xr:uid="{BFF1ACDC-BDA1-45BA-8650-72AF16CB2A7B}"/>
    <cellStyle name="Normal 3 2 3 2 2 4 4" xfId="9412" xr:uid="{129E4E14-64C3-42B1-B24B-5A7C3B3BD8AD}"/>
    <cellStyle name="Normal 3 2 3 2 2 5" xfId="2203" xr:uid="{00000000-0005-0000-0000-000079060000}"/>
    <cellStyle name="Normal 3 2 3 2 2 5 2" xfId="6124" xr:uid="{73242E2C-2FC2-4D4F-83FE-2FB8FE233A0E}"/>
    <cellStyle name="Normal 3 2 3 2 2 5 2 2" xfId="13984" xr:uid="{CBC66C27-A87B-4682-9168-7841C919037C}"/>
    <cellStyle name="Normal 3 2 3 2 2 5 3" xfId="10064" xr:uid="{E22759EF-40EC-46F0-A52F-B4769B23916B}"/>
    <cellStyle name="Normal 3 2 3 2 2 6" xfId="4170" xr:uid="{D27501ED-BF32-40DF-B941-8F262C4128F5}"/>
    <cellStyle name="Normal 3 2 3 2 2 6 2" xfId="12030" xr:uid="{48ACD3F5-FC66-48F5-8C39-67435FD6DBC0}"/>
    <cellStyle name="Normal 3 2 3 2 2 7" xfId="8108" xr:uid="{DFF55DCA-2B56-469A-ACD5-A8FAEC3B763C}"/>
    <cellStyle name="Normal 3 2 3 2 3" xfId="156" xr:uid="{00000000-0005-0000-0000-00007A060000}"/>
    <cellStyle name="Normal 3 2 3 2 3 2" xfId="608" xr:uid="{00000000-0005-0000-0000-00007B060000}"/>
    <cellStyle name="Normal 3 2 3 2 3 2 2" xfId="2562" xr:uid="{00000000-0005-0000-0000-00007C060000}"/>
    <cellStyle name="Normal 3 2 3 2 3 2 2 2" xfId="6483" xr:uid="{9091CA50-8085-4431-8CB1-2D8E877F24DA}"/>
    <cellStyle name="Normal 3 2 3 2 3 2 2 2 2" xfId="14343" xr:uid="{BA5F2837-4EDC-4A49-B629-DCAE0BAD6C24}"/>
    <cellStyle name="Normal 3 2 3 2 3 2 2 3" xfId="10423" xr:uid="{B7BCE434-E2A0-4BDF-A180-CFC87722A536}"/>
    <cellStyle name="Normal 3 2 3 2 3 2 3" xfId="4529" xr:uid="{16D94F16-8587-4F83-9EF2-DBBA31A707FA}"/>
    <cellStyle name="Normal 3 2 3 2 3 2 3 2" xfId="12389" xr:uid="{FE9A90E5-1917-4040-BAF3-C6D5C29D9AFC}"/>
    <cellStyle name="Normal 3 2 3 2 3 2 4" xfId="8470" xr:uid="{EC09313B-5334-48D0-B676-468EE8A29449}"/>
    <cellStyle name="Normal 3 2 3 2 3 3" xfId="1045" xr:uid="{00000000-0005-0000-0000-00007D060000}"/>
    <cellStyle name="Normal 3 2 3 2 3 3 2" xfId="2999" xr:uid="{00000000-0005-0000-0000-00007E060000}"/>
    <cellStyle name="Normal 3 2 3 2 3 3 2 2" xfId="6920" xr:uid="{701D5D30-4571-4A39-82E0-7B959FE02809}"/>
    <cellStyle name="Normal 3 2 3 2 3 3 2 2 2" xfId="14780" xr:uid="{08DA0D03-E2EC-4B9F-B622-2043F9D4E0FC}"/>
    <cellStyle name="Normal 3 2 3 2 3 3 2 3" xfId="10860" xr:uid="{C934E55B-11D5-40C0-84A7-1A38D9295ADE}"/>
    <cellStyle name="Normal 3 2 3 2 3 3 3" xfId="4966" xr:uid="{4E9B1D81-5659-41D8-9AE6-8538BE1A072B}"/>
    <cellStyle name="Normal 3 2 3 2 3 3 3 2" xfId="12826" xr:uid="{B2E0FD46-EC94-40EF-BA7E-D2A37B44929D}"/>
    <cellStyle name="Normal 3 2 3 2 3 3 4" xfId="8907" xr:uid="{6A4452DD-9CB3-472B-B296-E16491CCD807}"/>
    <cellStyle name="Normal 3 2 3 2 3 4" xfId="1472" xr:uid="{00000000-0005-0000-0000-00007F060000}"/>
    <cellStyle name="Normal 3 2 3 2 3 4 2" xfId="3426" xr:uid="{00000000-0005-0000-0000-000080060000}"/>
    <cellStyle name="Normal 3 2 3 2 3 4 2 2" xfId="7347" xr:uid="{83044DD0-1EA2-408F-B34F-65D6E645ECEF}"/>
    <cellStyle name="Normal 3 2 3 2 3 4 2 2 2" xfId="15207" xr:uid="{27C32D6D-B614-4863-A4EB-FDC43C5D1AAB}"/>
    <cellStyle name="Normal 3 2 3 2 3 4 2 3" xfId="11287" xr:uid="{B20D470F-16E5-4765-97D7-A9380867F4ED}"/>
    <cellStyle name="Normal 3 2 3 2 3 4 3" xfId="5393" xr:uid="{B4558E02-4FC5-4C21-8209-B5914503444D}"/>
    <cellStyle name="Normal 3 2 3 2 3 4 3 2" xfId="13253" xr:uid="{7F944FA8-196F-48B0-9326-30B5518EEEE9}"/>
    <cellStyle name="Normal 3 2 3 2 3 4 4" xfId="9334" xr:uid="{6F5E627D-8BFF-4E2C-B50D-C077D898D54E}"/>
    <cellStyle name="Normal 3 2 3 2 3 5" xfId="2125" xr:uid="{00000000-0005-0000-0000-000081060000}"/>
    <cellStyle name="Normal 3 2 3 2 3 5 2" xfId="6046" xr:uid="{1C5CC71A-EF65-4367-B81B-F93113D0A25D}"/>
    <cellStyle name="Normal 3 2 3 2 3 5 2 2" xfId="13906" xr:uid="{39B91F2B-0E2E-4391-86EF-C8D752572D82}"/>
    <cellStyle name="Normal 3 2 3 2 3 5 3" xfId="9986" xr:uid="{BDC6CDAB-7B28-4E6C-8D08-85EBB2C8228A}"/>
    <cellStyle name="Normal 3 2 3 2 3 6" xfId="4092" xr:uid="{A2215935-A0E3-45C7-B0F2-CCE32FBB8063}"/>
    <cellStyle name="Normal 3 2 3 2 3 6 2" xfId="11952" xr:uid="{11F765AB-8EE8-41E4-8126-4A8A99AA2B6A}"/>
    <cellStyle name="Normal 3 2 3 2 3 7" xfId="8030" xr:uid="{B20A4224-27DD-4F6D-890F-862DA999F15E}"/>
    <cellStyle name="Normal 3 2 3 2 4" xfId="341" xr:uid="{00000000-0005-0000-0000-000082060000}"/>
    <cellStyle name="Normal 3 2 3 2 4 2" xfId="793" xr:uid="{00000000-0005-0000-0000-000083060000}"/>
    <cellStyle name="Normal 3 2 3 2 4 2 2" xfId="2747" xr:uid="{00000000-0005-0000-0000-000084060000}"/>
    <cellStyle name="Normal 3 2 3 2 4 2 2 2" xfId="6668" xr:uid="{7A8EF0E4-21B2-4AFF-8D06-FFB31D7F519D}"/>
    <cellStyle name="Normal 3 2 3 2 4 2 2 2 2" xfId="14528" xr:uid="{3B26B287-15FA-4463-B1B4-90BE49C2D5F9}"/>
    <cellStyle name="Normal 3 2 3 2 4 2 2 3" xfId="10608" xr:uid="{5A3AC96A-8530-4598-8BAA-B2913B5981E4}"/>
    <cellStyle name="Normal 3 2 3 2 4 2 3" xfId="4714" xr:uid="{589EF509-BA4A-4B2B-B502-B7FA63527F13}"/>
    <cellStyle name="Normal 3 2 3 2 4 2 3 2" xfId="12574" xr:uid="{B1A9D678-44B6-4F14-ABA9-BB13866ED668}"/>
    <cellStyle name="Normal 3 2 3 2 4 2 4" xfId="8655" xr:uid="{EC614627-D8B6-485B-B75D-352290CCD6C7}"/>
    <cellStyle name="Normal 3 2 3 2 4 3" xfId="1227" xr:uid="{00000000-0005-0000-0000-000085060000}"/>
    <cellStyle name="Normal 3 2 3 2 4 3 2" xfId="3181" xr:uid="{00000000-0005-0000-0000-000086060000}"/>
    <cellStyle name="Normal 3 2 3 2 4 3 2 2" xfId="7102" xr:uid="{7BF160C5-E2A3-4DA5-865B-10FBE408386F}"/>
    <cellStyle name="Normal 3 2 3 2 4 3 2 2 2" xfId="14962" xr:uid="{F5AE31EF-40E0-48C0-96B3-DD4059A2ECDB}"/>
    <cellStyle name="Normal 3 2 3 2 4 3 2 3" xfId="11042" xr:uid="{1B034E50-EE65-4E9B-8284-E4EAC2A91389}"/>
    <cellStyle name="Normal 3 2 3 2 4 3 3" xfId="5148" xr:uid="{22C4D851-A5B7-4885-814B-2EAAC463AE97}"/>
    <cellStyle name="Normal 3 2 3 2 4 3 3 2" xfId="13008" xr:uid="{4F1D74A2-BA45-4DAD-9E11-3855B41A329D}"/>
    <cellStyle name="Normal 3 2 3 2 4 3 4" xfId="9089" xr:uid="{BA92B26A-BAAF-400E-85F5-1BA92E03F525}"/>
    <cellStyle name="Normal 3 2 3 2 4 4" xfId="1647" xr:uid="{00000000-0005-0000-0000-000087060000}"/>
    <cellStyle name="Normal 3 2 3 2 4 4 2" xfId="3601" xr:uid="{00000000-0005-0000-0000-000088060000}"/>
    <cellStyle name="Normal 3 2 3 2 4 4 2 2" xfId="7522" xr:uid="{7E51CC28-6E25-4344-890A-40C4AF728E63}"/>
    <cellStyle name="Normal 3 2 3 2 4 4 2 2 2" xfId="15382" xr:uid="{F97C82C3-9FD9-4D38-8047-80B91ABA2913}"/>
    <cellStyle name="Normal 3 2 3 2 4 4 2 3" xfId="11462" xr:uid="{EE97369D-6908-4814-86DB-4EA7B0C17A7E}"/>
    <cellStyle name="Normal 3 2 3 2 4 4 3" xfId="5568" xr:uid="{45C82712-BA16-48DD-8C0E-7CEE82F1582A}"/>
    <cellStyle name="Normal 3 2 3 2 4 4 3 2" xfId="13428" xr:uid="{0BCA24FB-3C19-440E-8B22-13E3143D2A37}"/>
    <cellStyle name="Normal 3 2 3 2 4 4 4" xfId="9509" xr:uid="{D14BD8D6-C035-478C-A227-BAB5D3F4403A}"/>
    <cellStyle name="Normal 3 2 3 2 4 5" xfId="2301" xr:uid="{00000000-0005-0000-0000-000089060000}"/>
    <cellStyle name="Normal 3 2 3 2 4 5 2" xfId="6222" xr:uid="{2B308CDB-F51F-4F75-874E-B84B9D411A84}"/>
    <cellStyle name="Normal 3 2 3 2 4 5 2 2" xfId="14082" xr:uid="{A63DACDA-1A07-4380-A423-DD83F5C78CED}"/>
    <cellStyle name="Normal 3 2 3 2 4 5 3" xfId="10162" xr:uid="{7C5F8E89-3492-4534-9282-68913BD265E8}"/>
    <cellStyle name="Normal 3 2 3 2 4 6" xfId="4268" xr:uid="{27D58995-3526-4180-92B5-CD1C88AED8B7}"/>
    <cellStyle name="Normal 3 2 3 2 4 6 2" xfId="12128" xr:uid="{6DE46CAA-1C2E-4BB5-8B77-8D5C17040506}"/>
    <cellStyle name="Normal 3 2 3 2 4 7" xfId="8207" xr:uid="{61EAF184-8F66-4D21-803F-F1AA6CC67141}"/>
    <cellStyle name="Normal 3 2 3 2 5" xfId="438" xr:uid="{00000000-0005-0000-0000-00008A060000}"/>
    <cellStyle name="Normal 3 2 3 2 5 2" xfId="889" xr:uid="{00000000-0005-0000-0000-00008B060000}"/>
    <cellStyle name="Normal 3 2 3 2 5 2 2" xfId="2843" xr:uid="{00000000-0005-0000-0000-00008C060000}"/>
    <cellStyle name="Normal 3 2 3 2 5 2 2 2" xfId="6764" xr:uid="{E217EECE-B794-4CD7-A62F-BE88BF24060D}"/>
    <cellStyle name="Normal 3 2 3 2 5 2 2 2 2" xfId="14624" xr:uid="{8A51FC3F-7FAD-4F0D-94D2-6834E0EA0FAE}"/>
    <cellStyle name="Normal 3 2 3 2 5 2 2 3" xfId="10704" xr:uid="{EE327583-BD44-4129-A121-18D57ED762C5}"/>
    <cellStyle name="Normal 3 2 3 2 5 2 3" xfId="4810" xr:uid="{3D40BC38-A302-4D49-8323-68383DF1655E}"/>
    <cellStyle name="Normal 3 2 3 2 5 2 3 2" xfId="12670" xr:uid="{96B3284C-DBC1-41BF-94B1-8E87CFA354BA}"/>
    <cellStyle name="Normal 3 2 3 2 5 2 4" xfId="8751" xr:uid="{A5CDE56B-8DA1-4759-9F19-ECB35871853A}"/>
    <cellStyle name="Normal 3 2 3 2 5 3" xfId="1321" xr:uid="{00000000-0005-0000-0000-00008D060000}"/>
    <cellStyle name="Normal 3 2 3 2 5 3 2" xfId="3275" xr:uid="{00000000-0005-0000-0000-00008E060000}"/>
    <cellStyle name="Normal 3 2 3 2 5 3 2 2" xfId="7196" xr:uid="{1E5CD77F-AE78-42E6-94FC-C047EB84C626}"/>
    <cellStyle name="Normal 3 2 3 2 5 3 2 2 2" xfId="15056" xr:uid="{3B561CEC-64E4-4EF9-B803-1AFFFF2B847B}"/>
    <cellStyle name="Normal 3 2 3 2 5 3 2 3" xfId="11136" xr:uid="{113703D1-F2D4-4E47-B7C8-CC2139069F8B}"/>
    <cellStyle name="Normal 3 2 3 2 5 3 3" xfId="5242" xr:uid="{7BA50274-C780-427E-80E5-518C28C84A94}"/>
    <cellStyle name="Normal 3 2 3 2 5 3 3 2" xfId="13102" xr:uid="{73D32A04-F32A-4854-8E21-025913213BEF}"/>
    <cellStyle name="Normal 3 2 3 2 5 3 4" xfId="9183" xr:uid="{B24A1667-DFBE-479E-8422-FE6140CB4CAD}"/>
    <cellStyle name="Normal 3 2 3 2 5 4" xfId="1739" xr:uid="{00000000-0005-0000-0000-00008F060000}"/>
    <cellStyle name="Normal 3 2 3 2 5 4 2" xfId="3693" xr:uid="{00000000-0005-0000-0000-000090060000}"/>
    <cellStyle name="Normal 3 2 3 2 5 4 2 2" xfId="7614" xr:uid="{6BD37EE1-6E9D-4220-BD6A-5573EED0B7CB}"/>
    <cellStyle name="Normal 3 2 3 2 5 4 2 2 2" xfId="15474" xr:uid="{292C6761-B7A2-41FE-AEDB-517BC93F962E}"/>
    <cellStyle name="Normal 3 2 3 2 5 4 2 3" xfId="11554" xr:uid="{6B2E78D4-8F85-41BC-99A7-8EF77C54C383}"/>
    <cellStyle name="Normal 3 2 3 2 5 4 3" xfId="5660" xr:uid="{76C45827-30DD-4D5D-84A8-8ED2E5F6408B}"/>
    <cellStyle name="Normal 3 2 3 2 5 4 3 2" xfId="13520" xr:uid="{D8274FF6-B4F4-49C2-87D8-730A102A6F21}"/>
    <cellStyle name="Normal 3 2 3 2 5 4 4" xfId="9601" xr:uid="{BFFFB979-B3CC-43EB-85E4-0E428A387253}"/>
    <cellStyle name="Normal 3 2 3 2 5 5" xfId="2393" xr:uid="{00000000-0005-0000-0000-000091060000}"/>
    <cellStyle name="Normal 3 2 3 2 5 5 2" xfId="6314" xr:uid="{E0D93EEB-9987-4EA8-BD30-6B3B6444C933}"/>
    <cellStyle name="Normal 3 2 3 2 5 5 2 2" xfId="14174" xr:uid="{E11E1568-A5A1-4AC2-856B-4BE9DEC9ABAE}"/>
    <cellStyle name="Normal 3 2 3 2 5 5 3" xfId="10254" xr:uid="{B50B6644-1BF8-4082-9C29-C6DB082C1AA9}"/>
    <cellStyle name="Normal 3 2 3 2 5 6" xfId="4360" xr:uid="{6D82209A-D545-46F3-8CE3-779DA9A9B4F7}"/>
    <cellStyle name="Normal 3 2 3 2 5 6 2" xfId="12220" xr:uid="{CBAA421C-B4B3-416A-AE71-6CF20A6EEFE5}"/>
    <cellStyle name="Normal 3 2 3 2 5 7" xfId="8301" xr:uid="{F7E0B535-894F-4411-BA5C-8F546F9C3DE5}"/>
    <cellStyle name="Normal 3 2 3 2 6" xfId="530" xr:uid="{00000000-0005-0000-0000-000092060000}"/>
    <cellStyle name="Normal 3 2 3 2 6 2" xfId="2484" xr:uid="{00000000-0005-0000-0000-000093060000}"/>
    <cellStyle name="Normal 3 2 3 2 6 2 2" xfId="6405" xr:uid="{BDC77379-0BEF-46FF-A6E2-5635833CB14D}"/>
    <cellStyle name="Normal 3 2 3 2 6 2 2 2" xfId="14265" xr:uid="{BD61B8FA-B565-4022-B78E-6604FDE642C0}"/>
    <cellStyle name="Normal 3 2 3 2 6 2 3" xfId="10345" xr:uid="{52BAAFDE-E4D7-4F89-90E1-7659305439BA}"/>
    <cellStyle name="Normal 3 2 3 2 6 3" xfId="4451" xr:uid="{7AAB7411-98AE-4D6D-84EA-0455FBDC8632}"/>
    <cellStyle name="Normal 3 2 3 2 6 3 2" xfId="12311" xr:uid="{61E76C89-5A2F-42A6-92B3-BAFA8C32F88D}"/>
    <cellStyle name="Normal 3 2 3 2 6 4" xfId="8392" xr:uid="{25A49297-591E-4EA0-9799-BA70EE5828FA}"/>
    <cellStyle name="Normal 3 2 3 2 7" xfId="967" xr:uid="{00000000-0005-0000-0000-000094060000}"/>
    <cellStyle name="Normal 3 2 3 2 7 2" xfId="2921" xr:uid="{00000000-0005-0000-0000-000095060000}"/>
    <cellStyle name="Normal 3 2 3 2 7 2 2" xfId="6842" xr:uid="{1FAB629E-49DC-4C57-BEB1-DB7F8624AF51}"/>
    <cellStyle name="Normal 3 2 3 2 7 2 2 2" xfId="14702" xr:uid="{A7367E6C-4AC4-4C66-B42A-B3E57CE4BE90}"/>
    <cellStyle name="Normal 3 2 3 2 7 2 3" xfId="10782" xr:uid="{D8433BC9-29C7-40EC-ABD3-A568ACC8B1A7}"/>
    <cellStyle name="Normal 3 2 3 2 7 3" xfId="4888" xr:uid="{102DFD06-BD4A-4F25-BC93-97068C1E6DE3}"/>
    <cellStyle name="Normal 3 2 3 2 7 3 2" xfId="12748" xr:uid="{26DA6F5E-6F18-44D4-A5A3-B2A4D7D24941}"/>
    <cellStyle name="Normal 3 2 3 2 7 4" xfId="8829" xr:uid="{F1469BB9-943E-4A87-9BAD-0F66057762C9}"/>
    <cellStyle name="Normal 3 2 3 2 8" xfId="1394" xr:uid="{00000000-0005-0000-0000-000096060000}"/>
    <cellStyle name="Normal 3 2 3 2 8 2" xfId="3348" xr:uid="{00000000-0005-0000-0000-000097060000}"/>
    <cellStyle name="Normal 3 2 3 2 8 2 2" xfId="7269" xr:uid="{FF8BA98F-DFC0-459D-A505-1A801FB8CD8F}"/>
    <cellStyle name="Normal 3 2 3 2 8 2 2 2" xfId="15129" xr:uid="{E5F8E873-DE46-416A-9A7E-810A3289152B}"/>
    <cellStyle name="Normal 3 2 3 2 8 2 3" xfId="11209" xr:uid="{B3646F17-DB2D-47A2-820A-ACB04B6FEA54}"/>
    <cellStyle name="Normal 3 2 3 2 8 3" xfId="5315" xr:uid="{7B3B9C21-E0D3-43A1-BE76-B1E9888A1FE4}"/>
    <cellStyle name="Normal 3 2 3 2 8 3 2" xfId="13175" xr:uid="{20DF1841-A20E-45E1-97FA-B65FB2D01BA7}"/>
    <cellStyle name="Normal 3 2 3 2 8 4" xfId="9256" xr:uid="{B66E0FF6-9030-4AE8-8EFB-5C1ED6506683}"/>
    <cellStyle name="Normal 3 2 3 2 9" xfId="2047" xr:uid="{00000000-0005-0000-0000-000098060000}"/>
    <cellStyle name="Normal 3 2 3 2 9 2" xfId="5968" xr:uid="{C7D00255-6ECB-4A7F-9B52-5F173435AC55}"/>
    <cellStyle name="Normal 3 2 3 2 9 2 2" xfId="13828" xr:uid="{B1E0FBB0-1C6E-47E5-88DF-5B12044A7495}"/>
    <cellStyle name="Normal 3 2 3 2 9 3" xfId="9908" xr:uid="{14D38A00-796D-42CF-99E6-798455C94DDF}"/>
    <cellStyle name="Normal 3 2 3 3" xfId="195" xr:uid="{00000000-0005-0000-0000-000099060000}"/>
    <cellStyle name="Normal 3 2 3 3 2" xfId="647" xr:uid="{00000000-0005-0000-0000-00009A060000}"/>
    <cellStyle name="Normal 3 2 3 3 2 2" xfId="2601" xr:uid="{00000000-0005-0000-0000-00009B060000}"/>
    <cellStyle name="Normal 3 2 3 3 2 2 2" xfId="6522" xr:uid="{7FE5487F-EC49-4E22-AF7C-6AC5FF077C70}"/>
    <cellStyle name="Normal 3 2 3 3 2 2 2 2" xfId="14382" xr:uid="{9EB1E240-CE7C-4AE2-B67F-2233A55F00B3}"/>
    <cellStyle name="Normal 3 2 3 3 2 2 3" xfId="10462" xr:uid="{A375966A-3D08-4F4E-B041-6F46688E0E26}"/>
    <cellStyle name="Normal 3 2 3 3 2 3" xfId="4568" xr:uid="{FB4A4AE9-2C72-469E-B05C-01F0EE559AA6}"/>
    <cellStyle name="Normal 3 2 3 3 2 3 2" xfId="12428" xr:uid="{C1BD8F0B-ECFC-4746-9C59-142B19898701}"/>
    <cellStyle name="Normal 3 2 3 3 2 4" xfId="8509" xr:uid="{5050D872-B23E-466D-8F80-B8A986932CA2}"/>
    <cellStyle name="Normal 3 2 3 3 3" xfId="1084" xr:uid="{00000000-0005-0000-0000-00009C060000}"/>
    <cellStyle name="Normal 3 2 3 3 3 2" xfId="3038" xr:uid="{00000000-0005-0000-0000-00009D060000}"/>
    <cellStyle name="Normal 3 2 3 3 3 2 2" xfId="6959" xr:uid="{90FF75E5-E5FE-434A-AB16-4B6F4C1DE90A}"/>
    <cellStyle name="Normal 3 2 3 3 3 2 2 2" xfId="14819" xr:uid="{A4FFC476-F161-4FE6-9A93-7FE86D07172D}"/>
    <cellStyle name="Normal 3 2 3 3 3 2 3" xfId="10899" xr:uid="{AE50A2F1-96DD-4583-90B9-A7CF55121BE2}"/>
    <cellStyle name="Normal 3 2 3 3 3 3" xfId="5005" xr:uid="{F33EBFE5-8B47-4646-BD17-2AF790D17C67}"/>
    <cellStyle name="Normal 3 2 3 3 3 3 2" xfId="12865" xr:uid="{03275FFD-296C-435A-9142-396FA2559E15}"/>
    <cellStyle name="Normal 3 2 3 3 3 4" xfId="8946" xr:uid="{60D8F3D1-189A-4C9E-94D1-1B66ED858ADE}"/>
    <cellStyle name="Normal 3 2 3 3 4" xfId="1511" xr:uid="{00000000-0005-0000-0000-00009E060000}"/>
    <cellStyle name="Normal 3 2 3 3 4 2" xfId="3465" xr:uid="{00000000-0005-0000-0000-00009F060000}"/>
    <cellStyle name="Normal 3 2 3 3 4 2 2" xfId="7386" xr:uid="{0F88A7A5-B512-4F7F-9AA0-7ADAA77E995E}"/>
    <cellStyle name="Normal 3 2 3 3 4 2 2 2" xfId="15246" xr:uid="{B6F3E57A-C875-4702-8627-99C119CA67A8}"/>
    <cellStyle name="Normal 3 2 3 3 4 2 3" xfId="11326" xr:uid="{C66D47CF-38A8-4830-A7FA-5AA4A1A59AD2}"/>
    <cellStyle name="Normal 3 2 3 3 4 3" xfId="5432" xr:uid="{19A2DF48-8C75-48F2-9E99-F3264BF4D85D}"/>
    <cellStyle name="Normal 3 2 3 3 4 3 2" xfId="13292" xr:uid="{B3A843B6-F204-40E7-B509-3A1ABC6B0FA5}"/>
    <cellStyle name="Normal 3 2 3 3 4 4" xfId="9373" xr:uid="{4880F9D8-1E67-4D86-9402-6CEC95F588D3}"/>
    <cellStyle name="Normal 3 2 3 3 5" xfId="2164" xr:uid="{00000000-0005-0000-0000-0000A0060000}"/>
    <cellStyle name="Normal 3 2 3 3 5 2" xfId="6085" xr:uid="{0B878216-1808-418A-8252-32B49303A788}"/>
    <cellStyle name="Normal 3 2 3 3 5 2 2" xfId="13945" xr:uid="{5F5BACAB-FB3E-4018-AEBE-BECD75E5F24E}"/>
    <cellStyle name="Normal 3 2 3 3 5 3" xfId="10025" xr:uid="{E10B24C2-DBAB-4400-B945-8A13147E6F3D}"/>
    <cellStyle name="Normal 3 2 3 3 6" xfId="4131" xr:uid="{530492DE-1009-4CCB-919D-41F8076C1F0A}"/>
    <cellStyle name="Normal 3 2 3 3 6 2" xfId="11991" xr:uid="{C061B3DD-0782-4836-A3CB-2B07A21AA643}"/>
    <cellStyle name="Normal 3 2 3 3 7" xfId="8069" xr:uid="{340A199B-6131-4B54-987A-973D06A99A9C}"/>
    <cellStyle name="Normal 3 2 3 4" xfId="117" xr:uid="{00000000-0005-0000-0000-0000A1060000}"/>
    <cellStyle name="Normal 3 2 3 4 2" xfId="569" xr:uid="{00000000-0005-0000-0000-0000A2060000}"/>
    <cellStyle name="Normal 3 2 3 4 2 2" xfId="2523" xr:uid="{00000000-0005-0000-0000-0000A3060000}"/>
    <cellStyle name="Normal 3 2 3 4 2 2 2" xfId="6444" xr:uid="{7B083F25-795C-4B61-A8F2-96C11D010C3F}"/>
    <cellStyle name="Normal 3 2 3 4 2 2 2 2" xfId="14304" xr:uid="{813089B6-5A78-46E9-A59E-9EFA85E3EA5D}"/>
    <cellStyle name="Normal 3 2 3 4 2 2 3" xfId="10384" xr:uid="{6DDC519A-DBD9-4AB9-9032-D5442B5225F3}"/>
    <cellStyle name="Normal 3 2 3 4 2 3" xfId="4490" xr:uid="{5629783E-9162-4E61-AB61-8C529D85403C}"/>
    <cellStyle name="Normal 3 2 3 4 2 3 2" xfId="12350" xr:uid="{28BB598A-9616-4539-9F3F-F754D2476086}"/>
    <cellStyle name="Normal 3 2 3 4 2 4" xfId="8431" xr:uid="{8353786E-B25E-447E-88CC-AE93F1922538}"/>
    <cellStyle name="Normal 3 2 3 4 3" xfId="1006" xr:uid="{00000000-0005-0000-0000-0000A4060000}"/>
    <cellStyle name="Normal 3 2 3 4 3 2" xfId="2960" xr:uid="{00000000-0005-0000-0000-0000A5060000}"/>
    <cellStyle name="Normal 3 2 3 4 3 2 2" xfId="6881" xr:uid="{4DB53078-6975-4EB2-B2F1-B7A6B27F9E50}"/>
    <cellStyle name="Normal 3 2 3 4 3 2 2 2" xfId="14741" xr:uid="{A95D48DA-C7FA-4D5D-8CA3-F2143E2C81E5}"/>
    <cellStyle name="Normal 3 2 3 4 3 2 3" xfId="10821" xr:uid="{123EB698-20DC-4F10-B7E2-1304A6600EAD}"/>
    <cellStyle name="Normal 3 2 3 4 3 3" xfId="4927" xr:uid="{1267F016-7690-46BD-843B-698D221A8297}"/>
    <cellStyle name="Normal 3 2 3 4 3 3 2" xfId="12787" xr:uid="{E880175B-C911-4680-ACCE-5253500ADD14}"/>
    <cellStyle name="Normal 3 2 3 4 3 4" xfId="8868" xr:uid="{89544CAB-A2BD-42F1-BC2D-19CE90A4546E}"/>
    <cellStyle name="Normal 3 2 3 4 4" xfId="1433" xr:uid="{00000000-0005-0000-0000-0000A6060000}"/>
    <cellStyle name="Normal 3 2 3 4 4 2" xfId="3387" xr:uid="{00000000-0005-0000-0000-0000A7060000}"/>
    <cellStyle name="Normal 3 2 3 4 4 2 2" xfId="7308" xr:uid="{729C2CC8-708C-445C-B4FB-75B052A8387D}"/>
    <cellStyle name="Normal 3 2 3 4 4 2 2 2" xfId="15168" xr:uid="{F748ADC7-8A57-4A85-B31E-0B37F32311CE}"/>
    <cellStyle name="Normal 3 2 3 4 4 2 3" xfId="11248" xr:uid="{396EA5A2-6AC9-4CDB-89BF-3881E3B929AA}"/>
    <cellStyle name="Normal 3 2 3 4 4 3" xfId="5354" xr:uid="{6830F1EA-C2EE-45F8-9900-A8C63D83FD42}"/>
    <cellStyle name="Normal 3 2 3 4 4 3 2" xfId="13214" xr:uid="{58E0BA48-F7FA-42E1-A926-99C01F18A995}"/>
    <cellStyle name="Normal 3 2 3 4 4 4" xfId="9295" xr:uid="{0D7D1820-A936-4093-98FD-BB9794515B89}"/>
    <cellStyle name="Normal 3 2 3 4 5" xfId="2086" xr:uid="{00000000-0005-0000-0000-0000A8060000}"/>
    <cellStyle name="Normal 3 2 3 4 5 2" xfId="6007" xr:uid="{CFC7F353-EA0B-4AD3-AF52-164978D4AE09}"/>
    <cellStyle name="Normal 3 2 3 4 5 2 2" xfId="13867" xr:uid="{8A4EE1F0-FB09-46FC-9CD8-B5F4760D030E}"/>
    <cellStyle name="Normal 3 2 3 4 5 3" xfId="9947" xr:uid="{EE09D439-F743-4388-A64D-484011AC0E22}"/>
    <cellStyle name="Normal 3 2 3 4 6" xfId="4053" xr:uid="{7C2AE9FF-C135-4B8D-AE70-8C4162E0197D}"/>
    <cellStyle name="Normal 3 2 3 4 6 2" xfId="11913" xr:uid="{26DE1352-F4C5-4E0D-8414-578AD36EA0B0}"/>
    <cellStyle name="Normal 3 2 3 4 7" xfId="7991" xr:uid="{05E79D81-00B8-4DAD-9F19-4CF252ABDA28}"/>
    <cellStyle name="Normal 3 2 3 5" xfId="294" xr:uid="{00000000-0005-0000-0000-0000A9060000}"/>
    <cellStyle name="Normal 3 2 3 5 2" xfId="746" xr:uid="{00000000-0005-0000-0000-0000AA060000}"/>
    <cellStyle name="Normal 3 2 3 5 2 2" xfId="2700" xr:uid="{00000000-0005-0000-0000-0000AB060000}"/>
    <cellStyle name="Normal 3 2 3 5 2 2 2" xfId="6621" xr:uid="{93FCFB26-BF4D-4753-90D4-3BA3DA803A0F}"/>
    <cellStyle name="Normal 3 2 3 5 2 2 2 2" xfId="14481" xr:uid="{30D81919-00EF-442D-880D-8AA81D28DF7B}"/>
    <cellStyle name="Normal 3 2 3 5 2 2 3" xfId="10561" xr:uid="{6B02743B-DACB-4562-8F04-13CE323B511E}"/>
    <cellStyle name="Normal 3 2 3 5 2 3" xfId="4667" xr:uid="{E3AD04DE-C9D9-4138-9306-C7E2D19D63A3}"/>
    <cellStyle name="Normal 3 2 3 5 2 3 2" xfId="12527" xr:uid="{C3B3A62A-EF38-4E86-B9A7-0D2F9AB30BF4}"/>
    <cellStyle name="Normal 3 2 3 5 2 4" xfId="8608" xr:uid="{28E1E63B-7D41-43D7-86C3-20430304771B}"/>
    <cellStyle name="Normal 3 2 3 5 3" xfId="1182" xr:uid="{00000000-0005-0000-0000-0000AC060000}"/>
    <cellStyle name="Normal 3 2 3 5 3 2" xfId="3136" xr:uid="{00000000-0005-0000-0000-0000AD060000}"/>
    <cellStyle name="Normal 3 2 3 5 3 2 2" xfId="7057" xr:uid="{54E1E63B-E058-487C-BFEA-601A468A581F}"/>
    <cellStyle name="Normal 3 2 3 5 3 2 2 2" xfId="14917" xr:uid="{25DCD030-F53E-4B33-A3DA-A8C11ED68157}"/>
    <cellStyle name="Normal 3 2 3 5 3 2 3" xfId="10997" xr:uid="{0BC275B7-7C88-4A1C-9BD2-3E5EE0BF79F9}"/>
    <cellStyle name="Normal 3 2 3 5 3 3" xfId="5103" xr:uid="{B6C71604-B09D-4C6E-9597-17D2B6B0191F}"/>
    <cellStyle name="Normal 3 2 3 5 3 3 2" xfId="12963" xr:uid="{EEC6DEE8-487C-4A4D-AE4C-6CC124EE5623}"/>
    <cellStyle name="Normal 3 2 3 5 3 4" xfId="9044" xr:uid="{D830724F-C988-4585-8A45-078D1D50D3B1}"/>
    <cellStyle name="Normal 3 2 3 5 4" xfId="1602" xr:uid="{00000000-0005-0000-0000-0000AE060000}"/>
    <cellStyle name="Normal 3 2 3 5 4 2" xfId="3556" xr:uid="{00000000-0005-0000-0000-0000AF060000}"/>
    <cellStyle name="Normal 3 2 3 5 4 2 2" xfId="7477" xr:uid="{98EAE66E-6CDF-4C25-807F-6E16C9504004}"/>
    <cellStyle name="Normal 3 2 3 5 4 2 2 2" xfId="15337" xr:uid="{7824860C-0229-4511-95DA-E7A99036028C}"/>
    <cellStyle name="Normal 3 2 3 5 4 2 3" xfId="11417" xr:uid="{6226373A-D899-4E1B-8DD7-800B265183A1}"/>
    <cellStyle name="Normal 3 2 3 5 4 3" xfId="5523" xr:uid="{3D4F8F00-FBEA-414C-8D84-A8EF03E7078F}"/>
    <cellStyle name="Normal 3 2 3 5 4 3 2" xfId="13383" xr:uid="{A174DAF3-253E-4169-B1CC-1904DC9E6FF8}"/>
    <cellStyle name="Normal 3 2 3 5 4 4" xfId="9464" xr:uid="{C5A5D40D-5F84-4742-A82B-01CE19C91AD4}"/>
    <cellStyle name="Normal 3 2 3 5 5" xfId="2256" xr:uid="{00000000-0005-0000-0000-0000B0060000}"/>
    <cellStyle name="Normal 3 2 3 5 5 2" xfId="6177" xr:uid="{7815AADD-9A5E-4857-9A6D-F8DA917A1AA4}"/>
    <cellStyle name="Normal 3 2 3 5 5 2 2" xfId="14037" xr:uid="{0F7E9253-EFC3-4A08-B91D-AAD101AE7417}"/>
    <cellStyle name="Normal 3 2 3 5 5 3" xfId="10117" xr:uid="{C6B51DEC-47AD-47D6-9C71-854B4669EBDD}"/>
    <cellStyle name="Normal 3 2 3 5 6" xfId="4223" xr:uid="{532EC28E-C7DA-4980-90BC-121A939095EF}"/>
    <cellStyle name="Normal 3 2 3 5 6 2" xfId="12083" xr:uid="{A2D6551E-6C26-48D2-ADDC-D8AA7E9AF65D}"/>
    <cellStyle name="Normal 3 2 3 5 7" xfId="8162" xr:uid="{C8BBB2DA-B504-43DB-9969-2702CD71557D}"/>
    <cellStyle name="Normal 3 2 3 6" xfId="393" xr:uid="{00000000-0005-0000-0000-0000B1060000}"/>
    <cellStyle name="Normal 3 2 3 6 2" xfId="844" xr:uid="{00000000-0005-0000-0000-0000B2060000}"/>
    <cellStyle name="Normal 3 2 3 6 2 2" xfId="2798" xr:uid="{00000000-0005-0000-0000-0000B3060000}"/>
    <cellStyle name="Normal 3 2 3 6 2 2 2" xfId="6719" xr:uid="{44299DDF-42DF-4C5B-AB75-14614634F9D8}"/>
    <cellStyle name="Normal 3 2 3 6 2 2 2 2" xfId="14579" xr:uid="{41C04233-329B-4259-9262-016AB496421E}"/>
    <cellStyle name="Normal 3 2 3 6 2 2 3" xfId="10659" xr:uid="{33729E78-2322-481C-8503-618E1AF22AD6}"/>
    <cellStyle name="Normal 3 2 3 6 2 3" xfId="4765" xr:uid="{9EDCB4E2-BA3E-4DF0-BFCA-6F24C6890227}"/>
    <cellStyle name="Normal 3 2 3 6 2 3 2" xfId="12625" xr:uid="{ED547047-C624-4F5C-93CA-427659E3F64B}"/>
    <cellStyle name="Normal 3 2 3 6 2 4" xfId="8706" xr:uid="{4E08D16B-09E9-4046-A349-CDF90B910D4F}"/>
    <cellStyle name="Normal 3 2 3 6 3" xfId="1276" xr:uid="{00000000-0005-0000-0000-0000B4060000}"/>
    <cellStyle name="Normal 3 2 3 6 3 2" xfId="3230" xr:uid="{00000000-0005-0000-0000-0000B5060000}"/>
    <cellStyle name="Normal 3 2 3 6 3 2 2" xfId="7151" xr:uid="{DED017DA-8741-41E6-9020-F15D53095A3A}"/>
    <cellStyle name="Normal 3 2 3 6 3 2 2 2" xfId="15011" xr:uid="{009B6E1D-72D0-4FCA-9E4A-6354F2BB6218}"/>
    <cellStyle name="Normal 3 2 3 6 3 2 3" xfId="11091" xr:uid="{37FD34CD-C3BC-4EAC-9D53-24D1AA8697AE}"/>
    <cellStyle name="Normal 3 2 3 6 3 3" xfId="5197" xr:uid="{91231DFD-8BF0-4976-B4AF-247A98243FEA}"/>
    <cellStyle name="Normal 3 2 3 6 3 3 2" xfId="13057" xr:uid="{68D83EE4-3654-49A8-994B-AD94C10DC29C}"/>
    <cellStyle name="Normal 3 2 3 6 3 4" xfId="9138" xr:uid="{304C057A-A932-4950-9C4F-F41AFB564EB3}"/>
    <cellStyle name="Normal 3 2 3 6 4" xfId="1694" xr:uid="{00000000-0005-0000-0000-0000B6060000}"/>
    <cellStyle name="Normal 3 2 3 6 4 2" xfId="3648" xr:uid="{00000000-0005-0000-0000-0000B7060000}"/>
    <cellStyle name="Normal 3 2 3 6 4 2 2" xfId="7569" xr:uid="{79434513-3D4D-4970-8AB9-DDE6D156C0C0}"/>
    <cellStyle name="Normal 3 2 3 6 4 2 2 2" xfId="15429" xr:uid="{C870D08A-381A-476F-8B05-CB6481848B01}"/>
    <cellStyle name="Normal 3 2 3 6 4 2 3" xfId="11509" xr:uid="{66FE6A8F-BDFA-4682-86EC-3BC77341393E}"/>
    <cellStyle name="Normal 3 2 3 6 4 3" xfId="5615" xr:uid="{00EE0DB1-42C5-44F8-9C4E-882638EF9B2F}"/>
    <cellStyle name="Normal 3 2 3 6 4 3 2" xfId="13475" xr:uid="{6B60FDB9-28AB-4412-805C-59D467B69736}"/>
    <cellStyle name="Normal 3 2 3 6 4 4" xfId="9556" xr:uid="{963D59CE-3BEF-4F36-A6D8-82D599CCABFF}"/>
    <cellStyle name="Normal 3 2 3 6 5" xfId="2348" xr:uid="{00000000-0005-0000-0000-0000B8060000}"/>
    <cellStyle name="Normal 3 2 3 6 5 2" xfId="6269" xr:uid="{8363B8C9-B6B7-45D6-8F5F-C6D6BE8C0C03}"/>
    <cellStyle name="Normal 3 2 3 6 5 2 2" xfId="14129" xr:uid="{E402266C-44EB-4906-921E-BDA1B4E3866C}"/>
    <cellStyle name="Normal 3 2 3 6 5 3" xfId="10209" xr:uid="{851AF768-DB2F-4D87-899B-811AD753BF8E}"/>
    <cellStyle name="Normal 3 2 3 6 6" xfId="4315" xr:uid="{34C4E609-6510-4F45-B722-6C540E3C44BC}"/>
    <cellStyle name="Normal 3 2 3 6 6 2" xfId="12175" xr:uid="{1B1E8B4D-AE5B-4123-9944-76A0C374A7CF}"/>
    <cellStyle name="Normal 3 2 3 6 7" xfId="8256" xr:uid="{01A2CF1E-DD23-45CC-8F5C-E382C09F5879}"/>
    <cellStyle name="Normal 3 2 3 7" xfId="491" xr:uid="{00000000-0005-0000-0000-0000B9060000}"/>
    <cellStyle name="Normal 3 2 3 7 2" xfId="2445" xr:uid="{00000000-0005-0000-0000-0000BA060000}"/>
    <cellStyle name="Normal 3 2 3 7 2 2" xfId="6366" xr:uid="{5F025252-6A6F-4757-A19C-E4D0BF2E5BB9}"/>
    <cellStyle name="Normal 3 2 3 7 2 2 2" xfId="14226" xr:uid="{C88ABAF4-3E01-472D-9972-9F1C1E4BF686}"/>
    <cellStyle name="Normal 3 2 3 7 2 3" xfId="10306" xr:uid="{8AFB5945-E15A-4EBC-9565-DAC92344B534}"/>
    <cellStyle name="Normal 3 2 3 7 3" xfId="4412" xr:uid="{FEF24A52-7870-46DE-BD2A-BB31E4D680D6}"/>
    <cellStyle name="Normal 3 2 3 7 3 2" xfId="12272" xr:uid="{D195D732-DA78-4286-B728-F67227B25D86}"/>
    <cellStyle name="Normal 3 2 3 7 4" xfId="8353" xr:uid="{AAB4E8FE-9114-4664-8B39-C3ABAB0610B6}"/>
    <cellStyle name="Normal 3 2 3 8" xfId="927" xr:uid="{00000000-0005-0000-0000-0000BB060000}"/>
    <cellStyle name="Normal 3 2 3 8 2" xfId="2881" xr:uid="{00000000-0005-0000-0000-0000BC060000}"/>
    <cellStyle name="Normal 3 2 3 8 2 2" xfId="6802" xr:uid="{02B02783-1695-47AB-96B7-2AB866BB580B}"/>
    <cellStyle name="Normal 3 2 3 8 2 2 2" xfId="14662" xr:uid="{B9CF3E32-5534-429D-AA28-41EE7491AB2A}"/>
    <cellStyle name="Normal 3 2 3 8 2 3" xfId="10742" xr:uid="{7AB93360-E0D1-4A45-BA46-8AE1CBAA10FF}"/>
    <cellStyle name="Normal 3 2 3 8 3" xfId="4848" xr:uid="{7DB2E55D-0098-4E3A-9AB7-7D33803FE01B}"/>
    <cellStyle name="Normal 3 2 3 8 3 2" xfId="12708" xr:uid="{6DC34DB1-1E48-492B-B0F6-0E1E306B3050}"/>
    <cellStyle name="Normal 3 2 3 8 4" xfId="8789" xr:uid="{A8575111-2C82-48A0-86B0-DB00AFDABBD3}"/>
    <cellStyle name="Normal 3 2 3 9" xfId="1355" xr:uid="{00000000-0005-0000-0000-0000BD060000}"/>
    <cellStyle name="Normal 3 2 3 9 2" xfId="3309" xr:uid="{00000000-0005-0000-0000-0000BE060000}"/>
    <cellStyle name="Normal 3 2 3 9 2 2" xfId="7230" xr:uid="{662F675D-FF54-4794-BF84-AF089E10948E}"/>
    <cellStyle name="Normal 3 2 3 9 2 2 2" xfId="15090" xr:uid="{33D9A8B0-6306-47BC-92B9-1E3F108CDC8F}"/>
    <cellStyle name="Normal 3 2 3 9 2 3" xfId="11170" xr:uid="{31D17B61-F9D5-4035-B173-831BD8129267}"/>
    <cellStyle name="Normal 3 2 3 9 3" xfId="5276" xr:uid="{B7E351F0-55AC-42DD-97E1-1E6146F71434}"/>
    <cellStyle name="Normal 3 2 3 9 3 2" xfId="13136" xr:uid="{7510F2A2-3920-42FB-8CB2-C66920AA20BB}"/>
    <cellStyle name="Normal 3 2 3 9 4" xfId="9217" xr:uid="{8582217A-44A4-4086-AA92-8ADA958B6687}"/>
    <cellStyle name="Normal 3 2 4" xfId="56" xr:uid="{00000000-0005-0000-0000-0000BF060000}"/>
    <cellStyle name="Normal 3 2 4 10" xfId="3992" xr:uid="{F8A38764-6699-42A3-AE29-7FBB3B2BF433}"/>
    <cellStyle name="Normal 3 2 4 10 2" xfId="11852" xr:uid="{DCC86F22-17E7-4B5D-A728-F72E716E9141}"/>
    <cellStyle name="Normal 3 2 4 11" xfId="7930" xr:uid="{068D1389-6318-4DF8-9B56-E6171B13DFE5}"/>
    <cellStyle name="Normal 3 2 4 2" xfId="212" xr:uid="{00000000-0005-0000-0000-0000C0060000}"/>
    <cellStyle name="Normal 3 2 4 2 2" xfId="664" xr:uid="{00000000-0005-0000-0000-0000C1060000}"/>
    <cellStyle name="Normal 3 2 4 2 2 2" xfId="2618" xr:uid="{00000000-0005-0000-0000-0000C2060000}"/>
    <cellStyle name="Normal 3 2 4 2 2 2 2" xfId="6539" xr:uid="{3F19914D-6D89-4AE1-9D7F-BDD71A81BF4F}"/>
    <cellStyle name="Normal 3 2 4 2 2 2 2 2" xfId="14399" xr:uid="{B2AA2F48-43DB-406B-99F8-6E43151C8600}"/>
    <cellStyle name="Normal 3 2 4 2 2 2 3" xfId="10479" xr:uid="{19D47227-575A-4F1E-9D09-B1E140C8BA3F}"/>
    <cellStyle name="Normal 3 2 4 2 2 3" xfId="4585" xr:uid="{977B09B2-92E2-498C-AB9D-E068CEE1006C}"/>
    <cellStyle name="Normal 3 2 4 2 2 3 2" xfId="12445" xr:uid="{08E5F8A4-3BF0-42B1-A4B2-36ED2AEA9451}"/>
    <cellStyle name="Normal 3 2 4 2 2 4" xfId="8526" xr:uid="{31574976-B2E6-4F16-96E7-14C4CEFAAE66}"/>
    <cellStyle name="Normal 3 2 4 2 3" xfId="1101" xr:uid="{00000000-0005-0000-0000-0000C3060000}"/>
    <cellStyle name="Normal 3 2 4 2 3 2" xfId="3055" xr:uid="{00000000-0005-0000-0000-0000C4060000}"/>
    <cellStyle name="Normal 3 2 4 2 3 2 2" xfId="6976" xr:uid="{85AAFC0C-24D8-4853-8206-B577589BB2F7}"/>
    <cellStyle name="Normal 3 2 4 2 3 2 2 2" xfId="14836" xr:uid="{08C3CB72-8ED7-402B-9724-FE23E4EA4D43}"/>
    <cellStyle name="Normal 3 2 4 2 3 2 3" xfId="10916" xr:uid="{25AF601D-37F4-4291-B4BB-B2BB0D8A01B9}"/>
    <cellStyle name="Normal 3 2 4 2 3 3" xfId="5022" xr:uid="{AF2AF10F-F1E6-4A40-AEB0-4EBE177ED021}"/>
    <cellStyle name="Normal 3 2 4 2 3 3 2" xfId="12882" xr:uid="{C8F69686-AF51-44F9-8D1C-9DF69410EA68}"/>
    <cellStyle name="Normal 3 2 4 2 3 4" xfId="8963" xr:uid="{DE2DD300-4F1D-48BD-A338-CA04C1CEE8E5}"/>
    <cellStyle name="Normal 3 2 4 2 4" xfId="1528" xr:uid="{00000000-0005-0000-0000-0000C5060000}"/>
    <cellStyle name="Normal 3 2 4 2 4 2" xfId="3482" xr:uid="{00000000-0005-0000-0000-0000C6060000}"/>
    <cellStyle name="Normal 3 2 4 2 4 2 2" xfId="7403" xr:uid="{242920FC-3A96-496D-AEB4-0EB5EF364585}"/>
    <cellStyle name="Normal 3 2 4 2 4 2 2 2" xfId="15263" xr:uid="{EE7B49C6-1B3D-4B47-994A-1E2EFCEA86A7}"/>
    <cellStyle name="Normal 3 2 4 2 4 2 3" xfId="11343" xr:uid="{940507A0-11B7-44BB-8311-72429B0F05AD}"/>
    <cellStyle name="Normal 3 2 4 2 4 3" xfId="5449" xr:uid="{DF00DF14-87E2-4C3D-8578-FA4A2F193477}"/>
    <cellStyle name="Normal 3 2 4 2 4 3 2" xfId="13309" xr:uid="{2E94735B-A0C8-4C86-BBEB-E19FCB39EFA0}"/>
    <cellStyle name="Normal 3 2 4 2 4 4" xfId="9390" xr:uid="{34E0948F-7607-4A33-972B-4FC3039A5913}"/>
    <cellStyle name="Normal 3 2 4 2 5" xfId="2181" xr:uid="{00000000-0005-0000-0000-0000C7060000}"/>
    <cellStyle name="Normal 3 2 4 2 5 2" xfId="6102" xr:uid="{A754DFED-A0E6-4FB6-9C09-1FAFBF45AD06}"/>
    <cellStyle name="Normal 3 2 4 2 5 2 2" xfId="13962" xr:uid="{5B652E46-2B27-43AA-8926-D8885D021B93}"/>
    <cellStyle name="Normal 3 2 4 2 5 3" xfId="10042" xr:uid="{779295A0-8914-4F1A-9DC7-3105D0C1622C}"/>
    <cellStyle name="Normal 3 2 4 2 6" xfId="4148" xr:uid="{CA717941-6F01-48CF-91CC-D0B905872BAD}"/>
    <cellStyle name="Normal 3 2 4 2 6 2" xfId="12008" xr:uid="{B45F859E-AF8A-4C28-A7E8-95F13E159558}"/>
    <cellStyle name="Normal 3 2 4 2 7" xfId="8086" xr:uid="{C226C2B7-370D-4490-8D11-002A4CD8B423}"/>
    <cellStyle name="Normal 3 2 4 3" xfId="134" xr:uid="{00000000-0005-0000-0000-0000C8060000}"/>
    <cellStyle name="Normal 3 2 4 3 2" xfId="586" xr:uid="{00000000-0005-0000-0000-0000C9060000}"/>
    <cellStyle name="Normal 3 2 4 3 2 2" xfId="2540" xr:uid="{00000000-0005-0000-0000-0000CA060000}"/>
    <cellStyle name="Normal 3 2 4 3 2 2 2" xfId="6461" xr:uid="{F00DC6E2-544D-4F9B-B0C6-7EBE8A556E92}"/>
    <cellStyle name="Normal 3 2 4 3 2 2 2 2" xfId="14321" xr:uid="{0291A34D-916A-463C-AFF3-20C1A5DF7F47}"/>
    <cellStyle name="Normal 3 2 4 3 2 2 3" xfId="10401" xr:uid="{7B73C3C5-3D6A-4411-A186-2B85A969DFCD}"/>
    <cellStyle name="Normal 3 2 4 3 2 3" xfId="4507" xr:uid="{628E48B2-52DA-420C-99D8-991AEB41803E}"/>
    <cellStyle name="Normal 3 2 4 3 2 3 2" xfId="12367" xr:uid="{80D51B91-440C-4DA3-8312-7FBAA364496B}"/>
    <cellStyle name="Normal 3 2 4 3 2 4" xfId="8448" xr:uid="{78BD7812-4FE1-47B3-AA37-DB80159C7708}"/>
    <cellStyle name="Normal 3 2 4 3 3" xfId="1023" xr:uid="{00000000-0005-0000-0000-0000CB060000}"/>
    <cellStyle name="Normal 3 2 4 3 3 2" xfId="2977" xr:uid="{00000000-0005-0000-0000-0000CC060000}"/>
    <cellStyle name="Normal 3 2 4 3 3 2 2" xfId="6898" xr:uid="{09593A03-696C-4A4A-B1C1-D5FF258B0A70}"/>
    <cellStyle name="Normal 3 2 4 3 3 2 2 2" xfId="14758" xr:uid="{0E86F470-BAF3-4D7A-8DF9-7E26E39965EA}"/>
    <cellStyle name="Normal 3 2 4 3 3 2 3" xfId="10838" xr:uid="{64A25C0F-EA81-4BC6-A36B-2BFC936FF7BA}"/>
    <cellStyle name="Normal 3 2 4 3 3 3" xfId="4944" xr:uid="{17888F2B-1F67-4CFD-AAE9-D2B351257559}"/>
    <cellStyle name="Normal 3 2 4 3 3 3 2" xfId="12804" xr:uid="{A1A121F6-48AC-446B-A884-21C5A7044A53}"/>
    <cellStyle name="Normal 3 2 4 3 3 4" xfId="8885" xr:uid="{9A66ADD3-6EB0-4E8C-9F64-7EB322B6AEF7}"/>
    <cellStyle name="Normal 3 2 4 3 4" xfId="1450" xr:uid="{00000000-0005-0000-0000-0000CD060000}"/>
    <cellStyle name="Normal 3 2 4 3 4 2" xfId="3404" xr:uid="{00000000-0005-0000-0000-0000CE060000}"/>
    <cellStyle name="Normal 3 2 4 3 4 2 2" xfId="7325" xr:uid="{1B82E848-594C-47A2-A3BA-EC111A52A382}"/>
    <cellStyle name="Normal 3 2 4 3 4 2 2 2" xfId="15185" xr:uid="{BE0653FB-5638-47D2-B471-602C418F48C0}"/>
    <cellStyle name="Normal 3 2 4 3 4 2 3" xfId="11265" xr:uid="{2F0BAC8F-2B47-47A8-817C-0CBDC9CA577A}"/>
    <cellStyle name="Normal 3 2 4 3 4 3" xfId="5371" xr:uid="{E45F0B6C-7D91-4701-967E-325F435BC6DE}"/>
    <cellStyle name="Normal 3 2 4 3 4 3 2" xfId="13231" xr:uid="{2A49FF25-FAB1-45AC-8284-EAB49954607E}"/>
    <cellStyle name="Normal 3 2 4 3 4 4" xfId="9312" xr:uid="{F8AA342D-C829-4753-B9CE-BD662F96CE4D}"/>
    <cellStyle name="Normal 3 2 4 3 5" xfId="2103" xr:uid="{00000000-0005-0000-0000-0000CF060000}"/>
    <cellStyle name="Normal 3 2 4 3 5 2" xfId="6024" xr:uid="{626F23DE-0AB1-4DFD-A977-1245BA53412C}"/>
    <cellStyle name="Normal 3 2 4 3 5 2 2" xfId="13884" xr:uid="{9AFDBFFC-CC08-4024-908A-CC1D68A85CAA}"/>
    <cellStyle name="Normal 3 2 4 3 5 3" xfId="9964" xr:uid="{CD0AA1E3-B234-4037-B6B9-D717BD604027}"/>
    <cellStyle name="Normal 3 2 4 3 6" xfId="4070" xr:uid="{84EBC7F4-C328-49CB-8D13-32168FFDDBF3}"/>
    <cellStyle name="Normal 3 2 4 3 6 2" xfId="11930" xr:uid="{BF70A245-96E5-4F98-9CAD-768F1D21EE8B}"/>
    <cellStyle name="Normal 3 2 4 3 7" xfId="8008" xr:uid="{8F1C7913-6D1B-4FC6-8717-AD4C92EBC5A8}"/>
    <cellStyle name="Normal 3 2 4 4" xfId="318" xr:uid="{00000000-0005-0000-0000-0000D0060000}"/>
    <cellStyle name="Normal 3 2 4 4 2" xfId="770" xr:uid="{00000000-0005-0000-0000-0000D1060000}"/>
    <cellStyle name="Normal 3 2 4 4 2 2" xfId="2724" xr:uid="{00000000-0005-0000-0000-0000D2060000}"/>
    <cellStyle name="Normal 3 2 4 4 2 2 2" xfId="6645" xr:uid="{3C037F5E-712B-4EC9-BF13-2FAB94045E99}"/>
    <cellStyle name="Normal 3 2 4 4 2 2 2 2" xfId="14505" xr:uid="{50F45C9C-7BAC-4FFE-AF60-C0B186049A34}"/>
    <cellStyle name="Normal 3 2 4 4 2 2 3" xfId="10585" xr:uid="{7D1E5DB1-9194-4C39-95EA-2DFB63E18A1D}"/>
    <cellStyle name="Normal 3 2 4 4 2 3" xfId="4691" xr:uid="{FC98A902-D18D-461D-BEDB-EF9C5B4D8EB8}"/>
    <cellStyle name="Normal 3 2 4 4 2 3 2" xfId="12551" xr:uid="{ED3F3B6F-E2ED-467D-A121-8528DEA26544}"/>
    <cellStyle name="Normal 3 2 4 4 2 4" xfId="8632" xr:uid="{E93A4B69-A0C6-4450-8A2F-212A2CCC77C5}"/>
    <cellStyle name="Normal 3 2 4 4 3" xfId="1205" xr:uid="{00000000-0005-0000-0000-0000D3060000}"/>
    <cellStyle name="Normal 3 2 4 4 3 2" xfId="3159" xr:uid="{00000000-0005-0000-0000-0000D4060000}"/>
    <cellStyle name="Normal 3 2 4 4 3 2 2" xfId="7080" xr:uid="{ECABF8B5-DFE7-483A-8585-3D2BA8645AE3}"/>
    <cellStyle name="Normal 3 2 4 4 3 2 2 2" xfId="14940" xr:uid="{583B711D-A7A7-46AC-B20A-C7E6F2440F37}"/>
    <cellStyle name="Normal 3 2 4 4 3 2 3" xfId="11020" xr:uid="{8BB21ADE-FAED-4C4D-B7AA-51D0DF550E9C}"/>
    <cellStyle name="Normal 3 2 4 4 3 3" xfId="5126" xr:uid="{ACBF13D6-5A4F-420E-813B-CAA1E26DAF20}"/>
    <cellStyle name="Normal 3 2 4 4 3 3 2" xfId="12986" xr:uid="{57C365D2-D4DE-486C-8D6C-87C4B969C013}"/>
    <cellStyle name="Normal 3 2 4 4 3 4" xfId="9067" xr:uid="{CD4B1DF5-9419-4279-8F26-189DC6CE6C0D}"/>
    <cellStyle name="Normal 3 2 4 4 4" xfId="1625" xr:uid="{00000000-0005-0000-0000-0000D5060000}"/>
    <cellStyle name="Normal 3 2 4 4 4 2" xfId="3579" xr:uid="{00000000-0005-0000-0000-0000D6060000}"/>
    <cellStyle name="Normal 3 2 4 4 4 2 2" xfId="7500" xr:uid="{7F1BAD5B-6504-42B8-ACE8-00A4F1A9C3E1}"/>
    <cellStyle name="Normal 3 2 4 4 4 2 2 2" xfId="15360" xr:uid="{D9E0C80C-47A9-41BB-90DB-462125CDEF36}"/>
    <cellStyle name="Normal 3 2 4 4 4 2 3" xfId="11440" xr:uid="{EB2ADCE5-A9B6-44B2-B7C6-87E09FA775D9}"/>
    <cellStyle name="Normal 3 2 4 4 4 3" xfId="5546" xr:uid="{DD840ECF-8849-4F0C-AA7E-D9B41777F269}"/>
    <cellStyle name="Normal 3 2 4 4 4 3 2" xfId="13406" xr:uid="{51F9D0BE-2461-4DF0-AE24-2732C570310E}"/>
    <cellStyle name="Normal 3 2 4 4 4 4" xfId="9487" xr:uid="{DF0B9D92-721E-4E87-9B57-376739E8417D}"/>
    <cellStyle name="Normal 3 2 4 4 5" xfId="2279" xr:uid="{00000000-0005-0000-0000-0000D7060000}"/>
    <cellStyle name="Normal 3 2 4 4 5 2" xfId="6200" xr:uid="{C715D121-2945-43EA-8A99-35BE80F6BBA2}"/>
    <cellStyle name="Normal 3 2 4 4 5 2 2" xfId="14060" xr:uid="{E45986E9-DEC7-453E-9B98-BF2D728458B2}"/>
    <cellStyle name="Normal 3 2 4 4 5 3" xfId="10140" xr:uid="{59F552F8-0B95-4EE0-9BCD-E4454B04C282}"/>
    <cellStyle name="Normal 3 2 4 4 6" xfId="4246" xr:uid="{9D19C3AE-9578-4328-816C-40DF365BB77C}"/>
    <cellStyle name="Normal 3 2 4 4 6 2" xfId="12106" xr:uid="{55D1DD60-28D6-43A0-9BF9-504E79021A40}"/>
    <cellStyle name="Normal 3 2 4 4 7" xfId="8185" xr:uid="{4C1EAB99-1C3E-4F2D-B901-8877C40676B0}"/>
    <cellStyle name="Normal 3 2 4 5" xfId="416" xr:uid="{00000000-0005-0000-0000-0000D8060000}"/>
    <cellStyle name="Normal 3 2 4 5 2" xfId="867" xr:uid="{00000000-0005-0000-0000-0000D9060000}"/>
    <cellStyle name="Normal 3 2 4 5 2 2" xfId="2821" xr:uid="{00000000-0005-0000-0000-0000DA060000}"/>
    <cellStyle name="Normal 3 2 4 5 2 2 2" xfId="6742" xr:uid="{A0E6E412-6733-4181-9652-B6FFDDE8DE24}"/>
    <cellStyle name="Normal 3 2 4 5 2 2 2 2" xfId="14602" xr:uid="{B660CAA7-8C65-40A6-AA69-C7AB1F9C47F0}"/>
    <cellStyle name="Normal 3 2 4 5 2 2 3" xfId="10682" xr:uid="{11641A68-82D5-4C99-9099-9F7B4010C4C1}"/>
    <cellStyle name="Normal 3 2 4 5 2 3" xfId="4788" xr:uid="{2618D3E1-B265-411F-A453-5024A24BF9DB}"/>
    <cellStyle name="Normal 3 2 4 5 2 3 2" xfId="12648" xr:uid="{3ED9D431-D08B-4CC7-BBBC-184BD6110BB9}"/>
    <cellStyle name="Normal 3 2 4 5 2 4" xfId="8729" xr:uid="{228444D2-E3CE-4DC4-97B1-26A62C706E7F}"/>
    <cellStyle name="Normal 3 2 4 5 3" xfId="1299" xr:uid="{00000000-0005-0000-0000-0000DB060000}"/>
    <cellStyle name="Normal 3 2 4 5 3 2" xfId="3253" xr:uid="{00000000-0005-0000-0000-0000DC060000}"/>
    <cellStyle name="Normal 3 2 4 5 3 2 2" xfId="7174" xr:uid="{0888576F-F232-4A58-80D2-113F912A2CA9}"/>
    <cellStyle name="Normal 3 2 4 5 3 2 2 2" xfId="15034" xr:uid="{99680373-8347-4356-B8BC-3706F203B34D}"/>
    <cellStyle name="Normal 3 2 4 5 3 2 3" xfId="11114" xr:uid="{7198AD7E-4172-4E4A-93FF-E146D11AF0E4}"/>
    <cellStyle name="Normal 3 2 4 5 3 3" xfId="5220" xr:uid="{FC129174-C5B8-4F25-AE8F-D0C76B001AEB}"/>
    <cellStyle name="Normal 3 2 4 5 3 3 2" xfId="13080" xr:uid="{F507BEEE-F11A-40A9-99E7-FC8C48A6019C}"/>
    <cellStyle name="Normal 3 2 4 5 3 4" xfId="9161" xr:uid="{42CCEDE9-64F9-4895-AB3A-49FE68D32604}"/>
    <cellStyle name="Normal 3 2 4 5 4" xfId="1717" xr:uid="{00000000-0005-0000-0000-0000DD060000}"/>
    <cellStyle name="Normal 3 2 4 5 4 2" xfId="3671" xr:uid="{00000000-0005-0000-0000-0000DE060000}"/>
    <cellStyle name="Normal 3 2 4 5 4 2 2" xfId="7592" xr:uid="{81BBE77C-FEB3-45D1-B533-CF1F73A1F31F}"/>
    <cellStyle name="Normal 3 2 4 5 4 2 2 2" xfId="15452" xr:uid="{C43D82C4-04F8-417F-8B95-99D7759D29AA}"/>
    <cellStyle name="Normal 3 2 4 5 4 2 3" xfId="11532" xr:uid="{7DD8CDAD-93C9-474A-977F-3ECD5BD4BDB0}"/>
    <cellStyle name="Normal 3 2 4 5 4 3" xfId="5638" xr:uid="{A51CC900-5E54-45BF-810B-59A456CEC62F}"/>
    <cellStyle name="Normal 3 2 4 5 4 3 2" xfId="13498" xr:uid="{DA570A4A-4D0F-40A5-B049-876F12D07943}"/>
    <cellStyle name="Normal 3 2 4 5 4 4" xfId="9579" xr:uid="{E4A5D391-FDCE-46A7-8969-B4645283F098}"/>
    <cellStyle name="Normal 3 2 4 5 5" xfId="2371" xr:uid="{00000000-0005-0000-0000-0000DF060000}"/>
    <cellStyle name="Normal 3 2 4 5 5 2" xfId="6292" xr:uid="{8FA5D3F2-924A-460F-B9BD-4BD67B8D10BA}"/>
    <cellStyle name="Normal 3 2 4 5 5 2 2" xfId="14152" xr:uid="{92D078A1-15B5-4546-8622-4A92EB75E10D}"/>
    <cellStyle name="Normal 3 2 4 5 5 3" xfId="10232" xr:uid="{A43A032E-90B5-4794-91EE-5BDFFA247B71}"/>
    <cellStyle name="Normal 3 2 4 5 6" xfId="4338" xr:uid="{D1D49992-31A3-4DEA-AB92-E3EE1BD059B0}"/>
    <cellStyle name="Normal 3 2 4 5 6 2" xfId="12198" xr:uid="{612570CD-1A0B-4503-B376-AE356A668890}"/>
    <cellStyle name="Normal 3 2 4 5 7" xfId="8279" xr:uid="{D1A5C181-FA26-4E7B-8DED-330C3B9E6DCD}"/>
    <cellStyle name="Normal 3 2 4 6" xfId="508" xr:uid="{00000000-0005-0000-0000-0000E0060000}"/>
    <cellStyle name="Normal 3 2 4 6 2" xfId="2462" xr:uid="{00000000-0005-0000-0000-0000E1060000}"/>
    <cellStyle name="Normal 3 2 4 6 2 2" xfId="6383" xr:uid="{41C0F7C3-FA4A-45C6-92D1-5F4084B421A8}"/>
    <cellStyle name="Normal 3 2 4 6 2 2 2" xfId="14243" xr:uid="{8FA59C59-08F3-4D37-8812-40D062CBAE47}"/>
    <cellStyle name="Normal 3 2 4 6 2 3" xfId="10323" xr:uid="{6C81D5EA-FBE4-43EB-834A-E4FF0A62D009}"/>
    <cellStyle name="Normal 3 2 4 6 3" xfId="4429" xr:uid="{8AA8C76E-6375-4DEF-A794-659BCD3ED53C}"/>
    <cellStyle name="Normal 3 2 4 6 3 2" xfId="12289" xr:uid="{61E106FF-94DD-47B3-843B-EA19769CA2BD}"/>
    <cellStyle name="Normal 3 2 4 6 4" xfId="8370" xr:uid="{66C294FF-1D07-4D99-A22B-C5624722DD20}"/>
    <cellStyle name="Normal 3 2 4 7" xfId="945" xr:uid="{00000000-0005-0000-0000-0000E2060000}"/>
    <cellStyle name="Normal 3 2 4 7 2" xfId="2899" xr:uid="{00000000-0005-0000-0000-0000E3060000}"/>
    <cellStyle name="Normal 3 2 4 7 2 2" xfId="6820" xr:uid="{E6B9C2E3-D75B-4DE1-875D-6DE8CC59F54E}"/>
    <cellStyle name="Normal 3 2 4 7 2 2 2" xfId="14680" xr:uid="{D1AD7CC3-8029-472A-B246-B8F9E8E81B9A}"/>
    <cellStyle name="Normal 3 2 4 7 2 3" xfId="10760" xr:uid="{2CBA9C52-6C65-4DA0-813E-05096D6DE966}"/>
    <cellStyle name="Normal 3 2 4 7 3" xfId="4866" xr:uid="{82EEE54D-D147-428A-BED3-0805952E8E4F}"/>
    <cellStyle name="Normal 3 2 4 7 3 2" xfId="12726" xr:uid="{0E5D2612-56AB-439F-AD78-83E8CD6E13E5}"/>
    <cellStyle name="Normal 3 2 4 7 4" xfId="8807" xr:uid="{493A9577-6050-4B8F-BB3F-96E48D44D900}"/>
    <cellStyle name="Normal 3 2 4 8" xfId="1372" xr:uid="{00000000-0005-0000-0000-0000E4060000}"/>
    <cellStyle name="Normal 3 2 4 8 2" xfId="3326" xr:uid="{00000000-0005-0000-0000-0000E5060000}"/>
    <cellStyle name="Normal 3 2 4 8 2 2" xfId="7247" xr:uid="{66007F59-3300-4DB4-9DE5-27E168C5FC58}"/>
    <cellStyle name="Normal 3 2 4 8 2 2 2" xfId="15107" xr:uid="{5D90F24F-008C-4A76-B155-7F149FBEFB18}"/>
    <cellStyle name="Normal 3 2 4 8 2 3" xfId="11187" xr:uid="{0E3331E8-35BC-4248-8F3D-05FA4BD116D1}"/>
    <cellStyle name="Normal 3 2 4 8 3" xfId="5293" xr:uid="{4147CE8A-6A65-4161-A5AC-82DA56926740}"/>
    <cellStyle name="Normal 3 2 4 8 3 2" xfId="13153" xr:uid="{019A8F15-5FC7-46C4-AAB5-E3C0E3D2B101}"/>
    <cellStyle name="Normal 3 2 4 8 4" xfId="9234" xr:uid="{CB29E0F1-A13F-4CA7-9E15-2B4C58DB1B61}"/>
    <cellStyle name="Normal 3 2 4 9" xfId="2025" xr:uid="{00000000-0005-0000-0000-0000E6060000}"/>
    <cellStyle name="Normal 3 2 4 9 2" xfId="5946" xr:uid="{3542A0BA-03B6-4FA0-B8B4-428267116534}"/>
    <cellStyle name="Normal 3 2 4 9 2 2" xfId="13806" xr:uid="{BBA5927D-2F33-4E96-BE58-7C8CBE417062}"/>
    <cellStyle name="Normal 3 2 4 9 3" xfId="9886" xr:uid="{E467AD09-B05B-4E26-AD1C-47222DE432C3}"/>
    <cellStyle name="Normal 3 2 5" xfId="173" xr:uid="{00000000-0005-0000-0000-0000E7060000}"/>
    <cellStyle name="Normal 3 2 5 2" xfId="625" xr:uid="{00000000-0005-0000-0000-0000E8060000}"/>
    <cellStyle name="Normal 3 2 5 2 2" xfId="2579" xr:uid="{00000000-0005-0000-0000-0000E9060000}"/>
    <cellStyle name="Normal 3 2 5 2 2 2" xfId="6500" xr:uid="{C0C1EA6C-9CD4-44EA-80D6-EE444336E4E8}"/>
    <cellStyle name="Normal 3 2 5 2 2 2 2" xfId="14360" xr:uid="{3F5BA29F-6C42-452B-97D3-AC93BBD74FFA}"/>
    <cellStyle name="Normal 3 2 5 2 2 3" xfId="10440" xr:uid="{4B8B7294-C1AA-4BAE-A644-5B09E3CBFB4E}"/>
    <cellStyle name="Normal 3 2 5 2 3" xfId="4546" xr:uid="{FF729ECF-A34B-496A-B8D8-8548F7FF5D89}"/>
    <cellStyle name="Normal 3 2 5 2 3 2" xfId="12406" xr:uid="{E101A748-9674-4020-9E45-03CE6DB6316E}"/>
    <cellStyle name="Normal 3 2 5 2 4" xfId="8487" xr:uid="{C32D4153-727D-4C9B-B865-DBE7A528EC09}"/>
    <cellStyle name="Normal 3 2 5 3" xfId="1062" xr:uid="{00000000-0005-0000-0000-0000EA060000}"/>
    <cellStyle name="Normal 3 2 5 3 2" xfId="3016" xr:uid="{00000000-0005-0000-0000-0000EB060000}"/>
    <cellStyle name="Normal 3 2 5 3 2 2" xfId="6937" xr:uid="{16FE5964-634E-43EB-8F50-81FF8D312615}"/>
    <cellStyle name="Normal 3 2 5 3 2 2 2" xfId="14797" xr:uid="{598D1480-987C-4909-9B60-BF617A4603EE}"/>
    <cellStyle name="Normal 3 2 5 3 2 3" xfId="10877" xr:uid="{21D85625-0B33-4BD3-8EC8-8CE71FDA3951}"/>
    <cellStyle name="Normal 3 2 5 3 3" xfId="4983" xr:uid="{47219D63-38EF-406F-B167-B7E7C7E3F952}"/>
    <cellStyle name="Normal 3 2 5 3 3 2" xfId="12843" xr:uid="{92C6F88F-C26C-4986-B6B0-915803C0B9AB}"/>
    <cellStyle name="Normal 3 2 5 3 4" xfId="8924" xr:uid="{19C3294A-45FF-42EF-94A1-020F0A358DF4}"/>
    <cellStyle name="Normal 3 2 5 4" xfId="1489" xr:uid="{00000000-0005-0000-0000-0000EC060000}"/>
    <cellStyle name="Normal 3 2 5 4 2" xfId="3443" xr:uid="{00000000-0005-0000-0000-0000ED060000}"/>
    <cellStyle name="Normal 3 2 5 4 2 2" xfId="7364" xr:uid="{F1780C28-5BF8-4391-84F9-B58C8D75BB99}"/>
    <cellStyle name="Normal 3 2 5 4 2 2 2" xfId="15224" xr:uid="{48787345-11CA-4DA9-A2BE-51428F95C94A}"/>
    <cellStyle name="Normal 3 2 5 4 2 3" xfId="11304" xr:uid="{E8DE5373-CB6A-40E8-B6D0-82ADF91E7EE4}"/>
    <cellStyle name="Normal 3 2 5 4 3" xfId="5410" xr:uid="{881A56FD-85D4-4B57-A513-9BEAFD522439}"/>
    <cellStyle name="Normal 3 2 5 4 3 2" xfId="13270" xr:uid="{E694231C-CC9B-40BC-8A21-C3E3C14C01FD}"/>
    <cellStyle name="Normal 3 2 5 4 4" xfId="9351" xr:uid="{FFEF1C77-AEB5-4178-B0B7-3D0B2DA47C0A}"/>
    <cellStyle name="Normal 3 2 5 5" xfId="2142" xr:uid="{00000000-0005-0000-0000-0000EE060000}"/>
    <cellStyle name="Normal 3 2 5 5 2" xfId="6063" xr:uid="{40F28F60-4E4E-4053-9816-ECA64443F2D5}"/>
    <cellStyle name="Normal 3 2 5 5 2 2" xfId="13923" xr:uid="{0E60B897-E473-4D07-A52F-94B45E2FC361}"/>
    <cellStyle name="Normal 3 2 5 5 3" xfId="10003" xr:uid="{0C591B3A-62DF-4B4D-8D6A-7D1CB3283697}"/>
    <cellStyle name="Normal 3 2 5 6" xfId="4109" xr:uid="{46DBCA4C-47C2-465B-BCCF-B4FF4A56CE35}"/>
    <cellStyle name="Normal 3 2 5 6 2" xfId="11969" xr:uid="{7FA86E2F-AB5C-4D37-AD4A-D35D49E5F35D}"/>
    <cellStyle name="Normal 3 2 5 7" xfId="8047" xr:uid="{7D9790CC-491F-4B16-AFF6-3D8055A3808B}"/>
    <cellStyle name="Normal 3 2 6" xfId="95" xr:uid="{00000000-0005-0000-0000-0000EF060000}"/>
    <cellStyle name="Normal 3 2 6 2" xfId="547" xr:uid="{00000000-0005-0000-0000-0000F0060000}"/>
    <cellStyle name="Normal 3 2 6 2 2" xfId="2501" xr:uid="{00000000-0005-0000-0000-0000F1060000}"/>
    <cellStyle name="Normal 3 2 6 2 2 2" xfId="6422" xr:uid="{FF682002-FEE7-4905-9925-2EE75B54A006}"/>
    <cellStyle name="Normal 3 2 6 2 2 2 2" xfId="14282" xr:uid="{B390ACE5-882A-45C5-8BDB-100F721B14BE}"/>
    <cellStyle name="Normal 3 2 6 2 2 3" xfId="10362" xr:uid="{9D717C70-5859-46F8-874D-6CCE014C7F3E}"/>
    <cellStyle name="Normal 3 2 6 2 3" xfId="4468" xr:uid="{1FFE4531-99DA-4476-9C4E-5570E81AE0EA}"/>
    <cellStyle name="Normal 3 2 6 2 3 2" xfId="12328" xr:uid="{B9750C43-1C3A-4F48-A6F3-AAD0AF1BEDB2}"/>
    <cellStyle name="Normal 3 2 6 2 4" xfId="8409" xr:uid="{BF3EC5EF-022A-4F90-90DB-114C65C7EE9F}"/>
    <cellStyle name="Normal 3 2 6 3" xfId="984" xr:uid="{00000000-0005-0000-0000-0000F2060000}"/>
    <cellStyle name="Normal 3 2 6 3 2" xfId="2938" xr:uid="{00000000-0005-0000-0000-0000F3060000}"/>
    <cellStyle name="Normal 3 2 6 3 2 2" xfId="6859" xr:uid="{08AE9241-83B1-4803-B082-B44780B76827}"/>
    <cellStyle name="Normal 3 2 6 3 2 2 2" xfId="14719" xr:uid="{7FDB6338-8DDA-4C7A-A032-CC320FAED333}"/>
    <cellStyle name="Normal 3 2 6 3 2 3" xfId="10799" xr:uid="{9BCCA81F-E214-478E-81EA-63DD98F958D1}"/>
    <cellStyle name="Normal 3 2 6 3 3" xfId="4905" xr:uid="{F2B97640-B8D3-424A-B691-41C7D1B83A4B}"/>
    <cellStyle name="Normal 3 2 6 3 3 2" xfId="12765" xr:uid="{93DF3CA1-4A01-4B51-93B2-E6190A01F59B}"/>
    <cellStyle name="Normal 3 2 6 3 4" xfId="8846" xr:uid="{355A83AF-227D-4C57-A481-9CAD4367764A}"/>
    <cellStyle name="Normal 3 2 6 4" xfId="1411" xr:uid="{00000000-0005-0000-0000-0000F4060000}"/>
    <cellStyle name="Normal 3 2 6 4 2" xfId="3365" xr:uid="{00000000-0005-0000-0000-0000F5060000}"/>
    <cellStyle name="Normal 3 2 6 4 2 2" xfId="7286" xr:uid="{2D9A84CA-C5C5-4383-B9A7-D2126AF717FE}"/>
    <cellStyle name="Normal 3 2 6 4 2 2 2" xfId="15146" xr:uid="{3C59FCB6-5309-49BB-AE0B-4C9223FD87AD}"/>
    <cellStyle name="Normal 3 2 6 4 2 3" xfId="11226" xr:uid="{5B69AE1F-040E-41E0-9AF2-101BF558E919}"/>
    <cellStyle name="Normal 3 2 6 4 3" xfId="5332" xr:uid="{0D6A4234-4BCC-4159-916B-A38C577AF683}"/>
    <cellStyle name="Normal 3 2 6 4 3 2" xfId="13192" xr:uid="{9631F7FF-9665-4CC0-AC93-5E40CAA77494}"/>
    <cellStyle name="Normal 3 2 6 4 4" xfId="9273" xr:uid="{8D7C15F6-4DF3-41AC-9EC7-E7A50A3E450C}"/>
    <cellStyle name="Normal 3 2 6 5" xfId="2064" xr:uid="{00000000-0005-0000-0000-0000F6060000}"/>
    <cellStyle name="Normal 3 2 6 5 2" xfId="5985" xr:uid="{1B647C64-0FBA-49A8-A1C0-2B9D72668E91}"/>
    <cellStyle name="Normal 3 2 6 5 2 2" xfId="13845" xr:uid="{8E26EBB9-064B-4BD7-A1BD-B2AE271407F4}"/>
    <cellStyle name="Normal 3 2 6 5 3" xfId="9925" xr:uid="{09F04F89-C045-4E08-98FD-3FA1076DE15A}"/>
    <cellStyle name="Normal 3 2 6 6" xfId="4031" xr:uid="{28B40647-86E8-46D3-ADDF-58A45F7CF5C3}"/>
    <cellStyle name="Normal 3 2 6 6 2" xfId="11891" xr:uid="{79FEA35A-3B74-4C43-ADEB-F0ED6C5E7AFB}"/>
    <cellStyle name="Normal 3 2 6 7" xfId="7969" xr:uid="{8317F419-7187-4A1C-A47A-C2ED7720FC35}"/>
    <cellStyle name="Normal 3 2 7" xfId="271" xr:uid="{00000000-0005-0000-0000-0000F7060000}"/>
    <cellStyle name="Normal 3 2 7 2" xfId="723" xr:uid="{00000000-0005-0000-0000-0000F8060000}"/>
    <cellStyle name="Normal 3 2 7 2 2" xfId="2677" xr:uid="{00000000-0005-0000-0000-0000F9060000}"/>
    <cellStyle name="Normal 3 2 7 2 2 2" xfId="6598" xr:uid="{65FCC07E-C98D-4A51-A359-D40FAA610B5B}"/>
    <cellStyle name="Normal 3 2 7 2 2 2 2" xfId="14458" xr:uid="{73F19366-00AF-41FD-9741-95634204008D}"/>
    <cellStyle name="Normal 3 2 7 2 2 3" xfId="10538" xr:uid="{7B5FECB1-0BBE-4A11-B544-49712B3C5B2C}"/>
    <cellStyle name="Normal 3 2 7 2 3" xfId="4644" xr:uid="{5CB0D871-E0BA-4F68-BB36-6019531D548C}"/>
    <cellStyle name="Normal 3 2 7 2 3 2" xfId="12504" xr:uid="{71968B8B-9A12-4995-BD60-DC5167B38423}"/>
    <cellStyle name="Normal 3 2 7 2 4" xfId="8585" xr:uid="{F8E0B57A-5426-4F4F-83C1-1113934C97E9}"/>
    <cellStyle name="Normal 3 2 7 3" xfId="1159" xr:uid="{00000000-0005-0000-0000-0000FA060000}"/>
    <cellStyle name="Normal 3 2 7 3 2" xfId="3113" xr:uid="{00000000-0005-0000-0000-0000FB060000}"/>
    <cellStyle name="Normal 3 2 7 3 2 2" xfId="7034" xr:uid="{3CA956D8-FEDD-4130-A913-F035589B2003}"/>
    <cellStyle name="Normal 3 2 7 3 2 2 2" xfId="14894" xr:uid="{00A5A6FE-8991-4BE2-B3D7-5FA6C5F802E0}"/>
    <cellStyle name="Normal 3 2 7 3 2 3" xfId="10974" xr:uid="{E67BC368-DB80-4494-9693-E0585FD7BB95}"/>
    <cellStyle name="Normal 3 2 7 3 3" xfId="5080" xr:uid="{E76B4009-C097-4730-9486-687099688097}"/>
    <cellStyle name="Normal 3 2 7 3 3 2" xfId="12940" xr:uid="{DB22623A-51EF-44AF-BD6C-8B4BC1E9053C}"/>
    <cellStyle name="Normal 3 2 7 3 4" xfId="9021" xr:uid="{1FF9BB42-F6C7-4360-B525-D528D20565EF}"/>
    <cellStyle name="Normal 3 2 7 4" xfId="1580" xr:uid="{00000000-0005-0000-0000-0000FC060000}"/>
    <cellStyle name="Normal 3 2 7 4 2" xfId="3534" xr:uid="{00000000-0005-0000-0000-0000FD060000}"/>
    <cellStyle name="Normal 3 2 7 4 2 2" xfId="7455" xr:uid="{31DC7D07-F0B0-488B-B0CD-C7E7BED503A1}"/>
    <cellStyle name="Normal 3 2 7 4 2 2 2" xfId="15315" xr:uid="{252BA3C6-9102-4792-AB47-362C32B13625}"/>
    <cellStyle name="Normal 3 2 7 4 2 3" xfId="11395" xr:uid="{06EDF887-A7BC-4A7C-9FD4-61AEB0336614}"/>
    <cellStyle name="Normal 3 2 7 4 3" xfId="5501" xr:uid="{8CEADCAE-EFC6-4CA8-8B85-12074DD7EA62}"/>
    <cellStyle name="Normal 3 2 7 4 3 2" xfId="13361" xr:uid="{735A9329-3855-4042-8ED8-333A9CCDE38F}"/>
    <cellStyle name="Normal 3 2 7 4 4" xfId="9442" xr:uid="{2DFAB6E3-2A7A-45FA-8403-BDF26ACEFFB0}"/>
    <cellStyle name="Normal 3 2 7 5" xfId="2234" xr:uid="{00000000-0005-0000-0000-0000FE060000}"/>
    <cellStyle name="Normal 3 2 7 5 2" xfId="6155" xr:uid="{EDC8D9D7-9C5B-4D9E-8C8A-7F635B03D930}"/>
    <cellStyle name="Normal 3 2 7 5 2 2" xfId="14015" xr:uid="{25654367-93C1-4025-9832-FEBD0153DC85}"/>
    <cellStyle name="Normal 3 2 7 5 3" xfId="10095" xr:uid="{7774522D-C631-4DDF-B061-63CBD102082F}"/>
    <cellStyle name="Normal 3 2 7 6" xfId="4201" xr:uid="{1D267E94-0837-4BC9-90E1-81BBFC9F0A01}"/>
    <cellStyle name="Normal 3 2 7 6 2" xfId="12061" xr:uid="{C2DDB2C4-F57F-487E-9364-254BD66A9C2B}"/>
    <cellStyle name="Normal 3 2 7 7" xfId="8140" xr:uid="{A38EED03-748E-4D5F-8447-73000E03FCC9}"/>
    <cellStyle name="Normal 3 2 8" xfId="371" xr:uid="{00000000-0005-0000-0000-0000FF060000}"/>
    <cellStyle name="Normal 3 2 8 2" xfId="822" xr:uid="{00000000-0005-0000-0000-000000070000}"/>
    <cellStyle name="Normal 3 2 8 2 2" xfId="2776" xr:uid="{00000000-0005-0000-0000-000001070000}"/>
    <cellStyle name="Normal 3 2 8 2 2 2" xfId="6697" xr:uid="{EBFAC201-6371-4BE4-A959-7B93976CD88D}"/>
    <cellStyle name="Normal 3 2 8 2 2 2 2" xfId="14557" xr:uid="{B9EE1910-E52F-4543-B1BC-EDD698A22F0B}"/>
    <cellStyle name="Normal 3 2 8 2 2 3" xfId="10637" xr:uid="{F7B95083-411B-4B24-A240-A47600506B56}"/>
    <cellStyle name="Normal 3 2 8 2 3" xfId="4743" xr:uid="{14675741-287E-49AB-A0B3-0095E775C8DC}"/>
    <cellStyle name="Normal 3 2 8 2 3 2" xfId="12603" xr:uid="{B823BC5F-8C99-4383-A7D0-5ED47B2CDEB9}"/>
    <cellStyle name="Normal 3 2 8 2 4" xfId="8684" xr:uid="{4B8AC208-546B-446F-8910-231567C9773C}"/>
    <cellStyle name="Normal 3 2 8 3" xfId="1254" xr:uid="{00000000-0005-0000-0000-000002070000}"/>
    <cellStyle name="Normal 3 2 8 3 2" xfId="3208" xr:uid="{00000000-0005-0000-0000-000003070000}"/>
    <cellStyle name="Normal 3 2 8 3 2 2" xfId="7129" xr:uid="{7D5C60AD-99B0-4A55-A2A8-F868387A81FE}"/>
    <cellStyle name="Normal 3 2 8 3 2 2 2" xfId="14989" xr:uid="{CB5898C4-1523-4CED-9E79-D9EDF837798C}"/>
    <cellStyle name="Normal 3 2 8 3 2 3" xfId="11069" xr:uid="{D1FDD32F-0C58-4734-B8AE-B3AC33BFB4B0}"/>
    <cellStyle name="Normal 3 2 8 3 3" xfId="5175" xr:uid="{2D0F9DFB-E8D6-48C9-B39D-A06928C233BA}"/>
    <cellStyle name="Normal 3 2 8 3 3 2" xfId="13035" xr:uid="{CCB1BAB3-D363-47AC-9DE8-5CE895B49DB0}"/>
    <cellStyle name="Normal 3 2 8 3 4" xfId="9116" xr:uid="{EC2245F9-0448-4E12-9A9A-F65771E27A94}"/>
    <cellStyle name="Normal 3 2 8 4" xfId="1672" xr:uid="{00000000-0005-0000-0000-000004070000}"/>
    <cellStyle name="Normal 3 2 8 4 2" xfId="3626" xr:uid="{00000000-0005-0000-0000-000005070000}"/>
    <cellStyle name="Normal 3 2 8 4 2 2" xfId="7547" xr:uid="{933D9FB2-BFA8-4FAC-A7A3-DBD3376DDDFB}"/>
    <cellStyle name="Normal 3 2 8 4 2 2 2" xfId="15407" xr:uid="{345AB8D8-9CD3-475A-BA96-1A40B0F4B171}"/>
    <cellStyle name="Normal 3 2 8 4 2 3" xfId="11487" xr:uid="{C7F404FA-C13A-4D8C-9ED2-E953D17427E7}"/>
    <cellStyle name="Normal 3 2 8 4 3" xfId="5593" xr:uid="{35A6A2B0-A943-407C-AFEF-B35B43F11E3D}"/>
    <cellStyle name="Normal 3 2 8 4 3 2" xfId="13453" xr:uid="{F6DF1C34-EE12-45C8-93AF-23136F3DE795}"/>
    <cellStyle name="Normal 3 2 8 4 4" xfId="9534" xr:uid="{5C853925-C336-4B3A-9936-FF06AD27F63E}"/>
    <cellStyle name="Normal 3 2 8 5" xfId="2326" xr:uid="{00000000-0005-0000-0000-000006070000}"/>
    <cellStyle name="Normal 3 2 8 5 2" xfId="6247" xr:uid="{96AC38C4-51EE-4E72-A713-C8D50D46BF6A}"/>
    <cellStyle name="Normal 3 2 8 5 2 2" xfId="14107" xr:uid="{F3B40BC3-84F9-405B-9E30-133C371EBD5B}"/>
    <cellStyle name="Normal 3 2 8 5 3" xfId="10187" xr:uid="{F3725842-BD7E-4B73-99B1-35830D64D27A}"/>
    <cellStyle name="Normal 3 2 8 6" xfId="4293" xr:uid="{B9A75A4E-8D18-4E8B-856F-74E02B7C07C5}"/>
    <cellStyle name="Normal 3 2 8 6 2" xfId="12153" xr:uid="{AD45F2A9-AE41-4C01-A88C-840818D5B816}"/>
    <cellStyle name="Normal 3 2 8 7" xfId="8234" xr:uid="{C16B9757-4964-4F7A-A47B-A2DB4FFF3392}"/>
    <cellStyle name="Normal 3 2 9" xfId="468" xr:uid="{00000000-0005-0000-0000-000007070000}"/>
    <cellStyle name="Normal 3 2 9 2" xfId="2422" xr:uid="{00000000-0005-0000-0000-000008070000}"/>
    <cellStyle name="Normal 3 2 9 2 2" xfId="6343" xr:uid="{B0E1E411-0798-455E-AC00-CE58F9990062}"/>
    <cellStyle name="Normal 3 2 9 2 2 2" xfId="14203" xr:uid="{2A73D1D2-ADF3-49CD-94EB-AF68C9316F0C}"/>
    <cellStyle name="Normal 3 2 9 2 3" xfId="10283" xr:uid="{5AB2F117-8D1D-4E43-9FB7-07772707DBAC}"/>
    <cellStyle name="Normal 3 2 9 3" xfId="4389" xr:uid="{C7D0EA26-F6D1-446C-8928-E0C543F881A0}"/>
    <cellStyle name="Normal 3 2 9 3 2" xfId="12249" xr:uid="{FDFD43DE-7F9A-4927-82B6-9C934393DC5E}"/>
    <cellStyle name="Normal 3 2 9 4" xfId="8330" xr:uid="{FB78E2D8-51D8-47BD-BA00-ED47AEE5B781}"/>
    <cellStyle name="Normal 3 3" xfId="80" xr:uid="{00000000-0005-0000-0000-000009070000}"/>
    <cellStyle name="Normal 3 3 10" xfId="4016" xr:uid="{14D7CD30-161B-4D4A-B593-BD41AA3D55EB}"/>
    <cellStyle name="Normal 3 3 10 2" xfId="11876" xr:uid="{58B0619D-957A-4F20-825D-DC9EB085102F}"/>
    <cellStyle name="Normal 3 3 11" xfId="7954" xr:uid="{E93D26B2-9DB6-4939-8AFA-EB4A233C9339}"/>
    <cellStyle name="Normal 3 3 2" xfId="236" xr:uid="{00000000-0005-0000-0000-00000A070000}"/>
    <cellStyle name="Normal 3 3 2 2" xfId="688" xr:uid="{00000000-0005-0000-0000-00000B070000}"/>
    <cellStyle name="Normal 3 3 2 2 2" xfId="2642" xr:uid="{00000000-0005-0000-0000-00000C070000}"/>
    <cellStyle name="Normal 3 3 2 2 2 2" xfId="6563" xr:uid="{CE550013-14D4-4702-821B-1F114370B0C5}"/>
    <cellStyle name="Normal 3 3 2 2 2 2 2" xfId="14423" xr:uid="{4D7B2978-575D-4421-B314-0CF4F5B4CCA3}"/>
    <cellStyle name="Normal 3 3 2 2 2 3" xfId="10503" xr:uid="{367A7CE2-F573-40C4-8EA0-4F50342AA9DB}"/>
    <cellStyle name="Normal 3 3 2 2 3" xfId="4609" xr:uid="{564E0026-AC47-49D5-8D88-AD3BE4518C27}"/>
    <cellStyle name="Normal 3 3 2 2 3 2" xfId="12469" xr:uid="{FA53959F-17DE-4A83-8785-C28F0661EFEC}"/>
    <cellStyle name="Normal 3 3 2 2 4" xfId="8550" xr:uid="{9BBD8EDE-8BC9-4091-9F23-B4ADD40869F0}"/>
    <cellStyle name="Normal 3 3 2 3" xfId="1125" xr:uid="{00000000-0005-0000-0000-00000D070000}"/>
    <cellStyle name="Normal 3 3 2 3 2" xfId="3079" xr:uid="{00000000-0005-0000-0000-00000E070000}"/>
    <cellStyle name="Normal 3 3 2 3 2 2" xfId="7000" xr:uid="{E5873BD8-E25D-4767-A394-E9844DC82767}"/>
    <cellStyle name="Normal 3 3 2 3 2 2 2" xfId="14860" xr:uid="{32C32A83-1A52-46A3-BBEE-CDF2806C0615}"/>
    <cellStyle name="Normal 3 3 2 3 2 3" xfId="10940" xr:uid="{8FE3FCD4-4F99-406E-AA7F-0CDD8044E3CB}"/>
    <cellStyle name="Normal 3 3 2 3 3" xfId="5046" xr:uid="{3C29560F-F96F-49B3-8851-08A4E0E7DDEE}"/>
    <cellStyle name="Normal 3 3 2 3 3 2" xfId="12906" xr:uid="{793D114F-B073-47EA-B7BB-197BD0613B5E}"/>
    <cellStyle name="Normal 3 3 2 3 4" xfId="8987" xr:uid="{5D7E5A5D-0F91-47A4-8EBC-7D91544BA32E}"/>
    <cellStyle name="Normal 3 3 2 4" xfId="1552" xr:uid="{00000000-0005-0000-0000-00000F070000}"/>
    <cellStyle name="Normal 3 3 2 4 2" xfId="3506" xr:uid="{00000000-0005-0000-0000-000010070000}"/>
    <cellStyle name="Normal 3 3 2 4 2 2" xfId="7427" xr:uid="{B830AB6F-FBE2-41AB-BB92-376E167693A2}"/>
    <cellStyle name="Normal 3 3 2 4 2 2 2" xfId="15287" xr:uid="{E5987142-9ED4-4A71-9F01-8DA01948DBD1}"/>
    <cellStyle name="Normal 3 3 2 4 2 3" xfId="11367" xr:uid="{BA37D969-ADDA-4103-8444-465EC04930B3}"/>
    <cellStyle name="Normal 3 3 2 4 3" xfId="5473" xr:uid="{1F3034A9-CCC3-4424-8434-F866C6A436F4}"/>
    <cellStyle name="Normal 3 3 2 4 3 2" xfId="13333" xr:uid="{D4AAE182-1A2C-4946-8A22-04BD36C23DEF}"/>
    <cellStyle name="Normal 3 3 2 4 4" xfId="9414" xr:uid="{5DB1BEEE-4DCD-4287-8011-C5DBFF001989}"/>
    <cellStyle name="Normal 3 3 2 5" xfId="2205" xr:uid="{00000000-0005-0000-0000-000011070000}"/>
    <cellStyle name="Normal 3 3 2 5 2" xfId="6126" xr:uid="{C6DCA6AE-D595-4282-8723-362BADDE574E}"/>
    <cellStyle name="Normal 3 3 2 5 2 2" xfId="13986" xr:uid="{AF905552-9491-4ED9-ADEA-035C9796D1B4}"/>
    <cellStyle name="Normal 3 3 2 5 3" xfId="10066" xr:uid="{F8FF91E3-CB2B-4205-A90A-E636C64DCFEB}"/>
    <cellStyle name="Normal 3 3 2 6" xfId="4172" xr:uid="{3B82BE85-5B55-450B-ABE9-D4984F7B9FC8}"/>
    <cellStyle name="Normal 3 3 2 6 2" xfId="12032" xr:uid="{61ED3309-AEFD-4A9E-BB46-57F755F59B60}"/>
    <cellStyle name="Normal 3 3 2 7" xfId="8110" xr:uid="{9628D19E-363D-4EC9-A3E1-1EFE8F64D051}"/>
    <cellStyle name="Normal 3 3 3" xfId="158" xr:uid="{00000000-0005-0000-0000-000012070000}"/>
    <cellStyle name="Normal 3 3 3 2" xfId="610" xr:uid="{00000000-0005-0000-0000-000013070000}"/>
    <cellStyle name="Normal 3 3 3 2 2" xfId="2564" xr:uid="{00000000-0005-0000-0000-000014070000}"/>
    <cellStyle name="Normal 3 3 3 2 2 2" xfId="6485" xr:uid="{D197B7CD-5E9D-44DF-A4C2-ADDDEF75EFB3}"/>
    <cellStyle name="Normal 3 3 3 2 2 2 2" xfId="14345" xr:uid="{302930D7-54A4-4F24-93D7-9DA4E6A732E8}"/>
    <cellStyle name="Normal 3 3 3 2 2 3" xfId="10425" xr:uid="{48367D12-C733-4550-AE0F-EA76CD9AB80E}"/>
    <cellStyle name="Normal 3 3 3 2 3" xfId="4531" xr:uid="{86CC751C-706B-45B5-9E98-97043AF11158}"/>
    <cellStyle name="Normal 3 3 3 2 3 2" xfId="12391" xr:uid="{3B98F26E-652A-45B7-ACE4-B27B2D40D932}"/>
    <cellStyle name="Normal 3 3 3 2 4" xfId="8472" xr:uid="{F0F0335A-10E7-48BA-BE0A-389817697A49}"/>
    <cellStyle name="Normal 3 3 3 3" xfId="1047" xr:uid="{00000000-0005-0000-0000-000015070000}"/>
    <cellStyle name="Normal 3 3 3 3 2" xfId="3001" xr:uid="{00000000-0005-0000-0000-000016070000}"/>
    <cellStyle name="Normal 3 3 3 3 2 2" xfId="6922" xr:uid="{304730D3-58E7-48DC-A347-AF4F50D34ABF}"/>
    <cellStyle name="Normal 3 3 3 3 2 2 2" xfId="14782" xr:uid="{0BC6F0B0-14BE-4CA6-8C82-8C9FE1B4618E}"/>
    <cellStyle name="Normal 3 3 3 3 2 3" xfId="10862" xr:uid="{2974E768-6DEF-48EC-8AA4-1CCCC4601807}"/>
    <cellStyle name="Normal 3 3 3 3 3" xfId="4968" xr:uid="{EF98F426-D6B9-4507-9720-13506103BBC3}"/>
    <cellStyle name="Normal 3 3 3 3 3 2" xfId="12828" xr:uid="{215C1EED-3E9B-4C86-B48F-2BE7DBA945D6}"/>
    <cellStyle name="Normal 3 3 3 3 4" xfId="8909" xr:uid="{0BF48695-B12E-4CD8-BA26-E06920EC723F}"/>
    <cellStyle name="Normal 3 3 3 4" xfId="1474" xr:uid="{00000000-0005-0000-0000-000017070000}"/>
    <cellStyle name="Normal 3 3 3 4 2" xfId="3428" xr:uid="{00000000-0005-0000-0000-000018070000}"/>
    <cellStyle name="Normal 3 3 3 4 2 2" xfId="7349" xr:uid="{F87C43B6-79DF-4874-9A44-0BC41DAEFF71}"/>
    <cellStyle name="Normal 3 3 3 4 2 2 2" xfId="15209" xr:uid="{E4218C5B-92D6-470C-8E06-A99E8AE57486}"/>
    <cellStyle name="Normal 3 3 3 4 2 3" xfId="11289" xr:uid="{5A411836-54CB-4B7A-95EB-482317982521}"/>
    <cellStyle name="Normal 3 3 3 4 3" xfId="5395" xr:uid="{1F69C76E-9A81-4FDD-A208-A402FFA7BCAB}"/>
    <cellStyle name="Normal 3 3 3 4 3 2" xfId="13255" xr:uid="{637BBB75-8CDD-4EAC-A599-CCDCBC3346DC}"/>
    <cellStyle name="Normal 3 3 3 4 4" xfId="9336" xr:uid="{873F1E57-8084-4264-B71E-D4949CEC4E3A}"/>
    <cellStyle name="Normal 3 3 3 5" xfId="2127" xr:uid="{00000000-0005-0000-0000-000019070000}"/>
    <cellStyle name="Normal 3 3 3 5 2" xfId="6048" xr:uid="{A79F083E-B44B-47FE-B5C1-2E716F281F4A}"/>
    <cellStyle name="Normal 3 3 3 5 2 2" xfId="13908" xr:uid="{512CA903-5425-4F36-B36B-EB1B4774122A}"/>
    <cellStyle name="Normal 3 3 3 5 3" xfId="9988" xr:uid="{532F5190-B4CD-4F19-BDE7-BA2D8D12FB4D}"/>
    <cellStyle name="Normal 3 3 3 6" xfId="4094" xr:uid="{4D5CCA9B-25A2-4BBD-BCFB-9C1D1C132385}"/>
    <cellStyle name="Normal 3 3 3 6 2" xfId="11954" xr:uid="{DED01785-9A1B-4BC1-8CD5-67477CD2961A}"/>
    <cellStyle name="Normal 3 3 3 7" xfId="8032" xr:uid="{388BF468-55E0-401E-A8E3-18330CA9CF4B}"/>
    <cellStyle name="Normal 3 3 4" xfId="343" xr:uid="{00000000-0005-0000-0000-00001A070000}"/>
    <cellStyle name="Normal 3 3 4 2" xfId="795" xr:uid="{00000000-0005-0000-0000-00001B070000}"/>
    <cellStyle name="Normal 3 3 4 2 2" xfId="2749" xr:uid="{00000000-0005-0000-0000-00001C070000}"/>
    <cellStyle name="Normal 3 3 4 2 2 2" xfId="6670" xr:uid="{CEFCE8FD-466D-4D09-8DF7-B3F3F46FF516}"/>
    <cellStyle name="Normal 3 3 4 2 2 2 2" xfId="14530" xr:uid="{0F7C0653-F5E9-46E9-B239-63576E78D249}"/>
    <cellStyle name="Normal 3 3 4 2 2 3" xfId="10610" xr:uid="{FD6BC90C-C42D-4450-993A-CECB0478313D}"/>
    <cellStyle name="Normal 3 3 4 2 3" xfId="4716" xr:uid="{E8714D28-A723-4E22-893A-FB3F1047774B}"/>
    <cellStyle name="Normal 3 3 4 2 3 2" xfId="12576" xr:uid="{228C890E-F312-4CFF-9BC0-9B6CE9EBDCE6}"/>
    <cellStyle name="Normal 3 3 4 2 4" xfId="8657" xr:uid="{552855F7-E472-4DAB-926A-D6027A6ADCCA}"/>
    <cellStyle name="Normal 3 3 4 3" xfId="1229" xr:uid="{00000000-0005-0000-0000-00001D070000}"/>
    <cellStyle name="Normal 3 3 4 3 2" xfId="3183" xr:uid="{00000000-0005-0000-0000-00001E070000}"/>
    <cellStyle name="Normal 3 3 4 3 2 2" xfId="7104" xr:uid="{AEF89AC8-9D2F-4C49-83F2-AAB580BCA485}"/>
    <cellStyle name="Normal 3 3 4 3 2 2 2" xfId="14964" xr:uid="{378AE206-2E13-47CA-A317-E2622DB6FB5A}"/>
    <cellStyle name="Normal 3 3 4 3 2 3" xfId="11044" xr:uid="{A747D5E5-CE2B-4240-957F-0219C1C2CC1E}"/>
    <cellStyle name="Normal 3 3 4 3 3" xfId="5150" xr:uid="{9096327F-DCD9-49B1-A85B-67D307253A2A}"/>
    <cellStyle name="Normal 3 3 4 3 3 2" xfId="13010" xr:uid="{909E2649-33A6-464F-B4B7-7C55C870F476}"/>
    <cellStyle name="Normal 3 3 4 3 4" xfId="9091" xr:uid="{8A0D2915-45D1-4A34-B0EF-87356EF4EDF2}"/>
    <cellStyle name="Normal 3 3 4 4" xfId="1649" xr:uid="{00000000-0005-0000-0000-00001F070000}"/>
    <cellStyle name="Normal 3 3 4 4 2" xfId="3603" xr:uid="{00000000-0005-0000-0000-000020070000}"/>
    <cellStyle name="Normal 3 3 4 4 2 2" xfId="7524" xr:uid="{1610BB54-E508-4C36-9B1D-AB1FBA7304F6}"/>
    <cellStyle name="Normal 3 3 4 4 2 2 2" xfId="15384" xr:uid="{9AB3FFA9-6E97-4944-B750-1CF569DA8F9F}"/>
    <cellStyle name="Normal 3 3 4 4 2 3" xfId="11464" xr:uid="{874CB73D-7FCD-4B91-9337-7BCFFE2DFF43}"/>
    <cellStyle name="Normal 3 3 4 4 3" xfId="5570" xr:uid="{6743023B-C32A-4B1F-9966-B01BBA9A7850}"/>
    <cellStyle name="Normal 3 3 4 4 3 2" xfId="13430" xr:uid="{9D4AC1B7-D7B4-41AA-BDE2-7A33F6D3AEA7}"/>
    <cellStyle name="Normal 3 3 4 4 4" xfId="9511" xr:uid="{8D40068D-18F1-42C0-9B8F-A5BB5AD2BE95}"/>
    <cellStyle name="Normal 3 3 4 5" xfId="2303" xr:uid="{00000000-0005-0000-0000-000021070000}"/>
    <cellStyle name="Normal 3 3 4 5 2" xfId="6224" xr:uid="{9B908719-24A6-4380-AF73-8EF495EB33C1}"/>
    <cellStyle name="Normal 3 3 4 5 2 2" xfId="14084" xr:uid="{FA0BBDBB-3E87-4330-83CA-10156DAEA24D}"/>
    <cellStyle name="Normal 3 3 4 5 3" xfId="10164" xr:uid="{FAE5E98F-5150-4FAF-96D3-EBE2B43B7A74}"/>
    <cellStyle name="Normal 3 3 4 6" xfId="4270" xr:uid="{98410A81-D04E-4740-BA9E-9F5799158306}"/>
    <cellStyle name="Normal 3 3 4 6 2" xfId="12130" xr:uid="{D8F5A306-BE83-48DA-BC2F-2C40AAF003F8}"/>
    <cellStyle name="Normal 3 3 4 7" xfId="8209" xr:uid="{ED3E979D-5756-471B-99FE-3077024FCCF2}"/>
    <cellStyle name="Normal 3 3 5" xfId="440" xr:uid="{00000000-0005-0000-0000-000022070000}"/>
    <cellStyle name="Normal 3 3 5 2" xfId="891" xr:uid="{00000000-0005-0000-0000-000023070000}"/>
    <cellStyle name="Normal 3 3 5 2 2" xfId="2845" xr:uid="{00000000-0005-0000-0000-000024070000}"/>
    <cellStyle name="Normal 3 3 5 2 2 2" xfId="6766" xr:uid="{7134352D-B596-4308-9B04-85CDDE3C3AC6}"/>
    <cellStyle name="Normal 3 3 5 2 2 2 2" xfId="14626" xr:uid="{77B3F09C-F901-4412-B1AD-EB6DB734CC60}"/>
    <cellStyle name="Normal 3 3 5 2 2 3" xfId="10706" xr:uid="{5429776E-6855-4E90-AA5D-503F2F9AE204}"/>
    <cellStyle name="Normal 3 3 5 2 3" xfId="4812" xr:uid="{D810B909-D283-47AB-97F8-1A45106F53CE}"/>
    <cellStyle name="Normal 3 3 5 2 3 2" xfId="12672" xr:uid="{03EA1CDC-102E-41FB-8C1A-43DF2F39B186}"/>
    <cellStyle name="Normal 3 3 5 2 4" xfId="8753" xr:uid="{3DF1CE2B-C0D4-4C67-83E8-3AD6209C70AF}"/>
    <cellStyle name="Normal 3 3 5 3" xfId="1323" xr:uid="{00000000-0005-0000-0000-000025070000}"/>
    <cellStyle name="Normal 3 3 5 3 2" xfId="3277" xr:uid="{00000000-0005-0000-0000-000026070000}"/>
    <cellStyle name="Normal 3 3 5 3 2 2" xfId="7198" xr:uid="{9A8B651C-CC31-4FDD-BE2E-16EC2E13310B}"/>
    <cellStyle name="Normal 3 3 5 3 2 2 2" xfId="15058" xr:uid="{5A84CABB-6597-4F7C-9763-23F81CB795E6}"/>
    <cellStyle name="Normal 3 3 5 3 2 3" xfId="11138" xr:uid="{DF34C953-D71D-44CB-AEC6-3682A6D2CB9B}"/>
    <cellStyle name="Normal 3 3 5 3 3" xfId="5244" xr:uid="{5C253F60-21D4-4F26-B3AE-78EC6A753C09}"/>
    <cellStyle name="Normal 3 3 5 3 3 2" xfId="13104" xr:uid="{320200B6-A0F1-4B02-B41A-4BB1A77AC485}"/>
    <cellStyle name="Normal 3 3 5 3 4" xfId="9185" xr:uid="{607EB830-F6DB-4AAE-8F21-1D02FCAD99DA}"/>
    <cellStyle name="Normal 3 3 5 4" xfId="1741" xr:uid="{00000000-0005-0000-0000-000027070000}"/>
    <cellStyle name="Normal 3 3 5 4 2" xfId="3695" xr:uid="{00000000-0005-0000-0000-000028070000}"/>
    <cellStyle name="Normal 3 3 5 4 2 2" xfId="7616" xr:uid="{60E77D3F-E7DC-441A-9859-A7878D5AAEF4}"/>
    <cellStyle name="Normal 3 3 5 4 2 2 2" xfId="15476" xr:uid="{0E89DAB0-2231-4F8E-91CF-FBC8D154E167}"/>
    <cellStyle name="Normal 3 3 5 4 2 3" xfId="11556" xr:uid="{C216FD7D-2B04-4692-8675-D1316E442423}"/>
    <cellStyle name="Normal 3 3 5 4 3" xfId="5662" xr:uid="{38FABF29-7FD0-48F6-9B43-583608342EAA}"/>
    <cellStyle name="Normal 3 3 5 4 3 2" xfId="13522" xr:uid="{5ED6742F-83D0-400F-AF58-E67C3EB25F3C}"/>
    <cellStyle name="Normal 3 3 5 4 4" xfId="9603" xr:uid="{793C7666-A29B-4B84-A01E-0091B1F38CB0}"/>
    <cellStyle name="Normal 3 3 5 5" xfId="2395" xr:uid="{00000000-0005-0000-0000-000029070000}"/>
    <cellStyle name="Normal 3 3 5 5 2" xfId="6316" xr:uid="{D87BB82E-DF2D-4389-8F24-A604617D70B5}"/>
    <cellStyle name="Normal 3 3 5 5 2 2" xfId="14176" xr:uid="{1BCDE028-3AAD-4124-B635-DF0F3F5EA6B6}"/>
    <cellStyle name="Normal 3 3 5 5 3" xfId="10256" xr:uid="{82D4B26B-3F30-4C70-A1F7-64C96D00DA4A}"/>
    <cellStyle name="Normal 3 3 5 6" xfId="4362" xr:uid="{8064F8CF-BB59-4FBF-BEB2-6D1F323C0842}"/>
    <cellStyle name="Normal 3 3 5 6 2" xfId="12222" xr:uid="{E6D76BA0-ACC3-4B60-A5C0-A5C6E280158F}"/>
    <cellStyle name="Normal 3 3 5 7" xfId="8303" xr:uid="{72008673-2473-47ED-8B3D-17255A9C5F78}"/>
    <cellStyle name="Normal 3 3 6" xfId="532" xr:uid="{00000000-0005-0000-0000-00002A070000}"/>
    <cellStyle name="Normal 3 3 6 2" xfId="2486" xr:uid="{00000000-0005-0000-0000-00002B070000}"/>
    <cellStyle name="Normal 3 3 6 2 2" xfId="6407" xr:uid="{86F42A86-BEAF-46F9-81B8-0B7D6C699690}"/>
    <cellStyle name="Normal 3 3 6 2 2 2" xfId="14267" xr:uid="{B8ADF892-5B26-474A-B0E0-91B08854B1B6}"/>
    <cellStyle name="Normal 3 3 6 2 3" xfId="10347" xr:uid="{B1D0FF78-32DD-4716-922A-C65F62F284A7}"/>
    <cellStyle name="Normal 3 3 6 3" xfId="4453" xr:uid="{2B2A821A-49E6-4813-B35B-B37FB8A74D53}"/>
    <cellStyle name="Normal 3 3 6 3 2" xfId="12313" xr:uid="{CE616632-B189-4F35-8F98-F07DB186F0CF}"/>
    <cellStyle name="Normal 3 3 6 4" xfId="8394" xr:uid="{E87EE4D7-CD2C-4D45-B34F-B54347F1C96B}"/>
    <cellStyle name="Normal 3 3 7" xfId="969" xr:uid="{00000000-0005-0000-0000-00002C070000}"/>
    <cellStyle name="Normal 3 3 7 2" xfId="2923" xr:uid="{00000000-0005-0000-0000-00002D070000}"/>
    <cellStyle name="Normal 3 3 7 2 2" xfId="6844" xr:uid="{0D789A2B-DA3E-4A88-A75C-4DD933261AF6}"/>
    <cellStyle name="Normal 3 3 7 2 2 2" xfId="14704" xr:uid="{16E5C642-BCB1-4C2D-B867-B6C1ADF4C58D}"/>
    <cellStyle name="Normal 3 3 7 2 3" xfId="10784" xr:uid="{F7251FDD-AF22-4DC7-9188-BEF0CCB7337A}"/>
    <cellStyle name="Normal 3 3 7 3" xfId="4890" xr:uid="{63AB494C-DC3C-4D06-B710-9802133E26A5}"/>
    <cellStyle name="Normal 3 3 7 3 2" xfId="12750" xr:uid="{7459C0C5-C5CF-4E15-879D-C87D0E3564F5}"/>
    <cellStyle name="Normal 3 3 7 4" xfId="8831" xr:uid="{B682D227-5ACB-471D-BE25-9A6DA1C6D930}"/>
    <cellStyle name="Normal 3 3 8" xfId="1396" xr:uid="{00000000-0005-0000-0000-00002E070000}"/>
    <cellStyle name="Normal 3 3 8 2" xfId="3350" xr:uid="{00000000-0005-0000-0000-00002F070000}"/>
    <cellStyle name="Normal 3 3 8 2 2" xfId="7271" xr:uid="{0C54A912-4417-4BCF-AB4C-4AC756F787CB}"/>
    <cellStyle name="Normal 3 3 8 2 2 2" xfId="15131" xr:uid="{D02FC551-F27D-4B5D-AF2A-B5BEC38D9E5D}"/>
    <cellStyle name="Normal 3 3 8 2 3" xfId="11211" xr:uid="{7325BC89-1E5D-4023-9ECD-D7DAB5DE0DC2}"/>
    <cellStyle name="Normal 3 3 8 3" xfId="5317" xr:uid="{3D82886A-4C05-4993-8211-3B7F427713BA}"/>
    <cellStyle name="Normal 3 3 8 3 2" xfId="13177" xr:uid="{A8DD3C81-1115-482E-A11E-39FB6EB3321E}"/>
    <cellStyle name="Normal 3 3 8 4" xfId="9258" xr:uid="{0EA68A14-268D-444B-BE2F-2308F71F92D5}"/>
    <cellStyle name="Normal 3 3 9" xfId="2049" xr:uid="{00000000-0005-0000-0000-000030070000}"/>
    <cellStyle name="Normal 3 3 9 2" xfId="5970" xr:uid="{9CEA63EA-9B39-4B8A-8957-0DAA93827DE7}"/>
    <cellStyle name="Normal 3 3 9 2 2" xfId="13830" xr:uid="{0D357B75-2C85-4411-AF95-E1B6AEFA8E3D}"/>
    <cellStyle name="Normal 3 3 9 3" xfId="9910" xr:uid="{0B47BA48-58B1-4ACD-8510-D03B22F07696}"/>
    <cellStyle name="Normal 3 4" xfId="197" xr:uid="{00000000-0005-0000-0000-000031070000}"/>
    <cellStyle name="Normal 3 4 2" xfId="649" xr:uid="{00000000-0005-0000-0000-000032070000}"/>
    <cellStyle name="Normal 3 4 2 2" xfId="2603" xr:uid="{00000000-0005-0000-0000-000033070000}"/>
    <cellStyle name="Normal 3 4 2 2 2" xfId="6524" xr:uid="{3D3FAC8F-BB27-4876-A5A2-ADC4419B512E}"/>
    <cellStyle name="Normal 3 4 2 2 2 2" xfId="14384" xr:uid="{9AFF5BD2-1BE3-41B6-824B-FC0E39C8715C}"/>
    <cellStyle name="Normal 3 4 2 2 3" xfId="10464" xr:uid="{4ED0DC4B-7698-4BB3-B3D9-E33BF0C246AA}"/>
    <cellStyle name="Normal 3 4 2 3" xfId="4570" xr:uid="{0C57B11B-6726-411E-A35E-1C13CA2593E6}"/>
    <cellStyle name="Normal 3 4 2 3 2" xfId="12430" xr:uid="{D1D2CB70-36E7-485B-A6AE-D6FD4CE258F9}"/>
    <cellStyle name="Normal 3 4 2 4" xfId="8511" xr:uid="{DEC076BE-9DA9-4DF4-A71B-6103A5E05DB8}"/>
    <cellStyle name="Normal 3 4 3" xfId="1086" xr:uid="{00000000-0005-0000-0000-000034070000}"/>
    <cellStyle name="Normal 3 4 3 2" xfId="3040" xr:uid="{00000000-0005-0000-0000-000035070000}"/>
    <cellStyle name="Normal 3 4 3 2 2" xfId="6961" xr:uid="{2B4E7B37-45B4-4680-9154-9BD7CCC0E1DB}"/>
    <cellStyle name="Normal 3 4 3 2 2 2" xfId="14821" xr:uid="{B7D2AE16-8E97-4CAB-A7D1-1B6BBA6862EC}"/>
    <cellStyle name="Normal 3 4 3 2 3" xfId="10901" xr:uid="{DA788EE1-0218-4606-8A2D-A4C5705C981A}"/>
    <cellStyle name="Normal 3 4 3 3" xfId="5007" xr:uid="{F9CB8A28-A4AD-4237-962B-02347A6ADB54}"/>
    <cellStyle name="Normal 3 4 3 3 2" xfId="12867" xr:uid="{E07DC872-4927-415F-8E44-9D6A6674F99E}"/>
    <cellStyle name="Normal 3 4 3 4" xfId="8948" xr:uid="{430FE7B2-0526-4F03-89F3-E858E895E8EC}"/>
    <cellStyle name="Normal 3 4 4" xfId="1513" xr:uid="{00000000-0005-0000-0000-000036070000}"/>
    <cellStyle name="Normal 3 4 4 2" xfId="3467" xr:uid="{00000000-0005-0000-0000-000037070000}"/>
    <cellStyle name="Normal 3 4 4 2 2" xfId="7388" xr:uid="{F25714D6-A416-48EE-A07A-AF802FCCFCF0}"/>
    <cellStyle name="Normal 3 4 4 2 2 2" xfId="15248" xr:uid="{6030FB5E-BDC8-4F36-A942-241ED7F6DD50}"/>
    <cellStyle name="Normal 3 4 4 2 3" xfId="11328" xr:uid="{34A0FCA4-7313-436C-917B-6E11058F6342}"/>
    <cellStyle name="Normal 3 4 4 3" xfId="5434" xr:uid="{EA3A8526-7658-4CDF-840F-F167D8B736E2}"/>
    <cellStyle name="Normal 3 4 4 3 2" xfId="13294" xr:uid="{711FE0D2-8439-4F7E-BC8B-DC42FB341BA6}"/>
    <cellStyle name="Normal 3 4 4 4" xfId="9375" xr:uid="{AADF1259-7DC1-45A2-9024-D6BAA5BC47FC}"/>
    <cellStyle name="Normal 3 4 5" xfId="2166" xr:uid="{00000000-0005-0000-0000-000038070000}"/>
    <cellStyle name="Normal 3 4 5 2" xfId="6087" xr:uid="{A9410A17-7668-4EA1-8492-44617A542B39}"/>
    <cellStyle name="Normal 3 4 5 2 2" xfId="13947" xr:uid="{D4B39AFD-3C85-404B-8C28-8D894360C9D1}"/>
    <cellStyle name="Normal 3 4 5 3" xfId="10027" xr:uid="{8C270C18-A347-4DBD-834A-52AA5E6E50C2}"/>
    <cellStyle name="Normal 3 4 6" xfId="4133" xr:uid="{B6340BE2-69C5-4F7C-9E7A-9285D1868C80}"/>
    <cellStyle name="Normal 3 4 6 2" xfId="11993" xr:uid="{ED3063A5-D8CE-481B-AECA-F2B55C403337}"/>
    <cellStyle name="Normal 3 4 7" xfId="8071" xr:uid="{6BE29014-83CC-44CD-854B-A1F290E8ED95}"/>
    <cellStyle name="Normal 3 5" xfId="119" xr:uid="{00000000-0005-0000-0000-000039070000}"/>
    <cellStyle name="Normal 3 5 2" xfId="571" xr:uid="{00000000-0005-0000-0000-00003A070000}"/>
    <cellStyle name="Normal 3 5 2 2" xfId="2525" xr:uid="{00000000-0005-0000-0000-00003B070000}"/>
    <cellStyle name="Normal 3 5 2 2 2" xfId="6446" xr:uid="{CBAE153E-C781-46A4-B159-F98D220F91D2}"/>
    <cellStyle name="Normal 3 5 2 2 2 2" xfId="14306" xr:uid="{38C90735-0322-4ADE-A262-4642C0B81FB6}"/>
    <cellStyle name="Normal 3 5 2 2 3" xfId="10386" xr:uid="{C7B76742-9518-4349-997D-26221E9AC3F2}"/>
    <cellStyle name="Normal 3 5 2 3" xfId="4492" xr:uid="{6AA5BCD0-DCEB-49A8-980C-43ADE8F5D65E}"/>
    <cellStyle name="Normal 3 5 2 3 2" xfId="12352" xr:uid="{19867CCB-B657-49D0-9F94-D075E048152B}"/>
    <cellStyle name="Normal 3 5 2 4" xfId="8433" xr:uid="{B83B844B-49C3-4CDD-B611-75F864D81A03}"/>
    <cellStyle name="Normal 3 5 3" xfId="1008" xr:uid="{00000000-0005-0000-0000-00003C070000}"/>
    <cellStyle name="Normal 3 5 3 2" xfId="2962" xr:uid="{00000000-0005-0000-0000-00003D070000}"/>
    <cellStyle name="Normal 3 5 3 2 2" xfId="6883" xr:uid="{CC071028-CCF9-45BE-AF27-AEA4CC7DD272}"/>
    <cellStyle name="Normal 3 5 3 2 2 2" xfId="14743" xr:uid="{29C1595E-09D2-408E-A9A2-1B8FCA43B4D3}"/>
    <cellStyle name="Normal 3 5 3 2 3" xfId="10823" xr:uid="{B65A3F47-5559-43D1-9975-7453BC2F7873}"/>
    <cellStyle name="Normal 3 5 3 3" xfId="4929" xr:uid="{63D241B7-09C2-4F4D-937B-7A92A2DA357E}"/>
    <cellStyle name="Normal 3 5 3 3 2" xfId="12789" xr:uid="{A96A4598-10B5-4794-BAFF-DFA77CF4F42F}"/>
    <cellStyle name="Normal 3 5 3 4" xfId="8870" xr:uid="{355AC170-237B-4B9C-9FA2-DFE2B677979A}"/>
    <cellStyle name="Normal 3 5 4" xfId="1435" xr:uid="{00000000-0005-0000-0000-00003E070000}"/>
    <cellStyle name="Normal 3 5 4 2" xfId="3389" xr:uid="{00000000-0005-0000-0000-00003F070000}"/>
    <cellStyle name="Normal 3 5 4 2 2" xfId="7310" xr:uid="{FC6CE782-FC19-4A5B-945E-E6323ECFAEB0}"/>
    <cellStyle name="Normal 3 5 4 2 2 2" xfId="15170" xr:uid="{ADF8B518-4192-4364-B6FF-B7B9B3047FD7}"/>
    <cellStyle name="Normal 3 5 4 2 3" xfId="11250" xr:uid="{B37AF3F2-D00B-4F8C-930B-55913660068C}"/>
    <cellStyle name="Normal 3 5 4 3" xfId="5356" xr:uid="{E6CB5795-1619-4E99-9358-D2F4D375E3BE}"/>
    <cellStyle name="Normal 3 5 4 3 2" xfId="13216" xr:uid="{D5E5F080-2005-4B2D-BE92-D1E0A14D90C3}"/>
    <cellStyle name="Normal 3 5 4 4" xfId="9297" xr:uid="{54D946C4-B0C6-431E-BA5A-F64902DF94AA}"/>
    <cellStyle name="Normal 3 5 5" xfId="2088" xr:uid="{00000000-0005-0000-0000-000040070000}"/>
    <cellStyle name="Normal 3 5 5 2" xfId="6009" xr:uid="{3D42692C-F9AF-4598-80ED-36EC70B85248}"/>
    <cellStyle name="Normal 3 5 5 2 2" xfId="13869" xr:uid="{4025DFF6-7B04-4674-9314-559859B15E62}"/>
    <cellStyle name="Normal 3 5 5 3" xfId="9949" xr:uid="{DB2C1338-166C-4F41-8EBA-BEFA00CEB9EC}"/>
    <cellStyle name="Normal 3 5 6" xfId="4055" xr:uid="{34474DA3-7A06-4DE6-B12E-DA942156559D}"/>
    <cellStyle name="Normal 3 5 6 2" xfId="11915" xr:uid="{0E2D1363-23FD-452D-A0BA-4E452CCE9CDD}"/>
    <cellStyle name="Normal 3 5 7" xfId="7993" xr:uid="{D745CE23-1263-47F4-ADF9-C59D28BC366C}"/>
    <cellStyle name="Normal 3 6" xfId="244" xr:uid="{00000000-0005-0000-0000-000041070000}"/>
    <cellStyle name="Normal 3 7" xfId="296" xr:uid="{00000000-0005-0000-0000-000042070000}"/>
    <cellStyle name="Normal 3 7 2" xfId="748" xr:uid="{00000000-0005-0000-0000-000043070000}"/>
    <cellStyle name="Normal 3 7 2 2" xfId="2702" xr:uid="{00000000-0005-0000-0000-000044070000}"/>
    <cellStyle name="Normal 3 7 2 2 2" xfId="6623" xr:uid="{DE1F0C81-01A9-44A9-8FEB-2A3E3CEB234A}"/>
    <cellStyle name="Normal 3 7 2 2 2 2" xfId="14483" xr:uid="{CD50DBA5-0D0D-4152-8DD6-A2D631AC3458}"/>
    <cellStyle name="Normal 3 7 2 2 3" xfId="10563" xr:uid="{01B2B31A-4BCC-422D-95BE-322DEE3A94CF}"/>
    <cellStyle name="Normal 3 7 2 3" xfId="4669" xr:uid="{5515CCD1-BFAF-44BE-8857-14B02BED876A}"/>
    <cellStyle name="Normal 3 7 2 3 2" xfId="12529" xr:uid="{3660648E-7CBC-45BD-B1E0-098203870E6B}"/>
    <cellStyle name="Normal 3 7 2 4" xfId="8610" xr:uid="{D880180E-D43C-455A-829A-525CE2F7A7F3}"/>
    <cellStyle name="Normal 3 7 3" xfId="1184" xr:uid="{00000000-0005-0000-0000-000045070000}"/>
    <cellStyle name="Normal 3 7 3 2" xfId="3138" xr:uid="{00000000-0005-0000-0000-000046070000}"/>
    <cellStyle name="Normal 3 7 3 2 2" xfId="7059" xr:uid="{E2264A55-B629-4077-845D-69845F7C5CA3}"/>
    <cellStyle name="Normal 3 7 3 2 2 2" xfId="14919" xr:uid="{A1B66243-DF85-4A76-A5F1-66F4AC3D7FC0}"/>
    <cellStyle name="Normal 3 7 3 2 3" xfId="10999" xr:uid="{A6496EDF-10CC-4B81-A36B-2643DF3518D4}"/>
    <cellStyle name="Normal 3 7 3 3" xfId="5105" xr:uid="{41964046-D5DF-4B3E-B00C-F6C97550E81F}"/>
    <cellStyle name="Normal 3 7 3 3 2" xfId="12965" xr:uid="{72ACA698-9FEC-44CE-B0D4-8EA34FE8A28D}"/>
    <cellStyle name="Normal 3 7 3 4" xfId="9046" xr:uid="{7D7F6CA0-25CB-425D-BDEB-BD0BCA905569}"/>
    <cellStyle name="Normal 3 7 4" xfId="1604" xr:uid="{00000000-0005-0000-0000-000047070000}"/>
    <cellStyle name="Normal 3 7 4 2" xfId="3558" xr:uid="{00000000-0005-0000-0000-000048070000}"/>
    <cellStyle name="Normal 3 7 4 2 2" xfId="7479" xr:uid="{FC8DCBCD-B4D4-4FDE-9005-F550761E21B5}"/>
    <cellStyle name="Normal 3 7 4 2 2 2" xfId="15339" xr:uid="{D3BB65B8-ADC9-4A7D-8F86-263CB8787A64}"/>
    <cellStyle name="Normal 3 7 4 2 3" xfId="11419" xr:uid="{4689E13E-4E22-4218-AADA-15F67A681DA8}"/>
    <cellStyle name="Normal 3 7 4 3" xfId="5525" xr:uid="{96A33A8F-314B-4568-A4FF-714FE0182AAF}"/>
    <cellStyle name="Normal 3 7 4 3 2" xfId="13385" xr:uid="{FE8D2156-56D0-40DA-96DE-D474F81F1F68}"/>
    <cellStyle name="Normal 3 7 4 4" xfId="9466" xr:uid="{AD30BD63-426D-41C2-AA48-4562EDB9C14F}"/>
    <cellStyle name="Normal 3 7 5" xfId="2258" xr:uid="{00000000-0005-0000-0000-000049070000}"/>
    <cellStyle name="Normal 3 7 5 2" xfId="6179" xr:uid="{072A0E04-0BAF-4954-BF43-F410EA984BC9}"/>
    <cellStyle name="Normal 3 7 5 2 2" xfId="14039" xr:uid="{BE017B05-7F67-4BD7-B418-E822BECB9C1D}"/>
    <cellStyle name="Normal 3 7 5 3" xfId="10119" xr:uid="{4B1CA059-36B7-46F1-8A04-33A893576F2C}"/>
    <cellStyle name="Normal 3 7 6" xfId="4225" xr:uid="{CDD8FB82-665D-4AC2-A4D5-894FD64F9CB5}"/>
    <cellStyle name="Normal 3 7 6 2" xfId="12085" xr:uid="{0D6EAA83-95C0-4F57-A14B-DBC47B02E8F0}"/>
    <cellStyle name="Normal 3 7 7" xfId="8164" xr:uid="{D3CCA74D-D33F-4E51-9DE6-08625DC4FFAC}"/>
    <cellStyle name="Normal 3 8" xfId="395" xr:uid="{00000000-0005-0000-0000-00004A070000}"/>
    <cellStyle name="Normal 3 8 2" xfId="846" xr:uid="{00000000-0005-0000-0000-00004B070000}"/>
    <cellStyle name="Normal 3 8 2 2" xfId="2800" xr:uid="{00000000-0005-0000-0000-00004C070000}"/>
    <cellStyle name="Normal 3 8 2 2 2" xfId="6721" xr:uid="{661900A1-8585-4B23-99E9-18B3A60F2D04}"/>
    <cellStyle name="Normal 3 8 2 2 2 2" xfId="14581" xr:uid="{CF3D616D-07CA-47A9-B114-94D0AC7B144B}"/>
    <cellStyle name="Normal 3 8 2 2 3" xfId="10661" xr:uid="{6C09BF46-1696-4EAC-A10F-5C4420D543C3}"/>
    <cellStyle name="Normal 3 8 2 3" xfId="4767" xr:uid="{2249BF29-C43E-4897-81BA-D78E30B34A4E}"/>
    <cellStyle name="Normal 3 8 2 3 2" xfId="12627" xr:uid="{C5128F9E-C483-4F8D-BC13-99D0BE368411}"/>
    <cellStyle name="Normal 3 8 2 4" xfId="8708" xr:uid="{721D84AE-E789-49EB-9651-D9057D2939B3}"/>
    <cellStyle name="Normal 3 8 3" xfId="1278" xr:uid="{00000000-0005-0000-0000-00004D070000}"/>
    <cellStyle name="Normal 3 8 3 2" xfId="3232" xr:uid="{00000000-0005-0000-0000-00004E070000}"/>
    <cellStyle name="Normal 3 8 3 2 2" xfId="7153" xr:uid="{DC125181-E288-46ED-97C1-B6009ADEF736}"/>
    <cellStyle name="Normal 3 8 3 2 2 2" xfId="15013" xr:uid="{590913C7-FC74-4664-B766-DD31E36C886F}"/>
    <cellStyle name="Normal 3 8 3 2 3" xfId="11093" xr:uid="{FC1796D7-0E7D-451C-BAC7-F551532A7507}"/>
    <cellStyle name="Normal 3 8 3 3" xfId="5199" xr:uid="{55DE8356-3673-441B-BC5C-9B305E2F06FC}"/>
    <cellStyle name="Normal 3 8 3 3 2" xfId="13059" xr:uid="{C831475A-BE60-4A5A-9E18-0C576BEEDD24}"/>
    <cellStyle name="Normal 3 8 3 4" xfId="9140" xr:uid="{F396E519-861D-4763-A4C7-AF25E184A097}"/>
    <cellStyle name="Normal 3 8 4" xfId="1696" xr:uid="{00000000-0005-0000-0000-00004F070000}"/>
    <cellStyle name="Normal 3 8 4 2" xfId="3650" xr:uid="{00000000-0005-0000-0000-000050070000}"/>
    <cellStyle name="Normal 3 8 4 2 2" xfId="7571" xr:uid="{9D66BF24-846C-4CE8-A30C-ACB8ABF8A8D2}"/>
    <cellStyle name="Normal 3 8 4 2 2 2" xfId="15431" xr:uid="{972C3EF1-6EBC-4FDF-827B-675EF36BD22B}"/>
    <cellStyle name="Normal 3 8 4 2 3" xfId="11511" xr:uid="{B66ADA60-5712-403E-BD19-1350A382EE76}"/>
    <cellStyle name="Normal 3 8 4 3" xfId="5617" xr:uid="{2ED8F9EB-E9B5-4A29-A5CF-EEB56ADB9991}"/>
    <cellStyle name="Normal 3 8 4 3 2" xfId="13477" xr:uid="{3D048FDA-D609-4D15-B4EF-5B55C3C8F38D}"/>
    <cellStyle name="Normal 3 8 4 4" xfId="9558" xr:uid="{34388A3F-8F04-4D6D-9F71-76E68126653E}"/>
    <cellStyle name="Normal 3 8 5" xfId="2350" xr:uid="{00000000-0005-0000-0000-000051070000}"/>
    <cellStyle name="Normal 3 8 5 2" xfId="6271" xr:uid="{EA2621D1-F413-4F97-9474-73E74FA1FC96}"/>
    <cellStyle name="Normal 3 8 5 2 2" xfId="14131" xr:uid="{44EA4F49-8C0A-4B71-86E0-A3C08A86789F}"/>
    <cellStyle name="Normal 3 8 5 3" xfId="10211" xr:uid="{13A6B8BB-D4A2-4B00-979E-929433AE8A0C}"/>
    <cellStyle name="Normal 3 8 6" xfId="4317" xr:uid="{82327ECC-6DBA-44D7-9E59-3F94C6D3481A}"/>
    <cellStyle name="Normal 3 8 6 2" xfId="12177" xr:uid="{72929711-558D-4A83-8B54-FE0EF6C79898}"/>
    <cellStyle name="Normal 3 8 7" xfId="8258" xr:uid="{C4090633-7DA7-45EE-8885-37E8CF583612}"/>
    <cellStyle name="Normal 3 9" xfId="493" xr:uid="{00000000-0005-0000-0000-000052070000}"/>
    <cellStyle name="Normal 3 9 2" xfId="2447" xr:uid="{00000000-0005-0000-0000-000053070000}"/>
    <cellStyle name="Normal 3 9 2 2" xfId="6368" xr:uid="{E4155169-9F4B-4C2A-8E75-21C86F252568}"/>
    <cellStyle name="Normal 3 9 2 2 2" xfId="14228" xr:uid="{93927ED4-A244-4468-9C5A-7780053AB81B}"/>
    <cellStyle name="Normal 3 9 2 3" xfId="10308" xr:uid="{BA33B27D-9D7C-4217-BB8A-218F854DCEFA}"/>
    <cellStyle name="Normal 3 9 3" xfId="4414" xr:uid="{15BA75BB-59EB-4CAA-9753-2B6683138269}"/>
    <cellStyle name="Normal 3 9 3 2" xfId="12274" xr:uid="{B21DFE17-1C98-45D4-98B4-25F905477132}"/>
    <cellStyle name="Normal 3 9 4" xfId="8355" xr:uid="{22A11CC5-EEEF-4943-87B5-1A8A812567F3}"/>
    <cellStyle name="Normal 30" xfId="1941" xr:uid="{00000000-0005-0000-0000-000054070000}"/>
    <cellStyle name="Normal 30 2" xfId="3892" xr:uid="{00000000-0005-0000-0000-000055070000}"/>
    <cellStyle name="Normal 30 2 2" xfId="7813" xr:uid="{B1C81D9A-51DB-4422-BA30-7117B1A66E99}"/>
    <cellStyle name="Normal 30 2 2 2" xfId="15673" xr:uid="{6325CE05-8E8E-409A-B628-663A870FD886}"/>
    <cellStyle name="Normal 30 2 3" xfId="11753" xr:uid="{BBF44B84-39C6-4ACF-A9F4-127E540873F9}"/>
    <cellStyle name="Normal 30 3" xfId="5862" xr:uid="{695ACB77-B48F-43BC-A3F1-1AF184C44667}"/>
    <cellStyle name="Normal 30 3 2" xfId="13722" xr:uid="{1048F703-8A43-42C9-824B-8CF15F867121}"/>
    <cellStyle name="Normal 30 4" xfId="9803" xr:uid="{5E7994E5-8241-45A8-B562-724AC7C768B5}"/>
    <cellStyle name="Normal 31" xfId="1942" xr:uid="{00000000-0005-0000-0000-000056070000}"/>
    <cellStyle name="Normal 31 2" xfId="1951" xr:uid="{00000000-0005-0000-0000-000057070000}"/>
    <cellStyle name="Normal 31 2 2" xfId="3902" xr:uid="{00000000-0005-0000-0000-000058070000}"/>
    <cellStyle name="Normal 31 2 2 2" xfId="7823" xr:uid="{79D10883-8306-493A-9836-027960C878E6}"/>
    <cellStyle name="Normal 31 2 2 2 2" xfId="15683" xr:uid="{5FF14883-B3D3-4ECD-9079-F91916C9B070}"/>
    <cellStyle name="Normal 31 2 2 3" xfId="11763" xr:uid="{C78648E1-CB64-4B65-A61C-62D28BDD5300}"/>
    <cellStyle name="Normal 31 2 3" xfId="5872" xr:uid="{8AFAA297-1BF7-43B4-8BF1-7F60CD4ADB37}"/>
    <cellStyle name="Normal 31 2 3 2" xfId="13732" xr:uid="{BD20A96B-F130-4E11-878A-54EC1974E02B}"/>
    <cellStyle name="Normal 31 2 4" xfId="9813" xr:uid="{D7807F5F-AB48-4D86-9CD5-5E3BA1C367BB}"/>
    <cellStyle name="Normal 31 3" xfId="3893" xr:uid="{00000000-0005-0000-0000-000059070000}"/>
    <cellStyle name="Normal 31 3 2" xfId="7814" xr:uid="{9DD09C1B-912E-4907-A881-26ED18E9D359}"/>
    <cellStyle name="Normal 31 3 2 2" xfId="15674" xr:uid="{7EC51349-B4D0-4A15-963E-5E20C892F75A}"/>
    <cellStyle name="Normal 31 3 3" xfId="11754" xr:uid="{A71803FB-7800-474A-B022-D0DB33A460D5}"/>
    <cellStyle name="Normal 31 4" xfId="5863" xr:uid="{E14ACAEF-62E8-4700-A994-FC366AE6A942}"/>
    <cellStyle name="Normal 31 4 2" xfId="13723" xr:uid="{C0364A66-48D0-45BD-A6CC-3F1B2305BEB3}"/>
    <cellStyle name="Normal 31 5" xfId="9804" xr:uid="{898F0C43-8DCC-4DD8-9098-84B1D5AD347E}"/>
    <cellStyle name="Normal 32" xfId="1945" xr:uid="{00000000-0005-0000-0000-00005A070000}"/>
    <cellStyle name="Normal 32 2" xfId="1958" xr:uid="{00000000-0005-0000-0000-00005B070000}"/>
    <cellStyle name="Normal 32 2 2" xfId="3909" xr:uid="{00000000-0005-0000-0000-00005C070000}"/>
    <cellStyle name="Normal 32 2 2 2" xfId="7830" xr:uid="{3E228F43-4DDB-46F0-A11B-9F3A2A8E13F0}"/>
    <cellStyle name="Normal 32 2 2 2 2" xfId="15690" xr:uid="{58268F0A-E6C7-47C6-959F-80626C590A67}"/>
    <cellStyle name="Normal 32 2 2 3" xfId="11770" xr:uid="{78B0B503-9B51-4575-9AA3-170555B28272}"/>
    <cellStyle name="Normal 32 2 3" xfId="3927" xr:uid="{9E8FA6E0-ECDF-44CC-A9C2-640EDC208AF6}"/>
    <cellStyle name="Normal 32 2 3 2" xfId="3932" xr:uid="{EB09B088-0A09-4EF9-AD4C-DA8B647F5A89}"/>
    <cellStyle name="Normal 32 2 3 2 2" xfId="7853" xr:uid="{B3345BA0-9E3C-4576-BDB0-1E3FE6905FD7}"/>
    <cellStyle name="Normal 32 2 3 2 2 2" xfId="15713" xr:uid="{EA3AB9CE-8CB8-46C3-8596-0231FF80119E}"/>
    <cellStyle name="Normal 32 2 3 2 3" xfId="11793" xr:uid="{E1DB1FE9-CC6E-4A2D-8504-AA26081B912B}"/>
    <cellStyle name="Normal 32 2 3 3" xfId="7848" xr:uid="{DB600C8B-2F7C-4E70-8265-0AF77378D764}"/>
    <cellStyle name="Normal 32 2 3 3 2" xfId="15708" xr:uid="{59FE1868-2961-4239-B668-869723E61530}"/>
    <cellStyle name="Normal 32 2 3 4" xfId="11788" xr:uid="{F03F45FE-0DE2-40DF-8A37-E5BFE97352D9}"/>
    <cellStyle name="Normal 32 2 4" xfId="5879" xr:uid="{52617299-A6B9-4096-B61F-B2FF664A7704}"/>
    <cellStyle name="Normal 32 2 4 2" xfId="13739" xr:uid="{68B8AD76-D8AF-48D9-9998-AD7F84789A7D}"/>
    <cellStyle name="Normal 32 2 5" xfId="9820" xr:uid="{66DF4000-734A-4E79-B721-5489869883A9}"/>
    <cellStyle name="Normal 32 3" xfId="3896" xr:uid="{00000000-0005-0000-0000-00005D070000}"/>
    <cellStyle name="Normal 32 3 2" xfId="7817" xr:uid="{C922983F-5912-4D11-9350-FADCD3CF174A}"/>
    <cellStyle name="Normal 32 3 2 2" xfId="15677" xr:uid="{DB8A5926-4998-4509-8039-EF75B81E42A7}"/>
    <cellStyle name="Normal 32 3 3" xfId="11757" xr:uid="{13567D79-EBE8-4E7A-ADE3-74CEEF9791A7}"/>
    <cellStyle name="Normal 32 4" xfId="5866" xr:uid="{EC7DA096-9F32-453F-AD6F-72C3B7D6DF09}"/>
    <cellStyle name="Normal 32 4 2" xfId="13726" xr:uid="{941720D6-E1D5-42B8-B806-E2D69A17E696}"/>
    <cellStyle name="Normal 32 5" xfId="9807" xr:uid="{6DE308C5-9071-4363-A561-BAC053B148B4}"/>
    <cellStyle name="Normal 33" xfId="1947" xr:uid="{00000000-0005-0000-0000-00005E070000}"/>
    <cellStyle name="Normal 33 2" xfId="3898" xr:uid="{00000000-0005-0000-0000-00005F070000}"/>
    <cellStyle name="Normal 33 2 2" xfId="7819" xr:uid="{381A2F95-48A2-48FE-A8AB-3BCEFA0BFB6E}"/>
    <cellStyle name="Normal 33 2 2 2" xfId="15679" xr:uid="{0FB7DC3B-B855-48AB-B9F1-05A27063DC99}"/>
    <cellStyle name="Normal 33 2 3" xfId="11759" xr:uid="{FE12B266-E92C-497E-A40E-07D375C47B0C}"/>
    <cellStyle name="Normal 33 3" xfId="5868" xr:uid="{C99CC07D-CA1C-40D1-A70A-CEEF3C480BFA}"/>
    <cellStyle name="Normal 33 3 2" xfId="13728" xr:uid="{62EB841D-EE9C-4058-AB0C-FDB5A2B647F9}"/>
    <cellStyle name="Normal 33 4" xfId="9809" xr:uid="{59C4086B-80EC-4537-B67E-3B1D81399B2D}"/>
    <cellStyle name="Normal 34" xfId="1948" xr:uid="{00000000-0005-0000-0000-000060070000}"/>
    <cellStyle name="Normal 34 2" xfId="1949" xr:uid="{00000000-0005-0000-0000-000061070000}"/>
    <cellStyle name="Normal 34 2 2" xfId="3900" xr:uid="{00000000-0005-0000-0000-000062070000}"/>
    <cellStyle name="Normal 34 2 2 2" xfId="7821" xr:uid="{6F984A1B-7EDD-40A3-97F5-CBA55B7C8E3B}"/>
    <cellStyle name="Normal 34 2 2 2 2" xfId="15681" xr:uid="{0910603C-E4C1-4D7F-8DA9-AFF49925AC13}"/>
    <cellStyle name="Normal 34 2 2 3" xfId="11761" xr:uid="{C22F7189-47DB-4545-9E9B-68CF8548D446}"/>
    <cellStyle name="Normal 34 2 3" xfId="5870" xr:uid="{EF1B6DE6-5DC3-426D-AC4D-96DB00D43659}"/>
    <cellStyle name="Normal 34 2 3 2" xfId="13730" xr:uid="{82C459B7-BF4D-4BBB-BA6A-74E4A5F6D3EF}"/>
    <cellStyle name="Normal 34 2 4" xfId="9811" xr:uid="{633F52C4-27D5-4108-807C-11D0CA0A7F51}"/>
    <cellStyle name="Normal 34 3" xfId="3899" xr:uid="{00000000-0005-0000-0000-000063070000}"/>
    <cellStyle name="Normal 34 3 2" xfId="7820" xr:uid="{DF3E973D-EEE7-42DE-B1F1-62AAF771D7BE}"/>
    <cellStyle name="Normal 34 3 2 2" xfId="15680" xr:uid="{596DF226-66E6-490A-A993-423F76A1CDFE}"/>
    <cellStyle name="Normal 34 3 3" xfId="11760" xr:uid="{2D1ED384-56ED-4E35-ABF9-3301F71326A5}"/>
    <cellStyle name="Normal 34 4" xfId="5869" xr:uid="{751E8A42-2D17-4008-AFD0-9E98BF6667AB}"/>
    <cellStyle name="Normal 34 4 2" xfId="13729" xr:uid="{D4296A8E-4AF8-41DF-920A-CBDE49BC12E8}"/>
    <cellStyle name="Normal 34 5" xfId="9810" xr:uid="{57D5B0DE-9A07-4E94-A8B5-56219EFB2CB7}"/>
    <cellStyle name="Normal 35" xfId="1955" xr:uid="{00000000-0005-0000-0000-000064070000}"/>
    <cellStyle name="Normal 35 2" xfId="3906" xr:uid="{00000000-0005-0000-0000-000065070000}"/>
    <cellStyle name="Normal 35 2 2" xfId="7827" xr:uid="{3E25E04D-DC62-4A12-8C58-6A5A9AE10FD7}"/>
    <cellStyle name="Normal 35 2 2 2" xfId="15687" xr:uid="{6F2E8305-5B46-4224-9C5A-68D87C73F0F7}"/>
    <cellStyle name="Normal 35 2 3" xfId="11767" xr:uid="{7A92C1D7-315B-4F24-A262-23C5347C2B21}"/>
    <cellStyle name="Normal 35 3" xfId="5876" xr:uid="{69FD78A7-D96D-4995-8650-22B7382F210C}"/>
    <cellStyle name="Normal 35 3 2" xfId="13736" xr:uid="{4C014544-AA34-479B-A84E-C4743191F1A1}"/>
    <cellStyle name="Normal 35 4" xfId="9817" xr:uid="{440ECEE4-C9F9-45F0-9C5E-5B6BBEB75C34}"/>
    <cellStyle name="Normal 36" xfId="1957" xr:uid="{00000000-0005-0000-0000-000066070000}"/>
    <cellStyle name="Normal 36 2" xfId="3908" xr:uid="{00000000-0005-0000-0000-000067070000}"/>
    <cellStyle name="Normal 36 2 2" xfId="7829" xr:uid="{BE1FEF1E-532D-42A6-9237-3C242F0DAFBA}"/>
    <cellStyle name="Normal 36 2 2 2" xfId="15689" xr:uid="{12246B29-E4D2-42C5-8F34-8598885FB35C}"/>
    <cellStyle name="Normal 36 2 3" xfId="11769" xr:uid="{C768B11C-A032-42CE-B14B-46BAD737B0E2}"/>
    <cellStyle name="Normal 36 3" xfId="3926" xr:uid="{76C9CF21-9536-42CD-BF99-494F070A696A}"/>
    <cellStyle name="Normal 36 3 2" xfId="7847" xr:uid="{4600F8D9-DECD-4FA8-BF59-3C373DEB6606}"/>
    <cellStyle name="Normal 36 3 2 2" xfId="15707" xr:uid="{6F873A65-C86E-4F60-A6CF-A94F343066CA}"/>
    <cellStyle name="Normal 36 3 3" xfId="11787" xr:uid="{6F2E7BF7-E7A6-4946-90A5-2B5FD79692F9}"/>
    <cellStyle name="Normal 36 4" xfId="5878" xr:uid="{54FFC358-392E-462E-8D98-377C9D662EEB}"/>
    <cellStyle name="Normal 36 4 2" xfId="13738" xr:uid="{EF1617BB-EB39-422D-A02C-2251B11DAA48}"/>
    <cellStyle name="Normal 36 5" xfId="9819" xr:uid="{E8B72E7F-E5BA-4480-AC1C-6DDCAB82833D}"/>
    <cellStyle name="Normal 37" xfId="1961" xr:uid="{00000000-0005-0000-0000-000068070000}"/>
    <cellStyle name="Normal 37 2" xfId="3912" xr:uid="{00000000-0005-0000-0000-000069070000}"/>
    <cellStyle name="Normal 37 2 2" xfId="7833" xr:uid="{5AFF4D0A-0772-4983-9548-E9CD8329E691}"/>
    <cellStyle name="Normal 37 2 2 2" xfId="15693" xr:uid="{4009EF77-2DE9-4BA3-B8A8-0A6D6DAD34F8}"/>
    <cellStyle name="Normal 37 2 3" xfId="11773" xr:uid="{584CB7CF-D01C-4ED9-A1AD-5F596211F68E}"/>
    <cellStyle name="Normal 37 3" xfId="5882" xr:uid="{0D6644BE-DD47-4396-BBC3-D136FA95868F}"/>
    <cellStyle name="Normal 37 3 2" xfId="13742" xr:uid="{10E3E2A4-F1D0-471A-B8F2-2A765F586AEC}"/>
    <cellStyle name="Normal 37 4" xfId="9823" xr:uid="{0E533896-B96E-4F25-88D5-07BF33E617A0}"/>
    <cellStyle name="Normal 38" xfId="1965" xr:uid="{00000000-0005-0000-0000-00006A070000}"/>
    <cellStyle name="Normal 38 2" xfId="3916" xr:uid="{00000000-0005-0000-0000-00006B070000}"/>
    <cellStyle name="Normal 38 2 2" xfId="7837" xr:uid="{ED5F74AA-3707-4C14-AB45-C97A2FDB015C}"/>
    <cellStyle name="Normal 38 2 2 2" xfId="15697" xr:uid="{D69DFB04-4632-4343-A516-0B769FAFD93F}"/>
    <cellStyle name="Normal 38 2 3" xfId="11777" xr:uid="{EB5E63AA-8A7A-412C-8189-312805F32BBE}"/>
    <cellStyle name="Normal 38 3" xfId="5886" xr:uid="{2D28D8E6-E01B-468B-B9E5-56BF07C9D4AD}"/>
    <cellStyle name="Normal 38 3 2" xfId="13746" xr:uid="{5E3C9547-FB14-4E7A-B1C2-A79FC7FA863B}"/>
    <cellStyle name="Normal 38 4" xfId="9827" xr:uid="{C0C2D30A-00F9-4E36-8AD4-FFCAB2E5D9E5}"/>
    <cellStyle name="Normal 39" xfId="1973" xr:uid="{00000000-0005-0000-0000-00006C070000}"/>
    <cellStyle name="Normal 39 2" xfId="3917" xr:uid="{00000000-0005-0000-0000-00006D070000}"/>
    <cellStyle name="Normal 39 2 2" xfId="7838" xr:uid="{0268E417-E0F6-485E-BB02-390250A66E6B}"/>
    <cellStyle name="Normal 39 2 2 2" xfId="15698" xr:uid="{77D582E9-B04B-4397-9F39-3E65E94575AE}"/>
    <cellStyle name="Normal 39 2 3" xfId="11778" xr:uid="{C4C6B187-38A1-4C8A-9A4C-B706BAC7B317}"/>
    <cellStyle name="Normal 39 3" xfId="3938" xr:uid="{DE66F45E-07AA-4893-922C-632686FC314C}"/>
    <cellStyle name="Normal 39 3 2" xfId="7859" xr:uid="{5992029D-1A24-4D39-93A5-4708FE2742DE}"/>
    <cellStyle name="Normal 39 3 2 2" xfId="15719" xr:uid="{7A210BDA-8270-4D76-96C2-844C45E8A7A1}"/>
    <cellStyle name="Normal 39 3 3" xfId="11799" xr:uid="{AC3D29DF-EAA5-48B6-897F-5CB425705716}"/>
    <cellStyle name="Normal 39 4" xfId="5894" xr:uid="{2FE060A3-B575-45A9-AE89-3BBF13DA5F34}"/>
    <cellStyle name="Normal 39 4 2" xfId="13754" xr:uid="{28FA6820-D080-4547-8D3B-36729E4A6BFE}"/>
    <cellStyle name="Normal 39 5" xfId="9835" xr:uid="{0437950E-E0A6-47B1-BEDE-16E8A1F66D5E}"/>
    <cellStyle name="Normal 4" xfId="252" xr:uid="{00000000-0005-0000-0000-00006E070000}"/>
    <cellStyle name="Normal 4 10" xfId="8124" xr:uid="{248885E2-C570-4B60-8621-78B6FDF7707A}"/>
    <cellStyle name="Normal 4 2" xfId="11" xr:uid="{00000000-0005-0000-0000-00006F070000}"/>
    <cellStyle name="Normal 4 2 10" xfId="464" xr:uid="{00000000-0005-0000-0000-000070070000}"/>
    <cellStyle name="Normal 4 2 10 2" xfId="2418" xr:uid="{00000000-0005-0000-0000-000071070000}"/>
    <cellStyle name="Normal 4 2 10 2 2" xfId="6339" xr:uid="{34404BCC-0B0E-4703-8262-C9CEDD19DC91}"/>
    <cellStyle name="Normal 4 2 10 2 2 2" xfId="14199" xr:uid="{C0AC8BAC-A1C0-4454-9D12-7B7E3DEBBD5D}"/>
    <cellStyle name="Normal 4 2 10 2 3" xfId="10279" xr:uid="{086453EC-6994-4857-A5E6-A0AAD900304A}"/>
    <cellStyle name="Normal 4 2 10 3" xfId="4385" xr:uid="{52A6B5A3-B032-4494-9FC1-DCB5238FB494}"/>
    <cellStyle name="Normal 4 2 10 3 2" xfId="12245" xr:uid="{78EBF403-D87E-4B8A-99EE-CAB650F90C5B}"/>
    <cellStyle name="Normal 4 2 10 4" xfId="8326" xr:uid="{B24AEC2D-DABE-4B33-85D1-01C38415757F}"/>
    <cellStyle name="Normal 4 2 11" xfId="1137" xr:uid="{00000000-0005-0000-0000-000072070000}"/>
    <cellStyle name="Normal 4 2 11 2" xfId="3091" xr:uid="{00000000-0005-0000-0000-000073070000}"/>
    <cellStyle name="Normal 4 2 11 2 2" xfId="7012" xr:uid="{F45314FF-9F06-4D25-889E-CE13131FDEA0}"/>
    <cellStyle name="Normal 4 2 11 2 2 2" xfId="14872" xr:uid="{3CFE59F6-1B57-4F1B-BFAA-B5AC9A505D1C}"/>
    <cellStyle name="Normal 4 2 11 2 3" xfId="10952" xr:uid="{004B9E34-A2D0-4AAF-BE23-E48F8A2F6D96}"/>
    <cellStyle name="Normal 4 2 11 3" xfId="5058" xr:uid="{E86631E5-ADB9-4D53-854A-49C2987FBCF5}"/>
    <cellStyle name="Normal 4 2 11 3 2" xfId="12918" xr:uid="{27488A96-634E-4A59-9D62-F086B9EBA378}"/>
    <cellStyle name="Normal 4 2 11 4" xfId="8999" xr:uid="{05700F51-D090-47DB-BA61-4FB36A10E38F}"/>
    <cellStyle name="Normal 4 2 12" xfId="1913" xr:uid="{00000000-0005-0000-0000-000074070000}"/>
    <cellStyle name="Normal 4 2 12 2" xfId="1944" xr:uid="{00000000-0005-0000-0000-000075070000}"/>
    <cellStyle name="Normal 4 2 12 2 2" xfId="3895" xr:uid="{00000000-0005-0000-0000-000076070000}"/>
    <cellStyle name="Normal 4 2 12 2 2 2" xfId="7816" xr:uid="{04EC0B51-FE36-4CF6-904C-7F4C14B9BD9B}"/>
    <cellStyle name="Normal 4 2 12 2 2 2 2" xfId="15676" xr:uid="{B5F3596B-6CFA-42E1-9282-AD32E0E5CD34}"/>
    <cellStyle name="Normal 4 2 12 2 2 3" xfId="11756" xr:uid="{486A08DB-F503-4FE8-B29A-9EAB9560341C}"/>
    <cellStyle name="Normal 4 2 12 2 3" xfId="5865" xr:uid="{2ABD8E37-203C-4173-98BF-BE818A5B1A70}"/>
    <cellStyle name="Normal 4 2 12 2 3 2" xfId="13725" xr:uid="{766595FA-4444-429D-9BE6-A9DFDCA12854}"/>
    <cellStyle name="Normal 4 2 12 2 4" xfId="9806" xr:uid="{8854AD0E-706B-4944-9A17-E299F36357F4}"/>
    <cellStyle name="Normal 4 2 12 3" xfId="3866" xr:uid="{00000000-0005-0000-0000-000077070000}"/>
    <cellStyle name="Normal 4 2 12 3 2" xfId="7787" xr:uid="{7E9374AB-EE12-46D5-897B-1ACE0232AA44}"/>
    <cellStyle name="Normal 4 2 12 3 2 2" xfId="15647" xr:uid="{3542FA52-2FE2-4A9C-A146-1AE83BD18C91}"/>
    <cellStyle name="Normal 4 2 12 3 3" xfId="11727" xr:uid="{716AFE59-F399-4394-84A6-92BFB6C76B36}"/>
    <cellStyle name="Normal 4 2 12 4" xfId="3918" xr:uid="{9260BE78-829C-4639-8CE2-31167866EE96}"/>
    <cellStyle name="Normal 4 2 12 4 2" xfId="7839" xr:uid="{8DA3EA61-60FF-4255-A677-A9020B150DFA}"/>
    <cellStyle name="Normal 4 2 12 4 2 2" xfId="15699" xr:uid="{F15E56C1-9A17-4369-8F8A-BF38FE64FF58}"/>
    <cellStyle name="Normal 4 2 12 4 3" xfId="7860" xr:uid="{84AC1C4C-A9C4-4E92-B6F7-9D998E464A43}"/>
    <cellStyle name="Normal 4 2 12 4 3 2" xfId="15720" xr:uid="{88034148-B732-4FF2-820D-3A54E933ED63}"/>
    <cellStyle name="Normal 4 2 12 4 4" xfId="11779" xr:uid="{664EB068-BAB7-4891-A338-93E9DB40443D}"/>
    <cellStyle name="Normal 4 2 12 5" xfId="5834" xr:uid="{74CB5A0D-B4D7-42B3-9B0F-9682CE3CD807}"/>
    <cellStyle name="Normal 4 2 12 5 2" xfId="13694" xr:uid="{22024BF9-1925-41F6-BB78-3C5C91F2B8EE}"/>
    <cellStyle name="Normal 4 2 12 6" xfId="9775" xr:uid="{22275443-D8BA-401A-B518-B19B76DEB2E6}"/>
    <cellStyle name="Normal 4 2 12 7" xfId="15741" xr:uid="{270D91F6-F99A-47BD-ADD3-36A10038C1C2}"/>
    <cellStyle name="Normal 4 2 13" xfId="1920" xr:uid="{00000000-0005-0000-0000-000078070000}"/>
    <cellStyle name="Normal 4 2 13 2" xfId="3873" xr:uid="{00000000-0005-0000-0000-000079070000}"/>
    <cellStyle name="Normal 4 2 13 2 2" xfId="7794" xr:uid="{67FAA414-9A95-4BC9-8A2A-A13064AAAF8C}"/>
    <cellStyle name="Normal 4 2 13 2 2 2" xfId="15654" xr:uid="{8EECC6F5-64AA-4160-944E-C8FF066EBBE0}"/>
    <cellStyle name="Normal 4 2 13 2 3" xfId="11734" xr:uid="{B85A4DC4-F48B-4997-A5DE-3CF07871172D}"/>
    <cellStyle name="Normal 4 2 13 3" xfId="5841" xr:uid="{069ED5F6-EE04-40CD-99E1-3619BFF7C969}"/>
    <cellStyle name="Normal 4 2 13 3 2" xfId="13701" xr:uid="{2E625273-DB07-4EA2-9E5C-DA6D96FAA629}"/>
    <cellStyle name="Normal 4 2 13 4" xfId="9782" xr:uid="{3E972400-1B7A-4FED-8400-045E42E89E5E}"/>
    <cellStyle name="Normal 4 2 14" xfId="1982" xr:uid="{00000000-0005-0000-0000-00007A070000}"/>
    <cellStyle name="Normal 4 2 14 2" xfId="5903" xr:uid="{383AA4E5-43F6-4F93-9EA5-BD63D017F500}"/>
    <cellStyle name="Normal 4 2 14 2 2" xfId="13763" xr:uid="{2AFE7067-B84E-44F7-958C-5EAB5776E887}"/>
    <cellStyle name="Normal 4 2 14 3" xfId="9843" xr:uid="{DDBE7A8C-F01F-44CB-A1EB-F275E550E706}"/>
    <cellStyle name="Normal 4 2 15" xfId="3949" xr:uid="{A23A9BC8-0586-4C96-9053-00E180833B34}"/>
    <cellStyle name="Normal 4 2 15 2" xfId="11809" xr:uid="{A5DDAF9B-AFDB-42E1-9E76-C76EB5B6C559}"/>
    <cellStyle name="Normal 4 2 16" xfId="7886" xr:uid="{BB574A3E-9136-43C5-B49B-D4D7C67971AA}"/>
    <cellStyle name="Normal 4 2 2" xfId="22" xr:uid="{00000000-0005-0000-0000-00007B070000}"/>
    <cellStyle name="Normal 4 2 2 10" xfId="1993" xr:uid="{00000000-0005-0000-0000-00007C070000}"/>
    <cellStyle name="Normal 4 2 2 10 2" xfId="5914" xr:uid="{B7B4B320-81F5-4058-B4D5-9999CF35FA56}"/>
    <cellStyle name="Normal 4 2 2 10 2 2" xfId="13774" xr:uid="{E7FCC7FE-F262-452E-84BA-85DA30957DA8}"/>
    <cellStyle name="Normal 4 2 2 10 3" xfId="9854" xr:uid="{B6CADAA4-A1CA-4F48-AD3C-368FED6C91C1}"/>
    <cellStyle name="Normal 4 2 2 11" xfId="3960" xr:uid="{D3867C13-64AC-46B7-96B8-3D3AF28C663A}"/>
    <cellStyle name="Normal 4 2 2 11 2" xfId="11820" xr:uid="{A9F6ED71-2FF5-4AB1-AD6C-14E1A648BA44}"/>
    <cellStyle name="Normal 4 2 2 12" xfId="7897" xr:uid="{A2808375-D02E-4AFF-872F-62AB4B9649EE}"/>
    <cellStyle name="Normal 4 2 2 2" xfId="64" xr:uid="{00000000-0005-0000-0000-00007D070000}"/>
    <cellStyle name="Normal 4 2 2 2 10" xfId="4000" xr:uid="{43DA9EBE-D089-417B-9E02-8038D80002E8}"/>
    <cellStyle name="Normal 4 2 2 2 10 2" xfId="11860" xr:uid="{4798CED0-43D7-4854-90D0-4F90DAAF2D01}"/>
    <cellStyle name="Normal 4 2 2 2 11" xfId="7938" xr:uid="{639427B2-9456-47E5-BD0D-23ABC667BFF0}"/>
    <cellStyle name="Normal 4 2 2 2 2" xfId="220" xr:uid="{00000000-0005-0000-0000-00007E070000}"/>
    <cellStyle name="Normal 4 2 2 2 2 2" xfId="672" xr:uid="{00000000-0005-0000-0000-00007F070000}"/>
    <cellStyle name="Normal 4 2 2 2 2 2 2" xfId="2626" xr:uid="{00000000-0005-0000-0000-000080070000}"/>
    <cellStyle name="Normal 4 2 2 2 2 2 2 2" xfId="6547" xr:uid="{9AB399CF-024D-416D-953A-36825F007E35}"/>
    <cellStyle name="Normal 4 2 2 2 2 2 2 2 2" xfId="14407" xr:uid="{0295890F-0230-4C7B-8250-194D14C95B8A}"/>
    <cellStyle name="Normal 4 2 2 2 2 2 2 3" xfId="10487" xr:uid="{349AD202-BC79-407C-BFB0-9662306B6436}"/>
    <cellStyle name="Normal 4 2 2 2 2 2 3" xfId="4593" xr:uid="{B3E3CC6B-8E3C-4F3D-B4BB-7D1B57A2EB9C}"/>
    <cellStyle name="Normal 4 2 2 2 2 2 3 2" xfId="12453" xr:uid="{D1807288-89CB-44CD-9D29-618F811A371F}"/>
    <cellStyle name="Normal 4 2 2 2 2 2 4" xfId="8534" xr:uid="{FC9BF641-C947-43F3-99E8-73834FF78104}"/>
    <cellStyle name="Normal 4 2 2 2 2 3" xfId="1109" xr:uid="{00000000-0005-0000-0000-000081070000}"/>
    <cellStyle name="Normal 4 2 2 2 2 3 2" xfId="3063" xr:uid="{00000000-0005-0000-0000-000082070000}"/>
    <cellStyle name="Normal 4 2 2 2 2 3 2 2" xfId="6984" xr:uid="{5F32650F-1263-4C10-B11A-6EF92BBB67C8}"/>
    <cellStyle name="Normal 4 2 2 2 2 3 2 2 2" xfId="14844" xr:uid="{C9ED3478-EBB2-423E-959A-A4370700D896}"/>
    <cellStyle name="Normal 4 2 2 2 2 3 2 3" xfId="10924" xr:uid="{B41569D9-4306-4D70-B293-2E825551220E}"/>
    <cellStyle name="Normal 4 2 2 2 2 3 3" xfId="5030" xr:uid="{95B5A102-6EB3-47B3-84A3-5FF68A42F3AE}"/>
    <cellStyle name="Normal 4 2 2 2 2 3 3 2" xfId="12890" xr:uid="{8B84F348-ACEE-4781-AC58-C7675779BB7D}"/>
    <cellStyle name="Normal 4 2 2 2 2 3 4" xfId="8971" xr:uid="{27B95870-E03A-4852-B400-5B47A7ABB761}"/>
    <cellStyle name="Normal 4 2 2 2 2 4" xfId="1536" xr:uid="{00000000-0005-0000-0000-000083070000}"/>
    <cellStyle name="Normal 4 2 2 2 2 4 2" xfId="3490" xr:uid="{00000000-0005-0000-0000-000084070000}"/>
    <cellStyle name="Normal 4 2 2 2 2 4 2 2" xfId="7411" xr:uid="{380F8A12-C510-4EDD-8849-24041B5DFDBD}"/>
    <cellStyle name="Normal 4 2 2 2 2 4 2 2 2" xfId="15271" xr:uid="{ABC2C6B4-2B7A-4C75-9DD9-8ACB232FE710}"/>
    <cellStyle name="Normal 4 2 2 2 2 4 2 3" xfId="11351" xr:uid="{46CE8ED8-F133-4F82-99AB-8F397F31923E}"/>
    <cellStyle name="Normal 4 2 2 2 2 4 3" xfId="5457" xr:uid="{82243ED9-34BA-408A-950D-D21F54ED73E7}"/>
    <cellStyle name="Normal 4 2 2 2 2 4 3 2" xfId="13317" xr:uid="{C3DAE6DF-B579-486A-BAFE-53875981D2B1}"/>
    <cellStyle name="Normal 4 2 2 2 2 4 4" xfId="9398" xr:uid="{535397C8-E61C-4D64-A33F-13094DE49F85}"/>
    <cellStyle name="Normal 4 2 2 2 2 5" xfId="1916" xr:uid="{00000000-0005-0000-0000-000085070000}"/>
    <cellStyle name="Normal 4 2 2 2 2 5 2" xfId="3869" xr:uid="{00000000-0005-0000-0000-000086070000}"/>
    <cellStyle name="Normal 4 2 2 2 2 5 2 2" xfId="7790" xr:uid="{61C5127D-1521-46A3-B8D4-66DA97B366C3}"/>
    <cellStyle name="Normal 4 2 2 2 2 5 2 2 2" xfId="15650" xr:uid="{111F86CB-F9EE-4C38-8188-78058B93C6CD}"/>
    <cellStyle name="Normal 4 2 2 2 2 5 2 3" xfId="11730" xr:uid="{48A81087-1745-4DFC-93B2-821C49DA49F7}"/>
    <cellStyle name="Normal 4 2 2 2 2 5 3" xfId="3919" xr:uid="{77E987EA-164E-40E5-B5F8-7986EA1FA5E0}"/>
    <cellStyle name="Normal 4 2 2 2 2 5 3 2" xfId="7840" xr:uid="{AC260711-32A9-4CB6-AE87-56165908DEC4}"/>
    <cellStyle name="Normal 4 2 2 2 2 5 3 2 2" xfId="15700" xr:uid="{583FE7FF-9ED2-4FD0-B326-F7DAA4D9FB00}"/>
    <cellStyle name="Normal 4 2 2 2 2 5 3 3" xfId="7864" xr:uid="{706A2C3B-3377-44EB-845E-1D38A82D623D}"/>
    <cellStyle name="Normal 4 2 2 2 2 5 3 3 2" xfId="15724" xr:uid="{1D1B6707-1735-4116-82B1-98021110D87B}"/>
    <cellStyle name="Normal 4 2 2 2 2 5 3 4" xfId="11780" xr:uid="{5F154712-842F-45CF-ABEA-392D93E66957}"/>
    <cellStyle name="Normal 4 2 2 2 2 5 4" xfId="5837" xr:uid="{94211EEB-B712-4A69-B12E-40524C6E024E}"/>
    <cellStyle name="Normal 4 2 2 2 2 5 4 2" xfId="13697" xr:uid="{E1942853-1560-40C0-9088-8705E80A68C0}"/>
    <cellStyle name="Normal 4 2 2 2 2 5 5" xfId="9778" xr:uid="{402C924B-8279-43D6-86E0-FD8678A98D28}"/>
    <cellStyle name="Normal 4 2 2 2 2 6" xfId="2189" xr:uid="{00000000-0005-0000-0000-000087070000}"/>
    <cellStyle name="Normal 4 2 2 2 2 6 2" xfId="6110" xr:uid="{20ECAB8E-3C25-4ADC-A555-5408DFD4737D}"/>
    <cellStyle name="Normal 4 2 2 2 2 6 2 2" xfId="13970" xr:uid="{B13CB64F-8B39-4D61-BFA9-B34991276568}"/>
    <cellStyle name="Normal 4 2 2 2 2 6 3" xfId="10050" xr:uid="{BF3D6D4D-8A52-4A70-908E-56D872A0F5CA}"/>
    <cellStyle name="Normal 4 2 2 2 2 7" xfId="4156" xr:uid="{AFEF4512-A442-490F-A7A7-B8C393DDFBE5}"/>
    <cellStyle name="Normal 4 2 2 2 2 7 2" xfId="12016" xr:uid="{EF0C082C-D742-4E64-80C1-872B176307AF}"/>
    <cellStyle name="Normal 4 2 2 2 2 8" xfId="8094" xr:uid="{1F53A29E-D9F6-44DA-B03D-4D077A65BDD8}"/>
    <cellStyle name="Normal 4 2 2 2 3" xfId="142" xr:uid="{00000000-0005-0000-0000-000088070000}"/>
    <cellStyle name="Normal 4 2 2 2 3 2" xfId="594" xr:uid="{00000000-0005-0000-0000-000089070000}"/>
    <cellStyle name="Normal 4 2 2 2 3 2 2" xfId="2548" xr:uid="{00000000-0005-0000-0000-00008A070000}"/>
    <cellStyle name="Normal 4 2 2 2 3 2 2 2" xfId="6469" xr:uid="{2C0AE994-99EB-4C11-9F07-934E45742189}"/>
    <cellStyle name="Normal 4 2 2 2 3 2 2 2 2" xfId="14329" xr:uid="{BF1F0A7D-0372-4A87-AD51-3DE039E22953}"/>
    <cellStyle name="Normal 4 2 2 2 3 2 2 3" xfId="10409" xr:uid="{C770684B-43BA-4E31-9479-E1A2CB8D1D7E}"/>
    <cellStyle name="Normal 4 2 2 2 3 2 3" xfId="4515" xr:uid="{D8E7181B-0B2A-4C33-9BFF-8E5A4B39C7D9}"/>
    <cellStyle name="Normal 4 2 2 2 3 2 3 2" xfId="12375" xr:uid="{5F4A641B-FFFE-4348-9719-CCC062295772}"/>
    <cellStyle name="Normal 4 2 2 2 3 2 4" xfId="8456" xr:uid="{16DE1181-622F-465E-835D-94A8F62AD203}"/>
    <cellStyle name="Normal 4 2 2 2 3 3" xfId="1031" xr:uid="{00000000-0005-0000-0000-00008B070000}"/>
    <cellStyle name="Normal 4 2 2 2 3 3 2" xfId="2985" xr:uid="{00000000-0005-0000-0000-00008C070000}"/>
    <cellStyle name="Normal 4 2 2 2 3 3 2 2" xfId="6906" xr:uid="{109D42FA-87C3-4FB9-A9A5-DF0078BEFA64}"/>
    <cellStyle name="Normal 4 2 2 2 3 3 2 2 2" xfId="14766" xr:uid="{195D9220-C44A-4B41-AAEF-9BCAA2B490AB}"/>
    <cellStyle name="Normal 4 2 2 2 3 3 2 3" xfId="10846" xr:uid="{6B2F78BE-6AEA-40C4-8D83-7B3C3642A9BD}"/>
    <cellStyle name="Normal 4 2 2 2 3 3 3" xfId="4952" xr:uid="{D43AD9E0-0E91-4BB7-8500-0CF006764B07}"/>
    <cellStyle name="Normal 4 2 2 2 3 3 3 2" xfId="12812" xr:uid="{2D3CAE2B-A6EB-452C-8A4D-6E220556EE3D}"/>
    <cellStyle name="Normal 4 2 2 2 3 3 4" xfId="8893" xr:uid="{B3F6E0BF-2EB7-404C-A232-D62710356522}"/>
    <cellStyle name="Normal 4 2 2 2 3 4" xfId="1458" xr:uid="{00000000-0005-0000-0000-00008D070000}"/>
    <cellStyle name="Normal 4 2 2 2 3 4 2" xfId="3412" xr:uid="{00000000-0005-0000-0000-00008E070000}"/>
    <cellStyle name="Normal 4 2 2 2 3 4 2 2" xfId="7333" xr:uid="{BC4DED08-23A9-4D9A-8EDE-5F1807EF778C}"/>
    <cellStyle name="Normal 4 2 2 2 3 4 2 2 2" xfId="15193" xr:uid="{894FFF86-BC85-4BAD-99EC-AA0A6A19DB49}"/>
    <cellStyle name="Normal 4 2 2 2 3 4 2 3" xfId="11273" xr:uid="{03B18348-1036-4559-BEAA-EA0B717ECC32}"/>
    <cellStyle name="Normal 4 2 2 2 3 4 3" xfId="5379" xr:uid="{47FFD03A-E962-45CD-82F7-2290991F2BE2}"/>
    <cellStyle name="Normal 4 2 2 2 3 4 3 2" xfId="13239" xr:uid="{7A9E5A7B-9A3F-4814-B0A0-7E5EA4011671}"/>
    <cellStyle name="Normal 4 2 2 2 3 4 4" xfId="9320" xr:uid="{EA7D5D2C-4078-482B-B60A-4ACD76D29508}"/>
    <cellStyle name="Normal 4 2 2 2 3 5" xfId="2111" xr:uid="{00000000-0005-0000-0000-00008F070000}"/>
    <cellStyle name="Normal 4 2 2 2 3 5 2" xfId="6032" xr:uid="{3E219A83-1E4E-405E-82EE-D3E80406C967}"/>
    <cellStyle name="Normal 4 2 2 2 3 5 2 2" xfId="13892" xr:uid="{F2374D4B-C303-42A2-89A2-FD2D3C493424}"/>
    <cellStyle name="Normal 4 2 2 2 3 5 3" xfId="9972" xr:uid="{A2A3434E-33AD-4EF5-9A67-3699FA137C73}"/>
    <cellStyle name="Normal 4 2 2 2 3 6" xfId="4078" xr:uid="{3A373732-CD02-400F-82EC-8A771C2724B3}"/>
    <cellStyle name="Normal 4 2 2 2 3 6 2" xfId="11938" xr:uid="{779C09CA-9561-46F2-A95C-FAA43761BA2B}"/>
    <cellStyle name="Normal 4 2 2 2 3 7" xfId="8016" xr:uid="{53A82305-F368-4554-A224-161C934EDD77}"/>
    <cellStyle name="Normal 4 2 2 2 4" xfId="326" xr:uid="{00000000-0005-0000-0000-000090070000}"/>
    <cellStyle name="Normal 4 2 2 2 4 2" xfId="778" xr:uid="{00000000-0005-0000-0000-000091070000}"/>
    <cellStyle name="Normal 4 2 2 2 4 2 2" xfId="2732" xr:uid="{00000000-0005-0000-0000-000092070000}"/>
    <cellStyle name="Normal 4 2 2 2 4 2 2 2" xfId="6653" xr:uid="{BA85B46F-948B-4586-8BF8-9469D2FC5024}"/>
    <cellStyle name="Normal 4 2 2 2 4 2 2 2 2" xfId="14513" xr:uid="{4B76BEA6-8F3A-44E0-81C3-63431B85644C}"/>
    <cellStyle name="Normal 4 2 2 2 4 2 2 3" xfId="10593" xr:uid="{76C09086-46CA-4403-BA58-93C384EB70D8}"/>
    <cellStyle name="Normal 4 2 2 2 4 2 3" xfId="4699" xr:uid="{708EFE6A-8B40-407B-A648-AF4CC162A68C}"/>
    <cellStyle name="Normal 4 2 2 2 4 2 3 2" xfId="12559" xr:uid="{B61C0C31-FE68-4C05-ACC9-869743F422C3}"/>
    <cellStyle name="Normal 4 2 2 2 4 2 4" xfId="8640" xr:uid="{7BFCC9DA-23F0-4871-BE93-ED041FD75796}"/>
    <cellStyle name="Normal 4 2 2 2 4 3" xfId="1213" xr:uid="{00000000-0005-0000-0000-000093070000}"/>
    <cellStyle name="Normal 4 2 2 2 4 3 2" xfId="3167" xr:uid="{00000000-0005-0000-0000-000094070000}"/>
    <cellStyle name="Normal 4 2 2 2 4 3 2 2" xfId="7088" xr:uid="{EBA129E4-533B-403E-BD9B-F85E621A9F36}"/>
    <cellStyle name="Normal 4 2 2 2 4 3 2 2 2" xfId="14948" xr:uid="{12DF8AE2-0EE2-478B-B308-6096E6B38EE1}"/>
    <cellStyle name="Normal 4 2 2 2 4 3 2 3" xfId="11028" xr:uid="{3CA41701-53C7-4F8C-A35F-DEE57B5EA71F}"/>
    <cellStyle name="Normal 4 2 2 2 4 3 3" xfId="5134" xr:uid="{F55AABEF-5525-499B-A2DE-A76F9FFA839B}"/>
    <cellStyle name="Normal 4 2 2 2 4 3 3 2" xfId="12994" xr:uid="{3A85245B-8E60-4E18-8CE5-5D99FC30EB7E}"/>
    <cellStyle name="Normal 4 2 2 2 4 3 4" xfId="9075" xr:uid="{B7EB4679-E697-49A4-BD4D-F314815BDD0E}"/>
    <cellStyle name="Normal 4 2 2 2 4 4" xfId="1633" xr:uid="{00000000-0005-0000-0000-000095070000}"/>
    <cellStyle name="Normal 4 2 2 2 4 4 2" xfId="3587" xr:uid="{00000000-0005-0000-0000-000096070000}"/>
    <cellStyle name="Normal 4 2 2 2 4 4 2 2" xfId="7508" xr:uid="{600FFC80-A12B-4811-B200-BAE36F5BABDE}"/>
    <cellStyle name="Normal 4 2 2 2 4 4 2 2 2" xfId="15368" xr:uid="{BDF69F16-9B21-4174-95E7-88C2703FA481}"/>
    <cellStyle name="Normal 4 2 2 2 4 4 2 3" xfId="11448" xr:uid="{6C7FBE93-D48D-4591-9AB3-EB8C347A839F}"/>
    <cellStyle name="Normal 4 2 2 2 4 4 3" xfId="5554" xr:uid="{8AA904A4-ADAF-4196-A102-9456FBE2B22A}"/>
    <cellStyle name="Normal 4 2 2 2 4 4 3 2" xfId="13414" xr:uid="{C6D1792C-947F-4250-9C91-C67E583F1444}"/>
    <cellStyle name="Normal 4 2 2 2 4 4 4" xfId="9495" xr:uid="{68A757A0-ADEA-4F08-989C-78F6F2B2963B}"/>
    <cellStyle name="Normal 4 2 2 2 4 5" xfId="2287" xr:uid="{00000000-0005-0000-0000-000097070000}"/>
    <cellStyle name="Normal 4 2 2 2 4 5 2" xfId="6208" xr:uid="{73C6F298-67B1-433B-BAF8-594BB8EBB498}"/>
    <cellStyle name="Normal 4 2 2 2 4 5 2 2" xfId="14068" xr:uid="{D86EBBC9-64D5-4FA2-8535-1DE33BC11DD6}"/>
    <cellStyle name="Normal 4 2 2 2 4 5 3" xfId="10148" xr:uid="{69C142B2-A4AE-4FA4-8881-A168F26D0CD3}"/>
    <cellStyle name="Normal 4 2 2 2 4 6" xfId="4254" xr:uid="{23EA248E-8142-4BB0-895B-EC13B70B6E53}"/>
    <cellStyle name="Normal 4 2 2 2 4 6 2" xfId="12114" xr:uid="{33519123-F481-464E-AC86-DB5D7976F93E}"/>
    <cellStyle name="Normal 4 2 2 2 4 7" xfId="8193" xr:uid="{CAE8CF54-A108-4224-AEAE-C47DB7BC72F2}"/>
    <cellStyle name="Normal 4 2 2 2 5" xfId="424" xr:uid="{00000000-0005-0000-0000-000098070000}"/>
    <cellStyle name="Normal 4 2 2 2 5 2" xfId="875" xr:uid="{00000000-0005-0000-0000-000099070000}"/>
    <cellStyle name="Normal 4 2 2 2 5 2 2" xfId="2829" xr:uid="{00000000-0005-0000-0000-00009A070000}"/>
    <cellStyle name="Normal 4 2 2 2 5 2 2 2" xfId="6750" xr:uid="{31C2BACA-6B6C-45BC-8161-811064B2DB1E}"/>
    <cellStyle name="Normal 4 2 2 2 5 2 2 2 2" xfId="14610" xr:uid="{EB460663-5C5E-4D54-B80C-18E7BA4199C3}"/>
    <cellStyle name="Normal 4 2 2 2 5 2 2 3" xfId="10690" xr:uid="{80A4D7E0-3B27-4C05-856D-AE09C9B2EF07}"/>
    <cellStyle name="Normal 4 2 2 2 5 2 3" xfId="4796" xr:uid="{CC792624-5A65-4917-AE1F-033696DC7DC9}"/>
    <cellStyle name="Normal 4 2 2 2 5 2 3 2" xfId="12656" xr:uid="{C3097FC1-AFC1-4517-8CD5-49E7A7FB7C0C}"/>
    <cellStyle name="Normal 4 2 2 2 5 2 4" xfId="8737" xr:uid="{993888CD-A9C2-49D9-AA86-1AF006384EBC}"/>
    <cellStyle name="Normal 4 2 2 2 5 3" xfId="1307" xr:uid="{00000000-0005-0000-0000-00009B070000}"/>
    <cellStyle name="Normal 4 2 2 2 5 3 2" xfId="3261" xr:uid="{00000000-0005-0000-0000-00009C070000}"/>
    <cellStyle name="Normal 4 2 2 2 5 3 2 2" xfId="7182" xr:uid="{B116F391-A5DF-44F4-ADAD-E25719564EC6}"/>
    <cellStyle name="Normal 4 2 2 2 5 3 2 2 2" xfId="15042" xr:uid="{9BC7B6DC-8FEF-4A51-A572-644D05426DA9}"/>
    <cellStyle name="Normal 4 2 2 2 5 3 2 3" xfId="11122" xr:uid="{B89A3DA8-1003-43A9-8A05-BB24AC879BA6}"/>
    <cellStyle name="Normal 4 2 2 2 5 3 3" xfId="5228" xr:uid="{4B6FC0D1-A09D-4A90-903E-4B07CF26398F}"/>
    <cellStyle name="Normal 4 2 2 2 5 3 3 2" xfId="13088" xr:uid="{70ABD4EF-6F8E-4856-897C-983F94B06653}"/>
    <cellStyle name="Normal 4 2 2 2 5 3 4" xfId="9169" xr:uid="{66FE4496-1DE6-4553-A67E-E26DB265B703}"/>
    <cellStyle name="Normal 4 2 2 2 5 4" xfId="1725" xr:uid="{00000000-0005-0000-0000-00009D070000}"/>
    <cellStyle name="Normal 4 2 2 2 5 4 2" xfId="3679" xr:uid="{00000000-0005-0000-0000-00009E070000}"/>
    <cellStyle name="Normal 4 2 2 2 5 4 2 2" xfId="7600" xr:uid="{D294F81A-F942-463C-84AC-2A29F91F9C3C}"/>
    <cellStyle name="Normal 4 2 2 2 5 4 2 2 2" xfId="15460" xr:uid="{62E670E6-4123-4801-9490-A5109B094F06}"/>
    <cellStyle name="Normal 4 2 2 2 5 4 2 3" xfId="11540" xr:uid="{6C2D5D76-4E23-4FE7-A0CB-3642EAEF9113}"/>
    <cellStyle name="Normal 4 2 2 2 5 4 3" xfId="5646" xr:uid="{1C1A52AF-2B9E-440A-A7D9-01374403A8DB}"/>
    <cellStyle name="Normal 4 2 2 2 5 4 3 2" xfId="13506" xr:uid="{8A5B8467-AF03-428B-8B3D-1C893D5F97ED}"/>
    <cellStyle name="Normal 4 2 2 2 5 4 4" xfId="9587" xr:uid="{07BC666C-990A-4863-8A5B-789998D8A980}"/>
    <cellStyle name="Normal 4 2 2 2 5 5" xfId="2379" xr:uid="{00000000-0005-0000-0000-00009F070000}"/>
    <cellStyle name="Normal 4 2 2 2 5 5 2" xfId="6300" xr:uid="{D4ED0946-8513-41F5-9BC1-C4229D5D3D63}"/>
    <cellStyle name="Normal 4 2 2 2 5 5 2 2" xfId="14160" xr:uid="{5D4E4348-F5D1-4DFD-8646-EDE77C5E22BE}"/>
    <cellStyle name="Normal 4 2 2 2 5 5 3" xfId="10240" xr:uid="{1B9DFE95-6A00-4E2F-90A2-3ABCB64C2997}"/>
    <cellStyle name="Normal 4 2 2 2 5 6" xfId="4346" xr:uid="{4F4123EC-1E86-481A-8BF0-96C8B4518409}"/>
    <cellStyle name="Normal 4 2 2 2 5 6 2" xfId="12206" xr:uid="{CEFBEB4F-8B35-4B19-A113-4E700CF60B99}"/>
    <cellStyle name="Normal 4 2 2 2 5 7" xfId="8287" xr:uid="{B85E9C78-EFC8-4749-BE43-57BCB2C945C2}"/>
    <cellStyle name="Normal 4 2 2 2 6" xfId="516" xr:uid="{00000000-0005-0000-0000-0000A0070000}"/>
    <cellStyle name="Normal 4 2 2 2 6 2" xfId="2470" xr:uid="{00000000-0005-0000-0000-0000A1070000}"/>
    <cellStyle name="Normal 4 2 2 2 6 2 2" xfId="6391" xr:uid="{8F6AA8DA-0002-4A49-9F68-E2A00FDDCE10}"/>
    <cellStyle name="Normal 4 2 2 2 6 2 2 2" xfId="14251" xr:uid="{C9D29C39-E48F-4BD5-BBEC-1BCDBBE4531C}"/>
    <cellStyle name="Normal 4 2 2 2 6 2 3" xfId="10331" xr:uid="{16C6522D-77E1-411B-AA08-20477ADB8B01}"/>
    <cellStyle name="Normal 4 2 2 2 6 3" xfId="4437" xr:uid="{646D13A2-171F-410F-A981-D8C16CB4E90B}"/>
    <cellStyle name="Normal 4 2 2 2 6 3 2" xfId="12297" xr:uid="{9B0448AB-BCFD-4925-A7C1-14D5C3AD8898}"/>
    <cellStyle name="Normal 4 2 2 2 6 4" xfId="8378" xr:uid="{A7447EB9-EBEC-4B77-A5A7-031C34D0BD28}"/>
    <cellStyle name="Normal 4 2 2 2 7" xfId="953" xr:uid="{00000000-0005-0000-0000-0000A2070000}"/>
    <cellStyle name="Normal 4 2 2 2 7 2" xfId="2907" xr:uid="{00000000-0005-0000-0000-0000A3070000}"/>
    <cellStyle name="Normal 4 2 2 2 7 2 2" xfId="6828" xr:uid="{71DAF66F-30FB-45A2-B1E7-49F56E911CFD}"/>
    <cellStyle name="Normal 4 2 2 2 7 2 2 2" xfId="14688" xr:uid="{32F1078D-4DD0-4D9E-99C6-2BBA0599CBA5}"/>
    <cellStyle name="Normal 4 2 2 2 7 2 3" xfId="10768" xr:uid="{B474FE1D-D56D-45DC-A633-0304DD1CFECF}"/>
    <cellStyle name="Normal 4 2 2 2 7 3" xfId="4874" xr:uid="{371743E8-0C73-4224-A0D8-618632368BAF}"/>
    <cellStyle name="Normal 4 2 2 2 7 3 2" xfId="12734" xr:uid="{AAE00818-C0B0-494D-9746-EB3A27D2A705}"/>
    <cellStyle name="Normal 4 2 2 2 7 4" xfId="8815" xr:uid="{C136558B-B716-4A92-B1DA-DC0370F37747}"/>
    <cellStyle name="Normal 4 2 2 2 8" xfId="1380" xr:uid="{00000000-0005-0000-0000-0000A4070000}"/>
    <cellStyle name="Normal 4 2 2 2 8 2" xfId="3334" xr:uid="{00000000-0005-0000-0000-0000A5070000}"/>
    <cellStyle name="Normal 4 2 2 2 8 2 2" xfId="7255" xr:uid="{973B6EBA-1EF3-4243-9BFB-1E04E7759EFC}"/>
    <cellStyle name="Normal 4 2 2 2 8 2 2 2" xfId="15115" xr:uid="{0B878D99-063A-4CBB-98FE-1AC2224D426E}"/>
    <cellStyle name="Normal 4 2 2 2 8 2 3" xfId="11195" xr:uid="{DC045EB8-4FCD-4466-BAB5-2D414EC4C6D6}"/>
    <cellStyle name="Normal 4 2 2 2 8 3" xfId="5301" xr:uid="{41E8B87E-BB7E-412B-A91A-D6A334313639}"/>
    <cellStyle name="Normal 4 2 2 2 8 3 2" xfId="13161" xr:uid="{E38D82C6-D5E2-4536-8B5F-A99D69E27C8A}"/>
    <cellStyle name="Normal 4 2 2 2 8 4" xfId="9242" xr:uid="{A7C24063-9CEC-4454-A406-12F3E534AF7E}"/>
    <cellStyle name="Normal 4 2 2 2 9" xfId="2033" xr:uid="{00000000-0005-0000-0000-0000A6070000}"/>
    <cellStyle name="Normal 4 2 2 2 9 2" xfId="5954" xr:uid="{915B0632-01DA-409F-A26B-660B448A930F}"/>
    <cellStyle name="Normal 4 2 2 2 9 2 2" xfId="13814" xr:uid="{55BF43EC-E553-44E6-83DB-DA497420679F}"/>
    <cellStyle name="Normal 4 2 2 2 9 3" xfId="9894" xr:uid="{4248FC99-3E6D-45DD-A4AD-03B1C585DA9C}"/>
    <cellStyle name="Normal 4 2 2 3" xfId="181" xr:uid="{00000000-0005-0000-0000-0000A7070000}"/>
    <cellStyle name="Normal 4 2 2 3 2" xfId="633" xr:uid="{00000000-0005-0000-0000-0000A8070000}"/>
    <cellStyle name="Normal 4 2 2 3 2 2" xfId="2587" xr:uid="{00000000-0005-0000-0000-0000A9070000}"/>
    <cellStyle name="Normal 4 2 2 3 2 2 2" xfId="6508" xr:uid="{E42DDF77-F6CD-4603-A9F1-EF8D13903022}"/>
    <cellStyle name="Normal 4 2 2 3 2 2 2 2" xfId="14368" xr:uid="{2BAE79E5-CD0C-49AA-9476-46F9356CBBCE}"/>
    <cellStyle name="Normal 4 2 2 3 2 2 3" xfId="10448" xr:uid="{F8B20D8C-1E7F-40FB-A997-1C20137D6352}"/>
    <cellStyle name="Normal 4 2 2 3 2 3" xfId="4554" xr:uid="{D54D6D4C-FDF8-4227-B3DA-DCC20D3FC424}"/>
    <cellStyle name="Normal 4 2 2 3 2 3 2" xfId="12414" xr:uid="{E92DCAAB-0F37-42BE-9EA2-D7A1269335A8}"/>
    <cellStyle name="Normal 4 2 2 3 2 4" xfId="8495" xr:uid="{D22D82C2-FA8A-4294-A772-FFD4EFA2EA84}"/>
    <cellStyle name="Normal 4 2 2 3 3" xfId="1070" xr:uid="{00000000-0005-0000-0000-0000AA070000}"/>
    <cellStyle name="Normal 4 2 2 3 3 2" xfId="3024" xr:uid="{00000000-0005-0000-0000-0000AB070000}"/>
    <cellStyle name="Normal 4 2 2 3 3 2 2" xfId="6945" xr:uid="{60456696-7F58-4284-AE20-17576447F677}"/>
    <cellStyle name="Normal 4 2 2 3 3 2 2 2" xfId="14805" xr:uid="{1067A450-BD9D-4D9C-98C9-18F4C51A0913}"/>
    <cellStyle name="Normal 4 2 2 3 3 2 3" xfId="10885" xr:uid="{9242E7C9-74A6-44FB-A76B-EC84B496541C}"/>
    <cellStyle name="Normal 4 2 2 3 3 3" xfId="4991" xr:uid="{8FCE7DB0-142E-456B-987C-8C86209FC4E0}"/>
    <cellStyle name="Normal 4 2 2 3 3 3 2" xfId="12851" xr:uid="{0AB6C7A5-EAD2-45E3-AEBF-C9EB90379D83}"/>
    <cellStyle name="Normal 4 2 2 3 3 4" xfId="8932" xr:uid="{4A50F4A9-00A6-485D-92C6-0D313292FCC4}"/>
    <cellStyle name="Normal 4 2 2 3 4" xfId="1497" xr:uid="{00000000-0005-0000-0000-0000AC070000}"/>
    <cellStyle name="Normal 4 2 2 3 4 2" xfId="3451" xr:uid="{00000000-0005-0000-0000-0000AD070000}"/>
    <cellStyle name="Normal 4 2 2 3 4 2 2" xfId="7372" xr:uid="{1D2D58BF-2A3F-4A3B-BE0E-A924320AF400}"/>
    <cellStyle name="Normal 4 2 2 3 4 2 2 2" xfId="15232" xr:uid="{4F09CF17-CB99-42DA-A8E9-E62850BC355A}"/>
    <cellStyle name="Normal 4 2 2 3 4 2 3" xfId="11312" xr:uid="{25B4F8F8-6462-45DC-B097-B6DB60FA059C}"/>
    <cellStyle name="Normal 4 2 2 3 4 3" xfId="5418" xr:uid="{A701B472-B75C-471D-A3EA-9EA2E4E1E4FA}"/>
    <cellStyle name="Normal 4 2 2 3 4 3 2" xfId="13278" xr:uid="{88E067B7-E993-476A-AE75-4B7D1AC4974A}"/>
    <cellStyle name="Normal 4 2 2 3 4 4" xfId="9359" xr:uid="{929367AC-07E1-4C16-99B3-0346C575AE06}"/>
    <cellStyle name="Normal 4 2 2 3 5" xfId="2150" xr:uid="{00000000-0005-0000-0000-0000AE070000}"/>
    <cellStyle name="Normal 4 2 2 3 5 2" xfId="6071" xr:uid="{7E365D0E-749C-4AFC-BA3C-B511048C456A}"/>
    <cellStyle name="Normal 4 2 2 3 5 2 2" xfId="13931" xr:uid="{41AEC516-0414-46CD-A948-421726A9833F}"/>
    <cellStyle name="Normal 4 2 2 3 5 3" xfId="10011" xr:uid="{FBBCFD1C-C525-4FF9-BC71-1540887FAD22}"/>
    <cellStyle name="Normal 4 2 2 3 6" xfId="4117" xr:uid="{A535CF9C-B325-4F9F-8526-6A39B54FFC2E}"/>
    <cellStyle name="Normal 4 2 2 3 6 2" xfId="11977" xr:uid="{DBD660DC-2D34-4B83-9969-393E2FB2D277}"/>
    <cellStyle name="Normal 4 2 2 3 7" xfId="8055" xr:uid="{78C66633-2B1C-4E27-94CB-3E18EA49A6D9}"/>
    <cellStyle name="Normal 4 2 2 4" xfId="103" xr:uid="{00000000-0005-0000-0000-0000AF070000}"/>
    <cellStyle name="Normal 4 2 2 4 2" xfId="555" xr:uid="{00000000-0005-0000-0000-0000B0070000}"/>
    <cellStyle name="Normal 4 2 2 4 2 2" xfId="2509" xr:uid="{00000000-0005-0000-0000-0000B1070000}"/>
    <cellStyle name="Normal 4 2 2 4 2 2 2" xfId="6430" xr:uid="{860E6620-823A-4BF0-A39C-E5CA5571E7CD}"/>
    <cellStyle name="Normal 4 2 2 4 2 2 2 2" xfId="14290" xr:uid="{D30162DE-9929-4A15-BCDF-BC26DF9AAE51}"/>
    <cellStyle name="Normal 4 2 2 4 2 2 3" xfId="10370" xr:uid="{9E1225DD-65D1-4AB7-A6EA-E4CCBA8B2444}"/>
    <cellStyle name="Normal 4 2 2 4 2 3" xfId="4476" xr:uid="{9C18406F-BED8-48BF-8E69-F6C764D857A9}"/>
    <cellStyle name="Normal 4 2 2 4 2 3 2" xfId="12336" xr:uid="{92864D86-B48D-4D8E-AC01-EFE743783230}"/>
    <cellStyle name="Normal 4 2 2 4 2 4" xfId="8417" xr:uid="{F67C82A5-57F5-47EA-B6C0-D86BB2CA5F6E}"/>
    <cellStyle name="Normal 4 2 2 4 3" xfId="992" xr:uid="{00000000-0005-0000-0000-0000B2070000}"/>
    <cellStyle name="Normal 4 2 2 4 3 2" xfId="2946" xr:uid="{00000000-0005-0000-0000-0000B3070000}"/>
    <cellStyle name="Normal 4 2 2 4 3 2 2" xfId="6867" xr:uid="{DB57E133-016A-4CD3-A79D-552EA388951C}"/>
    <cellStyle name="Normal 4 2 2 4 3 2 2 2" xfId="14727" xr:uid="{495E5E85-5EDC-4D7E-99E2-3CA072464955}"/>
    <cellStyle name="Normal 4 2 2 4 3 2 3" xfId="10807" xr:uid="{69AC473B-6567-44A2-845D-AB4FD06341E7}"/>
    <cellStyle name="Normal 4 2 2 4 3 3" xfId="4913" xr:uid="{94BFD81D-A17C-47D4-9190-AD8F28DEF6AD}"/>
    <cellStyle name="Normal 4 2 2 4 3 3 2" xfId="12773" xr:uid="{CC49A7CC-B69A-40F2-9FE1-19200DF670FA}"/>
    <cellStyle name="Normal 4 2 2 4 3 4" xfId="8854" xr:uid="{AAB5B338-D64A-4984-A498-45603A16AE3C}"/>
    <cellStyle name="Normal 4 2 2 4 4" xfId="1419" xr:uid="{00000000-0005-0000-0000-0000B4070000}"/>
    <cellStyle name="Normal 4 2 2 4 4 2" xfId="3373" xr:uid="{00000000-0005-0000-0000-0000B5070000}"/>
    <cellStyle name="Normal 4 2 2 4 4 2 2" xfId="7294" xr:uid="{7D641FC6-7B4C-4D60-8C1E-ACDE014D1C3B}"/>
    <cellStyle name="Normal 4 2 2 4 4 2 2 2" xfId="15154" xr:uid="{9FF203D7-463B-4954-9990-CA167E093C46}"/>
    <cellStyle name="Normal 4 2 2 4 4 2 3" xfId="11234" xr:uid="{4A0112E8-B320-4923-9AFD-D39AF1E55FAA}"/>
    <cellStyle name="Normal 4 2 2 4 4 3" xfId="5340" xr:uid="{CCCEF7AD-87B5-4F15-A7E9-5A9FFE770991}"/>
    <cellStyle name="Normal 4 2 2 4 4 3 2" xfId="13200" xr:uid="{5D41668C-AEDD-4107-A2FC-8349E219AD80}"/>
    <cellStyle name="Normal 4 2 2 4 4 4" xfId="9281" xr:uid="{2142D56D-D93C-4DB4-B063-2651C0DC9C51}"/>
    <cellStyle name="Normal 4 2 2 4 5" xfId="2072" xr:uid="{00000000-0005-0000-0000-0000B6070000}"/>
    <cellStyle name="Normal 4 2 2 4 5 2" xfId="5993" xr:uid="{AA4E4F0F-66D6-4F66-AC20-8572655875CD}"/>
    <cellStyle name="Normal 4 2 2 4 5 2 2" xfId="13853" xr:uid="{B9B3471A-CD1D-492C-97AA-A9B6373249EB}"/>
    <cellStyle name="Normal 4 2 2 4 5 3" xfId="9933" xr:uid="{3C43C27B-EE86-422D-895D-6B7309DB0C62}"/>
    <cellStyle name="Normal 4 2 2 4 6" xfId="4039" xr:uid="{CFBBC589-F15B-4C5A-8497-E68F1893F9FA}"/>
    <cellStyle name="Normal 4 2 2 4 6 2" xfId="11899" xr:uid="{38F722BD-3EA2-492F-80BD-CF718EAB28A3}"/>
    <cellStyle name="Normal 4 2 2 4 7" xfId="7977" xr:uid="{51DFED16-11E4-49ED-80A6-FCDC8F81360C}"/>
    <cellStyle name="Normal 4 2 2 5" xfId="279" xr:uid="{00000000-0005-0000-0000-0000B7070000}"/>
    <cellStyle name="Normal 4 2 2 5 2" xfId="731" xr:uid="{00000000-0005-0000-0000-0000B8070000}"/>
    <cellStyle name="Normal 4 2 2 5 2 2" xfId="2685" xr:uid="{00000000-0005-0000-0000-0000B9070000}"/>
    <cellStyle name="Normal 4 2 2 5 2 2 2" xfId="6606" xr:uid="{33E15C40-BBEA-4003-94F9-9C3916AABD0E}"/>
    <cellStyle name="Normal 4 2 2 5 2 2 2 2" xfId="14466" xr:uid="{5AF050F4-D804-4450-B38A-09D5F0C0103C}"/>
    <cellStyle name="Normal 4 2 2 5 2 2 3" xfId="10546" xr:uid="{4003511E-5BBE-4AC9-9085-0995984F7161}"/>
    <cellStyle name="Normal 4 2 2 5 2 3" xfId="4652" xr:uid="{0B793C58-768B-47D5-950C-A5D398BF15F3}"/>
    <cellStyle name="Normal 4 2 2 5 2 3 2" xfId="12512" xr:uid="{C7D105D0-0289-456D-A4A8-0B6863498031}"/>
    <cellStyle name="Normal 4 2 2 5 2 4" xfId="8593" xr:uid="{49A8F81E-516A-42E2-9829-C53F1ADC2FE9}"/>
    <cellStyle name="Normal 4 2 2 5 3" xfId="1167" xr:uid="{00000000-0005-0000-0000-0000BA070000}"/>
    <cellStyle name="Normal 4 2 2 5 3 2" xfId="3121" xr:uid="{00000000-0005-0000-0000-0000BB070000}"/>
    <cellStyle name="Normal 4 2 2 5 3 2 2" xfId="7042" xr:uid="{65838A0B-E4A3-45E8-8FF6-A44D114C4EF1}"/>
    <cellStyle name="Normal 4 2 2 5 3 2 2 2" xfId="14902" xr:uid="{66E9F6FE-2C92-47CD-9230-572EAFB86477}"/>
    <cellStyle name="Normal 4 2 2 5 3 2 3" xfId="10982" xr:uid="{F8143041-98D7-45C9-A6A7-FFEC11CA3AB7}"/>
    <cellStyle name="Normal 4 2 2 5 3 3" xfId="5088" xr:uid="{AE816D5D-F11D-4D65-BD84-0DA7F3369203}"/>
    <cellStyle name="Normal 4 2 2 5 3 3 2" xfId="12948" xr:uid="{429D9624-76F1-49FF-A73A-B9D151967BCF}"/>
    <cellStyle name="Normal 4 2 2 5 3 4" xfId="9029" xr:uid="{2DE0D031-0F29-4BB6-81DD-BA485BA5CE8F}"/>
    <cellStyle name="Normal 4 2 2 5 4" xfId="1588" xr:uid="{00000000-0005-0000-0000-0000BC070000}"/>
    <cellStyle name="Normal 4 2 2 5 4 2" xfId="3542" xr:uid="{00000000-0005-0000-0000-0000BD070000}"/>
    <cellStyle name="Normal 4 2 2 5 4 2 2" xfId="7463" xr:uid="{7658F4F7-9783-4286-A803-0FC358845A37}"/>
    <cellStyle name="Normal 4 2 2 5 4 2 2 2" xfId="15323" xr:uid="{3024A6A8-FA62-4402-835B-7D5CB6E917D1}"/>
    <cellStyle name="Normal 4 2 2 5 4 2 3" xfId="11403" xr:uid="{D5BED587-73E9-4538-8337-E8B2BEF67CA2}"/>
    <cellStyle name="Normal 4 2 2 5 4 3" xfId="5509" xr:uid="{A982C1CD-E723-4D5B-9468-F569D1C3CE68}"/>
    <cellStyle name="Normal 4 2 2 5 4 3 2" xfId="13369" xr:uid="{2F790127-D048-421F-B002-66E3B3E41542}"/>
    <cellStyle name="Normal 4 2 2 5 4 4" xfId="9450" xr:uid="{20B12DB1-0852-40A7-80AB-7C5A9B7034B3}"/>
    <cellStyle name="Normal 4 2 2 5 5" xfId="2242" xr:uid="{00000000-0005-0000-0000-0000BE070000}"/>
    <cellStyle name="Normal 4 2 2 5 5 2" xfId="6163" xr:uid="{F5A0E6C6-FE6A-4DB1-8B93-F7BF1DE97813}"/>
    <cellStyle name="Normal 4 2 2 5 5 2 2" xfId="14023" xr:uid="{D6CB1BA8-0076-4AAC-9B8B-D9C38E269243}"/>
    <cellStyle name="Normal 4 2 2 5 5 3" xfId="10103" xr:uid="{F6499560-C0E2-4293-A258-5A84EE42E983}"/>
    <cellStyle name="Normal 4 2 2 5 6" xfId="4209" xr:uid="{689D83B1-BED0-4162-9FB7-E4D654E6FBB4}"/>
    <cellStyle name="Normal 4 2 2 5 6 2" xfId="12069" xr:uid="{AC64E487-83AE-4E01-8277-ED7D2CC4B775}"/>
    <cellStyle name="Normal 4 2 2 5 7" xfId="8148" xr:uid="{6DDFF7DC-D472-4D80-AA27-C4EB4DC18CFB}"/>
    <cellStyle name="Normal 4 2 2 6" xfId="379" xr:uid="{00000000-0005-0000-0000-0000BF070000}"/>
    <cellStyle name="Normal 4 2 2 6 2" xfId="830" xr:uid="{00000000-0005-0000-0000-0000C0070000}"/>
    <cellStyle name="Normal 4 2 2 6 2 2" xfId="2784" xr:uid="{00000000-0005-0000-0000-0000C1070000}"/>
    <cellStyle name="Normal 4 2 2 6 2 2 2" xfId="6705" xr:uid="{B8F98C83-6877-464E-9F47-2E1BF36CDEBB}"/>
    <cellStyle name="Normal 4 2 2 6 2 2 2 2" xfId="14565" xr:uid="{AB3864BE-641F-4FBA-9422-F0E3BBB85364}"/>
    <cellStyle name="Normal 4 2 2 6 2 2 3" xfId="10645" xr:uid="{05406332-5AAC-48C3-84E2-CB47E9F4CD01}"/>
    <cellStyle name="Normal 4 2 2 6 2 3" xfId="4751" xr:uid="{7DE4A103-38B6-4E5B-A241-0607BF6BB32A}"/>
    <cellStyle name="Normal 4 2 2 6 2 3 2" xfId="12611" xr:uid="{74D549FD-1ACE-486C-931B-12864AA999E8}"/>
    <cellStyle name="Normal 4 2 2 6 2 4" xfId="8692" xr:uid="{01133A41-AF30-4CD1-98AB-11CC412524B0}"/>
    <cellStyle name="Normal 4 2 2 6 3" xfId="1262" xr:uid="{00000000-0005-0000-0000-0000C2070000}"/>
    <cellStyle name="Normal 4 2 2 6 3 2" xfId="3216" xr:uid="{00000000-0005-0000-0000-0000C3070000}"/>
    <cellStyle name="Normal 4 2 2 6 3 2 2" xfId="7137" xr:uid="{35963310-695B-42A4-BC27-24DACE2F99EE}"/>
    <cellStyle name="Normal 4 2 2 6 3 2 2 2" xfId="14997" xr:uid="{5796B4CE-6695-4CB6-9DEA-9F657EFC7AFD}"/>
    <cellStyle name="Normal 4 2 2 6 3 2 3" xfId="11077" xr:uid="{AAC74F62-8399-46A8-944D-DBDFCC102112}"/>
    <cellStyle name="Normal 4 2 2 6 3 3" xfId="5183" xr:uid="{29C66B82-4DB1-4809-B9CD-1BE9CEEEE3F4}"/>
    <cellStyle name="Normal 4 2 2 6 3 3 2" xfId="13043" xr:uid="{EF52DFC6-6635-40F7-B99F-7BDD0BBD9508}"/>
    <cellStyle name="Normal 4 2 2 6 3 4" xfId="9124" xr:uid="{F9077B6E-A713-42FB-A31E-23731F31B951}"/>
    <cellStyle name="Normal 4 2 2 6 4" xfId="1680" xr:uid="{00000000-0005-0000-0000-0000C4070000}"/>
    <cellStyle name="Normal 4 2 2 6 4 2" xfId="3634" xr:uid="{00000000-0005-0000-0000-0000C5070000}"/>
    <cellStyle name="Normal 4 2 2 6 4 2 2" xfId="7555" xr:uid="{E3B142D0-E007-4602-9D30-DF41675C4ADB}"/>
    <cellStyle name="Normal 4 2 2 6 4 2 2 2" xfId="15415" xr:uid="{56A207E2-3DC4-4892-BB4E-887FE2FD2057}"/>
    <cellStyle name="Normal 4 2 2 6 4 2 3" xfId="11495" xr:uid="{85128050-2DA1-4280-BEBF-FB139AB4360E}"/>
    <cellStyle name="Normal 4 2 2 6 4 3" xfId="5601" xr:uid="{9E52E0DD-24EB-4581-8513-60EFE81054A2}"/>
    <cellStyle name="Normal 4 2 2 6 4 3 2" xfId="13461" xr:uid="{90574A49-0B73-4F36-B379-14BB58A6154A}"/>
    <cellStyle name="Normal 4 2 2 6 4 4" xfId="9542" xr:uid="{5C6453B4-BCFB-4862-BE6E-31B17AE1E4B4}"/>
    <cellStyle name="Normal 4 2 2 6 5" xfId="2334" xr:uid="{00000000-0005-0000-0000-0000C6070000}"/>
    <cellStyle name="Normal 4 2 2 6 5 2" xfId="6255" xr:uid="{69D0DD23-8EA4-4774-8D5B-E9988C086092}"/>
    <cellStyle name="Normal 4 2 2 6 5 2 2" xfId="14115" xr:uid="{57858EC8-EE34-4646-B7D8-B3B559EE9A52}"/>
    <cellStyle name="Normal 4 2 2 6 5 3" xfId="10195" xr:uid="{780B4151-22D3-4B0D-87FC-3BE92D4E63C0}"/>
    <cellStyle name="Normal 4 2 2 6 6" xfId="4301" xr:uid="{285ADDAD-63CD-4865-8CCF-CCCC832AD480}"/>
    <cellStyle name="Normal 4 2 2 6 6 2" xfId="12161" xr:uid="{7ED1AC44-1C0D-41BA-A54B-305643071914}"/>
    <cellStyle name="Normal 4 2 2 6 7" xfId="8242" xr:uid="{3CD926C5-D020-4D91-BCFF-687E50BF4536}"/>
    <cellStyle name="Normal 4 2 2 7" xfId="476" xr:uid="{00000000-0005-0000-0000-0000C7070000}"/>
    <cellStyle name="Normal 4 2 2 7 2" xfId="1922" xr:uid="{00000000-0005-0000-0000-0000C8070000}"/>
    <cellStyle name="Normal 4 2 2 7 2 2" xfId="3875" xr:uid="{00000000-0005-0000-0000-0000C9070000}"/>
    <cellStyle name="Normal 4 2 2 7 2 2 2" xfId="7796" xr:uid="{60654388-A365-4B9A-8003-5E3865464C25}"/>
    <cellStyle name="Normal 4 2 2 7 2 2 2 2" xfId="15656" xr:uid="{19D71C06-DBCF-4C3B-8FBD-6AB46104844C}"/>
    <cellStyle name="Normal 4 2 2 7 2 2 3" xfId="11736" xr:uid="{10589C88-10E9-4D8F-8AE6-054E39180844}"/>
    <cellStyle name="Normal 4 2 2 7 2 3" xfId="5843" xr:uid="{8ECB9D83-EBAC-4759-888C-700C8F40DA14}"/>
    <cellStyle name="Normal 4 2 2 7 2 3 2" xfId="13703" xr:uid="{4B0D4E9F-C880-4A2B-8A17-18D97BA9631E}"/>
    <cellStyle name="Normal 4 2 2 7 2 4" xfId="9784" xr:uid="{D71A071E-4523-49A3-882C-9F0B7FE7C445}"/>
    <cellStyle name="Normal 4 2 2 7 3" xfId="2430" xr:uid="{00000000-0005-0000-0000-0000CA070000}"/>
    <cellStyle name="Normal 4 2 2 7 3 2" xfId="6351" xr:uid="{F0C96528-9B35-44A4-97B6-562060D4D537}"/>
    <cellStyle name="Normal 4 2 2 7 3 2 2" xfId="14211" xr:uid="{A5A5EEE9-CAA9-4427-9A4B-BFBD47FD0FCC}"/>
    <cellStyle name="Normal 4 2 2 7 3 3" xfId="10291" xr:uid="{CF00802A-5052-4167-A0AC-B9452FF15191}"/>
    <cellStyle name="Normal 4 2 2 7 4" xfId="4397" xr:uid="{CA88418A-C737-40E3-9165-9F3E37711A0C}"/>
    <cellStyle name="Normal 4 2 2 7 4 2" xfId="12257" xr:uid="{D3879063-D050-4B38-BD0D-B8CC33CD0EA8}"/>
    <cellStyle name="Normal 4 2 2 7 5" xfId="8338" xr:uid="{BC964195-D705-400B-866C-6168CFBA0BD0}"/>
    <cellStyle name="Normal 4 2 2 8" xfId="912" xr:uid="{00000000-0005-0000-0000-0000CB070000}"/>
    <cellStyle name="Normal 4 2 2 8 2" xfId="2866" xr:uid="{00000000-0005-0000-0000-0000CC070000}"/>
    <cellStyle name="Normal 4 2 2 8 2 2" xfId="6787" xr:uid="{AD0903E5-D681-486C-9FF6-7F6F8D0C4DED}"/>
    <cellStyle name="Normal 4 2 2 8 2 2 2" xfId="14647" xr:uid="{508C2F15-F410-4A62-8C3B-11DCFF3F12E1}"/>
    <cellStyle name="Normal 4 2 2 8 2 3" xfId="10727" xr:uid="{2AB304FF-2E98-48A8-B89E-162F6B0FAA0B}"/>
    <cellStyle name="Normal 4 2 2 8 3" xfId="4833" xr:uid="{1176CDFE-B601-4D11-B25F-88645EF0C98C}"/>
    <cellStyle name="Normal 4 2 2 8 3 2" xfId="12693" xr:uid="{6996ADE4-1C1D-410E-B2D4-CE7D179E02CA}"/>
    <cellStyle name="Normal 4 2 2 8 4" xfId="8774" xr:uid="{F83CC09A-DDA0-4B1C-83C5-5892950E1980}"/>
    <cellStyle name="Normal 4 2 2 9" xfId="1341" xr:uid="{00000000-0005-0000-0000-0000CD070000}"/>
    <cellStyle name="Normal 4 2 2 9 2" xfId="3295" xr:uid="{00000000-0005-0000-0000-0000CE070000}"/>
    <cellStyle name="Normal 4 2 2 9 2 2" xfId="7216" xr:uid="{E1426C88-825B-4AC0-9DF8-C361130C1C99}"/>
    <cellStyle name="Normal 4 2 2 9 2 2 2" xfId="15076" xr:uid="{6F2A44C8-4C7D-4E45-83C8-B82F09EBD49F}"/>
    <cellStyle name="Normal 4 2 2 9 2 3" xfId="11156" xr:uid="{76E06437-E256-4426-841A-EB65FC1A486B}"/>
    <cellStyle name="Normal 4 2 2 9 3" xfId="5262" xr:uid="{7F7C6ED9-5D8B-4DB3-BFD8-FD5E83734C99}"/>
    <cellStyle name="Normal 4 2 2 9 3 2" xfId="13122" xr:uid="{9E14485B-C3A2-4C45-A0A6-D377DE634A1A}"/>
    <cellStyle name="Normal 4 2 2 9 4" xfId="9203" xr:uid="{347CEDC0-C0B3-4236-9C4E-80E49170446E}"/>
    <cellStyle name="Normal 4 2 3" xfId="34" xr:uid="{00000000-0005-0000-0000-0000CF070000}"/>
    <cellStyle name="Normal 4 2 3 10" xfId="2004" xr:uid="{00000000-0005-0000-0000-0000D0070000}"/>
    <cellStyle name="Normal 4 2 3 10 2" xfId="5925" xr:uid="{AE40D0DF-4C68-4726-A6FD-3E53D7415B80}"/>
    <cellStyle name="Normal 4 2 3 10 2 2" xfId="13785" xr:uid="{22C11368-01B7-42B0-B199-F19A10E5A0FC}"/>
    <cellStyle name="Normal 4 2 3 10 3" xfId="9865" xr:uid="{8941591A-1270-4239-BCE7-46E724F2E8E3}"/>
    <cellStyle name="Normal 4 2 3 11" xfId="3971" xr:uid="{9A796811-6D87-4545-AA65-5477A937005B}"/>
    <cellStyle name="Normal 4 2 3 11 2" xfId="11831" xr:uid="{65C55174-37BA-4B22-995A-5F93CA985A0F}"/>
    <cellStyle name="Normal 4 2 3 12" xfId="7909" xr:uid="{760B8151-0AA8-4F03-9FDD-1AC9A1A1F744}"/>
    <cellStyle name="Normal 4 2 3 2" xfId="75" xr:uid="{00000000-0005-0000-0000-0000D1070000}"/>
    <cellStyle name="Normal 4 2 3 2 10" xfId="4011" xr:uid="{CF872D51-61AA-4CC0-80AC-85724C75D182}"/>
    <cellStyle name="Normal 4 2 3 2 10 2" xfId="11871" xr:uid="{294F5653-9F85-4D6A-85C4-04DF33084004}"/>
    <cellStyle name="Normal 4 2 3 2 11" xfId="7949" xr:uid="{5115BD8D-65CA-43B3-B7E1-6189D4E57999}"/>
    <cellStyle name="Normal 4 2 3 2 2" xfId="231" xr:uid="{00000000-0005-0000-0000-0000D2070000}"/>
    <cellStyle name="Normal 4 2 3 2 2 2" xfId="683" xr:uid="{00000000-0005-0000-0000-0000D3070000}"/>
    <cellStyle name="Normal 4 2 3 2 2 2 2" xfId="2637" xr:uid="{00000000-0005-0000-0000-0000D4070000}"/>
    <cellStyle name="Normal 4 2 3 2 2 2 2 2" xfId="6558" xr:uid="{5D829159-9446-4C1A-BEEF-34A13022BACB}"/>
    <cellStyle name="Normal 4 2 3 2 2 2 2 2 2" xfId="14418" xr:uid="{317E3801-D127-4907-8D15-D8349BC7F7C3}"/>
    <cellStyle name="Normal 4 2 3 2 2 2 2 3" xfId="10498" xr:uid="{FC27B221-BF02-4828-8D46-02FDC0554A5E}"/>
    <cellStyle name="Normal 4 2 3 2 2 2 3" xfId="4604" xr:uid="{55B40849-50D7-4699-A5B6-997AAF0E5F0E}"/>
    <cellStyle name="Normal 4 2 3 2 2 2 3 2" xfId="12464" xr:uid="{7960931D-9FAC-49D2-8C05-FF8AC9DD2E06}"/>
    <cellStyle name="Normal 4 2 3 2 2 2 4" xfId="8545" xr:uid="{1397C463-8F35-4C9D-A150-68B8FB4AADB9}"/>
    <cellStyle name="Normal 4 2 3 2 2 3" xfId="1120" xr:uid="{00000000-0005-0000-0000-0000D5070000}"/>
    <cellStyle name="Normal 4 2 3 2 2 3 2" xfId="3074" xr:uid="{00000000-0005-0000-0000-0000D6070000}"/>
    <cellStyle name="Normal 4 2 3 2 2 3 2 2" xfId="6995" xr:uid="{68325D2D-3B34-442C-95EE-10935F5299A2}"/>
    <cellStyle name="Normal 4 2 3 2 2 3 2 2 2" xfId="14855" xr:uid="{1574EF22-82A6-4798-955E-B627DE550379}"/>
    <cellStyle name="Normal 4 2 3 2 2 3 2 3" xfId="10935" xr:uid="{9C85C2E3-41B5-443E-9783-D3E866A891D9}"/>
    <cellStyle name="Normal 4 2 3 2 2 3 3" xfId="5041" xr:uid="{B1E18F25-9A65-43CD-96FD-DCE66F132630}"/>
    <cellStyle name="Normal 4 2 3 2 2 3 3 2" xfId="12901" xr:uid="{C17BCA8F-A177-471A-B8D3-3BAC5B5A4E1D}"/>
    <cellStyle name="Normal 4 2 3 2 2 3 4" xfId="8982" xr:uid="{3CDC2F72-DE7B-41A8-9BBA-486F9A789BD2}"/>
    <cellStyle name="Normal 4 2 3 2 2 4" xfId="1547" xr:uid="{00000000-0005-0000-0000-0000D7070000}"/>
    <cellStyle name="Normal 4 2 3 2 2 4 2" xfId="3501" xr:uid="{00000000-0005-0000-0000-0000D8070000}"/>
    <cellStyle name="Normal 4 2 3 2 2 4 2 2" xfId="7422" xr:uid="{467775C3-FF73-4D21-84D3-A7340D090448}"/>
    <cellStyle name="Normal 4 2 3 2 2 4 2 2 2" xfId="15282" xr:uid="{CC3FBBD2-F86B-4A1A-A61D-DFBAAEFD5B32}"/>
    <cellStyle name="Normal 4 2 3 2 2 4 2 3" xfId="11362" xr:uid="{C22B2ACF-15AD-4B22-BF9C-90A469874DB2}"/>
    <cellStyle name="Normal 4 2 3 2 2 4 3" xfId="5468" xr:uid="{4BBAAEB2-D5F2-4DE9-96C9-E507E1661E4D}"/>
    <cellStyle name="Normal 4 2 3 2 2 4 3 2" xfId="13328" xr:uid="{DD7F3CC6-86DE-4B17-9377-8ADC38A61C6C}"/>
    <cellStyle name="Normal 4 2 3 2 2 4 4" xfId="9409" xr:uid="{24341FFA-7B38-41CF-A082-C9E80E911432}"/>
    <cellStyle name="Normal 4 2 3 2 2 5" xfId="2200" xr:uid="{00000000-0005-0000-0000-0000D9070000}"/>
    <cellStyle name="Normal 4 2 3 2 2 5 2" xfId="6121" xr:uid="{51AEFDD6-8588-4045-84FD-4BAECECF6835}"/>
    <cellStyle name="Normal 4 2 3 2 2 5 2 2" xfId="13981" xr:uid="{EB1B35F0-88CE-4B28-9C5A-841A00F4F6F6}"/>
    <cellStyle name="Normal 4 2 3 2 2 5 3" xfId="10061" xr:uid="{37AC3D2C-38A8-4FEA-B360-9B8EB56EDF25}"/>
    <cellStyle name="Normal 4 2 3 2 2 6" xfId="4167" xr:uid="{D2CD9A0D-5E12-4542-8E20-32A5D366A464}"/>
    <cellStyle name="Normal 4 2 3 2 2 6 2" xfId="12027" xr:uid="{0B2D403C-416C-4399-BD7C-71BF186B5B74}"/>
    <cellStyle name="Normal 4 2 3 2 2 7" xfId="8105" xr:uid="{4BD60F27-B0F8-4C29-AEB0-C57446E7ED04}"/>
    <cellStyle name="Normal 4 2 3 2 3" xfId="153" xr:uid="{00000000-0005-0000-0000-0000DA070000}"/>
    <cellStyle name="Normal 4 2 3 2 3 2" xfId="605" xr:uid="{00000000-0005-0000-0000-0000DB070000}"/>
    <cellStyle name="Normal 4 2 3 2 3 2 2" xfId="2559" xr:uid="{00000000-0005-0000-0000-0000DC070000}"/>
    <cellStyle name="Normal 4 2 3 2 3 2 2 2" xfId="6480" xr:uid="{C524B927-0B23-4E47-9A81-19915B89FF34}"/>
    <cellStyle name="Normal 4 2 3 2 3 2 2 2 2" xfId="14340" xr:uid="{E5AA3993-58C9-4AE6-A55D-56C102BEA89E}"/>
    <cellStyle name="Normal 4 2 3 2 3 2 2 3" xfId="10420" xr:uid="{E353177B-1E4F-4247-9C33-76352915CB61}"/>
    <cellStyle name="Normal 4 2 3 2 3 2 3" xfId="4526" xr:uid="{15B15952-F625-4EB3-9410-65FD96C88EED}"/>
    <cellStyle name="Normal 4 2 3 2 3 2 3 2" xfId="12386" xr:uid="{517BF541-648C-410E-B1F4-54056D7E85A7}"/>
    <cellStyle name="Normal 4 2 3 2 3 2 4" xfId="8467" xr:uid="{2616B0D8-BED8-40E9-914B-89DFBC64EB3F}"/>
    <cellStyle name="Normal 4 2 3 2 3 3" xfId="1042" xr:uid="{00000000-0005-0000-0000-0000DD070000}"/>
    <cellStyle name="Normal 4 2 3 2 3 3 2" xfId="2996" xr:uid="{00000000-0005-0000-0000-0000DE070000}"/>
    <cellStyle name="Normal 4 2 3 2 3 3 2 2" xfId="6917" xr:uid="{742D636D-A9AD-4AB9-988E-E6B17C6420C5}"/>
    <cellStyle name="Normal 4 2 3 2 3 3 2 2 2" xfId="14777" xr:uid="{5C7959DB-4822-4889-A644-C04AED330982}"/>
    <cellStyle name="Normal 4 2 3 2 3 3 2 3" xfId="10857" xr:uid="{67EFC838-D935-477A-8BC1-D275759BD335}"/>
    <cellStyle name="Normal 4 2 3 2 3 3 3" xfId="4963" xr:uid="{80C77FBB-FD09-42AA-BFAD-0FCD323BE901}"/>
    <cellStyle name="Normal 4 2 3 2 3 3 3 2" xfId="12823" xr:uid="{C056E117-439F-4BED-99F5-AAA8708A6228}"/>
    <cellStyle name="Normal 4 2 3 2 3 3 4" xfId="8904" xr:uid="{7172E0BD-0150-43A5-8423-3DFA663C635B}"/>
    <cellStyle name="Normal 4 2 3 2 3 4" xfId="1469" xr:uid="{00000000-0005-0000-0000-0000DF070000}"/>
    <cellStyle name="Normal 4 2 3 2 3 4 2" xfId="3423" xr:uid="{00000000-0005-0000-0000-0000E0070000}"/>
    <cellStyle name="Normal 4 2 3 2 3 4 2 2" xfId="7344" xr:uid="{3C294655-73E2-43ED-B1DF-88991E44AA52}"/>
    <cellStyle name="Normal 4 2 3 2 3 4 2 2 2" xfId="15204" xr:uid="{BE40393B-0D4B-46FD-AB33-AEFF81AF8660}"/>
    <cellStyle name="Normal 4 2 3 2 3 4 2 3" xfId="11284" xr:uid="{5B459856-CD1B-4EE1-BA62-6E287559E379}"/>
    <cellStyle name="Normal 4 2 3 2 3 4 3" xfId="5390" xr:uid="{9A8503A2-8E89-4B71-80F0-22818B2841FD}"/>
    <cellStyle name="Normal 4 2 3 2 3 4 3 2" xfId="13250" xr:uid="{83B82961-E4D5-4F12-87E1-8E4B55B70E1B}"/>
    <cellStyle name="Normal 4 2 3 2 3 4 4" xfId="9331" xr:uid="{807B1480-4DE9-4427-B4C3-E6840C833365}"/>
    <cellStyle name="Normal 4 2 3 2 3 5" xfId="2122" xr:uid="{00000000-0005-0000-0000-0000E1070000}"/>
    <cellStyle name="Normal 4 2 3 2 3 5 2" xfId="6043" xr:uid="{EA946B25-3359-4EA6-ABA0-7A3819286206}"/>
    <cellStyle name="Normal 4 2 3 2 3 5 2 2" xfId="13903" xr:uid="{52ADD0CA-77D9-4E8F-836B-CF53B41D2464}"/>
    <cellStyle name="Normal 4 2 3 2 3 5 3" xfId="9983" xr:uid="{40AF14D1-643D-40E4-9E69-DC803F7573ED}"/>
    <cellStyle name="Normal 4 2 3 2 3 6" xfId="4089" xr:uid="{19650041-5762-4200-8112-11C1FA27358D}"/>
    <cellStyle name="Normal 4 2 3 2 3 6 2" xfId="11949" xr:uid="{80BB76EE-E7D7-4FBC-AEFB-5507FE43C61D}"/>
    <cellStyle name="Normal 4 2 3 2 3 7" xfId="8027" xr:uid="{6E87FBEE-9A98-427B-B806-99DDE79DCF58}"/>
    <cellStyle name="Normal 4 2 3 2 4" xfId="338" xr:uid="{00000000-0005-0000-0000-0000E2070000}"/>
    <cellStyle name="Normal 4 2 3 2 4 2" xfId="790" xr:uid="{00000000-0005-0000-0000-0000E3070000}"/>
    <cellStyle name="Normal 4 2 3 2 4 2 2" xfId="2744" xr:uid="{00000000-0005-0000-0000-0000E4070000}"/>
    <cellStyle name="Normal 4 2 3 2 4 2 2 2" xfId="6665" xr:uid="{FDECF18C-B64A-4403-9342-77B889BB251C}"/>
    <cellStyle name="Normal 4 2 3 2 4 2 2 2 2" xfId="14525" xr:uid="{4CB36189-B728-42B7-9BE3-4ABA2E8BE72B}"/>
    <cellStyle name="Normal 4 2 3 2 4 2 2 3" xfId="10605" xr:uid="{278D90DC-359C-4C8C-A666-E35436B3D98B}"/>
    <cellStyle name="Normal 4 2 3 2 4 2 3" xfId="4711" xr:uid="{0FDFB669-0442-4BE4-B4BE-3B450E4A16B9}"/>
    <cellStyle name="Normal 4 2 3 2 4 2 3 2" xfId="12571" xr:uid="{04D4A4FB-15B2-45D3-8875-EAEE992DB4BF}"/>
    <cellStyle name="Normal 4 2 3 2 4 2 4" xfId="8652" xr:uid="{92FDCD03-6B5F-45DB-8FF6-A7D85ED788F8}"/>
    <cellStyle name="Normal 4 2 3 2 4 3" xfId="1224" xr:uid="{00000000-0005-0000-0000-0000E5070000}"/>
    <cellStyle name="Normal 4 2 3 2 4 3 2" xfId="3178" xr:uid="{00000000-0005-0000-0000-0000E6070000}"/>
    <cellStyle name="Normal 4 2 3 2 4 3 2 2" xfId="7099" xr:uid="{A761074D-91F6-47F2-8541-2BD136275A4D}"/>
    <cellStyle name="Normal 4 2 3 2 4 3 2 2 2" xfId="14959" xr:uid="{0285FCF8-BEA8-4575-8F57-87C15C56D01D}"/>
    <cellStyle name="Normal 4 2 3 2 4 3 2 3" xfId="11039" xr:uid="{2ABB385F-8E83-4860-ACF9-1DA25CD34E25}"/>
    <cellStyle name="Normal 4 2 3 2 4 3 3" xfId="5145" xr:uid="{CB7D8F66-DC59-4BC7-9E9B-9D5360E6F227}"/>
    <cellStyle name="Normal 4 2 3 2 4 3 3 2" xfId="13005" xr:uid="{9EF601BB-4EF3-482F-BE33-F0B60791C0E5}"/>
    <cellStyle name="Normal 4 2 3 2 4 3 4" xfId="9086" xr:uid="{913EF82D-9162-4F7B-83A5-60E1CE0AE816}"/>
    <cellStyle name="Normal 4 2 3 2 4 4" xfId="1644" xr:uid="{00000000-0005-0000-0000-0000E7070000}"/>
    <cellStyle name="Normal 4 2 3 2 4 4 2" xfId="3598" xr:uid="{00000000-0005-0000-0000-0000E8070000}"/>
    <cellStyle name="Normal 4 2 3 2 4 4 2 2" xfId="7519" xr:uid="{15D27606-9584-4901-8E36-6013BB6415C7}"/>
    <cellStyle name="Normal 4 2 3 2 4 4 2 2 2" xfId="15379" xr:uid="{9C8F57BA-FEAA-4376-AC12-F957ABD39296}"/>
    <cellStyle name="Normal 4 2 3 2 4 4 2 3" xfId="11459" xr:uid="{A71748CB-85E6-4FE5-9AF0-60967FF9F5C6}"/>
    <cellStyle name="Normal 4 2 3 2 4 4 3" xfId="5565" xr:uid="{438B9B7B-CAD4-45F9-881C-5B170DC20176}"/>
    <cellStyle name="Normal 4 2 3 2 4 4 3 2" xfId="13425" xr:uid="{DCC5F627-1D79-4237-898B-E8471A3C02D1}"/>
    <cellStyle name="Normal 4 2 3 2 4 4 4" xfId="9506" xr:uid="{0FFBF4AF-60A3-4ECA-8781-177DC687288C}"/>
    <cellStyle name="Normal 4 2 3 2 4 5" xfId="2298" xr:uid="{00000000-0005-0000-0000-0000E9070000}"/>
    <cellStyle name="Normal 4 2 3 2 4 5 2" xfId="6219" xr:uid="{412744F7-BCAB-47D5-9282-F1A2883B2CB8}"/>
    <cellStyle name="Normal 4 2 3 2 4 5 2 2" xfId="14079" xr:uid="{DDD967C8-6946-4ED5-9805-C7F13F4F2A72}"/>
    <cellStyle name="Normal 4 2 3 2 4 5 3" xfId="10159" xr:uid="{51F473A0-89F7-45EF-9554-438A5A4A2379}"/>
    <cellStyle name="Normal 4 2 3 2 4 6" xfId="4265" xr:uid="{BFAB651C-0702-4E67-BD55-58267F7829D0}"/>
    <cellStyle name="Normal 4 2 3 2 4 6 2" xfId="12125" xr:uid="{33F80C72-B19B-454A-BF1D-6328FC1B1C1F}"/>
    <cellStyle name="Normal 4 2 3 2 4 7" xfId="8204" xr:uid="{71FCCDAF-13DC-49EE-BB30-557477E7A284}"/>
    <cellStyle name="Normal 4 2 3 2 5" xfId="435" xr:uid="{00000000-0005-0000-0000-0000EA070000}"/>
    <cellStyle name="Normal 4 2 3 2 5 2" xfId="886" xr:uid="{00000000-0005-0000-0000-0000EB070000}"/>
    <cellStyle name="Normal 4 2 3 2 5 2 2" xfId="2840" xr:uid="{00000000-0005-0000-0000-0000EC070000}"/>
    <cellStyle name="Normal 4 2 3 2 5 2 2 2" xfId="6761" xr:uid="{911549EC-90F6-452A-A80C-8F24B0BEA568}"/>
    <cellStyle name="Normal 4 2 3 2 5 2 2 2 2" xfId="14621" xr:uid="{D181252C-A763-4093-94D7-31FD9706ABA6}"/>
    <cellStyle name="Normal 4 2 3 2 5 2 2 3" xfId="10701" xr:uid="{CBF1891C-8A0C-480A-B429-9363A1CC96EF}"/>
    <cellStyle name="Normal 4 2 3 2 5 2 3" xfId="4807" xr:uid="{D28F2EAE-B4AF-4DF4-A4E8-6C1D6C405461}"/>
    <cellStyle name="Normal 4 2 3 2 5 2 3 2" xfId="12667" xr:uid="{D40E8DA1-D81F-4D62-9729-AD481328EEFE}"/>
    <cellStyle name="Normal 4 2 3 2 5 2 4" xfId="8748" xr:uid="{7AB08F56-AC89-47D9-BC5F-B5A24856FDDF}"/>
    <cellStyle name="Normal 4 2 3 2 5 3" xfId="1318" xr:uid="{00000000-0005-0000-0000-0000ED070000}"/>
    <cellStyle name="Normal 4 2 3 2 5 3 2" xfId="3272" xr:uid="{00000000-0005-0000-0000-0000EE070000}"/>
    <cellStyle name="Normal 4 2 3 2 5 3 2 2" xfId="7193" xr:uid="{C6337A8A-2DFA-4163-B7AE-FC299015D4B4}"/>
    <cellStyle name="Normal 4 2 3 2 5 3 2 2 2" xfId="15053" xr:uid="{F46C1A14-1C57-4DF9-A431-92A1A173B187}"/>
    <cellStyle name="Normal 4 2 3 2 5 3 2 3" xfId="11133" xr:uid="{22556021-E91A-4F7E-A10F-172A1E668079}"/>
    <cellStyle name="Normal 4 2 3 2 5 3 3" xfId="5239" xr:uid="{3BB513F1-1851-49D5-9943-8841728122DA}"/>
    <cellStyle name="Normal 4 2 3 2 5 3 3 2" xfId="13099" xr:uid="{3E4CF5AB-F2BB-4792-BD0F-4F703EE74D0A}"/>
    <cellStyle name="Normal 4 2 3 2 5 3 4" xfId="9180" xr:uid="{3A5DB224-51B5-471F-92EA-8497C8085211}"/>
    <cellStyle name="Normal 4 2 3 2 5 4" xfId="1736" xr:uid="{00000000-0005-0000-0000-0000EF070000}"/>
    <cellStyle name="Normal 4 2 3 2 5 4 2" xfId="3690" xr:uid="{00000000-0005-0000-0000-0000F0070000}"/>
    <cellStyle name="Normal 4 2 3 2 5 4 2 2" xfId="7611" xr:uid="{F8B44178-B550-4A68-8D9C-C8DE4AC0DE7B}"/>
    <cellStyle name="Normal 4 2 3 2 5 4 2 2 2" xfId="15471" xr:uid="{ED10EEBF-40B1-494D-A211-948368F271A6}"/>
    <cellStyle name="Normal 4 2 3 2 5 4 2 3" xfId="11551" xr:uid="{774D6279-1C65-4BEC-B4E3-3232F065269F}"/>
    <cellStyle name="Normal 4 2 3 2 5 4 3" xfId="5657" xr:uid="{55B98DDE-5DCC-45F2-9B44-06A7A2AEBD03}"/>
    <cellStyle name="Normal 4 2 3 2 5 4 3 2" xfId="13517" xr:uid="{4ADA662D-277C-4C42-8BE5-57EF4B5A0628}"/>
    <cellStyle name="Normal 4 2 3 2 5 4 4" xfId="9598" xr:uid="{D3254589-4B75-49E5-A515-F003B27361D6}"/>
    <cellStyle name="Normal 4 2 3 2 5 5" xfId="2390" xr:uid="{00000000-0005-0000-0000-0000F1070000}"/>
    <cellStyle name="Normal 4 2 3 2 5 5 2" xfId="6311" xr:uid="{4449A077-F761-4194-8FC7-09C751D3FA67}"/>
    <cellStyle name="Normal 4 2 3 2 5 5 2 2" xfId="14171" xr:uid="{CD4F5C73-B4AF-4853-841C-F757BE3808F3}"/>
    <cellStyle name="Normal 4 2 3 2 5 5 3" xfId="10251" xr:uid="{19E70C33-7AB5-4AD3-8B2F-95EB096B4576}"/>
    <cellStyle name="Normal 4 2 3 2 5 6" xfId="4357" xr:uid="{F265AC1A-3A77-4136-9206-D44074819AF0}"/>
    <cellStyle name="Normal 4 2 3 2 5 6 2" xfId="12217" xr:uid="{D65799A9-E3B4-4E98-A33D-860589D1FAA7}"/>
    <cellStyle name="Normal 4 2 3 2 5 7" xfId="8298" xr:uid="{16140938-7DE1-4DCE-B076-26C4420A09C2}"/>
    <cellStyle name="Normal 4 2 3 2 6" xfId="527" xr:uid="{00000000-0005-0000-0000-0000F2070000}"/>
    <cellStyle name="Normal 4 2 3 2 6 2" xfId="2481" xr:uid="{00000000-0005-0000-0000-0000F3070000}"/>
    <cellStyle name="Normal 4 2 3 2 6 2 2" xfId="6402" xr:uid="{4F67397F-8A70-43E1-ADAF-769391A6CD66}"/>
    <cellStyle name="Normal 4 2 3 2 6 2 2 2" xfId="14262" xr:uid="{755B0257-BF74-4AA3-A141-107802B2BA2B}"/>
    <cellStyle name="Normal 4 2 3 2 6 2 3" xfId="10342" xr:uid="{55EDEF1A-6BCE-4710-839A-A505EB8948F4}"/>
    <cellStyle name="Normal 4 2 3 2 6 3" xfId="4448" xr:uid="{394DB4B2-561E-4319-B210-A74782358589}"/>
    <cellStyle name="Normal 4 2 3 2 6 3 2" xfId="12308" xr:uid="{D612884B-9748-4979-9B19-3FB1E2BED88F}"/>
    <cellStyle name="Normal 4 2 3 2 6 4" xfId="8389" xr:uid="{E476A512-EF78-4B59-8671-4CD7A3D8EF1E}"/>
    <cellStyle name="Normal 4 2 3 2 7" xfId="964" xr:uid="{00000000-0005-0000-0000-0000F4070000}"/>
    <cellStyle name="Normal 4 2 3 2 7 2" xfId="2918" xr:uid="{00000000-0005-0000-0000-0000F5070000}"/>
    <cellStyle name="Normal 4 2 3 2 7 2 2" xfId="6839" xr:uid="{10516E88-220B-46CF-B33A-F31BF569363E}"/>
    <cellStyle name="Normal 4 2 3 2 7 2 2 2" xfId="14699" xr:uid="{0C6464E1-95EC-49B5-A5E9-08D7B941C34F}"/>
    <cellStyle name="Normal 4 2 3 2 7 2 3" xfId="10779" xr:uid="{5CA22E66-A55B-4B7A-B9AC-0B7B995889F7}"/>
    <cellStyle name="Normal 4 2 3 2 7 3" xfId="4885" xr:uid="{E7DCCEB9-CF80-49BA-A73C-76D9439366B3}"/>
    <cellStyle name="Normal 4 2 3 2 7 3 2" xfId="12745" xr:uid="{D2025C3F-A4A4-4A63-8BDE-4C2ED1E7AB99}"/>
    <cellStyle name="Normal 4 2 3 2 7 4" xfId="8826" xr:uid="{F55A65DE-F65F-49BF-BEAD-8FDD7F984ABC}"/>
    <cellStyle name="Normal 4 2 3 2 8" xfId="1391" xr:uid="{00000000-0005-0000-0000-0000F6070000}"/>
    <cellStyle name="Normal 4 2 3 2 8 2" xfId="3345" xr:uid="{00000000-0005-0000-0000-0000F7070000}"/>
    <cellStyle name="Normal 4 2 3 2 8 2 2" xfId="7266" xr:uid="{55EE0CB4-2AC9-422B-AEE2-A4914926FC85}"/>
    <cellStyle name="Normal 4 2 3 2 8 2 2 2" xfId="15126" xr:uid="{D2064F89-3B35-4925-9376-6E1A5C36E7AF}"/>
    <cellStyle name="Normal 4 2 3 2 8 2 3" xfId="11206" xr:uid="{2E4D451E-C0FC-4D9D-BBE7-45CC96F8A6A2}"/>
    <cellStyle name="Normal 4 2 3 2 8 3" xfId="5312" xr:uid="{F62904CA-8320-4C27-8B9C-1A7838228EBC}"/>
    <cellStyle name="Normal 4 2 3 2 8 3 2" xfId="13172" xr:uid="{D3B9752D-F8F7-4087-871B-2A7D3A026724}"/>
    <cellStyle name="Normal 4 2 3 2 8 4" xfId="9253" xr:uid="{A233CA92-7138-4A8F-B9B7-ABAAD720EE53}"/>
    <cellStyle name="Normal 4 2 3 2 9" xfId="2044" xr:uid="{00000000-0005-0000-0000-0000F8070000}"/>
    <cellStyle name="Normal 4 2 3 2 9 2" xfId="5965" xr:uid="{E3FA25FB-D434-4A3F-9E4D-71C7F47B4BBC}"/>
    <cellStyle name="Normal 4 2 3 2 9 2 2" xfId="13825" xr:uid="{E3236B58-B71B-4FDD-878A-8E3F2A6857D6}"/>
    <cellStyle name="Normal 4 2 3 2 9 3" xfId="9905" xr:uid="{4B1A0B35-AB83-4DF9-80E6-ECEFDF6660C0}"/>
    <cellStyle name="Normal 4 2 3 3" xfId="192" xr:uid="{00000000-0005-0000-0000-0000F9070000}"/>
    <cellStyle name="Normal 4 2 3 3 2" xfId="644" xr:uid="{00000000-0005-0000-0000-0000FA070000}"/>
    <cellStyle name="Normal 4 2 3 3 2 2" xfId="2598" xr:uid="{00000000-0005-0000-0000-0000FB070000}"/>
    <cellStyle name="Normal 4 2 3 3 2 2 2" xfId="6519" xr:uid="{32E1B696-E115-4E38-8621-DB6FC693A498}"/>
    <cellStyle name="Normal 4 2 3 3 2 2 2 2" xfId="14379" xr:uid="{B280626D-191B-4509-8966-54B77F495ADE}"/>
    <cellStyle name="Normal 4 2 3 3 2 2 3" xfId="10459" xr:uid="{1823B663-A87F-43E9-9562-C2A887DCBFAF}"/>
    <cellStyle name="Normal 4 2 3 3 2 3" xfId="4565" xr:uid="{FA856F07-359F-460F-96FB-4D7A482D9786}"/>
    <cellStyle name="Normal 4 2 3 3 2 3 2" xfId="12425" xr:uid="{D89A8B1E-48A0-45A6-B751-8883BE4C8522}"/>
    <cellStyle name="Normal 4 2 3 3 2 4" xfId="8506" xr:uid="{8B034807-A026-4FC1-B295-382775948A64}"/>
    <cellStyle name="Normal 4 2 3 3 3" xfId="1081" xr:uid="{00000000-0005-0000-0000-0000FC070000}"/>
    <cellStyle name="Normal 4 2 3 3 3 2" xfId="3035" xr:uid="{00000000-0005-0000-0000-0000FD070000}"/>
    <cellStyle name="Normal 4 2 3 3 3 2 2" xfId="6956" xr:uid="{9202CCA9-7F1D-4C6B-BE9B-A26BBC93F4D1}"/>
    <cellStyle name="Normal 4 2 3 3 3 2 2 2" xfId="14816" xr:uid="{AA9A2574-6F00-4C12-81B3-E42479B6CB57}"/>
    <cellStyle name="Normal 4 2 3 3 3 2 3" xfId="10896" xr:uid="{A404D2E4-CCC2-4CC4-9637-4C69265F07E5}"/>
    <cellStyle name="Normal 4 2 3 3 3 3" xfId="5002" xr:uid="{F4750FFE-98E8-4B9A-B6F7-99A27586A7D1}"/>
    <cellStyle name="Normal 4 2 3 3 3 3 2" xfId="12862" xr:uid="{EF4F8890-7820-4E71-841D-F4F3B88F3D2B}"/>
    <cellStyle name="Normal 4 2 3 3 3 4" xfId="8943" xr:uid="{879AB2E8-0351-4C39-8EC3-0D435F2288C8}"/>
    <cellStyle name="Normal 4 2 3 3 4" xfId="1508" xr:uid="{00000000-0005-0000-0000-0000FE070000}"/>
    <cellStyle name="Normal 4 2 3 3 4 2" xfId="3462" xr:uid="{00000000-0005-0000-0000-0000FF070000}"/>
    <cellStyle name="Normal 4 2 3 3 4 2 2" xfId="7383" xr:uid="{A64E402B-5E38-49F3-BB99-CAE93D7600CF}"/>
    <cellStyle name="Normal 4 2 3 3 4 2 2 2" xfId="15243" xr:uid="{6FC18E74-D087-467A-926F-49D27A599FA7}"/>
    <cellStyle name="Normal 4 2 3 3 4 2 3" xfId="11323" xr:uid="{0F5C2C9C-4215-4DE9-A109-273223CB27FD}"/>
    <cellStyle name="Normal 4 2 3 3 4 3" xfId="5429" xr:uid="{2C80C253-BC47-4E4B-8C2B-E6DE44E075B2}"/>
    <cellStyle name="Normal 4 2 3 3 4 3 2" xfId="13289" xr:uid="{AAC96093-F4F2-433C-8A7F-9198D369DBC3}"/>
    <cellStyle name="Normal 4 2 3 3 4 4" xfId="9370" xr:uid="{4BFF81C5-5290-47D5-8F2D-012DC0E38B26}"/>
    <cellStyle name="Normal 4 2 3 3 5" xfId="2161" xr:uid="{00000000-0005-0000-0000-000000080000}"/>
    <cellStyle name="Normal 4 2 3 3 5 2" xfId="6082" xr:uid="{1DBD8105-1C6F-484A-85F3-7C2CA7915358}"/>
    <cellStyle name="Normal 4 2 3 3 5 2 2" xfId="13942" xr:uid="{D134A9AD-1C43-4C8D-B87F-5329B61408F4}"/>
    <cellStyle name="Normal 4 2 3 3 5 3" xfId="10022" xr:uid="{C90CCDD1-5979-4428-B3C9-2C23879B0625}"/>
    <cellStyle name="Normal 4 2 3 3 6" xfId="4128" xr:uid="{98BCA858-B0B7-4904-82EB-03C65EF2AA20}"/>
    <cellStyle name="Normal 4 2 3 3 6 2" xfId="11988" xr:uid="{7E125F30-2B20-4F9C-A3AD-B90DBCD3A00A}"/>
    <cellStyle name="Normal 4 2 3 3 7" xfId="8066" xr:uid="{DB19CD48-8892-4B89-96A7-C85F9DE3A2BF}"/>
    <cellStyle name="Normal 4 2 3 4" xfId="114" xr:uid="{00000000-0005-0000-0000-000001080000}"/>
    <cellStyle name="Normal 4 2 3 4 2" xfId="566" xr:uid="{00000000-0005-0000-0000-000002080000}"/>
    <cellStyle name="Normal 4 2 3 4 2 2" xfId="2520" xr:uid="{00000000-0005-0000-0000-000003080000}"/>
    <cellStyle name="Normal 4 2 3 4 2 2 2" xfId="6441" xr:uid="{4C0ADC64-32D0-440D-9723-05E8FFAB8EA7}"/>
    <cellStyle name="Normal 4 2 3 4 2 2 2 2" xfId="14301" xr:uid="{05D8B5BB-78CB-4505-B7AF-40426D9A56CB}"/>
    <cellStyle name="Normal 4 2 3 4 2 2 3" xfId="10381" xr:uid="{CD3F3F18-2DD0-4142-A710-7F8BE125C77D}"/>
    <cellStyle name="Normal 4 2 3 4 2 3" xfId="4487" xr:uid="{BBE94EF5-150D-4052-B94E-9888266D3C8B}"/>
    <cellStyle name="Normal 4 2 3 4 2 3 2" xfId="12347" xr:uid="{29EECE6C-D878-4A47-9A5D-67F94E5FD0C7}"/>
    <cellStyle name="Normal 4 2 3 4 2 4" xfId="8428" xr:uid="{548F008A-120F-4F5C-B932-4E832DFD1E1C}"/>
    <cellStyle name="Normal 4 2 3 4 3" xfId="1003" xr:uid="{00000000-0005-0000-0000-000004080000}"/>
    <cellStyle name="Normal 4 2 3 4 3 2" xfId="2957" xr:uid="{00000000-0005-0000-0000-000005080000}"/>
    <cellStyle name="Normal 4 2 3 4 3 2 2" xfId="6878" xr:uid="{D79D51DF-0B6A-4D3F-A7DB-D33455B7BB1B}"/>
    <cellStyle name="Normal 4 2 3 4 3 2 2 2" xfId="14738" xr:uid="{B8C369A7-9C93-487C-B71E-D60BFCA88474}"/>
    <cellStyle name="Normal 4 2 3 4 3 2 3" xfId="10818" xr:uid="{749C1C84-8FF6-48CB-A525-8A868D6355F1}"/>
    <cellStyle name="Normal 4 2 3 4 3 3" xfId="4924" xr:uid="{DE52F6B2-D837-4CC4-B68C-A6DE7DC6E140}"/>
    <cellStyle name="Normal 4 2 3 4 3 3 2" xfId="12784" xr:uid="{549D4445-5A04-4ED3-9727-1FCB7995DF3E}"/>
    <cellStyle name="Normal 4 2 3 4 3 4" xfId="8865" xr:uid="{9A64B46B-2D48-498A-AF8C-9EB0899FE501}"/>
    <cellStyle name="Normal 4 2 3 4 4" xfId="1430" xr:uid="{00000000-0005-0000-0000-000006080000}"/>
    <cellStyle name="Normal 4 2 3 4 4 2" xfId="3384" xr:uid="{00000000-0005-0000-0000-000007080000}"/>
    <cellStyle name="Normal 4 2 3 4 4 2 2" xfId="7305" xr:uid="{D0729E15-9722-454A-87BF-8280BCA81382}"/>
    <cellStyle name="Normal 4 2 3 4 4 2 2 2" xfId="15165" xr:uid="{2672A0B7-8733-4E8D-889B-8F51F0954599}"/>
    <cellStyle name="Normal 4 2 3 4 4 2 3" xfId="11245" xr:uid="{7400EFB4-9A25-4680-BC15-15B8AA0DF608}"/>
    <cellStyle name="Normal 4 2 3 4 4 3" xfId="5351" xr:uid="{6B4EA1A9-0523-4B0B-A8F2-36D5FD4350C8}"/>
    <cellStyle name="Normal 4 2 3 4 4 3 2" xfId="13211" xr:uid="{D8C69B4D-AA58-45C3-AE08-5B5A8D0F2BB4}"/>
    <cellStyle name="Normal 4 2 3 4 4 4" xfId="9292" xr:uid="{EBAAE904-8317-4E53-BA1C-F83826B9283C}"/>
    <cellStyle name="Normal 4 2 3 4 5" xfId="2083" xr:uid="{00000000-0005-0000-0000-000008080000}"/>
    <cellStyle name="Normal 4 2 3 4 5 2" xfId="6004" xr:uid="{229CEB0E-EA72-40C7-9AA1-6AFF145279E9}"/>
    <cellStyle name="Normal 4 2 3 4 5 2 2" xfId="13864" xr:uid="{B8736EC3-BAEA-41F6-8196-C69CE28D8E3B}"/>
    <cellStyle name="Normal 4 2 3 4 5 3" xfId="9944" xr:uid="{259D472B-663A-46D7-9EBE-FF746D6E6EA0}"/>
    <cellStyle name="Normal 4 2 3 4 6" xfId="4050" xr:uid="{7BB2F172-DF79-4295-A92F-D065B6848774}"/>
    <cellStyle name="Normal 4 2 3 4 6 2" xfId="11910" xr:uid="{1366194F-F20F-4B0A-925B-DC095F6C0B24}"/>
    <cellStyle name="Normal 4 2 3 4 7" xfId="7988" xr:uid="{C639DAF8-DFC1-4A23-B04A-D4A344C04973}"/>
    <cellStyle name="Normal 4 2 3 5" xfId="291" xr:uid="{00000000-0005-0000-0000-000009080000}"/>
    <cellStyle name="Normal 4 2 3 5 2" xfId="743" xr:uid="{00000000-0005-0000-0000-00000A080000}"/>
    <cellStyle name="Normal 4 2 3 5 2 2" xfId="2697" xr:uid="{00000000-0005-0000-0000-00000B080000}"/>
    <cellStyle name="Normal 4 2 3 5 2 2 2" xfId="6618" xr:uid="{6D807458-46A8-4F61-B7C1-E3669EF702B8}"/>
    <cellStyle name="Normal 4 2 3 5 2 2 2 2" xfId="14478" xr:uid="{8F45E073-8AF3-4295-B14A-FF2EC342AB1E}"/>
    <cellStyle name="Normal 4 2 3 5 2 2 3" xfId="10558" xr:uid="{BE588B1E-A971-486F-88DB-B6C958D4FC65}"/>
    <cellStyle name="Normal 4 2 3 5 2 3" xfId="4664" xr:uid="{2DB3F465-78C4-4459-985C-43E87F204CB5}"/>
    <cellStyle name="Normal 4 2 3 5 2 3 2" xfId="12524" xr:uid="{BA41A263-7CC1-4C7D-A4E8-B65704A1FFBF}"/>
    <cellStyle name="Normal 4 2 3 5 2 4" xfId="8605" xr:uid="{EF3DC0EE-37DD-4BF5-8001-720A316949D4}"/>
    <cellStyle name="Normal 4 2 3 5 3" xfId="1179" xr:uid="{00000000-0005-0000-0000-00000C080000}"/>
    <cellStyle name="Normal 4 2 3 5 3 2" xfId="3133" xr:uid="{00000000-0005-0000-0000-00000D080000}"/>
    <cellStyle name="Normal 4 2 3 5 3 2 2" xfId="7054" xr:uid="{54711F5D-CBDE-4C12-8FF0-92210E7276DE}"/>
    <cellStyle name="Normal 4 2 3 5 3 2 2 2" xfId="14914" xr:uid="{E1BB7E15-EF5F-4143-97BF-E64884520644}"/>
    <cellStyle name="Normal 4 2 3 5 3 2 3" xfId="10994" xr:uid="{73DFEFEA-5B51-49C9-BBD5-782F2A8EDE80}"/>
    <cellStyle name="Normal 4 2 3 5 3 3" xfId="5100" xr:uid="{11E76078-1B62-4DEE-95D5-B9912BEF35C1}"/>
    <cellStyle name="Normal 4 2 3 5 3 3 2" xfId="12960" xr:uid="{3C0EE695-E1A0-4A1F-8EB4-EFA946E934C5}"/>
    <cellStyle name="Normal 4 2 3 5 3 4" xfId="9041" xr:uid="{3F53A7C0-4B36-450E-A9D0-317C0B632F2B}"/>
    <cellStyle name="Normal 4 2 3 5 4" xfId="1599" xr:uid="{00000000-0005-0000-0000-00000E080000}"/>
    <cellStyle name="Normal 4 2 3 5 4 2" xfId="3553" xr:uid="{00000000-0005-0000-0000-00000F080000}"/>
    <cellStyle name="Normal 4 2 3 5 4 2 2" xfId="7474" xr:uid="{FEBF0F2F-0169-4531-8D90-373260318AC0}"/>
    <cellStyle name="Normal 4 2 3 5 4 2 2 2" xfId="15334" xr:uid="{9BA44971-CF81-410A-B816-6D155E27CD23}"/>
    <cellStyle name="Normal 4 2 3 5 4 2 3" xfId="11414" xr:uid="{75CAE954-A6E8-4E04-A135-9623AFB12EB5}"/>
    <cellStyle name="Normal 4 2 3 5 4 3" xfId="5520" xr:uid="{FCFE6A87-8CE6-4129-8DA0-434CC04254CA}"/>
    <cellStyle name="Normal 4 2 3 5 4 3 2" xfId="13380" xr:uid="{51D5D205-22D0-452B-8DD1-108DC17DF225}"/>
    <cellStyle name="Normal 4 2 3 5 4 4" xfId="9461" xr:uid="{D169DD91-EE00-493E-A8C5-350AAEA929E8}"/>
    <cellStyle name="Normal 4 2 3 5 5" xfId="2253" xr:uid="{00000000-0005-0000-0000-000010080000}"/>
    <cellStyle name="Normal 4 2 3 5 5 2" xfId="6174" xr:uid="{78AF8A7E-9B9D-456C-92B5-868E4A1A0D20}"/>
    <cellStyle name="Normal 4 2 3 5 5 2 2" xfId="14034" xr:uid="{42CC9A6F-327E-42C2-A12F-A31994AA0147}"/>
    <cellStyle name="Normal 4 2 3 5 5 3" xfId="10114" xr:uid="{3C0EEC0D-A679-49C3-A33D-62D4C6F987F8}"/>
    <cellStyle name="Normal 4 2 3 5 6" xfId="4220" xr:uid="{02F51D9A-A94D-49EA-AAF9-9035C925AFEF}"/>
    <cellStyle name="Normal 4 2 3 5 6 2" xfId="12080" xr:uid="{3B863E8F-62F3-4FA9-ACEF-3D51C37BE7B0}"/>
    <cellStyle name="Normal 4 2 3 5 7" xfId="8159" xr:uid="{F89DEDC5-2B7E-476D-BF72-0581D675388C}"/>
    <cellStyle name="Normal 4 2 3 6" xfId="390" xr:uid="{00000000-0005-0000-0000-000011080000}"/>
    <cellStyle name="Normal 4 2 3 6 2" xfId="841" xr:uid="{00000000-0005-0000-0000-000012080000}"/>
    <cellStyle name="Normal 4 2 3 6 2 2" xfId="2795" xr:uid="{00000000-0005-0000-0000-000013080000}"/>
    <cellStyle name="Normal 4 2 3 6 2 2 2" xfId="6716" xr:uid="{3CFFC90F-E526-411D-9D4C-D2C792A1E824}"/>
    <cellStyle name="Normal 4 2 3 6 2 2 2 2" xfId="14576" xr:uid="{DDC9B406-307A-408A-AA52-82DFE8E813CE}"/>
    <cellStyle name="Normal 4 2 3 6 2 2 3" xfId="10656" xr:uid="{E10A03AB-F8CC-4A3F-BF8B-FA81A994FEB6}"/>
    <cellStyle name="Normal 4 2 3 6 2 3" xfId="4762" xr:uid="{99BBF759-33EF-435A-BB28-E2BEAFB1B182}"/>
    <cellStyle name="Normal 4 2 3 6 2 3 2" xfId="12622" xr:uid="{4892CBBA-5418-4521-A0D7-3136C62499C6}"/>
    <cellStyle name="Normal 4 2 3 6 2 4" xfId="8703" xr:uid="{FC7508E2-FEFE-4FA5-AF30-2E38C7F54D5F}"/>
    <cellStyle name="Normal 4 2 3 6 3" xfId="1273" xr:uid="{00000000-0005-0000-0000-000014080000}"/>
    <cellStyle name="Normal 4 2 3 6 3 2" xfId="3227" xr:uid="{00000000-0005-0000-0000-000015080000}"/>
    <cellStyle name="Normal 4 2 3 6 3 2 2" xfId="7148" xr:uid="{EA73F335-1C9D-43B3-A2F2-37479F959F9C}"/>
    <cellStyle name="Normal 4 2 3 6 3 2 2 2" xfId="15008" xr:uid="{27C13BEE-4B53-4D3D-9FC8-5173BE938600}"/>
    <cellStyle name="Normal 4 2 3 6 3 2 3" xfId="11088" xr:uid="{5A3EA064-6CE6-4171-BFE2-CDBEAB92F241}"/>
    <cellStyle name="Normal 4 2 3 6 3 3" xfId="5194" xr:uid="{3C62546A-D4E2-4201-9074-DCF7BA278AF8}"/>
    <cellStyle name="Normal 4 2 3 6 3 3 2" xfId="13054" xr:uid="{2C3A131B-53CD-4691-9685-DCE25586F9D3}"/>
    <cellStyle name="Normal 4 2 3 6 3 4" xfId="9135" xr:uid="{08BD2DBE-59AA-4170-A208-E85FCFCB3E03}"/>
    <cellStyle name="Normal 4 2 3 6 4" xfId="1691" xr:uid="{00000000-0005-0000-0000-000016080000}"/>
    <cellStyle name="Normal 4 2 3 6 4 2" xfId="3645" xr:uid="{00000000-0005-0000-0000-000017080000}"/>
    <cellStyle name="Normal 4 2 3 6 4 2 2" xfId="7566" xr:uid="{84AB3E8C-5EA0-4A30-9DB1-E5CC3C41EB3D}"/>
    <cellStyle name="Normal 4 2 3 6 4 2 2 2" xfId="15426" xr:uid="{8EB09827-30F1-4247-B198-AD15123B8E6D}"/>
    <cellStyle name="Normal 4 2 3 6 4 2 3" xfId="11506" xr:uid="{5171DDB4-8004-4CC0-BD75-762621DCB40D}"/>
    <cellStyle name="Normal 4 2 3 6 4 3" xfId="5612" xr:uid="{2FD4370A-37C1-4344-8195-17A19B83523D}"/>
    <cellStyle name="Normal 4 2 3 6 4 3 2" xfId="13472" xr:uid="{3DB70B6D-B0C4-41D4-8C25-ECB544735C5A}"/>
    <cellStyle name="Normal 4 2 3 6 4 4" xfId="9553" xr:uid="{797C974D-2F8D-48C6-A215-7AB854FBBA1E}"/>
    <cellStyle name="Normal 4 2 3 6 5" xfId="2345" xr:uid="{00000000-0005-0000-0000-000018080000}"/>
    <cellStyle name="Normal 4 2 3 6 5 2" xfId="6266" xr:uid="{74CF2E19-3400-4EBF-A146-592BF4586D6C}"/>
    <cellStyle name="Normal 4 2 3 6 5 2 2" xfId="14126" xr:uid="{19C284D5-436A-4F26-9719-EB267F99E0EB}"/>
    <cellStyle name="Normal 4 2 3 6 5 3" xfId="10206" xr:uid="{3A534C2B-8E7C-44A2-94A2-9ED41F2BAEA7}"/>
    <cellStyle name="Normal 4 2 3 6 6" xfId="4312" xr:uid="{09B9373C-C8F6-4E97-9A74-818E2AC7B129}"/>
    <cellStyle name="Normal 4 2 3 6 6 2" xfId="12172" xr:uid="{C443D405-3AAC-402F-8D81-D7F2EB916E1F}"/>
    <cellStyle name="Normal 4 2 3 6 7" xfId="8253" xr:uid="{E82D1490-2B25-4D63-A4F5-F7736890FF98}"/>
    <cellStyle name="Normal 4 2 3 7" xfId="488" xr:uid="{00000000-0005-0000-0000-000019080000}"/>
    <cellStyle name="Normal 4 2 3 7 2" xfId="2442" xr:uid="{00000000-0005-0000-0000-00001A080000}"/>
    <cellStyle name="Normal 4 2 3 7 2 2" xfId="6363" xr:uid="{1002ABD2-FE42-4AD3-9819-FF045DDDBB89}"/>
    <cellStyle name="Normal 4 2 3 7 2 2 2" xfId="14223" xr:uid="{771AA7FA-999C-41C9-B10F-237D8B21B4C1}"/>
    <cellStyle name="Normal 4 2 3 7 2 3" xfId="10303" xr:uid="{A088AF71-3E5C-498D-867A-94FC01250048}"/>
    <cellStyle name="Normal 4 2 3 7 3" xfId="4409" xr:uid="{6444751F-DEC6-4623-A2C5-5C9ABCBBC61A}"/>
    <cellStyle name="Normal 4 2 3 7 3 2" xfId="12269" xr:uid="{3489FD07-A076-4D1D-A8C7-7260E4E8C521}"/>
    <cellStyle name="Normal 4 2 3 7 4" xfId="8350" xr:uid="{A749C0DE-03A0-4C3B-B9C5-68FD6EA986EC}"/>
    <cellStyle name="Normal 4 2 3 8" xfId="924" xr:uid="{00000000-0005-0000-0000-00001B080000}"/>
    <cellStyle name="Normal 4 2 3 8 2" xfId="2878" xr:uid="{00000000-0005-0000-0000-00001C080000}"/>
    <cellStyle name="Normal 4 2 3 8 2 2" xfId="6799" xr:uid="{29351F37-3BA5-417E-8E02-B1AD3FFAFF12}"/>
    <cellStyle name="Normal 4 2 3 8 2 2 2" xfId="14659" xr:uid="{99010CB0-A106-4449-BF47-EF6B612C7418}"/>
    <cellStyle name="Normal 4 2 3 8 2 3" xfId="10739" xr:uid="{CCBFC7D9-9675-4680-988D-8B76F30E2699}"/>
    <cellStyle name="Normal 4 2 3 8 3" xfId="4845" xr:uid="{62D4D7E1-681F-4B6C-8680-15A7D1F5CB07}"/>
    <cellStyle name="Normal 4 2 3 8 3 2" xfId="12705" xr:uid="{6BA0AFDF-3CF7-41B6-BB24-2D0C5C013A60}"/>
    <cellStyle name="Normal 4 2 3 8 4" xfId="8786" xr:uid="{07A9F877-1D5C-442F-96E5-3DE66D9FC9FB}"/>
    <cellStyle name="Normal 4 2 3 9" xfId="1352" xr:uid="{00000000-0005-0000-0000-00001D080000}"/>
    <cellStyle name="Normal 4 2 3 9 2" xfId="3306" xr:uid="{00000000-0005-0000-0000-00001E080000}"/>
    <cellStyle name="Normal 4 2 3 9 2 2" xfId="7227" xr:uid="{3F22A7D4-9993-41CF-B1F8-87DE62540ADB}"/>
    <cellStyle name="Normal 4 2 3 9 2 2 2" xfId="15087" xr:uid="{42F0A238-4591-4F08-B465-26F98AFE40A5}"/>
    <cellStyle name="Normal 4 2 3 9 2 3" xfId="11167" xr:uid="{43C0EA8C-9F68-4577-AEAD-64F0F106B7ED}"/>
    <cellStyle name="Normal 4 2 3 9 3" xfId="5273" xr:uid="{633DAF56-7405-4374-AF8E-F7EF5834879B}"/>
    <cellStyle name="Normal 4 2 3 9 3 2" xfId="13133" xr:uid="{7241EE9B-09B4-440F-958D-916217BD5A9B}"/>
    <cellStyle name="Normal 4 2 3 9 4" xfId="9214" xr:uid="{DF81D160-09ED-4E9E-BAB9-77A98C4E4D79}"/>
    <cellStyle name="Normal 4 2 4" xfId="53" xr:uid="{00000000-0005-0000-0000-00001F080000}"/>
    <cellStyle name="Normal 4 2 4 10" xfId="3989" xr:uid="{1A83DC8A-EC75-4CFE-B10F-025A704E7BE1}"/>
    <cellStyle name="Normal 4 2 4 10 2" xfId="11849" xr:uid="{8BD84A0C-689D-4521-AC95-732401E0144E}"/>
    <cellStyle name="Normal 4 2 4 11" xfId="7927" xr:uid="{B52E1B37-EDDE-4AA7-8A3D-C6674F16708D}"/>
    <cellStyle name="Normal 4 2 4 2" xfId="209" xr:uid="{00000000-0005-0000-0000-000020080000}"/>
    <cellStyle name="Normal 4 2 4 2 2" xfId="661" xr:uid="{00000000-0005-0000-0000-000021080000}"/>
    <cellStyle name="Normal 4 2 4 2 2 2" xfId="2615" xr:uid="{00000000-0005-0000-0000-000022080000}"/>
    <cellStyle name="Normal 4 2 4 2 2 2 2" xfId="6536" xr:uid="{8F0177CD-C76F-4639-BB82-EBC5AFF91126}"/>
    <cellStyle name="Normal 4 2 4 2 2 2 2 2" xfId="14396" xr:uid="{9A8DA5EC-F36E-471C-B825-BEAC72A7BC10}"/>
    <cellStyle name="Normal 4 2 4 2 2 2 3" xfId="10476" xr:uid="{9AF6A4A7-69B5-4937-A05E-CABC5E683650}"/>
    <cellStyle name="Normal 4 2 4 2 2 3" xfId="4582" xr:uid="{E233D150-45FA-4259-A531-C9B334EDF495}"/>
    <cellStyle name="Normal 4 2 4 2 2 3 2" xfId="12442" xr:uid="{D99FC27B-E736-4FED-B267-B44019DEBF41}"/>
    <cellStyle name="Normal 4 2 4 2 2 4" xfId="8523" xr:uid="{83600857-D342-46EE-9995-FF4A4F373AE0}"/>
    <cellStyle name="Normal 4 2 4 2 3" xfId="1098" xr:uid="{00000000-0005-0000-0000-000023080000}"/>
    <cellStyle name="Normal 4 2 4 2 3 2" xfId="3052" xr:uid="{00000000-0005-0000-0000-000024080000}"/>
    <cellStyle name="Normal 4 2 4 2 3 2 2" xfId="6973" xr:uid="{C0F53A17-44EC-4996-8573-3CECE25B8FC2}"/>
    <cellStyle name="Normal 4 2 4 2 3 2 2 2" xfId="14833" xr:uid="{F8759E5A-DDE0-4BFB-8DFA-A589AEA4D601}"/>
    <cellStyle name="Normal 4 2 4 2 3 2 3" xfId="10913" xr:uid="{F64E821D-D4CD-4356-B1A2-F62C0B1A7A80}"/>
    <cellStyle name="Normal 4 2 4 2 3 3" xfId="5019" xr:uid="{F60A71F2-2FCB-414C-88F4-22D22FF3E722}"/>
    <cellStyle name="Normal 4 2 4 2 3 3 2" xfId="12879" xr:uid="{7BD6006F-DDDD-43BA-94EF-FE6D5D0B56B7}"/>
    <cellStyle name="Normal 4 2 4 2 3 4" xfId="8960" xr:uid="{27488EA5-81C1-444D-9302-0DE03D063F2F}"/>
    <cellStyle name="Normal 4 2 4 2 4" xfId="1525" xr:uid="{00000000-0005-0000-0000-000025080000}"/>
    <cellStyle name="Normal 4 2 4 2 4 2" xfId="3479" xr:uid="{00000000-0005-0000-0000-000026080000}"/>
    <cellStyle name="Normal 4 2 4 2 4 2 2" xfId="7400" xr:uid="{DA4F0874-184D-485E-9C99-E62EE4DB1C67}"/>
    <cellStyle name="Normal 4 2 4 2 4 2 2 2" xfId="15260" xr:uid="{BFF8E4DE-C1A7-4F64-A202-D55927644E63}"/>
    <cellStyle name="Normal 4 2 4 2 4 2 3" xfId="11340" xr:uid="{5724B370-D5EB-44D5-AD70-F5EAE9C7DB33}"/>
    <cellStyle name="Normal 4 2 4 2 4 3" xfId="5446" xr:uid="{EDCF9844-2566-401B-8AB2-45A3C47B0A02}"/>
    <cellStyle name="Normal 4 2 4 2 4 3 2" xfId="13306" xr:uid="{7C636E3A-418D-413B-8761-3B1FBFDFA681}"/>
    <cellStyle name="Normal 4 2 4 2 4 4" xfId="9387" xr:uid="{D6BC1F50-4530-40CE-AE36-35607BDDB255}"/>
    <cellStyle name="Normal 4 2 4 2 5" xfId="2178" xr:uid="{00000000-0005-0000-0000-000027080000}"/>
    <cellStyle name="Normal 4 2 4 2 5 2" xfId="6099" xr:uid="{58C54F3B-2570-4851-97DD-A6D3EECF125B}"/>
    <cellStyle name="Normal 4 2 4 2 5 2 2" xfId="13959" xr:uid="{6B6959F9-F5C0-47FC-8E7F-13F385EBC603}"/>
    <cellStyle name="Normal 4 2 4 2 5 3" xfId="10039" xr:uid="{58CE98FB-4C88-4692-98E9-78B00051C86C}"/>
    <cellStyle name="Normal 4 2 4 2 6" xfId="4145" xr:uid="{2CA65FD1-C5FD-4D0D-8D12-8B62F9334409}"/>
    <cellStyle name="Normal 4 2 4 2 6 2" xfId="12005" xr:uid="{FD858CD7-BCE6-46BF-A74C-A352A7B58327}"/>
    <cellStyle name="Normal 4 2 4 2 7" xfId="8083" xr:uid="{8DF88AEF-7CA9-48C0-A42E-6E36E4F9DCB3}"/>
    <cellStyle name="Normal 4 2 4 3" xfId="131" xr:uid="{00000000-0005-0000-0000-000028080000}"/>
    <cellStyle name="Normal 4 2 4 3 2" xfId="583" xr:uid="{00000000-0005-0000-0000-000029080000}"/>
    <cellStyle name="Normal 4 2 4 3 2 2" xfId="2537" xr:uid="{00000000-0005-0000-0000-00002A080000}"/>
    <cellStyle name="Normal 4 2 4 3 2 2 2" xfId="6458" xr:uid="{69700655-8349-4AE6-A28B-B3F53098118C}"/>
    <cellStyle name="Normal 4 2 4 3 2 2 2 2" xfId="14318" xr:uid="{AB4DC229-32E6-4061-8732-3BA498A1C8DE}"/>
    <cellStyle name="Normal 4 2 4 3 2 2 3" xfId="10398" xr:uid="{EF4A67E4-2E67-457D-AA33-11E4E0E73B8D}"/>
    <cellStyle name="Normal 4 2 4 3 2 3" xfId="4504" xr:uid="{C740B15D-CFB0-4649-98D4-7A5F18C81F9A}"/>
    <cellStyle name="Normal 4 2 4 3 2 3 2" xfId="12364" xr:uid="{10002CA1-76BE-44C7-9043-E6EC6554E95C}"/>
    <cellStyle name="Normal 4 2 4 3 2 4" xfId="8445" xr:uid="{547B1482-A1C9-4BF6-B639-D519FA43FC9D}"/>
    <cellStyle name="Normal 4 2 4 3 3" xfId="1020" xr:uid="{00000000-0005-0000-0000-00002B080000}"/>
    <cellStyle name="Normal 4 2 4 3 3 2" xfId="2974" xr:uid="{00000000-0005-0000-0000-00002C080000}"/>
    <cellStyle name="Normal 4 2 4 3 3 2 2" xfId="6895" xr:uid="{486FACEC-75FF-44B5-8DAF-8AA40754CBBC}"/>
    <cellStyle name="Normal 4 2 4 3 3 2 2 2" xfId="14755" xr:uid="{E327C7C2-BEA0-4197-8BDE-65233A310D9C}"/>
    <cellStyle name="Normal 4 2 4 3 3 2 3" xfId="10835" xr:uid="{0B576770-D22A-4887-98A2-A334C3FCF9CC}"/>
    <cellStyle name="Normal 4 2 4 3 3 3" xfId="4941" xr:uid="{F701E2FA-6E20-495D-849D-A8A58DCBC6D4}"/>
    <cellStyle name="Normal 4 2 4 3 3 3 2" xfId="12801" xr:uid="{5FE0FF27-B374-41EC-A0BC-2457147A73B4}"/>
    <cellStyle name="Normal 4 2 4 3 3 4" xfId="8882" xr:uid="{A6DE56BB-3FFF-43AB-83DC-6D7C0BBD5D31}"/>
    <cellStyle name="Normal 4 2 4 3 4" xfId="1447" xr:uid="{00000000-0005-0000-0000-00002D080000}"/>
    <cellStyle name="Normal 4 2 4 3 4 2" xfId="3401" xr:uid="{00000000-0005-0000-0000-00002E080000}"/>
    <cellStyle name="Normal 4 2 4 3 4 2 2" xfId="7322" xr:uid="{113B64AC-647F-41F2-8436-81EA5C0604D0}"/>
    <cellStyle name="Normal 4 2 4 3 4 2 2 2" xfId="15182" xr:uid="{E5FFD737-6F04-457F-B36D-7837EEAE9344}"/>
    <cellStyle name="Normal 4 2 4 3 4 2 3" xfId="11262" xr:uid="{BA772429-4E09-4A39-9878-0F008C8DCDE9}"/>
    <cellStyle name="Normal 4 2 4 3 4 3" xfId="5368" xr:uid="{75ACD160-BC78-4972-B775-EE3808332CB9}"/>
    <cellStyle name="Normal 4 2 4 3 4 3 2" xfId="13228" xr:uid="{15ADD1E9-7B89-49AD-BED1-BC4F731FF115}"/>
    <cellStyle name="Normal 4 2 4 3 4 4" xfId="9309" xr:uid="{565A1FF2-660D-413B-A4FF-359187035EDA}"/>
    <cellStyle name="Normal 4 2 4 3 5" xfId="2100" xr:uid="{00000000-0005-0000-0000-00002F080000}"/>
    <cellStyle name="Normal 4 2 4 3 5 2" xfId="6021" xr:uid="{7B307FB6-3E40-4823-B9A3-55229EC5E7BA}"/>
    <cellStyle name="Normal 4 2 4 3 5 2 2" xfId="13881" xr:uid="{003C4451-5EC4-469C-902E-52DAEBDA7069}"/>
    <cellStyle name="Normal 4 2 4 3 5 3" xfId="9961" xr:uid="{761E9F7C-16EC-483D-808C-7B9DF72388CD}"/>
    <cellStyle name="Normal 4 2 4 3 6" xfId="4067" xr:uid="{F8F25FE3-033A-4CFB-80B7-7DF2E46A93E1}"/>
    <cellStyle name="Normal 4 2 4 3 6 2" xfId="11927" xr:uid="{8FC0C87D-C95F-4AD3-B58F-DB6F3E427863}"/>
    <cellStyle name="Normal 4 2 4 3 7" xfId="8005" xr:uid="{B2655633-51F5-49AA-BE4E-8673D5A73E0E}"/>
    <cellStyle name="Normal 4 2 4 4" xfId="307" xr:uid="{00000000-0005-0000-0000-000030080000}"/>
    <cellStyle name="Normal 4 2 4 4 2" xfId="759" xr:uid="{00000000-0005-0000-0000-000031080000}"/>
    <cellStyle name="Normal 4 2 4 4 2 2" xfId="2713" xr:uid="{00000000-0005-0000-0000-000032080000}"/>
    <cellStyle name="Normal 4 2 4 4 2 2 2" xfId="6634" xr:uid="{F87EE6A6-786F-45BD-A3E1-CA35B854D435}"/>
    <cellStyle name="Normal 4 2 4 4 2 2 2 2" xfId="14494" xr:uid="{D3C0C89E-B241-4288-ACFB-961D1C0F4334}"/>
    <cellStyle name="Normal 4 2 4 4 2 2 3" xfId="10574" xr:uid="{E05B2C4E-B9E7-4A05-8AFA-28A31C26AEBB}"/>
    <cellStyle name="Normal 4 2 4 4 2 3" xfId="4680" xr:uid="{CC83B1C1-9937-4371-B66D-73B52BA933AE}"/>
    <cellStyle name="Normal 4 2 4 4 2 3 2" xfId="12540" xr:uid="{CFF851CC-D968-4166-A9AB-6808202DC0AC}"/>
    <cellStyle name="Normal 4 2 4 4 2 4" xfId="8621" xr:uid="{AF4E581F-8A42-4E67-A41E-9BA55273333B}"/>
    <cellStyle name="Normal 4 2 4 4 3" xfId="1195" xr:uid="{00000000-0005-0000-0000-000033080000}"/>
    <cellStyle name="Normal 4 2 4 4 3 2" xfId="3149" xr:uid="{00000000-0005-0000-0000-000034080000}"/>
    <cellStyle name="Normal 4 2 4 4 3 2 2" xfId="7070" xr:uid="{46082549-4E8A-4E19-A5FB-7E62E193EDF2}"/>
    <cellStyle name="Normal 4 2 4 4 3 2 2 2" xfId="14930" xr:uid="{519CCCEB-7061-41EA-8BDD-EECD52F419C6}"/>
    <cellStyle name="Normal 4 2 4 4 3 2 3" xfId="11010" xr:uid="{184FFC57-25CD-4075-9209-1FE006651CDF}"/>
    <cellStyle name="Normal 4 2 4 4 3 3" xfId="5116" xr:uid="{D6573ED9-A6C2-47BC-A2D7-230923C2BBE6}"/>
    <cellStyle name="Normal 4 2 4 4 3 3 2" xfId="12976" xr:uid="{5975467D-8CCE-4A20-A82F-2F1DE08FBC46}"/>
    <cellStyle name="Normal 4 2 4 4 3 4" xfId="9057" xr:uid="{CA2A8F7D-28A2-4F1C-94CB-5AB7B1B0A335}"/>
    <cellStyle name="Normal 4 2 4 4 4" xfId="1615" xr:uid="{00000000-0005-0000-0000-000035080000}"/>
    <cellStyle name="Normal 4 2 4 4 4 2" xfId="3569" xr:uid="{00000000-0005-0000-0000-000036080000}"/>
    <cellStyle name="Normal 4 2 4 4 4 2 2" xfId="7490" xr:uid="{5B4811B5-023B-4EC4-9248-D312E78603BA}"/>
    <cellStyle name="Normal 4 2 4 4 4 2 2 2" xfId="15350" xr:uid="{E0518B28-B55C-481D-A35F-FCCC15B25D26}"/>
    <cellStyle name="Normal 4 2 4 4 4 2 3" xfId="11430" xr:uid="{A279D44D-5578-4B0A-88F4-174F76215947}"/>
    <cellStyle name="Normal 4 2 4 4 4 3" xfId="5536" xr:uid="{F73B07C9-155F-4E1B-AD63-2C89BFA9B770}"/>
    <cellStyle name="Normal 4 2 4 4 4 3 2" xfId="13396" xr:uid="{0F6ABA5A-DB20-47E0-898A-306F0975B748}"/>
    <cellStyle name="Normal 4 2 4 4 4 4" xfId="9477" xr:uid="{DD362BD3-5B69-4729-B71C-42FF043A1342}"/>
    <cellStyle name="Normal 4 2 4 4 5" xfId="2269" xr:uid="{00000000-0005-0000-0000-000037080000}"/>
    <cellStyle name="Normal 4 2 4 4 5 2" xfId="6190" xr:uid="{6CFD8A58-DAE5-47CD-BCB9-43570F1EAC5D}"/>
    <cellStyle name="Normal 4 2 4 4 5 2 2" xfId="14050" xr:uid="{C112B3A5-0658-426C-9973-07B9A77990B8}"/>
    <cellStyle name="Normal 4 2 4 4 5 3" xfId="10130" xr:uid="{BC04F1CF-C0AE-48E7-9807-FD16CAA71FE0}"/>
    <cellStyle name="Normal 4 2 4 4 6" xfId="4236" xr:uid="{64811ECB-CC31-4E8B-BA9D-692ACBD6D13C}"/>
    <cellStyle name="Normal 4 2 4 4 6 2" xfId="12096" xr:uid="{71C8DA64-1437-4FA4-854D-B879CF4CB7C8}"/>
    <cellStyle name="Normal 4 2 4 4 7" xfId="8175" xr:uid="{DD962DC5-56F6-416F-B5DF-2176FCF07840}"/>
    <cellStyle name="Normal 4 2 4 5" xfId="406" xr:uid="{00000000-0005-0000-0000-000038080000}"/>
    <cellStyle name="Normal 4 2 4 5 2" xfId="857" xr:uid="{00000000-0005-0000-0000-000039080000}"/>
    <cellStyle name="Normal 4 2 4 5 2 2" xfId="2811" xr:uid="{00000000-0005-0000-0000-00003A080000}"/>
    <cellStyle name="Normal 4 2 4 5 2 2 2" xfId="6732" xr:uid="{CE2F25B5-30F7-4D51-A289-671B7269485D}"/>
    <cellStyle name="Normal 4 2 4 5 2 2 2 2" xfId="14592" xr:uid="{6BF856C1-ED54-4997-9089-079C8112D46D}"/>
    <cellStyle name="Normal 4 2 4 5 2 2 3" xfId="10672" xr:uid="{ADAF4FD2-5BFB-46FE-9342-A0726B36429F}"/>
    <cellStyle name="Normal 4 2 4 5 2 3" xfId="4778" xr:uid="{5DD1712F-C0DB-4C50-B930-6E45E1D1B9B0}"/>
    <cellStyle name="Normal 4 2 4 5 2 3 2" xfId="12638" xr:uid="{CAFB7E44-9E8A-4CEF-B719-EFE7E16E83AC}"/>
    <cellStyle name="Normal 4 2 4 5 2 4" xfId="8719" xr:uid="{0CBBB062-E827-4176-BE81-99561F53D0FE}"/>
    <cellStyle name="Normal 4 2 4 5 3" xfId="1289" xr:uid="{00000000-0005-0000-0000-00003B080000}"/>
    <cellStyle name="Normal 4 2 4 5 3 2" xfId="3243" xr:uid="{00000000-0005-0000-0000-00003C080000}"/>
    <cellStyle name="Normal 4 2 4 5 3 2 2" xfId="7164" xr:uid="{E0F738ED-8FBD-4D3B-B0BC-7FD4B16FDC61}"/>
    <cellStyle name="Normal 4 2 4 5 3 2 2 2" xfId="15024" xr:uid="{7F80899D-060A-44CD-85D0-F5128A4000FD}"/>
    <cellStyle name="Normal 4 2 4 5 3 2 3" xfId="11104" xr:uid="{26F0596C-5B37-4063-9A9D-39DDE38427B2}"/>
    <cellStyle name="Normal 4 2 4 5 3 3" xfId="5210" xr:uid="{9DE62DE9-153B-49B1-8755-DF5B65358579}"/>
    <cellStyle name="Normal 4 2 4 5 3 3 2" xfId="13070" xr:uid="{B1132076-9B89-46F1-9880-5F94EC16CCA2}"/>
    <cellStyle name="Normal 4 2 4 5 3 4" xfId="9151" xr:uid="{0514E907-EF7B-404C-82C6-EFD375ACF61D}"/>
    <cellStyle name="Normal 4 2 4 5 4" xfId="1707" xr:uid="{00000000-0005-0000-0000-00003D080000}"/>
    <cellStyle name="Normal 4 2 4 5 4 2" xfId="3661" xr:uid="{00000000-0005-0000-0000-00003E080000}"/>
    <cellStyle name="Normal 4 2 4 5 4 2 2" xfId="7582" xr:uid="{750D49E4-34C2-437F-AB48-18E909254ACB}"/>
    <cellStyle name="Normal 4 2 4 5 4 2 2 2" xfId="15442" xr:uid="{9A299CA0-EDF6-47FD-8C13-7B43FDDEE88C}"/>
    <cellStyle name="Normal 4 2 4 5 4 2 3" xfId="11522" xr:uid="{16391BD6-72BF-448E-B92B-7BBE627D4B22}"/>
    <cellStyle name="Normal 4 2 4 5 4 3" xfId="5628" xr:uid="{CE6D44F0-2046-4D21-8911-C32694C4AA23}"/>
    <cellStyle name="Normal 4 2 4 5 4 3 2" xfId="13488" xr:uid="{0B44E0FB-5EFF-4062-BCAF-8CB62EA0EBAE}"/>
    <cellStyle name="Normal 4 2 4 5 4 4" xfId="9569" xr:uid="{AFB4B181-8CD5-4A37-A271-056C9AF01C48}"/>
    <cellStyle name="Normal 4 2 4 5 5" xfId="2361" xr:uid="{00000000-0005-0000-0000-00003F080000}"/>
    <cellStyle name="Normal 4 2 4 5 5 2" xfId="6282" xr:uid="{CB454B2D-D04F-4DE6-ACD1-CE560FC731CF}"/>
    <cellStyle name="Normal 4 2 4 5 5 2 2" xfId="14142" xr:uid="{CB68B75A-7432-47E6-9492-CCC87C8AF5D0}"/>
    <cellStyle name="Normal 4 2 4 5 5 3" xfId="10222" xr:uid="{1EB522AE-D229-49B0-BF66-FFBDBD2CF8F1}"/>
    <cellStyle name="Normal 4 2 4 5 6" xfId="4328" xr:uid="{AFCDDA64-6F30-4057-B856-01A568E6B973}"/>
    <cellStyle name="Normal 4 2 4 5 6 2" xfId="12188" xr:uid="{981C9690-6198-4F40-A451-7533430A3F3F}"/>
    <cellStyle name="Normal 4 2 4 5 7" xfId="8269" xr:uid="{60104BF0-5D23-4A96-A31F-8392D34EA19D}"/>
    <cellStyle name="Normal 4 2 4 6" xfId="505" xr:uid="{00000000-0005-0000-0000-000040080000}"/>
    <cellStyle name="Normal 4 2 4 6 2" xfId="2459" xr:uid="{00000000-0005-0000-0000-000041080000}"/>
    <cellStyle name="Normal 4 2 4 6 2 2" xfId="6380" xr:uid="{50D79E9E-C212-420E-8131-9C226232C86B}"/>
    <cellStyle name="Normal 4 2 4 6 2 2 2" xfId="14240" xr:uid="{769CF6A0-1C08-4233-8126-BCB31EBC7E02}"/>
    <cellStyle name="Normal 4 2 4 6 2 3" xfId="10320" xr:uid="{7F2DB359-BB7D-4536-995C-8F7856536DA1}"/>
    <cellStyle name="Normal 4 2 4 6 3" xfId="4426" xr:uid="{8D7BF3BB-C5E5-455A-8EE3-43C00663A8F8}"/>
    <cellStyle name="Normal 4 2 4 6 3 2" xfId="12286" xr:uid="{03BA6A85-AEC5-4F15-A36E-BAF83908A097}"/>
    <cellStyle name="Normal 4 2 4 6 4" xfId="8367" xr:uid="{1189A2C2-5603-4F2C-9443-47C7F366FF8A}"/>
    <cellStyle name="Normal 4 2 4 7" xfId="942" xr:uid="{00000000-0005-0000-0000-000042080000}"/>
    <cellStyle name="Normal 4 2 4 7 2" xfId="2896" xr:uid="{00000000-0005-0000-0000-000043080000}"/>
    <cellStyle name="Normal 4 2 4 7 2 2" xfId="6817" xr:uid="{CFE6A44B-1327-490A-91CF-5BBF5731770E}"/>
    <cellStyle name="Normal 4 2 4 7 2 2 2" xfId="14677" xr:uid="{B861282E-F4BB-4C46-B3B4-5A10F330EC6B}"/>
    <cellStyle name="Normal 4 2 4 7 2 3" xfId="10757" xr:uid="{117F69BA-E6BA-40D0-B1AC-75FCE0CC8588}"/>
    <cellStyle name="Normal 4 2 4 7 3" xfId="4863" xr:uid="{37BA400A-2B12-456C-937A-FA0F8F6CBB0C}"/>
    <cellStyle name="Normal 4 2 4 7 3 2" xfId="12723" xr:uid="{BCB3B4CF-18C4-4272-A29E-CBF9DBFE21DB}"/>
    <cellStyle name="Normal 4 2 4 7 4" xfId="8804" xr:uid="{79D2E68D-9B07-45DA-A547-4FA1717332B1}"/>
    <cellStyle name="Normal 4 2 4 8" xfId="1369" xr:uid="{00000000-0005-0000-0000-000044080000}"/>
    <cellStyle name="Normal 4 2 4 8 2" xfId="3323" xr:uid="{00000000-0005-0000-0000-000045080000}"/>
    <cellStyle name="Normal 4 2 4 8 2 2" xfId="7244" xr:uid="{31C1E536-D53D-45AD-9DF5-98B8033A11B9}"/>
    <cellStyle name="Normal 4 2 4 8 2 2 2" xfId="15104" xr:uid="{D5928D73-0B92-4085-9E84-61D94B8F1154}"/>
    <cellStyle name="Normal 4 2 4 8 2 3" xfId="11184" xr:uid="{AD0E55CD-77C6-4E77-AA3E-85E078B557A8}"/>
    <cellStyle name="Normal 4 2 4 8 3" xfId="5290" xr:uid="{7F654059-AB56-4CA6-93B0-C3AD9F7E30EE}"/>
    <cellStyle name="Normal 4 2 4 8 3 2" xfId="13150" xr:uid="{5AB9DA30-92BF-4F3D-B59D-8A737AE060C8}"/>
    <cellStyle name="Normal 4 2 4 8 4" xfId="9231" xr:uid="{69442C14-A0A6-48BC-9F11-5DC274209B62}"/>
    <cellStyle name="Normal 4 2 4 9" xfId="2022" xr:uid="{00000000-0005-0000-0000-000046080000}"/>
    <cellStyle name="Normal 4 2 4 9 2" xfId="5943" xr:uid="{A32FE748-6051-4BC5-815A-6EF5534BE842}"/>
    <cellStyle name="Normal 4 2 4 9 2 2" xfId="13803" xr:uid="{54026AD6-C171-4CC8-80C6-572BAECA4F9C}"/>
    <cellStyle name="Normal 4 2 4 9 3" xfId="9883" xr:uid="{FD8CD9BD-0A2B-4E5D-91F3-5F9A6AF865E7}"/>
    <cellStyle name="Normal 4 2 5" xfId="170" xr:uid="{00000000-0005-0000-0000-000047080000}"/>
    <cellStyle name="Normal 4 2 5 2" xfId="622" xr:uid="{00000000-0005-0000-0000-000048080000}"/>
    <cellStyle name="Normal 4 2 5 2 2" xfId="2576" xr:uid="{00000000-0005-0000-0000-000049080000}"/>
    <cellStyle name="Normal 4 2 5 2 2 2" xfId="6497" xr:uid="{306E75FE-1188-4298-83EE-3B2F0454FFA8}"/>
    <cellStyle name="Normal 4 2 5 2 2 2 2" xfId="14357" xr:uid="{B1B5AC2E-D352-4157-900C-9041F85CEFBB}"/>
    <cellStyle name="Normal 4 2 5 2 2 3" xfId="10437" xr:uid="{FC4565B6-E93D-4639-B71E-8011C741292D}"/>
    <cellStyle name="Normal 4 2 5 2 3" xfId="4543" xr:uid="{C24ACCD4-EA0E-49C1-9748-6AFFC9E5494C}"/>
    <cellStyle name="Normal 4 2 5 2 3 2" xfId="12403" xr:uid="{231C62FF-16C5-46D2-9CB2-CB09DC7A61EC}"/>
    <cellStyle name="Normal 4 2 5 2 4" xfId="8484" xr:uid="{5CDBDAAC-C43A-405A-B9D4-222ACDE1861C}"/>
    <cellStyle name="Normal 4 2 5 3" xfId="1059" xr:uid="{00000000-0005-0000-0000-00004A080000}"/>
    <cellStyle name="Normal 4 2 5 3 2" xfId="3013" xr:uid="{00000000-0005-0000-0000-00004B080000}"/>
    <cellStyle name="Normal 4 2 5 3 2 2" xfId="6934" xr:uid="{4D7AF642-8CF4-42F6-BA6E-D45094BA8086}"/>
    <cellStyle name="Normal 4 2 5 3 2 2 2" xfId="14794" xr:uid="{58E1D4DE-425E-4749-BC99-F0440916D7B8}"/>
    <cellStyle name="Normal 4 2 5 3 2 3" xfId="10874" xr:uid="{4FF1644B-0333-484D-AA58-34930596F89C}"/>
    <cellStyle name="Normal 4 2 5 3 3" xfId="4980" xr:uid="{F6BA5219-1574-4AF1-A3FF-C569222C2453}"/>
    <cellStyle name="Normal 4 2 5 3 3 2" xfId="12840" xr:uid="{48299C3D-4F7E-4BAF-81BD-FC6BF2FC9CA4}"/>
    <cellStyle name="Normal 4 2 5 3 4" xfId="8921" xr:uid="{C326F96B-840A-49EC-9FB9-C65F902932B2}"/>
    <cellStyle name="Normal 4 2 5 4" xfId="1486" xr:uid="{00000000-0005-0000-0000-00004C080000}"/>
    <cellStyle name="Normal 4 2 5 4 2" xfId="3440" xr:uid="{00000000-0005-0000-0000-00004D080000}"/>
    <cellStyle name="Normal 4 2 5 4 2 2" xfId="7361" xr:uid="{5CC85ACA-B120-4449-BEAF-EEE61CFAAB85}"/>
    <cellStyle name="Normal 4 2 5 4 2 2 2" xfId="15221" xr:uid="{719C4F78-2F7C-4C6A-87AB-EAE817D11EED}"/>
    <cellStyle name="Normal 4 2 5 4 2 3" xfId="11301" xr:uid="{F01CA7DB-015F-4CD7-BF40-D3A6F8632AC2}"/>
    <cellStyle name="Normal 4 2 5 4 3" xfId="5407" xr:uid="{E6ADE296-F2EC-4E0F-BD9D-CCC1FCDE76F0}"/>
    <cellStyle name="Normal 4 2 5 4 3 2" xfId="13267" xr:uid="{BC9F43E7-7C8A-4CDB-AAA4-07C38B55D38E}"/>
    <cellStyle name="Normal 4 2 5 4 4" xfId="9348" xr:uid="{526313D9-3290-4A1B-A80C-E3788C745DAC}"/>
    <cellStyle name="Normal 4 2 5 5" xfId="2139" xr:uid="{00000000-0005-0000-0000-00004E080000}"/>
    <cellStyle name="Normal 4 2 5 5 2" xfId="6060" xr:uid="{534A0408-B235-42F3-A2BC-D4CBD5FD0973}"/>
    <cellStyle name="Normal 4 2 5 5 2 2" xfId="13920" xr:uid="{37740800-A80B-4498-A5E1-AA065F10ED53}"/>
    <cellStyle name="Normal 4 2 5 5 3" xfId="10000" xr:uid="{6106BE7B-9FA1-4085-B37D-309BDD277FA4}"/>
    <cellStyle name="Normal 4 2 5 6" xfId="4106" xr:uid="{B71AAF80-0825-45E3-AA40-23D08369F7A8}"/>
    <cellStyle name="Normal 4 2 5 6 2" xfId="11966" xr:uid="{BA593564-91C9-417F-9868-79DB15EA22CA}"/>
    <cellStyle name="Normal 4 2 5 7" xfId="8044" xr:uid="{AB968A26-7249-4A30-8FBE-F8D708C0DD50}"/>
    <cellStyle name="Normal 4 2 6" xfId="92" xr:uid="{00000000-0005-0000-0000-00004F080000}"/>
    <cellStyle name="Normal 4 2 6 2" xfId="544" xr:uid="{00000000-0005-0000-0000-000050080000}"/>
    <cellStyle name="Normal 4 2 6 2 2" xfId="2498" xr:uid="{00000000-0005-0000-0000-000051080000}"/>
    <cellStyle name="Normal 4 2 6 2 2 2" xfId="6419" xr:uid="{FAD6B896-178B-4906-A10F-DCB8081699DB}"/>
    <cellStyle name="Normal 4 2 6 2 2 2 2" xfId="14279" xr:uid="{5423AC48-0534-4C51-85C5-633DAAE0213B}"/>
    <cellStyle name="Normal 4 2 6 2 2 3" xfId="10359" xr:uid="{A2CB1F0F-7603-4D90-848E-67FBD0F00E45}"/>
    <cellStyle name="Normal 4 2 6 2 3" xfId="4465" xr:uid="{EFE0083F-CD2E-4A19-986E-AAAACF32DF64}"/>
    <cellStyle name="Normal 4 2 6 2 3 2" xfId="12325" xr:uid="{D4FE3CC8-109C-4EE6-ADBD-B255C514E115}"/>
    <cellStyle name="Normal 4 2 6 2 4" xfId="8406" xr:uid="{79F9B789-F628-4137-AF03-56CF19E96CA0}"/>
    <cellStyle name="Normal 4 2 6 3" xfId="981" xr:uid="{00000000-0005-0000-0000-000052080000}"/>
    <cellStyle name="Normal 4 2 6 3 2" xfId="2935" xr:uid="{00000000-0005-0000-0000-000053080000}"/>
    <cellStyle name="Normal 4 2 6 3 2 2" xfId="6856" xr:uid="{2CA1FA68-CC1C-44C5-8423-66F469975824}"/>
    <cellStyle name="Normal 4 2 6 3 2 2 2" xfId="14716" xr:uid="{409BDA94-2EAA-47F8-9D36-C3E5050FC8AB}"/>
    <cellStyle name="Normal 4 2 6 3 2 3" xfId="10796" xr:uid="{3E01F165-0D4F-4E61-8B5D-A2BD720173C5}"/>
    <cellStyle name="Normal 4 2 6 3 3" xfId="4902" xr:uid="{BCE82EB6-FD7E-47B7-9630-EE0E6357020E}"/>
    <cellStyle name="Normal 4 2 6 3 3 2" xfId="12762" xr:uid="{1EBA11F6-D273-44D5-9455-0A74203E7C42}"/>
    <cellStyle name="Normal 4 2 6 3 4" xfId="8843" xr:uid="{32CFAA35-790D-41AA-909F-9A538C58CDF1}"/>
    <cellStyle name="Normal 4 2 6 4" xfId="1408" xr:uid="{00000000-0005-0000-0000-000054080000}"/>
    <cellStyle name="Normal 4 2 6 4 2" xfId="3362" xr:uid="{00000000-0005-0000-0000-000055080000}"/>
    <cellStyle name="Normal 4 2 6 4 2 2" xfId="7283" xr:uid="{CC8BE724-5E11-4B52-ACD7-004504FB53B4}"/>
    <cellStyle name="Normal 4 2 6 4 2 2 2" xfId="15143" xr:uid="{9C857374-ACCF-4EA7-ACC2-A4A5DF4754D6}"/>
    <cellStyle name="Normal 4 2 6 4 2 3" xfId="11223" xr:uid="{F1DAFFE2-2266-4856-B30C-6EE9F32C9845}"/>
    <cellStyle name="Normal 4 2 6 4 3" xfId="5329" xr:uid="{E94F3FAE-7CB2-4BE6-B08A-7E4CC43C8734}"/>
    <cellStyle name="Normal 4 2 6 4 3 2" xfId="13189" xr:uid="{166617A6-7669-425A-AE14-651BA91B8C8D}"/>
    <cellStyle name="Normal 4 2 6 4 4" xfId="9270" xr:uid="{FB582F32-387C-4680-8797-6AB6F38A97E6}"/>
    <cellStyle name="Normal 4 2 6 5" xfId="2061" xr:uid="{00000000-0005-0000-0000-000056080000}"/>
    <cellStyle name="Normal 4 2 6 5 2" xfId="5982" xr:uid="{3C4566A7-8EF3-49F2-80BF-0D8642B8512A}"/>
    <cellStyle name="Normal 4 2 6 5 2 2" xfId="13842" xr:uid="{62243485-CDED-4B1A-B157-8C801C6D0F52}"/>
    <cellStyle name="Normal 4 2 6 5 3" xfId="9922" xr:uid="{BDBF4D95-2E0F-4668-930A-C37CCCC25BAC}"/>
    <cellStyle name="Normal 4 2 6 6" xfId="4028" xr:uid="{E3A67283-BCAB-47A5-85EC-B50CA8DD7053}"/>
    <cellStyle name="Normal 4 2 6 6 2" xfId="11888" xr:uid="{9DD335B9-2FB7-4CE4-93A3-73B5B74ED4DE}"/>
    <cellStyle name="Normal 4 2 6 7" xfId="7966" xr:uid="{5B906471-3DEE-4DBB-A831-429766A87567}"/>
    <cellStyle name="Normal 4 2 7" xfId="268" xr:uid="{00000000-0005-0000-0000-000057080000}"/>
    <cellStyle name="Normal 4 2 7 2" xfId="720" xr:uid="{00000000-0005-0000-0000-000058080000}"/>
    <cellStyle name="Normal 4 2 7 2 2" xfId="2674" xr:uid="{00000000-0005-0000-0000-000059080000}"/>
    <cellStyle name="Normal 4 2 7 2 2 2" xfId="6595" xr:uid="{C65FB347-CF8A-4808-93FE-D2FDF9CA8484}"/>
    <cellStyle name="Normal 4 2 7 2 2 2 2" xfId="14455" xr:uid="{F797510A-D8F6-4349-8286-5C693D0DA0E6}"/>
    <cellStyle name="Normal 4 2 7 2 2 3" xfId="10535" xr:uid="{B67F28E5-D6A1-463C-A73F-27F2F16F1EE3}"/>
    <cellStyle name="Normal 4 2 7 2 3" xfId="4641" xr:uid="{5A85A291-5113-4D83-BD9A-E6A638008AB8}"/>
    <cellStyle name="Normal 4 2 7 2 3 2" xfId="12501" xr:uid="{4F799A39-9404-404A-962F-83D2B3000F57}"/>
    <cellStyle name="Normal 4 2 7 2 4" xfId="8582" xr:uid="{4F20732B-01F7-40BE-BBAC-D5A19BD92A36}"/>
    <cellStyle name="Normal 4 2 7 3" xfId="1156" xr:uid="{00000000-0005-0000-0000-00005A080000}"/>
    <cellStyle name="Normal 4 2 7 3 2" xfId="3110" xr:uid="{00000000-0005-0000-0000-00005B080000}"/>
    <cellStyle name="Normal 4 2 7 3 2 2" xfId="7031" xr:uid="{C0ACDD86-CD10-4D2A-9432-F1BEA21033AE}"/>
    <cellStyle name="Normal 4 2 7 3 2 2 2" xfId="14891" xr:uid="{0822D261-58E6-4C70-A679-D3E453616798}"/>
    <cellStyle name="Normal 4 2 7 3 2 3" xfId="10971" xr:uid="{65A7DDDF-D37A-40A1-A62D-46469248E4EA}"/>
    <cellStyle name="Normal 4 2 7 3 3" xfId="5077" xr:uid="{113BF94C-B149-4E75-8034-2B6114012C21}"/>
    <cellStyle name="Normal 4 2 7 3 3 2" xfId="12937" xr:uid="{61C0308D-CB53-4276-8A57-B03B4BA80222}"/>
    <cellStyle name="Normal 4 2 7 3 4" xfId="9018" xr:uid="{24463174-8509-4825-B739-95BBD697A33B}"/>
    <cellStyle name="Normal 4 2 7 4" xfId="1577" xr:uid="{00000000-0005-0000-0000-00005C080000}"/>
    <cellStyle name="Normal 4 2 7 4 2" xfId="3531" xr:uid="{00000000-0005-0000-0000-00005D080000}"/>
    <cellStyle name="Normal 4 2 7 4 2 2" xfId="7452" xr:uid="{C575A5C2-B89D-4FED-A38C-14FE1D7B0B73}"/>
    <cellStyle name="Normal 4 2 7 4 2 2 2" xfId="15312" xr:uid="{E0602C07-82B3-410B-A7E8-D948A6CBE91E}"/>
    <cellStyle name="Normal 4 2 7 4 2 3" xfId="11392" xr:uid="{1996D768-77B4-46E2-B923-731B84EF891D}"/>
    <cellStyle name="Normal 4 2 7 4 3" xfId="5498" xr:uid="{DF26605F-9352-40D9-BD26-358E53D7242B}"/>
    <cellStyle name="Normal 4 2 7 4 3 2" xfId="13358" xr:uid="{6BC8CF5F-F630-4254-A897-803161469988}"/>
    <cellStyle name="Normal 4 2 7 4 4" xfId="9439" xr:uid="{4B29CCC6-D5C8-43F9-BCB4-F6498F99DB4E}"/>
    <cellStyle name="Normal 4 2 7 5" xfId="2231" xr:uid="{00000000-0005-0000-0000-00005E080000}"/>
    <cellStyle name="Normal 4 2 7 5 2" xfId="6152" xr:uid="{4D10D071-29C8-4BFA-ACB4-C876AD262748}"/>
    <cellStyle name="Normal 4 2 7 5 2 2" xfId="14012" xr:uid="{C582517D-FEE3-49D0-B944-5BD604AA6855}"/>
    <cellStyle name="Normal 4 2 7 5 3" xfId="10092" xr:uid="{4DB96AB0-A0A4-4755-8280-A07CAC8B5E2A}"/>
    <cellStyle name="Normal 4 2 7 6" xfId="4198" xr:uid="{D0AE2421-0B9B-4098-8320-C91DF27FA71E}"/>
    <cellStyle name="Normal 4 2 7 6 2" xfId="12058" xr:uid="{32CACD4F-79F7-4A8E-B0F9-E2FB5E9DDFE2}"/>
    <cellStyle name="Normal 4 2 7 7" xfId="8137" xr:uid="{B97A1ECF-D0F6-4895-B4C1-FDAF56501F4F}"/>
    <cellStyle name="Normal 4 2 8" xfId="368" xr:uid="{00000000-0005-0000-0000-00005F080000}"/>
    <cellStyle name="Normal 4 2 8 2" xfId="819" xr:uid="{00000000-0005-0000-0000-000060080000}"/>
    <cellStyle name="Normal 4 2 8 2 2" xfId="2773" xr:uid="{00000000-0005-0000-0000-000061080000}"/>
    <cellStyle name="Normal 4 2 8 2 2 2" xfId="6694" xr:uid="{21C39C9F-56BB-4EA8-854A-4CF39D915E86}"/>
    <cellStyle name="Normal 4 2 8 2 2 2 2" xfId="14554" xr:uid="{6193AB9D-88D1-46A7-B0C1-9831B157CE80}"/>
    <cellStyle name="Normal 4 2 8 2 2 3" xfId="10634" xr:uid="{6A015E61-1E2B-40B3-853A-21E649EF3CAC}"/>
    <cellStyle name="Normal 4 2 8 2 3" xfId="4740" xr:uid="{2FE32373-0C6E-4E73-A32F-C8A61744DE2B}"/>
    <cellStyle name="Normal 4 2 8 2 3 2" xfId="12600" xr:uid="{7B2A9256-55A4-4409-B2B6-3AEAEF556B3E}"/>
    <cellStyle name="Normal 4 2 8 2 4" xfId="8681" xr:uid="{55C0DBD4-C54D-4520-8F81-02DAA363B986}"/>
    <cellStyle name="Normal 4 2 8 3" xfId="1251" xr:uid="{00000000-0005-0000-0000-000062080000}"/>
    <cellStyle name="Normal 4 2 8 3 2" xfId="3205" xr:uid="{00000000-0005-0000-0000-000063080000}"/>
    <cellStyle name="Normal 4 2 8 3 2 2" xfId="7126" xr:uid="{1C4A873F-0248-4D7F-8A35-1AB93BBD886C}"/>
    <cellStyle name="Normal 4 2 8 3 2 2 2" xfId="14986" xr:uid="{F5460FA8-199E-4C8B-8A8F-AE074692D785}"/>
    <cellStyle name="Normal 4 2 8 3 2 3" xfId="11066" xr:uid="{C277F03A-EF81-4A18-9FDC-4B0718571468}"/>
    <cellStyle name="Normal 4 2 8 3 3" xfId="5172" xr:uid="{8B53A7F9-51CA-4D02-B9E0-599DDE7278F5}"/>
    <cellStyle name="Normal 4 2 8 3 3 2" xfId="13032" xr:uid="{361A2188-6E18-462D-A469-F6DA81094C62}"/>
    <cellStyle name="Normal 4 2 8 3 4" xfId="9113" xr:uid="{1D23389C-B09B-404A-9043-3C3996F72CE0}"/>
    <cellStyle name="Normal 4 2 8 4" xfId="1669" xr:uid="{00000000-0005-0000-0000-000064080000}"/>
    <cellStyle name="Normal 4 2 8 4 2" xfId="3623" xr:uid="{00000000-0005-0000-0000-000065080000}"/>
    <cellStyle name="Normal 4 2 8 4 2 2" xfId="7544" xr:uid="{78DB94EA-8922-4E53-97E8-E10C0200B400}"/>
    <cellStyle name="Normal 4 2 8 4 2 2 2" xfId="15404" xr:uid="{BC3E64A8-7EC9-44EA-AC76-81A14E9F13F6}"/>
    <cellStyle name="Normal 4 2 8 4 2 3" xfId="11484" xr:uid="{41008CF3-C929-49AF-889F-D464DF547A32}"/>
    <cellStyle name="Normal 4 2 8 4 3" xfId="5590" xr:uid="{F0977187-4FD9-4B7A-8902-DF57D7B53C23}"/>
    <cellStyle name="Normal 4 2 8 4 3 2" xfId="13450" xr:uid="{13A2D00A-545B-469B-8978-B7F5F272B55F}"/>
    <cellStyle name="Normal 4 2 8 4 4" xfId="9531" xr:uid="{25BB5FBB-6BEF-48DB-8EE5-F15518122C9F}"/>
    <cellStyle name="Normal 4 2 8 5" xfId="2323" xr:uid="{00000000-0005-0000-0000-000066080000}"/>
    <cellStyle name="Normal 4 2 8 5 2" xfId="6244" xr:uid="{EC84E1D5-848C-42E3-8DE8-3B2B1C7EEC22}"/>
    <cellStyle name="Normal 4 2 8 5 2 2" xfId="14104" xr:uid="{1D8ED672-38A9-4546-B7A7-DA17CDA0660C}"/>
    <cellStyle name="Normal 4 2 8 5 3" xfId="10184" xr:uid="{19D26DE3-FCCD-47FB-95E0-03504F6A64D6}"/>
    <cellStyle name="Normal 4 2 8 6" xfId="4290" xr:uid="{8795C36C-087B-4891-8345-963E95EDF2BD}"/>
    <cellStyle name="Normal 4 2 8 6 2" xfId="12150" xr:uid="{BB01C10C-3FF3-4CDF-BF11-013FC82E818D}"/>
    <cellStyle name="Normal 4 2 8 7" xfId="8231" xr:uid="{D5707788-86CB-4C88-9CD0-7E0464B353E4}"/>
    <cellStyle name="Normal 4 2 9" xfId="465" xr:uid="{00000000-0005-0000-0000-000067080000}"/>
    <cellStyle name="Normal 4 2 9 2" xfId="2419" xr:uid="{00000000-0005-0000-0000-000068080000}"/>
    <cellStyle name="Normal 4 2 9 2 2" xfId="6340" xr:uid="{34FDB820-74D8-46FD-983B-38D807DCECB6}"/>
    <cellStyle name="Normal 4 2 9 2 2 2" xfId="14200" xr:uid="{5225C835-5747-4945-9453-69359ADCF391}"/>
    <cellStyle name="Normal 4 2 9 2 3" xfId="10280" xr:uid="{7984DA77-4A38-46CB-A715-19A1C08289B4}"/>
    <cellStyle name="Normal 4 2 9 3" xfId="4386" xr:uid="{98F02EDC-5E85-4E22-8C8B-52723CE886EA}"/>
    <cellStyle name="Normal 4 2 9 3 2" xfId="12246" xr:uid="{92884853-E1CB-4BE4-9DA7-134401F1581C}"/>
    <cellStyle name="Normal 4 2 9 4" xfId="8327" xr:uid="{80CA7F43-9795-424F-9B8B-EDD62728A578}"/>
    <cellStyle name="Normal 4 3" xfId="302" xr:uid="{00000000-0005-0000-0000-000069080000}"/>
    <cellStyle name="Normal 4 3 2" xfId="754" xr:uid="{00000000-0005-0000-0000-00006A080000}"/>
    <cellStyle name="Normal 4 3 2 2" xfId="2708" xr:uid="{00000000-0005-0000-0000-00006B080000}"/>
    <cellStyle name="Normal 4 3 2 2 2" xfId="6629" xr:uid="{BB0D6D95-D0D2-4FA3-99EA-CB3A7A92F5AA}"/>
    <cellStyle name="Normal 4 3 2 2 2 2" xfId="14489" xr:uid="{1406884D-BE87-4F22-BACC-3312860C61B6}"/>
    <cellStyle name="Normal 4 3 2 2 3" xfId="10569" xr:uid="{19D90C33-B234-425E-ABB3-B1908AF5889B}"/>
    <cellStyle name="Normal 4 3 2 3" xfId="4675" xr:uid="{4CB70636-AC06-434F-A96A-F2EC945F174B}"/>
    <cellStyle name="Normal 4 3 2 3 2" xfId="12535" xr:uid="{3911C7EF-9048-42FB-A7E3-813016E4EFF1}"/>
    <cellStyle name="Normal 4 3 2 4" xfId="8616" xr:uid="{17F0EBFD-298B-4A59-84D8-F5B6A5DC6CCD}"/>
    <cellStyle name="Normal 4 3 3" xfId="1190" xr:uid="{00000000-0005-0000-0000-00006C080000}"/>
    <cellStyle name="Normal 4 3 3 2" xfId="3144" xr:uid="{00000000-0005-0000-0000-00006D080000}"/>
    <cellStyle name="Normal 4 3 3 2 2" xfId="7065" xr:uid="{FFAE9891-1ACB-4218-AA78-BAD27CFCEA51}"/>
    <cellStyle name="Normal 4 3 3 2 2 2" xfId="14925" xr:uid="{CDF0DAAF-8F9D-40DA-A35F-1272BE28F431}"/>
    <cellStyle name="Normal 4 3 3 2 3" xfId="11005" xr:uid="{3D49C791-D347-48B0-84C2-B5A163D5523B}"/>
    <cellStyle name="Normal 4 3 3 3" xfId="5111" xr:uid="{10676829-554C-41AC-96E5-B4DCBF8D4D4B}"/>
    <cellStyle name="Normal 4 3 3 3 2" xfId="12971" xr:uid="{D413676E-BD68-4DEA-B2B9-2400CCA64D5D}"/>
    <cellStyle name="Normal 4 3 3 4" xfId="9052" xr:uid="{19385598-7AD7-4890-B195-13E2D44972C3}"/>
    <cellStyle name="Normal 4 3 4" xfId="1610" xr:uid="{00000000-0005-0000-0000-00006E080000}"/>
    <cellStyle name="Normal 4 3 4 2" xfId="3564" xr:uid="{00000000-0005-0000-0000-00006F080000}"/>
    <cellStyle name="Normal 4 3 4 2 2" xfId="7485" xr:uid="{671FE8BF-7F4D-4A20-BCAB-FECB68079C7A}"/>
    <cellStyle name="Normal 4 3 4 2 2 2" xfId="15345" xr:uid="{37C95935-AC89-41C3-9A2F-BC8D16ABB57A}"/>
    <cellStyle name="Normal 4 3 4 2 3" xfId="11425" xr:uid="{D1087F68-3182-4142-B045-160C0E82DBF2}"/>
    <cellStyle name="Normal 4 3 4 3" xfId="5531" xr:uid="{CE749DD8-89C5-4D4F-ADF7-63EEEE85CF5F}"/>
    <cellStyle name="Normal 4 3 4 3 2" xfId="13391" xr:uid="{606809CE-B0D1-41C7-9806-79F52054C598}"/>
    <cellStyle name="Normal 4 3 4 4" xfId="9472" xr:uid="{CDBFAD86-8AC8-4F9A-BE05-0FCB3082A612}"/>
    <cellStyle name="Normal 4 3 5" xfId="2264" xr:uid="{00000000-0005-0000-0000-000070080000}"/>
    <cellStyle name="Normal 4 3 5 2" xfId="6185" xr:uid="{8C250E79-54E8-4447-A0CF-6F712F34645E}"/>
    <cellStyle name="Normal 4 3 5 2 2" xfId="14045" xr:uid="{120E430A-36F7-4717-80EE-342D408A3BBB}"/>
    <cellStyle name="Normal 4 3 5 3" xfId="10125" xr:uid="{932F5B96-D886-412F-8889-58EBDD0228A3}"/>
    <cellStyle name="Normal 4 3 6" xfId="4231" xr:uid="{CB3C2DBA-87FD-421E-8361-8826963C00AD}"/>
    <cellStyle name="Normal 4 3 6 2" xfId="12091" xr:uid="{2B7B8E67-6EDF-45AF-910A-DCED0F78CECA}"/>
    <cellStyle name="Normal 4 3 7" xfId="8170" xr:uid="{B538557B-D2E5-40ED-AA7B-F720B54FC1F1}"/>
    <cellStyle name="Normal 4 4" xfId="401" xr:uid="{00000000-0005-0000-0000-000071080000}"/>
    <cellStyle name="Normal 4 4 2" xfId="852" xr:uid="{00000000-0005-0000-0000-000072080000}"/>
    <cellStyle name="Normal 4 4 2 2" xfId="2806" xr:uid="{00000000-0005-0000-0000-000073080000}"/>
    <cellStyle name="Normal 4 4 2 2 2" xfId="6727" xr:uid="{D04A3BBD-6E7C-4952-8EED-B01E1A61E91F}"/>
    <cellStyle name="Normal 4 4 2 2 2 2" xfId="14587" xr:uid="{BEAAEB2D-C499-452C-A69F-BFDED5BA2F76}"/>
    <cellStyle name="Normal 4 4 2 2 3" xfId="10667" xr:uid="{7DB5EFD1-E712-46E3-9F5A-030D5A6F5041}"/>
    <cellStyle name="Normal 4 4 2 3" xfId="4773" xr:uid="{B921FBAA-8159-4EF8-9484-974EE17155EE}"/>
    <cellStyle name="Normal 4 4 2 3 2" xfId="12633" xr:uid="{65DCE439-53E8-475A-9F96-96F337422A0E}"/>
    <cellStyle name="Normal 4 4 2 4" xfId="8714" xr:uid="{C74DAFC8-128E-4608-B925-E1CC5C54F2B7}"/>
    <cellStyle name="Normal 4 4 3" xfId="1284" xr:uid="{00000000-0005-0000-0000-000074080000}"/>
    <cellStyle name="Normal 4 4 3 2" xfId="3238" xr:uid="{00000000-0005-0000-0000-000075080000}"/>
    <cellStyle name="Normal 4 4 3 2 2" xfId="7159" xr:uid="{B39BA685-0263-4ECF-840F-A8471B78D83D}"/>
    <cellStyle name="Normal 4 4 3 2 2 2" xfId="15019" xr:uid="{73CE0681-8C5C-4FBD-ACF6-8C9B0CDC556F}"/>
    <cellStyle name="Normal 4 4 3 2 3" xfId="11099" xr:uid="{AFC7F41B-D8A0-410A-B01F-2480285B5A10}"/>
    <cellStyle name="Normal 4 4 3 3" xfId="5205" xr:uid="{F73FA028-1A2E-426C-A3B8-81017C01AD2B}"/>
    <cellStyle name="Normal 4 4 3 3 2" xfId="13065" xr:uid="{B9AC0297-221E-42DD-906B-88D7AF061E49}"/>
    <cellStyle name="Normal 4 4 3 4" xfId="9146" xr:uid="{BB89C1F0-6C82-47E3-8ECB-82DD6083F434}"/>
    <cellStyle name="Normal 4 4 4" xfId="1702" xr:uid="{00000000-0005-0000-0000-000076080000}"/>
    <cellStyle name="Normal 4 4 4 2" xfId="3656" xr:uid="{00000000-0005-0000-0000-000077080000}"/>
    <cellStyle name="Normal 4 4 4 2 2" xfId="7577" xr:uid="{C271329E-992E-42B7-A274-256A710340E5}"/>
    <cellStyle name="Normal 4 4 4 2 2 2" xfId="15437" xr:uid="{ECBBAF00-225C-4A46-9F75-734A46C4FB86}"/>
    <cellStyle name="Normal 4 4 4 2 3" xfId="11517" xr:uid="{44960054-42D9-4210-8819-5D6219715D27}"/>
    <cellStyle name="Normal 4 4 4 3" xfId="5623" xr:uid="{3E691253-F998-41FA-BCEF-A986B748D2A7}"/>
    <cellStyle name="Normal 4 4 4 3 2" xfId="13483" xr:uid="{DE6E455A-9D80-4A34-A888-59756B6FBD5B}"/>
    <cellStyle name="Normal 4 4 4 4" xfId="9564" xr:uid="{97C08E22-2D85-4D2D-815C-E746422803DB}"/>
    <cellStyle name="Normal 4 4 5" xfId="2356" xr:uid="{00000000-0005-0000-0000-000078080000}"/>
    <cellStyle name="Normal 4 4 5 2" xfId="6277" xr:uid="{4D224809-D39B-490E-9C09-3193F34B8A31}"/>
    <cellStyle name="Normal 4 4 5 2 2" xfId="14137" xr:uid="{02167298-8D09-4A47-AECA-07673AB9864C}"/>
    <cellStyle name="Normal 4 4 5 3" xfId="10217" xr:uid="{B2FD2BC3-B1FA-4619-8D44-597F9DFE1967}"/>
    <cellStyle name="Normal 4 4 6" xfId="4323" xr:uid="{AF6ECDAA-FB3A-43EA-A55E-99C4D791746D}"/>
    <cellStyle name="Normal 4 4 6 2" xfId="12183" xr:uid="{A193BEF1-E6D5-47FA-A67A-7752A88B6437}"/>
    <cellStyle name="Normal 4 4 7" xfId="8264" xr:uid="{3473BB71-A442-4968-9B16-CB7C5C170E2C}"/>
    <cellStyle name="Normal 4 5" xfId="704" xr:uid="{00000000-0005-0000-0000-000079080000}"/>
    <cellStyle name="Normal 4 5 2" xfId="2658" xr:uid="{00000000-0005-0000-0000-00007A080000}"/>
    <cellStyle name="Normal 4 5 2 2" xfId="6579" xr:uid="{0D462FF5-84D9-4AD9-89C8-907AB51643D8}"/>
    <cellStyle name="Normal 4 5 2 2 2" xfId="14439" xr:uid="{346B6404-4605-44E2-AA7B-C33A70E9AB1F}"/>
    <cellStyle name="Normal 4 5 2 3" xfId="10519" xr:uid="{86C0095C-9D55-4F40-BB7D-83D5C788DD66}"/>
    <cellStyle name="Normal 4 5 3" xfId="4625" xr:uid="{2E149AEB-7762-44F3-A7ED-6831AEB19E33}"/>
    <cellStyle name="Normal 4 5 3 2" xfId="12485" xr:uid="{4EB61812-22E6-48DD-882C-D156046D440E}"/>
    <cellStyle name="Normal 4 5 4" xfId="8566" xr:uid="{8C0A24C5-8D7B-4709-816B-75D16550B319}"/>
    <cellStyle name="Normal 4 6" xfId="1141" xr:uid="{00000000-0005-0000-0000-00007B080000}"/>
    <cellStyle name="Normal 4 6 2" xfId="3095" xr:uid="{00000000-0005-0000-0000-00007C080000}"/>
    <cellStyle name="Normal 4 6 2 2" xfId="7016" xr:uid="{028C14D8-779F-49FC-8D3C-D89A99699DB4}"/>
    <cellStyle name="Normal 4 6 2 2 2" xfId="14876" xr:uid="{91C0CB00-24C0-46D2-B637-30C2213BC863}"/>
    <cellStyle name="Normal 4 6 2 3" xfId="10956" xr:uid="{45DEAE30-3804-4D85-A3D5-D83D04640062}"/>
    <cellStyle name="Normal 4 6 3" xfId="5062" xr:uid="{63F1F7B5-097A-4DE0-8EBE-2302DD77766D}"/>
    <cellStyle name="Normal 4 6 3 2" xfId="12922" xr:uid="{0720DD7D-3D3E-4872-B75E-FA645DC21C99}"/>
    <cellStyle name="Normal 4 6 4" xfId="9003" xr:uid="{70472CCD-017F-41C6-9C75-BD86868ED838}"/>
    <cellStyle name="Normal 4 7" xfId="1565" xr:uid="{00000000-0005-0000-0000-00007D080000}"/>
    <cellStyle name="Normal 4 7 2" xfId="3519" xr:uid="{00000000-0005-0000-0000-00007E080000}"/>
    <cellStyle name="Normal 4 7 2 2" xfId="7440" xr:uid="{DBB5411D-078A-4CCB-B835-CF0FA776CAF0}"/>
    <cellStyle name="Normal 4 7 2 2 2" xfId="15300" xr:uid="{502BFFBE-9E9A-435C-A2C7-38235A1A0D67}"/>
    <cellStyle name="Normal 4 7 2 3" xfId="11380" xr:uid="{5D368C7B-9663-496E-9BC5-5290EAAE8146}"/>
    <cellStyle name="Normal 4 7 3" xfId="5486" xr:uid="{2ED7BB0B-A80E-4917-9987-008F758EC3FE}"/>
    <cellStyle name="Normal 4 7 3 2" xfId="13346" xr:uid="{E6AA80B4-4E46-4B51-B102-C73681EB56EA}"/>
    <cellStyle name="Normal 4 7 4" xfId="9427" xr:uid="{78A5D33D-81CA-40EE-949C-0387284620FB}"/>
    <cellStyle name="Normal 4 8" xfId="2218" xr:uid="{00000000-0005-0000-0000-00007F080000}"/>
    <cellStyle name="Normal 4 8 2" xfId="6139" xr:uid="{77240260-987B-46A9-97EA-B6589E4EBAB5}"/>
    <cellStyle name="Normal 4 8 2 2" xfId="13999" xr:uid="{5F495F0D-22B0-4610-A4CE-4C3E75D355A6}"/>
    <cellStyle name="Normal 4 8 3" xfId="10079" xr:uid="{892C3E6D-BDD4-491B-B264-14A9C1CA7396}"/>
    <cellStyle name="Normal 4 9" xfId="4185" xr:uid="{A870D93D-7F45-4915-95BF-0AA291950C63}"/>
    <cellStyle name="Normal 4 9 2" xfId="12045" xr:uid="{D2B7078A-9B4A-47BA-A323-D2E0089A53A9}"/>
    <cellStyle name="Normal 40" xfId="3925" xr:uid="{C3F18491-A482-4553-B673-A48189F76D01}"/>
    <cellStyle name="Normal 40 2" xfId="7846" xr:uid="{8BA20A0E-44F9-4180-BC47-97A910DFC697}"/>
    <cellStyle name="Normal 40 2 2" xfId="15706" xr:uid="{AC609670-1B3D-4A1C-8417-2CCA2A2CC38B}"/>
    <cellStyle name="Normal 40 3" xfId="11786" xr:uid="{565AFEC0-B60E-4C7E-B8E2-BFDE07CBB2CC}"/>
    <cellStyle name="Normal 41" xfId="3930" xr:uid="{CD0DDE48-9666-48D9-B49C-5DB6A61B33A2}"/>
    <cellStyle name="Normal 41 2" xfId="3936" xr:uid="{D9E5BF6A-A3D7-443A-9DA7-CAE78FD29A36}"/>
    <cellStyle name="Normal 41 2 2" xfId="7857" xr:uid="{B56DD53B-EA21-4EDC-A1B7-16425C4C874F}"/>
    <cellStyle name="Normal 41 2 2 2" xfId="15717" xr:uid="{4638EDCE-6627-47E0-B2D2-439A7596F56E}"/>
    <cellStyle name="Normal 41 2 3" xfId="11797" xr:uid="{B6F7DB5B-3CD3-4FFA-8654-2BD20488E31B}"/>
    <cellStyle name="Normal 41 3" xfId="7851" xr:uid="{E6297858-7143-4E4C-B75F-59B7E83B3401}"/>
    <cellStyle name="Normal 41 3 2" xfId="15711" xr:uid="{F5A21093-E1DF-4CD3-978A-081555B0BA18}"/>
    <cellStyle name="Normal 41 4" xfId="11791" xr:uid="{D38ACFF7-2F58-47B2-B8BA-20194A9B752A}"/>
    <cellStyle name="Normal 42" xfId="3931" xr:uid="{C1B48D68-40DF-4AE7-A22E-7DA433BAEDE5}"/>
    <cellStyle name="Normal 42 2" xfId="7852" xr:uid="{7C8FED95-75C9-4231-9659-7C55578970A8}"/>
    <cellStyle name="Normal 42 2 2" xfId="15712" xr:uid="{D28F9870-E930-46A7-A53D-7870FC8703D1}"/>
    <cellStyle name="Normal 42 3" xfId="11792" xr:uid="{F576F505-031F-4E13-89C8-2CAB8C0716E0}"/>
    <cellStyle name="Normal 43" xfId="3939" xr:uid="{402029C2-73EE-47F6-9572-AC8F0403892F}"/>
    <cellStyle name="Normal 43 2" xfId="11800" xr:uid="{F40212DA-DE5F-42D1-B26F-492F9373EA50}"/>
    <cellStyle name="Normal 44" xfId="3940" xr:uid="{9F4BFB48-01F5-44BA-843E-10A6E1E3D351}"/>
    <cellStyle name="Normal 45" xfId="7867" xr:uid="{381E4D5D-8D42-4FFB-A96D-CE204B43EE3E}"/>
    <cellStyle name="Normal 46" xfId="7868" xr:uid="{0BBD7C95-6065-48FB-8C2A-50243FEF04E2}"/>
    <cellStyle name="Normal 46 2" xfId="15727" xr:uid="{AD0B05E4-9D19-4F04-B7F4-13C885267917}"/>
    <cellStyle name="Normal 47" xfId="7871" xr:uid="{BEEEC0C1-F8BF-45CB-83D6-27CC9D22A29F}"/>
    <cellStyle name="Normal 47 2" xfId="15730" xr:uid="{22703CEB-1AE1-4A98-A205-D370CC2F9364}"/>
    <cellStyle name="Normal 48" xfId="7872" xr:uid="{27E196B0-D0ED-4C1C-8655-C2C1ADE5E882}"/>
    <cellStyle name="Normal 48 2" xfId="15731" xr:uid="{1F2112BC-417A-4E75-AF62-770ACA541EE0}"/>
    <cellStyle name="Normal 49" xfId="7875" xr:uid="{A1D506A8-8961-4FD4-81A9-34BD71EF3202}"/>
    <cellStyle name="Normal 49 2" xfId="15734" xr:uid="{7811B515-2ABD-430B-A7D7-FFBB679CF94D}"/>
    <cellStyle name="Normal 5" xfId="253" xr:uid="{00000000-0005-0000-0000-000080080000}"/>
    <cellStyle name="Normal 5 2" xfId="350" xr:uid="{00000000-0005-0000-0000-000081080000}"/>
    <cellStyle name="Normal 5 2 2" xfId="447" xr:uid="{00000000-0005-0000-0000-000082080000}"/>
    <cellStyle name="Normal 5 2 2 2" xfId="898" xr:uid="{00000000-0005-0000-0000-000083080000}"/>
    <cellStyle name="Normal 5 2 2 2 2" xfId="2852" xr:uid="{00000000-0005-0000-0000-000084080000}"/>
    <cellStyle name="Normal 5 2 2 2 2 2" xfId="6773" xr:uid="{5C57E0B0-63A7-4484-A1B8-68046E76CE04}"/>
    <cellStyle name="Normal 5 2 2 2 2 2 2" xfId="14633" xr:uid="{F2A5E802-0F6A-4E85-BB2A-43E99046E3A3}"/>
    <cellStyle name="Normal 5 2 2 2 2 3" xfId="10713" xr:uid="{82FA5712-C572-48F3-82A5-451E88E70272}"/>
    <cellStyle name="Normal 5 2 2 2 3" xfId="4819" xr:uid="{DE853EB0-2D25-4644-A15E-D88992B0DE84}"/>
    <cellStyle name="Normal 5 2 2 2 3 2" xfId="12679" xr:uid="{FA03D2B3-30D0-49C9-8E71-D7474B426DBC}"/>
    <cellStyle name="Normal 5 2 2 2 4" xfId="8760" xr:uid="{497BA5A5-16F9-4807-B950-E1EC78755CD2}"/>
    <cellStyle name="Normal 5 2 2 3" xfId="1330" xr:uid="{00000000-0005-0000-0000-000085080000}"/>
    <cellStyle name="Normal 5 2 2 3 2" xfId="3284" xr:uid="{00000000-0005-0000-0000-000086080000}"/>
    <cellStyle name="Normal 5 2 2 3 2 2" xfId="7205" xr:uid="{4D5D292D-7A37-46B4-9008-E181855FFF5F}"/>
    <cellStyle name="Normal 5 2 2 3 2 2 2" xfId="15065" xr:uid="{1F6B6526-4F84-4E5B-A4F0-4F24A53E2096}"/>
    <cellStyle name="Normal 5 2 2 3 2 3" xfId="11145" xr:uid="{F147CADA-A0C1-4580-9D57-50AD5ACBAB4D}"/>
    <cellStyle name="Normal 5 2 2 3 3" xfId="5251" xr:uid="{0C8761A8-5379-4F84-8D1E-44473ADF229F}"/>
    <cellStyle name="Normal 5 2 2 3 3 2" xfId="13111" xr:uid="{B4BE24DE-6002-4479-A0D7-79E7DDC41890}"/>
    <cellStyle name="Normal 5 2 2 3 4" xfId="9192" xr:uid="{629420ED-1A96-4AE7-B32E-6698E0256D3F}"/>
    <cellStyle name="Normal 5 2 2 4" xfId="1748" xr:uid="{00000000-0005-0000-0000-000087080000}"/>
    <cellStyle name="Normal 5 2 2 4 2" xfId="3702" xr:uid="{00000000-0005-0000-0000-000088080000}"/>
    <cellStyle name="Normal 5 2 2 4 2 2" xfId="7623" xr:uid="{B5A02FA7-B9A9-44CA-9112-1813A9FA958A}"/>
    <cellStyle name="Normal 5 2 2 4 2 2 2" xfId="15483" xr:uid="{BF4B59BB-08E0-4019-A1B4-E8F7F7EAD62E}"/>
    <cellStyle name="Normal 5 2 2 4 2 3" xfId="11563" xr:uid="{AFE53CE1-DBB3-43AF-BB97-1E0A150507D2}"/>
    <cellStyle name="Normal 5 2 2 4 3" xfId="5669" xr:uid="{12433791-D3A3-452D-A5F3-BD8FCEE90980}"/>
    <cellStyle name="Normal 5 2 2 4 3 2" xfId="13529" xr:uid="{34CC8345-9396-4326-9BEF-72F29A56EEFE}"/>
    <cellStyle name="Normal 5 2 2 4 4" xfId="9610" xr:uid="{3564B327-9F88-46B6-832E-95D62BDB90DB}"/>
    <cellStyle name="Normal 5 2 2 5" xfId="2402" xr:uid="{00000000-0005-0000-0000-000089080000}"/>
    <cellStyle name="Normal 5 2 2 5 2" xfId="6323" xr:uid="{CA19BF19-40B8-497E-BB59-A2D1D338784F}"/>
    <cellStyle name="Normal 5 2 2 5 2 2" xfId="14183" xr:uid="{FD7B049C-502E-4A89-B043-957E1858A788}"/>
    <cellStyle name="Normal 5 2 2 5 3" xfId="10263" xr:uid="{35E5CA8E-2F0D-4CB4-A42E-9BFBBDB4CE33}"/>
    <cellStyle name="Normal 5 2 2 6" xfId="4369" xr:uid="{C57C63C7-5B32-4322-B09A-F6126ED23EBE}"/>
    <cellStyle name="Normal 5 2 2 6 2" xfId="12229" xr:uid="{90F3547D-B8E1-4571-B4D5-4F17BDA14D65}"/>
    <cellStyle name="Normal 5 2 2 7" xfId="8310" xr:uid="{12BD790D-1F05-46D6-BFDD-DDEA9ED163C5}"/>
    <cellStyle name="Normal 5 2 3" xfId="802" xr:uid="{00000000-0005-0000-0000-00008A080000}"/>
    <cellStyle name="Normal 5 2 3 2" xfId="2756" xr:uid="{00000000-0005-0000-0000-00008B080000}"/>
    <cellStyle name="Normal 5 2 3 2 2" xfId="6677" xr:uid="{DA2CCB32-FF62-4835-9181-9F674DD1F2E5}"/>
    <cellStyle name="Normal 5 2 3 2 2 2" xfId="14537" xr:uid="{73DE3605-E0BB-4C74-97E2-D6333672AA7D}"/>
    <cellStyle name="Normal 5 2 3 2 3" xfId="10617" xr:uid="{D38FF5BF-D484-472A-8E31-068A1807EB8E}"/>
    <cellStyle name="Normal 5 2 3 3" xfId="4723" xr:uid="{0222B387-EA9D-4AE5-AC79-2779856CAFE8}"/>
    <cellStyle name="Normal 5 2 3 3 2" xfId="12583" xr:uid="{0078D130-4CF9-44E1-8FF4-73298C19BD94}"/>
    <cellStyle name="Normal 5 2 3 4" xfId="8664" xr:uid="{5F784823-61D0-4F41-9C46-4818CEB9BAE5}"/>
    <cellStyle name="Normal 5 2 4" xfId="1236" xr:uid="{00000000-0005-0000-0000-00008C080000}"/>
    <cellStyle name="Normal 5 2 4 2" xfId="3190" xr:uid="{00000000-0005-0000-0000-00008D080000}"/>
    <cellStyle name="Normal 5 2 4 2 2" xfId="7111" xr:uid="{6335003B-A717-47A5-AE44-7EA2C33C2915}"/>
    <cellStyle name="Normal 5 2 4 2 2 2" xfId="14971" xr:uid="{124A3BB5-6AE4-4FC0-B77F-603B2B891476}"/>
    <cellStyle name="Normal 5 2 4 2 3" xfId="11051" xr:uid="{E06FC952-E68A-4114-8589-E33C17656096}"/>
    <cellStyle name="Normal 5 2 4 3" xfId="5157" xr:uid="{78DCDCD4-A4B8-4167-BABE-312C258B12BC}"/>
    <cellStyle name="Normal 5 2 4 3 2" xfId="13017" xr:uid="{9C8DD6AB-EAA2-4C68-848A-77F88243BAA6}"/>
    <cellStyle name="Normal 5 2 4 4" xfId="9098" xr:uid="{89A6461B-B208-4D47-8078-45FCDF7A3928}"/>
    <cellStyle name="Normal 5 2 5" xfId="1656" xr:uid="{00000000-0005-0000-0000-00008E080000}"/>
    <cellStyle name="Normal 5 2 5 2" xfId="3610" xr:uid="{00000000-0005-0000-0000-00008F080000}"/>
    <cellStyle name="Normal 5 2 5 2 2" xfId="7531" xr:uid="{F77E1C14-3D46-4879-9BEA-4F26A382C324}"/>
    <cellStyle name="Normal 5 2 5 2 2 2" xfId="15391" xr:uid="{BCF2BB78-CBAE-4E0C-8BCE-CBD9BDEAF050}"/>
    <cellStyle name="Normal 5 2 5 2 3" xfId="11471" xr:uid="{6EF55B63-3060-4B33-9671-40B4C18FB132}"/>
    <cellStyle name="Normal 5 2 5 3" xfId="5577" xr:uid="{F3EDFD1C-69C9-44AA-9D33-07784C902FDB}"/>
    <cellStyle name="Normal 5 2 5 3 2" xfId="13437" xr:uid="{2768D25C-BEDD-4941-BFAA-2877980C1B04}"/>
    <cellStyle name="Normal 5 2 5 4" xfId="9518" xr:uid="{490DAAC4-BD35-4D18-9D0A-D280A8BDB7CB}"/>
    <cellStyle name="Normal 5 2 6" xfId="2310" xr:uid="{00000000-0005-0000-0000-000090080000}"/>
    <cellStyle name="Normal 5 2 6 2" xfId="6231" xr:uid="{7F5E4A66-6F21-4313-86DB-5DCF9B39AF51}"/>
    <cellStyle name="Normal 5 2 6 2 2" xfId="14091" xr:uid="{A2457E39-D3C6-4560-A7D0-D86281ED01AE}"/>
    <cellStyle name="Normal 5 2 6 3" xfId="10171" xr:uid="{EE037969-C0FE-423F-9C96-E68422EEA904}"/>
    <cellStyle name="Normal 5 2 7" xfId="4277" xr:uid="{EADAC4E3-4FE6-4557-8623-3191F9B55010}"/>
    <cellStyle name="Normal 5 2 7 2" xfId="12137" xr:uid="{AEA2308A-7E96-4A4D-BC0E-8526FDBC4186}"/>
    <cellStyle name="Normal 5 2 8" xfId="8216" xr:uid="{E79CCEB0-F204-4E19-9585-4A52E7AAD80A}"/>
    <cellStyle name="Normal 5 3" xfId="304" xr:uid="{00000000-0005-0000-0000-000091080000}"/>
    <cellStyle name="Normal 5 3 2" xfId="756" xr:uid="{00000000-0005-0000-0000-000092080000}"/>
    <cellStyle name="Normal 5 3 2 2" xfId="2710" xr:uid="{00000000-0005-0000-0000-000093080000}"/>
    <cellStyle name="Normal 5 3 2 2 2" xfId="6631" xr:uid="{2AE34B87-BF38-4809-8FBD-21BAFE10D79C}"/>
    <cellStyle name="Normal 5 3 2 2 2 2" xfId="14491" xr:uid="{7D73C567-9E9B-4DB8-B756-94DCAC79F4B4}"/>
    <cellStyle name="Normal 5 3 2 2 3" xfId="10571" xr:uid="{86B0ED34-479D-4930-85D9-02C208B65022}"/>
    <cellStyle name="Normal 5 3 2 3" xfId="4677" xr:uid="{89AE1738-5B98-4405-BBE0-8370A6BA6DFB}"/>
    <cellStyle name="Normal 5 3 2 3 2" xfId="12537" xr:uid="{232B8908-FAEC-4223-B66D-657DA5114969}"/>
    <cellStyle name="Normal 5 3 2 4" xfId="8618" xr:uid="{75188D78-EB85-4488-9496-0AE4A4E1D7DA}"/>
    <cellStyle name="Normal 5 3 3" xfId="1192" xr:uid="{00000000-0005-0000-0000-000094080000}"/>
    <cellStyle name="Normal 5 3 3 2" xfId="3146" xr:uid="{00000000-0005-0000-0000-000095080000}"/>
    <cellStyle name="Normal 5 3 3 2 2" xfId="7067" xr:uid="{B9684286-5E34-445D-876A-41789C08CD2C}"/>
    <cellStyle name="Normal 5 3 3 2 2 2" xfId="14927" xr:uid="{1CC3B2D4-668F-4354-AB05-DEB462A40617}"/>
    <cellStyle name="Normal 5 3 3 2 3" xfId="11007" xr:uid="{3AE3572E-F875-4C45-8713-72FB0DA926BD}"/>
    <cellStyle name="Normal 5 3 3 3" xfId="5113" xr:uid="{4252C60B-4D3C-4E6A-BEFD-0D2DE0950080}"/>
    <cellStyle name="Normal 5 3 3 3 2" xfId="12973" xr:uid="{EDFE5E83-3CC7-4258-83F6-190B5D2F9DB1}"/>
    <cellStyle name="Normal 5 3 3 4" xfId="9054" xr:uid="{744A9D3E-D4BC-416A-A83A-9A089ED4272C}"/>
    <cellStyle name="Normal 5 3 4" xfId="1612" xr:uid="{00000000-0005-0000-0000-000096080000}"/>
    <cellStyle name="Normal 5 3 4 2" xfId="3566" xr:uid="{00000000-0005-0000-0000-000097080000}"/>
    <cellStyle name="Normal 5 3 4 2 2" xfId="7487" xr:uid="{2535D432-B149-41E0-88C5-2DCBB0EDB394}"/>
    <cellStyle name="Normal 5 3 4 2 2 2" xfId="15347" xr:uid="{11D7B88D-4F3D-41E7-97C6-663E7DF69A9A}"/>
    <cellStyle name="Normal 5 3 4 2 3" xfId="11427" xr:uid="{B2D3413D-042C-4D80-A4F6-10113D1FC6E3}"/>
    <cellStyle name="Normal 5 3 4 3" xfId="5533" xr:uid="{63936F03-EAFE-4244-ADA9-745F383AC8F6}"/>
    <cellStyle name="Normal 5 3 4 3 2" xfId="13393" xr:uid="{62C690B4-4977-4A88-852B-08DFB3C84F15}"/>
    <cellStyle name="Normal 5 3 4 4" xfId="9474" xr:uid="{378B3C5F-38AE-4F94-8B2A-041C0E46C026}"/>
    <cellStyle name="Normal 5 3 5" xfId="2266" xr:uid="{00000000-0005-0000-0000-000098080000}"/>
    <cellStyle name="Normal 5 3 5 2" xfId="6187" xr:uid="{C603CEB6-A817-41F3-A7E9-DFE8AC54EA7B}"/>
    <cellStyle name="Normal 5 3 5 2 2" xfId="14047" xr:uid="{C8B2D9D2-46DD-4F0D-96FF-5E4F8336443D}"/>
    <cellStyle name="Normal 5 3 5 3" xfId="10127" xr:uid="{88C8E576-5C6F-4607-A1F6-3A64C2C2D4BB}"/>
    <cellStyle name="Normal 5 3 6" xfId="4233" xr:uid="{1E7F4D5C-8E10-44CB-8B84-F54B192AB7FF}"/>
    <cellStyle name="Normal 5 3 6 2" xfId="12093" xr:uid="{7333CA4F-1CC1-44A7-BEB6-15C817586BE9}"/>
    <cellStyle name="Normal 5 3 7" xfId="8172" xr:uid="{1590A0C4-B9BE-46AB-AF04-6FAF107AAB77}"/>
    <cellStyle name="Normal 5 4" xfId="403" xr:uid="{00000000-0005-0000-0000-000099080000}"/>
    <cellStyle name="Normal 5 4 2" xfId="854" xr:uid="{00000000-0005-0000-0000-00009A080000}"/>
    <cellStyle name="Normal 5 4 2 2" xfId="2808" xr:uid="{00000000-0005-0000-0000-00009B080000}"/>
    <cellStyle name="Normal 5 4 2 2 2" xfId="6729" xr:uid="{68BC5FA2-414E-4716-9808-0EC05B37F95F}"/>
    <cellStyle name="Normal 5 4 2 2 2 2" xfId="14589" xr:uid="{9E0C4B87-9CB3-4571-9B2F-F22A36EC72DF}"/>
    <cellStyle name="Normal 5 4 2 2 3" xfId="10669" xr:uid="{06DAE037-A9D4-4327-8C89-F96403EB2424}"/>
    <cellStyle name="Normal 5 4 2 3" xfId="4775" xr:uid="{92178EAB-2EE6-4371-A0E9-74E333C29C46}"/>
    <cellStyle name="Normal 5 4 2 3 2" xfId="12635" xr:uid="{9C12E144-B730-41C0-8161-A566F1AEB5B2}"/>
    <cellStyle name="Normal 5 4 2 4" xfId="8716" xr:uid="{7ED747E8-6FC7-4A64-B7EA-7F5E619C1308}"/>
    <cellStyle name="Normal 5 4 3" xfId="1286" xr:uid="{00000000-0005-0000-0000-00009C080000}"/>
    <cellStyle name="Normal 5 4 3 2" xfId="3240" xr:uid="{00000000-0005-0000-0000-00009D080000}"/>
    <cellStyle name="Normal 5 4 3 2 2" xfId="7161" xr:uid="{D28B3FAC-D542-4AFE-978B-C9261B443098}"/>
    <cellStyle name="Normal 5 4 3 2 2 2" xfId="15021" xr:uid="{E223CB32-333A-4FC7-BB5B-93C08FD5E20B}"/>
    <cellStyle name="Normal 5 4 3 2 3" xfId="11101" xr:uid="{C1B2E6BD-DC66-4CC3-BEC3-44BA47FA7720}"/>
    <cellStyle name="Normal 5 4 3 3" xfId="5207" xr:uid="{2CDF464A-8F40-4364-B062-54A9B7CEEF7D}"/>
    <cellStyle name="Normal 5 4 3 3 2" xfId="13067" xr:uid="{DAD5FF50-663D-46C9-95E0-A585DC5E67C7}"/>
    <cellStyle name="Normal 5 4 3 4" xfId="9148" xr:uid="{30DCE273-6508-4151-8A33-BE5B74F2F148}"/>
    <cellStyle name="Normal 5 4 4" xfId="1704" xr:uid="{00000000-0005-0000-0000-00009E080000}"/>
    <cellStyle name="Normal 5 4 4 2" xfId="3658" xr:uid="{00000000-0005-0000-0000-00009F080000}"/>
    <cellStyle name="Normal 5 4 4 2 2" xfId="7579" xr:uid="{FB09F9FA-F718-418C-8865-1D3F74CB22FD}"/>
    <cellStyle name="Normal 5 4 4 2 2 2" xfId="15439" xr:uid="{BF9ED778-882F-409E-BCD3-13CB91FEC11B}"/>
    <cellStyle name="Normal 5 4 4 2 3" xfId="11519" xr:uid="{03911E0B-FBD0-427C-ACB9-157A8D7E9A0F}"/>
    <cellStyle name="Normal 5 4 4 3" xfId="5625" xr:uid="{E2712FED-226E-4FF1-AC77-6CEB664582AA}"/>
    <cellStyle name="Normal 5 4 4 3 2" xfId="13485" xr:uid="{6BD79D7B-1148-496F-9BC1-4C2E7730F9CF}"/>
    <cellStyle name="Normal 5 4 4 4" xfId="9566" xr:uid="{4BB7E1EC-A178-4830-85AE-F02985DA1352}"/>
    <cellStyle name="Normal 5 4 5" xfId="2358" xr:uid="{00000000-0005-0000-0000-0000A0080000}"/>
    <cellStyle name="Normal 5 4 5 2" xfId="6279" xr:uid="{BDB41221-E264-4128-A1C3-B04403C73835}"/>
    <cellStyle name="Normal 5 4 5 2 2" xfId="14139" xr:uid="{C45EFB80-0D6E-4AAE-8D64-85401DEEF964}"/>
    <cellStyle name="Normal 5 4 5 3" xfId="10219" xr:uid="{F1FB8ECE-84E9-4B49-84EC-1F38F889B4B2}"/>
    <cellStyle name="Normal 5 4 6" xfId="4325" xr:uid="{AFB7EB6C-19F0-4339-82F8-7546D078B576}"/>
    <cellStyle name="Normal 5 4 6 2" xfId="12185" xr:uid="{8AFAEC2F-C911-4CBC-8394-7B956C0A586B}"/>
    <cellStyle name="Normal 5 4 7" xfId="8266" xr:uid="{0607A4D7-2EA5-445C-B66A-78DA4D942939}"/>
    <cellStyle name="Normal 50" xfId="7877" xr:uid="{B481E2A6-0366-43CD-8E18-891A9F847645}"/>
    <cellStyle name="Normal 50 2" xfId="15736" xr:uid="{CB750CAA-A1F0-41BF-937B-3929A17DE2B3}"/>
    <cellStyle name="Normal 51" xfId="15743" xr:uid="{9D5F7B62-AA2C-4D38-996B-A93FFCB32BF2}"/>
    <cellStyle name="Normal 52" xfId="15746" xr:uid="{40A11CE7-7FB4-4CF9-95E4-60D4E6A78FFC}"/>
    <cellStyle name="Normal 53" xfId="15748" xr:uid="{AAB0F01C-8E7C-46D1-97A6-3EB10F12CA2A}"/>
    <cellStyle name="Normal 54" xfId="15750" xr:uid="{8F4E6675-3CC2-4B16-9D77-8C35B25838E4}"/>
    <cellStyle name="Normal 55" xfId="15763" xr:uid="{535F2D73-234E-45AE-AF09-C452C201453A}"/>
    <cellStyle name="Normal 6" xfId="255" xr:uid="{00000000-0005-0000-0000-0000A1080000}"/>
    <cellStyle name="Normal 6 2" xfId="351" xr:uid="{00000000-0005-0000-0000-0000A2080000}"/>
    <cellStyle name="Normal 6 2 2" xfId="448" xr:uid="{00000000-0005-0000-0000-0000A3080000}"/>
    <cellStyle name="Normal 6 2 2 2" xfId="899" xr:uid="{00000000-0005-0000-0000-0000A4080000}"/>
    <cellStyle name="Normal 6 2 2 2 2" xfId="2853" xr:uid="{00000000-0005-0000-0000-0000A5080000}"/>
    <cellStyle name="Normal 6 2 2 2 2 2" xfId="6774" xr:uid="{E577D2B9-154E-4075-8A48-62CDA93A37B5}"/>
    <cellStyle name="Normal 6 2 2 2 2 2 2" xfId="14634" xr:uid="{9421C3CA-FF65-4F2B-92AB-38D6E440FA5B}"/>
    <cellStyle name="Normal 6 2 2 2 2 3" xfId="10714" xr:uid="{D8661985-5286-4124-991B-702A407D7959}"/>
    <cellStyle name="Normal 6 2 2 2 3" xfId="4820" xr:uid="{E0FDEA1B-834A-448A-AC4B-C4A962D704BE}"/>
    <cellStyle name="Normal 6 2 2 2 3 2" xfId="12680" xr:uid="{89FB8045-A8F5-46D2-A440-9CB5E197DB12}"/>
    <cellStyle name="Normal 6 2 2 2 4" xfId="8761" xr:uid="{B8EDA26A-0F1D-41AC-A7F3-9958BE5B92A6}"/>
    <cellStyle name="Normal 6 2 2 3" xfId="1331" xr:uid="{00000000-0005-0000-0000-0000A6080000}"/>
    <cellStyle name="Normal 6 2 2 3 2" xfId="3285" xr:uid="{00000000-0005-0000-0000-0000A7080000}"/>
    <cellStyle name="Normal 6 2 2 3 2 2" xfId="7206" xr:uid="{9C6A662D-1473-4DFF-B4E4-9312BC77733E}"/>
    <cellStyle name="Normal 6 2 2 3 2 2 2" xfId="15066" xr:uid="{44FD7FE5-8BD7-40A2-99AB-03F166F8CAD2}"/>
    <cellStyle name="Normal 6 2 2 3 2 3" xfId="11146" xr:uid="{E4998B1B-377B-453E-A1FB-EABF440A863C}"/>
    <cellStyle name="Normal 6 2 2 3 3" xfId="5252" xr:uid="{FBDE6D04-3276-4E01-8F1F-8951805E0A67}"/>
    <cellStyle name="Normal 6 2 2 3 3 2" xfId="13112" xr:uid="{99B4666D-8D0A-4CFC-A8F9-B8EDE10EBB7F}"/>
    <cellStyle name="Normal 6 2 2 3 4" xfId="9193" xr:uid="{97FFF21B-E67A-4523-B2CD-7277CC517249}"/>
    <cellStyle name="Normal 6 2 2 4" xfId="1749" xr:uid="{00000000-0005-0000-0000-0000A8080000}"/>
    <cellStyle name="Normal 6 2 2 4 2" xfId="3703" xr:uid="{00000000-0005-0000-0000-0000A9080000}"/>
    <cellStyle name="Normal 6 2 2 4 2 2" xfId="7624" xr:uid="{393DF422-A61C-4368-A102-305AEB9EE88F}"/>
    <cellStyle name="Normal 6 2 2 4 2 2 2" xfId="15484" xr:uid="{8C196C27-C25A-4F04-8023-A3F91D33A179}"/>
    <cellStyle name="Normal 6 2 2 4 2 3" xfId="11564" xr:uid="{C1E2FEC9-69EA-4F38-A024-BD820D08485E}"/>
    <cellStyle name="Normal 6 2 2 4 3" xfId="5670" xr:uid="{69D623E8-E2B2-4686-A34F-1CC319C420A7}"/>
    <cellStyle name="Normal 6 2 2 4 3 2" xfId="13530" xr:uid="{2D58DA89-D497-45D7-9AF5-66D5FAE7D8AA}"/>
    <cellStyle name="Normal 6 2 2 4 4" xfId="9611" xr:uid="{357E25FC-1A83-4074-A985-DD0ABC793A4E}"/>
    <cellStyle name="Normal 6 2 2 5" xfId="2403" xr:uid="{00000000-0005-0000-0000-0000AA080000}"/>
    <cellStyle name="Normal 6 2 2 5 2" xfId="6324" xr:uid="{7C654B67-6659-4690-9958-04D48C7A99BA}"/>
    <cellStyle name="Normal 6 2 2 5 2 2" xfId="14184" xr:uid="{37F92387-5B47-4E13-A920-EB041705B60F}"/>
    <cellStyle name="Normal 6 2 2 5 3" xfId="10264" xr:uid="{C2FEB235-876D-44C5-BCDF-DAB71112ECD4}"/>
    <cellStyle name="Normal 6 2 2 6" xfId="4370" xr:uid="{AB4963A0-04EB-4B8D-9E01-57480AF566F2}"/>
    <cellStyle name="Normal 6 2 2 6 2" xfId="12230" xr:uid="{28FEFC05-988D-4622-9CA4-2162BA31AC89}"/>
    <cellStyle name="Normal 6 2 2 7" xfId="8311" xr:uid="{4B6F5C9E-DBDB-4040-B5DE-FD6BE07D573F}"/>
    <cellStyle name="Normal 6 2 3" xfId="803" xr:uid="{00000000-0005-0000-0000-0000AB080000}"/>
    <cellStyle name="Normal 6 2 3 2" xfId="2757" xr:uid="{00000000-0005-0000-0000-0000AC080000}"/>
    <cellStyle name="Normal 6 2 3 2 2" xfId="6678" xr:uid="{F11B9AE6-C193-4899-B2AC-24C81D8AF6E3}"/>
    <cellStyle name="Normal 6 2 3 2 2 2" xfId="14538" xr:uid="{B9EC6464-2F1E-4508-AC1B-DA00A588C904}"/>
    <cellStyle name="Normal 6 2 3 2 3" xfId="10618" xr:uid="{821BA4FD-204D-4F04-B27B-38C0B65833CB}"/>
    <cellStyle name="Normal 6 2 3 3" xfId="4724" xr:uid="{10737B4E-E70A-425A-BAF6-E6AF38B0AD85}"/>
    <cellStyle name="Normal 6 2 3 3 2" xfId="12584" xr:uid="{C33349E8-5A37-47AF-8901-2E42CB1F332C}"/>
    <cellStyle name="Normal 6 2 3 4" xfId="8665" xr:uid="{B00AD2EE-D308-41C8-819F-B0847D6AB76C}"/>
    <cellStyle name="Normal 6 2 4" xfId="1237" xr:uid="{00000000-0005-0000-0000-0000AD080000}"/>
    <cellStyle name="Normal 6 2 4 2" xfId="3191" xr:uid="{00000000-0005-0000-0000-0000AE080000}"/>
    <cellStyle name="Normal 6 2 4 2 2" xfId="7112" xr:uid="{5F887002-9001-4FFB-AFC2-3320064D002E}"/>
    <cellStyle name="Normal 6 2 4 2 2 2" xfId="14972" xr:uid="{13C3CA7D-AB5F-4CC0-AE64-3D9430E62864}"/>
    <cellStyle name="Normal 6 2 4 2 3" xfId="11052" xr:uid="{FEA8428C-E02B-407E-9E2E-F74F1FEC4A27}"/>
    <cellStyle name="Normal 6 2 4 3" xfId="5158" xr:uid="{12F97EE8-758F-4278-BBFF-F170F4E80200}"/>
    <cellStyle name="Normal 6 2 4 3 2" xfId="13018" xr:uid="{1EF2C452-95BB-4218-A145-3E2094C4855C}"/>
    <cellStyle name="Normal 6 2 4 4" xfId="9099" xr:uid="{309B37EF-F454-40CB-93C8-170E3275FF45}"/>
    <cellStyle name="Normal 6 2 5" xfId="1657" xr:uid="{00000000-0005-0000-0000-0000AF080000}"/>
    <cellStyle name="Normal 6 2 5 2" xfId="3611" xr:uid="{00000000-0005-0000-0000-0000B0080000}"/>
    <cellStyle name="Normal 6 2 5 2 2" xfId="7532" xr:uid="{AE3F6B9C-22E4-4A64-B79A-D15825C2E511}"/>
    <cellStyle name="Normal 6 2 5 2 2 2" xfId="15392" xr:uid="{1CBAAE98-397D-4075-8A93-1BBC5CF176A8}"/>
    <cellStyle name="Normal 6 2 5 2 3" xfId="11472" xr:uid="{61EB6E50-62EE-4DE2-B281-8125DCF6A40F}"/>
    <cellStyle name="Normal 6 2 5 3" xfId="5578" xr:uid="{253F6AF4-15F1-4E7B-838F-128F0CF9CC18}"/>
    <cellStyle name="Normal 6 2 5 3 2" xfId="13438" xr:uid="{248A8FCA-7E30-497B-9A75-C0175B135DC0}"/>
    <cellStyle name="Normal 6 2 5 4" xfId="9519" xr:uid="{E069EA2A-1209-48EB-A9AC-62A15F25A4AA}"/>
    <cellStyle name="Normal 6 2 6" xfId="2311" xr:uid="{00000000-0005-0000-0000-0000B1080000}"/>
    <cellStyle name="Normal 6 2 6 2" xfId="6232" xr:uid="{23BA6D6D-A6DD-4C54-9006-1FBC7207C33F}"/>
    <cellStyle name="Normal 6 2 6 2 2" xfId="14092" xr:uid="{09B1F7CC-E413-4B2F-8111-27986961822C}"/>
    <cellStyle name="Normal 6 2 6 3" xfId="10172" xr:uid="{00593041-C837-4072-B9AD-E2FF13E75C0F}"/>
    <cellStyle name="Normal 6 2 7" xfId="4278" xr:uid="{AF13ED3B-D282-4B8D-A83A-3884624D810C}"/>
    <cellStyle name="Normal 6 2 7 2" xfId="12138" xr:uid="{B3DA5FB1-8CCF-47D0-AE6C-204BCB746341}"/>
    <cellStyle name="Normal 6 2 8" xfId="8217" xr:uid="{E0BD0D87-1FC0-487C-9D4D-B0001B974E66}"/>
    <cellStyle name="Normal 6 3" xfId="305" xr:uid="{00000000-0005-0000-0000-0000B2080000}"/>
    <cellStyle name="Normal 6 3 2" xfId="757" xr:uid="{00000000-0005-0000-0000-0000B3080000}"/>
    <cellStyle name="Normal 6 3 2 2" xfId="2711" xr:uid="{00000000-0005-0000-0000-0000B4080000}"/>
    <cellStyle name="Normal 6 3 2 2 2" xfId="6632" xr:uid="{21CF9AD7-E2C7-459E-A03A-624FB1EF95CA}"/>
    <cellStyle name="Normal 6 3 2 2 2 2" xfId="14492" xr:uid="{00F56F57-2BEA-483E-8765-F908D2BDF749}"/>
    <cellStyle name="Normal 6 3 2 2 3" xfId="10572" xr:uid="{838327C9-5116-46F8-8461-67D555549EC4}"/>
    <cellStyle name="Normal 6 3 2 3" xfId="4678" xr:uid="{E4F2D579-8F61-4514-A482-9B55CF25409C}"/>
    <cellStyle name="Normal 6 3 2 3 2" xfId="12538" xr:uid="{ED4128DF-D3D6-4CAF-821D-D4358E85BC83}"/>
    <cellStyle name="Normal 6 3 2 4" xfId="8619" xr:uid="{01E4479B-BF86-4017-839E-6208E8B3D21C}"/>
    <cellStyle name="Normal 6 3 3" xfId="1193" xr:uid="{00000000-0005-0000-0000-0000B5080000}"/>
    <cellStyle name="Normal 6 3 3 2" xfId="3147" xr:uid="{00000000-0005-0000-0000-0000B6080000}"/>
    <cellStyle name="Normal 6 3 3 2 2" xfId="7068" xr:uid="{FFB65EB5-C520-47D4-BDC6-5E882FA452A4}"/>
    <cellStyle name="Normal 6 3 3 2 2 2" xfId="14928" xr:uid="{76A7B0B0-C229-48F4-9761-10CB589B9990}"/>
    <cellStyle name="Normal 6 3 3 2 3" xfId="11008" xr:uid="{24A8A183-FDEF-43EF-A6EF-DA0B3B933FBB}"/>
    <cellStyle name="Normal 6 3 3 3" xfId="5114" xr:uid="{2AB656A0-3572-4189-A215-536F613D038A}"/>
    <cellStyle name="Normal 6 3 3 3 2" xfId="12974" xr:uid="{8FE4C55D-1FD4-4994-84D3-96AB1296D943}"/>
    <cellStyle name="Normal 6 3 3 4" xfId="9055" xr:uid="{22920C3F-9C74-4D52-AF7E-D232F64488B9}"/>
    <cellStyle name="Normal 6 3 4" xfId="1613" xr:uid="{00000000-0005-0000-0000-0000B7080000}"/>
    <cellStyle name="Normal 6 3 4 2" xfId="3567" xr:uid="{00000000-0005-0000-0000-0000B8080000}"/>
    <cellStyle name="Normal 6 3 4 2 2" xfId="7488" xr:uid="{C1316AF2-0CA2-46C9-A413-E3EEA9C87C17}"/>
    <cellStyle name="Normal 6 3 4 2 2 2" xfId="15348" xr:uid="{9A5EA360-C92B-4D11-A9A1-AE03F6B009DD}"/>
    <cellStyle name="Normal 6 3 4 2 3" xfId="11428" xr:uid="{B642366C-5524-4266-ADC1-615FCC0F9862}"/>
    <cellStyle name="Normal 6 3 4 3" xfId="5534" xr:uid="{1C798CE3-2B44-4319-8D6C-B79241FA28F8}"/>
    <cellStyle name="Normal 6 3 4 3 2" xfId="13394" xr:uid="{304C69B9-6A7C-4947-98AB-9ADC7329006A}"/>
    <cellStyle name="Normal 6 3 4 4" xfId="9475" xr:uid="{5D30EAE1-663C-456B-944A-4C3189FF1179}"/>
    <cellStyle name="Normal 6 3 5" xfId="2267" xr:uid="{00000000-0005-0000-0000-0000B9080000}"/>
    <cellStyle name="Normal 6 3 5 2" xfId="6188" xr:uid="{2EBF5767-0D71-46B8-AAEB-211E2298CD6C}"/>
    <cellStyle name="Normal 6 3 5 2 2" xfId="14048" xr:uid="{0F1E44B7-1A8E-4967-BCA1-2161C354F7EF}"/>
    <cellStyle name="Normal 6 3 5 3" xfId="10128" xr:uid="{FB0ADD45-8028-4434-8403-932E96841732}"/>
    <cellStyle name="Normal 6 3 6" xfId="4234" xr:uid="{A01E1031-49DD-4BC7-AB0F-B2989A475690}"/>
    <cellStyle name="Normal 6 3 6 2" xfId="12094" xr:uid="{61D6D33E-E8C2-422A-93BC-33AF78020D94}"/>
    <cellStyle name="Normal 6 3 7" xfId="8173" xr:uid="{05F1286B-E25B-4550-9BDD-DCB83180943C}"/>
    <cellStyle name="Normal 6 4" xfId="404" xr:uid="{00000000-0005-0000-0000-0000BA080000}"/>
    <cellStyle name="Normal 6 4 2" xfId="15" xr:uid="{00000000-0005-0000-0000-0000BB080000}"/>
    <cellStyle name="Normal 6 4 2 10" xfId="463" xr:uid="{00000000-0005-0000-0000-0000BC080000}"/>
    <cellStyle name="Normal 6 4 2 10 2" xfId="2417" xr:uid="{00000000-0005-0000-0000-0000BD080000}"/>
    <cellStyle name="Normal 6 4 2 10 2 2" xfId="6338" xr:uid="{A5C93D0E-937F-4632-BD1B-F789BFA96137}"/>
    <cellStyle name="Normal 6 4 2 10 2 2 2" xfId="14198" xr:uid="{C5FB9316-9A23-4954-B2C5-B17F2F831DB0}"/>
    <cellStyle name="Normal 6 4 2 10 2 3" xfId="10278" xr:uid="{A3272705-06C2-4C0F-B76D-A6FA78805D49}"/>
    <cellStyle name="Normal 6 4 2 10 3" xfId="4384" xr:uid="{F0D0CD18-6FCF-404B-A0AF-D7EC437414C1}"/>
    <cellStyle name="Normal 6 4 2 10 3 2" xfId="12244" xr:uid="{B9BBAEBC-A624-4FC5-9F28-CCF8A4FAE566}"/>
    <cellStyle name="Normal 6 4 2 10 4" xfId="8325" xr:uid="{B939BA03-AD32-4BA3-90EC-797CC582E58D}"/>
    <cellStyle name="Normal 6 4 2 11" xfId="923" xr:uid="{00000000-0005-0000-0000-0000BE080000}"/>
    <cellStyle name="Normal 6 4 2 11 2" xfId="2877" xr:uid="{00000000-0005-0000-0000-0000BF080000}"/>
    <cellStyle name="Normal 6 4 2 11 2 2" xfId="6798" xr:uid="{3EF869A6-1F77-4CF6-92D7-B407C84DF35F}"/>
    <cellStyle name="Normal 6 4 2 11 2 2 2" xfId="14658" xr:uid="{524743E0-0A39-42D1-8758-093E3C261A73}"/>
    <cellStyle name="Normal 6 4 2 11 2 3" xfId="10738" xr:uid="{113DC01B-6220-478B-8C9D-F7BBA3945220}"/>
    <cellStyle name="Normal 6 4 2 11 3" xfId="4844" xr:uid="{03A2CDF1-11A8-4FCF-84B7-71C74D1D5EDC}"/>
    <cellStyle name="Normal 6 4 2 11 3 2" xfId="12704" xr:uid="{943E3B80-BEA8-46B6-9BC4-2729B6246715}"/>
    <cellStyle name="Normal 6 4 2 11 4" xfId="8785" xr:uid="{9FA2E5C3-B7C0-46F4-93F1-61B80AD8246D}"/>
    <cellStyle name="Normal 6 4 2 12" xfId="1986" xr:uid="{00000000-0005-0000-0000-0000C0080000}"/>
    <cellStyle name="Normal 6 4 2 12 2" xfId="5907" xr:uid="{B5C14F9A-C868-4C0E-9331-B52A21B0227C}"/>
    <cellStyle name="Normal 6 4 2 12 2 2" xfId="13767" xr:uid="{334A7C12-F77D-4B5A-B364-E78A61F73F3E}"/>
    <cellStyle name="Normal 6 4 2 12 3" xfId="9847" xr:uid="{E3E1F23C-EBD4-4726-ADBB-CD74A3002183}"/>
    <cellStyle name="Normal 6 4 2 13" xfId="3953" xr:uid="{4E682E75-2831-42B7-8994-C2136BDEE6D7}"/>
    <cellStyle name="Normal 6 4 2 13 2" xfId="11813" xr:uid="{E487095C-818B-479C-92FC-0921E2FD6387}"/>
    <cellStyle name="Normal 6 4 2 14" xfId="7890" xr:uid="{21118744-5119-4037-9803-2782F41DC386}"/>
    <cellStyle name="Normal 6 4 2 2" xfId="26" xr:uid="{00000000-0005-0000-0000-0000C1080000}"/>
    <cellStyle name="Normal 6 4 2 2 10" xfId="1997" xr:uid="{00000000-0005-0000-0000-0000C2080000}"/>
    <cellStyle name="Normal 6 4 2 2 10 2" xfId="5918" xr:uid="{33CFBA3E-5F28-46CA-9E4E-26B3A7D4E964}"/>
    <cellStyle name="Normal 6 4 2 2 10 2 2" xfId="13778" xr:uid="{492F546C-EF2A-4E22-844C-2A977BB67262}"/>
    <cellStyle name="Normal 6 4 2 2 10 3" xfId="9858" xr:uid="{567A3211-F48E-48EF-BD87-B53893BB1BAD}"/>
    <cellStyle name="Normal 6 4 2 2 11" xfId="3964" xr:uid="{3A533464-C47A-41AB-AA0E-0331080F8A72}"/>
    <cellStyle name="Normal 6 4 2 2 11 2" xfId="11824" xr:uid="{B82FA34F-C3E3-4EBA-9B1F-6AA581447924}"/>
    <cellStyle name="Normal 6 4 2 2 12" xfId="7901" xr:uid="{4D4B5CB8-DBB3-4F41-8116-BB93000B5014}"/>
    <cellStyle name="Normal 6 4 2 2 2" xfId="68" xr:uid="{00000000-0005-0000-0000-0000C3080000}"/>
    <cellStyle name="Normal 6 4 2 2 2 10" xfId="4004" xr:uid="{4614C295-643F-42FA-8EAA-17FB0AED4FD5}"/>
    <cellStyle name="Normal 6 4 2 2 2 10 2" xfId="11864" xr:uid="{6BB8FF48-8C23-4758-99C6-E9E657C2F38B}"/>
    <cellStyle name="Normal 6 4 2 2 2 11" xfId="7942" xr:uid="{18134306-06B1-416A-AB6A-9F8483D14D5B}"/>
    <cellStyle name="Normal 6 4 2 2 2 2" xfId="224" xr:uid="{00000000-0005-0000-0000-0000C4080000}"/>
    <cellStyle name="Normal 6 4 2 2 2 2 2" xfId="676" xr:uid="{00000000-0005-0000-0000-0000C5080000}"/>
    <cellStyle name="Normal 6 4 2 2 2 2 2 2" xfId="2630" xr:uid="{00000000-0005-0000-0000-0000C6080000}"/>
    <cellStyle name="Normal 6 4 2 2 2 2 2 2 2" xfId="6551" xr:uid="{B9EEAAD3-A29A-4C09-9CDD-6EC665852727}"/>
    <cellStyle name="Normal 6 4 2 2 2 2 2 2 2 2" xfId="14411" xr:uid="{4424699E-D300-4B52-8403-D522BA1E742C}"/>
    <cellStyle name="Normal 6 4 2 2 2 2 2 2 3" xfId="10491" xr:uid="{EFC8E6EA-45B9-43E7-BA0C-1267041E6588}"/>
    <cellStyle name="Normal 6 4 2 2 2 2 2 3" xfId="4597" xr:uid="{3C6466F9-9C67-40B7-A717-E7FAAC301D41}"/>
    <cellStyle name="Normal 6 4 2 2 2 2 2 3 2" xfId="12457" xr:uid="{AD860304-E00F-4B49-8DBC-9C1C853B8FAB}"/>
    <cellStyle name="Normal 6 4 2 2 2 2 2 4" xfId="8538" xr:uid="{C26555DF-5687-4437-A8E4-A0C378C4AE13}"/>
    <cellStyle name="Normal 6 4 2 2 2 2 3" xfId="1113" xr:uid="{00000000-0005-0000-0000-0000C7080000}"/>
    <cellStyle name="Normal 6 4 2 2 2 2 3 2" xfId="3067" xr:uid="{00000000-0005-0000-0000-0000C8080000}"/>
    <cellStyle name="Normal 6 4 2 2 2 2 3 2 2" xfId="6988" xr:uid="{EF80BB9A-B17A-426C-8059-4DE236BA4525}"/>
    <cellStyle name="Normal 6 4 2 2 2 2 3 2 2 2" xfId="14848" xr:uid="{E9464CFB-D677-42DB-8CFB-00BEEA0ADE95}"/>
    <cellStyle name="Normal 6 4 2 2 2 2 3 2 3" xfId="10928" xr:uid="{81E8C972-81D7-4A59-B299-82573AED9AEC}"/>
    <cellStyle name="Normal 6 4 2 2 2 2 3 3" xfId="5034" xr:uid="{84DBD6B3-0E50-4A42-BFE1-2BC536B5C516}"/>
    <cellStyle name="Normal 6 4 2 2 2 2 3 3 2" xfId="12894" xr:uid="{5F9B490F-37A5-49A6-8487-12D7D8F0B24E}"/>
    <cellStyle name="Normal 6 4 2 2 2 2 3 4" xfId="8975" xr:uid="{1F9B8E22-A9CE-4F74-964F-48284BEE1FEE}"/>
    <cellStyle name="Normal 6 4 2 2 2 2 4" xfId="1540" xr:uid="{00000000-0005-0000-0000-0000C9080000}"/>
    <cellStyle name="Normal 6 4 2 2 2 2 4 2" xfId="3494" xr:uid="{00000000-0005-0000-0000-0000CA080000}"/>
    <cellStyle name="Normal 6 4 2 2 2 2 4 2 2" xfId="7415" xr:uid="{2A6DA08B-94BD-4436-B8B2-8A489ECCC6DA}"/>
    <cellStyle name="Normal 6 4 2 2 2 2 4 2 2 2" xfId="15275" xr:uid="{26099078-E051-4A8C-B0FA-E9479899AA48}"/>
    <cellStyle name="Normal 6 4 2 2 2 2 4 2 3" xfId="11355" xr:uid="{7CB6CC74-49BA-4519-A239-1A92710F7EBE}"/>
    <cellStyle name="Normal 6 4 2 2 2 2 4 3" xfId="5461" xr:uid="{0DE25612-E830-4775-8055-83FCD54B9AA7}"/>
    <cellStyle name="Normal 6 4 2 2 2 2 4 3 2" xfId="13321" xr:uid="{83D267A6-BA53-4EF2-BA77-0AEC7539747C}"/>
    <cellStyle name="Normal 6 4 2 2 2 2 4 4" xfId="9402" xr:uid="{D4C4E971-8CBA-46E1-ABE9-F0C2733C554F}"/>
    <cellStyle name="Normal 6 4 2 2 2 2 5" xfId="2193" xr:uid="{00000000-0005-0000-0000-0000CB080000}"/>
    <cellStyle name="Normal 6 4 2 2 2 2 5 2" xfId="6114" xr:uid="{FE5A1218-901C-4E21-BA51-E6C29819FCD0}"/>
    <cellStyle name="Normal 6 4 2 2 2 2 5 2 2" xfId="13974" xr:uid="{623E8F46-A309-4436-8BE2-EB3ECF9FF490}"/>
    <cellStyle name="Normal 6 4 2 2 2 2 5 3" xfId="10054" xr:uid="{050F31FF-248B-4019-B3FD-0B6574BB6DD9}"/>
    <cellStyle name="Normal 6 4 2 2 2 2 6" xfId="4160" xr:uid="{0DF51C35-7973-4325-9428-68BF3B3DFCA3}"/>
    <cellStyle name="Normal 6 4 2 2 2 2 6 2" xfId="12020" xr:uid="{B16D813B-18DF-4793-9CCC-A7BEC15B3758}"/>
    <cellStyle name="Normal 6 4 2 2 2 2 7" xfId="8098" xr:uid="{D10E08B9-9C3D-42CB-A07E-18F99013824F}"/>
    <cellStyle name="Normal 6 4 2 2 2 3" xfId="146" xr:uid="{00000000-0005-0000-0000-0000CC080000}"/>
    <cellStyle name="Normal 6 4 2 2 2 3 2" xfId="598" xr:uid="{00000000-0005-0000-0000-0000CD080000}"/>
    <cellStyle name="Normal 6 4 2 2 2 3 2 2" xfId="2552" xr:uid="{00000000-0005-0000-0000-0000CE080000}"/>
    <cellStyle name="Normal 6 4 2 2 2 3 2 2 2" xfId="6473" xr:uid="{0C4D9467-A8CC-4436-89FA-84B229663D38}"/>
    <cellStyle name="Normal 6 4 2 2 2 3 2 2 2 2" xfId="14333" xr:uid="{353250BC-0FE1-47AD-836C-31EDDF403D58}"/>
    <cellStyle name="Normal 6 4 2 2 2 3 2 2 3" xfId="10413" xr:uid="{953E657E-379A-4BD3-9932-2B69F8D33ED6}"/>
    <cellStyle name="Normal 6 4 2 2 2 3 2 3" xfId="4519" xr:uid="{FCFEBECF-B6F7-4CF1-8E2E-9EEDB17C2D17}"/>
    <cellStyle name="Normal 6 4 2 2 2 3 2 3 2" xfId="12379" xr:uid="{F2EAF4D1-8735-4E4E-8592-7C7876345C4A}"/>
    <cellStyle name="Normal 6 4 2 2 2 3 2 4" xfId="8460" xr:uid="{ED80525D-D984-45A9-BEED-0A93C5B8B5BE}"/>
    <cellStyle name="Normal 6 4 2 2 2 3 3" xfId="1035" xr:uid="{00000000-0005-0000-0000-0000CF080000}"/>
    <cellStyle name="Normal 6 4 2 2 2 3 3 2" xfId="2989" xr:uid="{00000000-0005-0000-0000-0000D0080000}"/>
    <cellStyle name="Normal 6 4 2 2 2 3 3 2 2" xfId="6910" xr:uid="{8A211E48-1415-49C8-8A62-97C2F872CFD0}"/>
    <cellStyle name="Normal 6 4 2 2 2 3 3 2 2 2" xfId="14770" xr:uid="{57E79D5A-8ABF-4553-A854-C443F29D7C72}"/>
    <cellStyle name="Normal 6 4 2 2 2 3 3 2 3" xfId="10850" xr:uid="{3847ECBE-F1BA-4D96-B541-C28F9A3276A6}"/>
    <cellStyle name="Normal 6 4 2 2 2 3 3 3" xfId="4956" xr:uid="{B994F6D4-CC5F-496A-93F2-280587FA0BB6}"/>
    <cellStyle name="Normal 6 4 2 2 2 3 3 3 2" xfId="12816" xr:uid="{7827AB87-A3DD-4AAB-BD89-BB55D51CFD1E}"/>
    <cellStyle name="Normal 6 4 2 2 2 3 3 4" xfId="8897" xr:uid="{F92EE8E2-8604-4FC5-ACEB-BE712DD81458}"/>
    <cellStyle name="Normal 6 4 2 2 2 3 4" xfId="1462" xr:uid="{00000000-0005-0000-0000-0000D1080000}"/>
    <cellStyle name="Normal 6 4 2 2 2 3 4 2" xfId="3416" xr:uid="{00000000-0005-0000-0000-0000D2080000}"/>
    <cellStyle name="Normal 6 4 2 2 2 3 4 2 2" xfId="7337" xr:uid="{B548BA4B-000B-441E-A79E-AD856EDF2506}"/>
    <cellStyle name="Normal 6 4 2 2 2 3 4 2 2 2" xfId="15197" xr:uid="{5B0B471F-9AE8-48A0-BCCF-5E7C07609B6F}"/>
    <cellStyle name="Normal 6 4 2 2 2 3 4 2 3" xfId="11277" xr:uid="{A51A970F-3062-49E5-A934-2EFB309513DF}"/>
    <cellStyle name="Normal 6 4 2 2 2 3 4 3" xfId="5383" xr:uid="{C2E3EE89-68B4-40C3-AFCA-9534F09FC9A5}"/>
    <cellStyle name="Normal 6 4 2 2 2 3 4 3 2" xfId="13243" xr:uid="{62BF831B-1E44-4D41-A570-EA0CBE164801}"/>
    <cellStyle name="Normal 6 4 2 2 2 3 4 4" xfId="9324" xr:uid="{7F6FFD38-4230-4E33-949A-50E1CBAFA1FF}"/>
    <cellStyle name="Normal 6 4 2 2 2 3 5" xfId="2115" xr:uid="{00000000-0005-0000-0000-0000D3080000}"/>
    <cellStyle name="Normal 6 4 2 2 2 3 5 2" xfId="6036" xr:uid="{52D49870-3065-4AAB-A682-C6E316A4CCCD}"/>
    <cellStyle name="Normal 6 4 2 2 2 3 5 2 2" xfId="13896" xr:uid="{2BFC0119-DE3F-496A-B4FD-965B8DD04B20}"/>
    <cellStyle name="Normal 6 4 2 2 2 3 5 3" xfId="9976" xr:uid="{769223D0-E5AB-4991-9D69-FD63292864F6}"/>
    <cellStyle name="Normal 6 4 2 2 2 3 6" xfId="4082" xr:uid="{1A891B7A-2230-424C-9FDA-67AD5D200164}"/>
    <cellStyle name="Normal 6 4 2 2 2 3 6 2" xfId="11942" xr:uid="{2E41612F-6161-442D-9D06-7CEEB4553E25}"/>
    <cellStyle name="Normal 6 4 2 2 2 3 7" xfId="8020" xr:uid="{EA4B26BD-0FE3-4195-81C5-A3DDC2050773}"/>
    <cellStyle name="Normal 6 4 2 2 2 4" xfId="330" xr:uid="{00000000-0005-0000-0000-0000D4080000}"/>
    <cellStyle name="Normal 6 4 2 2 2 4 2" xfId="782" xr:uid="{00000000-0005-0000-0000-0000D5080000}"/>
    <cellStyle name="Normal 6 4 2 2 2 4 2 2" xfId="2736" xr:uid="{00000000-0005-0000-0000-0000D6080000}"/>
    <cellStyle name="Normal 6 4 2 2 2 4 2 2 2" xfId="6657" xr:uid="{3DE94D43-E691-436B-A959-B58658C95F88}"/>
    <cellStyle name="Normal 6 4 2 2 2 4 2 2 2 2" xfId="14517" xr:uid="{02F586D8-1DAB-4097-B235-B8E2B0527A72}"/>
    <cellStyle name="Normal 6 4 2 2 2 4 2 2 3" xfId="10597" xr:uid="{073BB148-A607-4220-861B-0157D0978BDC}"/>
    <cellStyle name="Normal 6 4 2 2 2 4 2 3" xfId="4703" xr:uid="{C31C3C6A-8ADD-4A37-9812-D39D62802291}"/>
    <cellStyle name="Normal 6 4 2 2 2 4 2 3 2" xfId="12563" xr:uid="{F3BA06BA-980A-4A8A-8EF7-3A7136FE4982}"/>
    <cellStyle name="Normal 6 4 2 2 2 4 2 4" xfId="8644" xr:uid="{395D3D57-FA1E-4B49-8DA0-5F4CA19B0763}"/>
    <cellStyle name="Normal 6 4 2 2 2 4 3" xfId="1217" xr:uid="{00000000-0005-0000-0000-0000D7080000}"/>
    <cellStyle name="Normal 6 4 2 2 2 4 3 2" xfId="3171" xr:uid="{00000000-0005-0000-0000-0000D8080000}"/>
    <cellStyle name="Normal 6 4 2 2 2 4 3 2 2" xfId="7092" xr:uid="{712C3BB1-3FE1-42F9-A3B3-D500AB167F37}"/>
    <cellStyle name="Normal 6 4 2 2 2 4 3 2 2 2" xfId="14952" xr:uid="{9113DD27-3B84-4015-ACCC-4CA52B441D2F}"/>
    <cellStyle name="Normal 6 4 2 2 2 4 3 2 3" xfId="11032" xr:uid="{CC826343-563C-4CA8-BAED-C7AE192281D7}"/>
    <cellStyle name="Normal 6 4 2 2 2 4 3 3" xfId="5138" xr:uid="{49BBA850-6D77-4065-9B07-0EA06E56B2E1}"/>
    <cellStyle name="Normal 6 4 2 2 2 4 3 3 2" xfId="12998" xr:uid="{32409493-E03D-4F10-A20D-FF412AF65D6D}"/>
    <cellStyle name="Normal 6 4 2 2 2 4 3 4" xfId="9079" xr:uid="{20ADB06A-7EAD-4471-A190-2A4B11ADA79D}"/>
    <cellStyle name="Normal 6 4 2 2 2 4 4" xfId="1637" xr:uid="{00000000-0005-0000-0000-0000D9080000}"/>
    <cellStyle name="Normal 6 4 2 2 2 4 4 2" xfId="3591" xr:uid="{00000000-0005-0000-0000-0000DA080000}"/>
    <cellStyle name="Normal 6 4 2 2 2 4 4 2 2" xfId="7512" xr:uid="{18A5D599-4F2A-4F56-B418-5EFE5C39D698}"/>
    <cellStyle name="Normal 6 4 2 2 2 4 4 2 2 2" xfId="15372" xr:uid="{4778046B-CD6F-42F7-9912-8FEB661A6D21}"/>
    <cellStyle name="Normal 6 4 2 2 2 4 4 2 3" xfId="11452" xr:uid="{B53C44C9-5F80-4F50-A2E2-A786E03F71D6}"/>
    <cellStyle name="Normal 6 4 2 2 2 4 4 3" xfId="5558" xr:uid="{DE06BC30-78DA-40A5-9C77-76492DC1C837}"/>
    <cellStyle name="Normal 6 4 2 2 2 4 4 3 2" xfId="13418" xr:uid="{E8C2FA6A-B712-4EE4-B6F3-0B737FD361D8}"/>
    <cellStyle name="Normal 6 4 2 2 2 4 4 4" xfId="9499" xr:uid="{70BEFCC1-C473-4397-9E35-76E5E44EABAD}"/>
    <cellStyle name="Normal 6 4 2 2 2 4 5" xfId="2291" xr:uid="{00000000-0005-0000-0000-0000DB080000}"/>
    <cellStyle name="Normal 6 4 2 2 2 4 5 2" xfId="6212" xr:uid="{7718E5F3-728D-4C73-84E3-74A613427A1C}"/>
    <cellStyle name="Normal 6 4 2 2 2 4 5 2 2" xfId="14072" xr:uid="{CAEE9003-3652-4243-9A45-6D32C74BD65E}"/>
    <cellStyle name="Normal 6 4 2 2 2 4 5 3" xfId="10152" xr:uid="{3148DDD8-3277-4CBE-8299-2A6918638117}"/>
    <cellStyle name="Normal 6 4 2 2 2 4 6" xfId="4258" xr:uid="{8BF821D1-4F02-474E-82FC-AB13C06FBF44}"/>
    <cellStyle name="Normal 6 4 2 2 2 4 6 2" xfId="12118" xr:uid="{67919686-0DA6-47E6-8D7B-AFA4DF1C39CD}"/>
    <cellStyle name="Normal 6 4 2 2 2 4 7" xfId="8197" xr:uid="{CF4B9CFD-E306-4684-9B19-6973C7E91E2B}"/>
    <cellStyle name="Normal 6 4 2 2 2 5" xfId="428" xr:uid="{00000000-0005-0000-0000-0000DC080000}"/>
    <cellStyle name="Normal 6 4 2 2 2 5 2" xfId="879" xr:uid="{00000000-0005-0000-0000-0000DD080000}"/>
    <cellStyle name="Normal 6 4 2 2 2 5 2 2" xfId="2833" xr:uid="{00000000-0005-0000-0000-0000DE080000}"/>
    <cellStyle name="Normal 6 4 2 2 2 5 2 2 2" xfId="6754" xr:uid="{4DF0E99F-C677-4C7E-B673-0799030A3674}"/>
    <cellStyle name="Normal 6 4 2 2 2 5 2 2 2 2" xfId="14614" xr:uid="{89115C66-CC4F-4DCC-A1BF-4D398F8AE0C8}"/>
    <cellStyle name="Normal 6 4 2 2 2 5 2 2 3" xfId="10694" xr:uid="{E0EC5321-5877-44C4-841D-94CCBD090516}"/>
    <cellStyle name="Normal 6 4 2 2 2 5 2 3" xfId="4800" xr:uid="{0C518E2A-1ED8-43F5-AAB9-61283639C0B8}"/>
    <cellStyle name="Normal 6 4 2 2 2 5 2 3 2" xfId="12660" xr:uid="{5A37364B-5F36-4B23-B8F1-FA6CAA5EC03B}"/>
    <cellStyle name="Normal 6 4 2 2 2 5 2 4" xfId="8741" xr:uid="{C24CA9DD-094B-4DFF-8819-0AD8D8EFFB02}"/>
    <cellStyle name="Normal 6 4 2 2 2 5 3" xfId="1311" xr:uid="{00000000-0005-0000-0000-0000DF080000}"/>
    <cellStyle name="Normal 6 4 2 2 2 5 3 2" xfId="3265" xr:uid="{00000000-0005-0000-0000-0000E0080000}"/>
    <cellStyle name="Normal 6 4 2 2 2 5 3 2 2" xfId="7186" xr:uid="{8FC81F1B-4D0E-4F20-B8E5-92137D2F7AE2}"/>
    <cellStyle name="Normal 6 4 2 2 2 5 3 2 2 2" xfId="15046" xr:uid="{8D4FBC29-7C35-45AE-AC96-CF5FF7834A8E}"/>
    <cellStyle name="Normal 6 4 2 2 2 5 3 2 3" xfId="11126" xr:uid="{3ED4B276-FAEE-4BF8-93FD-EFCAD0EC499C}"/>
    <cellStyle name="Normal 6 4 2 2 2 5 3 3" xfId="5232" xr:uid="{56BD6B00-8D4E-4AE8-9CCB-1A49E5389D00}"/>
    <cellStyle name="Normal 6 4 2 2 2 5 3 3 2" xfId="13092" xr:uid="{3362C57A-EE6F-42F1-B4E3-E1A125B1ED3B}"/>
    <cellStyle name="Normal 6 4 2 2 2 5 3 4" xfId="9173" xr:uid="{1E73C126-2ACA-4FA3-BFEB-21A6CBB48409}"/>
    <cellStyle name="Normal 6 4 2 2 2 5 4" xfId="1729" xr:uid="{00000000-0005-0000-0000-0000E1080000}"/>
    <cellStyle name="Normal 6 4 2 2 2 5 4 2" xfId="3683" xr:uid="{00000000-0005-0000-0000-0000E2080000}"/>
    <cellStyle name="Normal 6 4 2 2 2 5 4 2 2" xfId="7604" xr:uid="{A4437054-BC6F-4898-A95A-95B2D8F1EE6A}"/>
    <cellStyle name="Normal 6 4 2 2 2 5 4 2 2 2" xfId="15464" xr:uid="{5EBB94AD-DBE7-40CF-90D6-D011FCCEA12E}"/>
    <cellStyle name="Normal 6 4 2 2 2 5 4 2 3" xfId="11544" xr:uid="{2A16B0E0-FB56-4A0A-A8AB-38D48F6DD7C6}"/>
    <cellStyle name="Normal 6 4 2 2 2 5 4 3" xfId="5650" xr:uid="{E5F60F4E-24E3-47DE-93E2-F92E64C36188}"/>
    <cellStyle name="Normal 6 4 2 2 2 5 4 3 2" xfId="13510" xr:uid="{79744FC4-FAC1-442D-807F-D635E10B8CAF}"/>
    <cellStyle name="Normal 6 4 2 2 2 5 4 4" xfId="9591" xr:uid="{FEFC238A-2683-42C2-97B5-8C9CB5D3CDD7}"/>
    <cellStyle name="Normal 6 4 2 2 2 5 5" xfId="2383" xr:uid="{00000000-0005-0000-0000-0000E3080000}"/>
    <cellStyle name="Normal 6 4 2 2 2 5 5 2" xfId="6304" xr:uid="{D213EE3E-4342-4446-8E1B-1A831AA643EF}"/>
    <cellStyle name="Normal 6 4 2 2 2 5 5 2 2" xfId="14164" xr:uid="{D65BC188-23E8-486D-9A15-D5C2A2A528C4}"/>
    <cellStyle name="Normal 6 4 2 2 2 5 5 3" xfId="10244" xr:uid="{49DE8889-E839-4891-A896-D442008CACED}"/>
    <cellStyle name="Normal 6 4 2 2 2 5 6" xfId="4350" xr:uid="{EFD5D0D9-A5AE-43F3-BC95-9043B7F441B5}"/>
    <cellStyle name="Normal 6 4 2 2 2 5 6 2" xfId="12210" xr:uid="{10DAECBA-8FA9-4A16-A736-21B862415CA8}"/>
    <cellStyle name="Normal 6 4 2 2 2 5 7" xfId="8291" xr:uid="{D5A11E8B-2F8F-4C9B-ADFA-33133DBD4E74}"/>
    <cellStyle name="Normal 6 4 2 2 2 6" xfId="520" xr:uid="{00000000-0005-0000-0000-0000E4080000}"/>
    <cellStyle name="Normal 6 4 2 2 2 6 2" xfId="2474" xr:uid="{00000000-0005-0000-0000-0000E5080000}"/>
    <cellStyle name="Normal 6 4 2 2 2 6 2 2" xfId="6395" xr:uid="{1CEB0B6A-AEBE-498F-8FF5-B2048E601321}"/>
    <cellStyle name="Normal 6 4 2 2 2 6 2 2 2" xfId="14255" xr:uid="{1F944944-71B4-473A-88B2-42A0DB0B081E}"/>
    <cellStyle name="Normal 6 4 2 2 2 6 2 3" xfId="10335" xr:uid="{AF85CCF4-E851-44EE-8DF7-58F3B23FC1E3}"/>
    <cellStyle name="Normal 6 4 2 2 2 6 3" xfId="4441" xr:uid="{3209DC4A-BF50-49B3-BC23-9B07DE68BD7F}"/>
    <cellStyle name="Normal 6 4 2 2 2 6 3 2" xfId="12301" xr:uid="{6B21E9ED-FE91-4F76-87D1-F595795A0E77}"/>
    <cellStyle name="Normal 6 4 2 2 2 6 4" xfId="8382" xr:uid="{BF8DAEA6-8844-468E-8572-0AA8BD8AD659}"/>
    <cellStyle name="Normal 6 4 2 2 2 7" xfId="957" xr:uid="{00000000-0005-0000-0000-0000E6080000}"/>
    <cellStyle name="Normal 6 4 2 2 2 7 2" xfId="2911" xr:uid="{00000000-0005-0000-0000-0000E7080000}"/>
    <cellStyle name="Normal 6 4 2 2 2 7 2 2" xfId="6832" xr:uid="{FBBA3C3F-D0A5-491D-A6CC-C3869AF6DDEB}"/>
    <cellStyle name="Normal 6 4 2 2 2 7 2 2 2" xfId="14692" xr:uid="{10AA9E88-7BD3-461F-A49F-EE2E8C81DB33}"/>
    <cellStyle name="Normal 6 4 2 2 2 7 2 3" xfId="10772" xr:uid="{8AD9289D-1D1B-4DB8-B00F-EB8CCDBA09F1}"/>
    <cellStyle name="Normal 6 4 2 2 2 7 3" xfId="4878" xr:uid="{68C1AD9A-6EBA-4DA5-913E-52DC30F99509}"/>
    <cellStyle name="Normal 6 4 2 2 2 7 3 2" xfId="12738" xr:uid="{25FCD102-ABEB-4C24-8E47-FEEEDF14F09F}"/>
    <cellStyle name="Normal 6 4 2 2 2 7 4" xfId="8819" xr:uid="{DBD50B2E-FADE-4CAE-9463-73775DD968CA}"/>
    <cellStyle name="Normal 6 4 2 2 2 8" xfId="1384" xr:uid="{00000000-0005-0000-0000-0000E8080000}"/>
    <cellStyle name="Normal 6 4 2 2 2 8 2" xfId="3338" xr:uid="{00000000-0005-0000-0000-0000E9080000}"/>
    <cellStyle name="Normal 6 4 2 2 2 8 2 2" xfId="7259" xr:uid="{D4E17D66-E752-41D9-83ED-C03640C030F7}"/>
    <cellStyle name="Normal 6 4 2 2 2 8 2 2 2" xfId="15119" xr:uid="{E62AD613-6C98-4616-B267-847177A2830F}"/>
    <cellStyle name="Normal 6 4 2 2 2 8 2 3" xfId="11199" xr:uid="{AABF25AC-9FA1-4310-932A-F75B6A22D1BA}"/>
    <cellStyle name="Normal 6 4 2 2 2 8 3" xfId="5305" xr:uid="{D8EDBD1F-785B-4E28-A245-353585D85448}"/>
    <cellStyle name="Normal 6 4 2 2 2 8 3 2" xfId="13165" xr:uid="{6BB94144-73B5-451A-9A0D-05B38DAB305B}"/>
    <cellStyle name="Normal 6 4 2 2 2 8 4" xfId="9246" xr:uid="{35701A54-0043-40FA-8ACD-8096F82DE4D1}"/>
    <cellStyle name="Normal 6 4 2 2 2 9" xfId="2037" xr:uid="{00000000-0005-0000-0000-0000EA080000}"/>
    <cellStyle name="Normal 6 4 2 2 2 9 2" xfId="5958" xr:uid="{CB58F9B6-47FB-4A5C-BA80-C1B0DE77A3C0}"/>
    <cellStyle name="Normal 6 4 2 2 2 9 2 2" xfId="13818" xr:uid="{5D8DA716-25B6-4ED6-B4EC-658E627BDCD0}"/>
    <cellStyle name="Normal 6 4 2 2 2 9 3" xfId="9898" xr:uid="{5C18F1EF-4938-43F7-99FC-6F227BBDB61F}"/>
    <cellStyle name="Normal 6 4 2 2 3" xfId="185" xr:uid="{00000000-0005-0000-0000-0000EB080000}"/>
    <cellStyle name="Normal 6 4 2 2 3 2" xfId="637" xr:uid="{00000000-0005-0000-0000-0000EC080000}"/>
    <cellStyle name="Normal 6 4 2 2 3 2 2" xfId="2591" xr:uid="{00000000-0005-0000-0000-0000ED080000}"/>
    <cellStyle name="Normal 6 4 2 2 3 2 2 2" xfId="6512" xr:uid="{041CD4A8-BD46-42FC-AF6E-E6F4C6272CCD}"/>
    <cellStyle name="Normal 6 4 2 2 3 2 2 2 2" xfId="14372" xr:uid="{209CB011-BC26-452C-ACE4-EE79B54E1C80}"/>
    <cellStyle name="Normal 6 4 2 2 3 2 2 3" xfId="10452" xr:uid="{A4A6E297-3353-493F-85C6-A86DE92597B8}"/>
    <cellStyle name="Normal 6 4 2 2 3 2 3" xfId="4558" xr:uid="{443260C2-D308-4F47-AAE2-6F106EF1DD79}"/>
    <cellStyle name="Normal 6 4 2 2 3 2 3 2" xfId="12418" xr:uid="{7E8A9B70-3FCB-420A-9D5D-2C5F83315F21}"/>
    <cellStyle name="Normal 6 4 2 2 3 2 4" xfId="8499" xr:uid="{57B28290-0890-473B-899C-B6EB3761F3DE}"/>
    <cellStyle name="Normal 6 4 2 2 3 3" xfId="1074" xr:uid="{00000000-0005-0000-0000-0000EE080000}"/>
    <cellStyle name="Normal 6 4 2 2 3 3 2" xfId="3028" xr:uid="{00000000-0005-0000-0000-0000EF080000}"/>
    <cellStyle name="Normal 6 4 2 2 3 3 2 2" xfId="6949" xr:uid="{382B269E-70FA-4EF9-B00E-F0AB1703CD55}"/>
    <cellStyle name="Normal 6 4 2 2 3 3 2 2 2" xfId="14809" xr:uid="{B9695111-9905-4C23-991C-B429B9F95AB0}"/>
    <cellStyle name="Normal 6 4 2 2 3 3 2 3" xfId="10889" xr:uid="{9DD15E48-7CA7-4656-BF39-3081579DCD22}"/>
    <cellStyle name="Normal 6 4 2 2 3 3 3" xfId="4995" xr:uid="{AA1662C3-4B81-4922-BD6E-0140A6C30D70}"/>
    <cellStyle name="Normal 6 4 2 2 3 3 3 2" xfId="12855" xr:uid="{592BAD7F-C991-4474-A431-C9DDC88AF967}"/>
    <cellStyle name="Normal 6 4 2 2 3 3 4" xfId="8936" xr:uid="{6F71E6B9-A4C7-4D53-AEFC-A25A4F1B1DBD}"/>
    <cellStyle name="Normal 6 4 2 2 3 4" xfId="1501" xr:uid="{00000000-0005-0000-0000-0000F0080000}"/>
    <cellStyle name="Normal 6 4 2 2 3 4 2" xfId="3455" xr:uid="{00000000-0005-0000-0000-0000F1080000}"/>
    <cellStyle name="Normal 6 4 2 2 3 4 2 2" xfId="7376" xr:uid="{AF40FC60-31B3-4895-B2E5-4B29213C5625}"/>
    <cellStyle name="Normal 6 4 2 2 3 4 2 2 2" xfId="15236" xr:uid="{7B45F255-62BB-4166-9CDA-23B82CFB9244}"/>
    <cellStyle name="Normal 6 4 2 2 3 4 2 3" xfId="11316" xr:uid="{9F68F525-E318-4A35-89FC-82205C600888}"/>
    <cellStyle name="Normal 6 4 2 2 3 4 3" xfId="5422" xr:uid="{A90B182E-4966-4899-8F9E-6EF578AF4C87}"/>
    <cellStyle name="Normal 6 4 2 2 3 4 3 2" xfId="13282" xr:uid="{D920F7F8-7817-4A03-B04A-F797C2FF1AA6}"/>
    <cellStyle name="Normal 6 4 2 2 3 4 4" xfId="9363" xr:uid="{AAA9B5CE-FF3D-40E6-A8A8-002B5BBBD3D7}"/>
    <cellStyle name="Normal 6 4 2 2 3 5" xfId="2154" xr:uid="{00000000-0005-0000-0000-0000F2080000}"/>
    <cellStyle name="Normal 6 4 2 2 3 5 2" xfId="6075" xr:uid="{BD40D95E-4009-4099-8B2E-F38F562E2ADF}"/>
    <cellStyle name="Normal 6 4 2 2 3 5 2 2" xfId="13935" xr:uid="{773C73B5-5CFE-41A0-9DAE-324BF499DA4B}"/>
    <cellStyle name="Normal 6 4 2 2 3 5 3" xfId="10015" xr:uid="{60EEBC1D-25DE-4F0E-936A-0C194B6F3D49}"/>
    <cellStyle name="Normal 6 4 2 2 3 6" xfId="4121" xr:uid="{5A5ED875-188C-435F-AF05-D89B70300B05}"/>
    <cellStyle name="Normal 6 4 2 2 3 6 2" xfId="11981" xr:uid="{9A3CBB99-1114-4543-8479-10C0172FB671}"/>
    <cellStyle name="Normal 6 4 2 2 3 7" xfId="8059" xr:uid="{DA918E3A-2A86-4135-B1E4-B193F3D8B09C}"/>
    <cellStyle name="Normal 6 4 2 2 4" xfId="107" xr:uid="{00000000-0005-0000-0000-0000F3080000}"/>
    <cellStyle name="Normal 6 4 2 2 4 2" xfId="559" xr:uid="{00000000-0005-0000-0000-0000F4080000}"/>
    <cellStyle name="Normal 6 4 2 2 4 2 2" xfId="2513" xr:uid="{00000000-0005-0000-0000-0000F5080000}"/>
    <cellStyle name="Normal 6 4 2 2 4 2 2 2" xfId="6434" xr:uid="{CBD0EAD7-8F48-4F11-BCFF-C99306EB3B1A}"/>
    <cellStyle name="Normal 6 4 2 2 4 2 2 2 2" xfId="14294" xr:uid="{CF69D6AB-9405-46CF-984F-E1BE4A889E3A}"/>
    <cellStyle name="Normal 6 4 2 2 4 2 2 3" xfId="10374" xr:uid="{043595A4-FC92-4CB4-AA16-CA1112AE89C5}"/>
    <cellStyle name="Normal 6 4 2 2 4 2 3" xfId="4480" xr:uid="{D49A6BC4-9055-4214-9132-60A9F74B3502}"/>
    <cellStyle name="Normal 6 4 2 2 4 2 3 2" xfId="12340" xr:uid="{73D37313-087D-4A92-9511-449EF410CF8F}"/>
    <cellStyle name="Normal 6 4 2 2 4 2 4" xfId="8421" xr:uid="{F3CFE80B-5BA5-444C-8178-441240376ADE}"/>
    <cellStyle name="Normal 6 4 2 2 4 3" xfId="996" xr:uid="{00000000-0005-0000-0000-0000F6080000}"/>
    <cellStyle name="Normal 6 4 2 2 4 3 2" xfId="2950" xr:uid="{00000000-0005-0000-0000-0000F7080000}"/>
    <cellStyle name="Normal 6 4 2 2 4 3 2 2" xfId="6871" xr:uid="{03FFA461-F9EA-4F51-AD3C-1EAF7A72F027}"/>
    <cellStyle name="Normal 6 4 2 2 4 3 2 2 2" xfId="14731" xr:uid="{E7CB973D-0D70-4015-AC35-3E9BB5B7C910}"/>
    <cellStyle name="Normal 6 4 2 2 4 3 2 3" xfId="10811" xr:uid="{46E5E5A8-CCF3-410B-AF78-17282CFAD8FF}"/>
    <cellStyle name="Normal 6 4 2 2 4 3 3" xfId="4917" xr:uid="{AE4ABE0F-9347-49ED-AD3D-2737B7503A96}"/>
    <cellStyle name="Normal 6 4 2 2 4 3 3 2" xfId="12777" xr:uid="{17EDA91B-7F66-4375-9654-6F0E81895A3A}"/>
    <cellStyle name="Normal 6 4 2 2 4 3 4" xfId="8858" xr:uid="{80AEFB6B-486B-4B8B-9975-21C76B49238B}"/>
    <cellStyle name="Normal 6 4 2 2 4 4" xfId="1423" xr:uid="{00000000-0005-0000-0000-0000F8080000}"/>
    <cellStyle name="Normal 6 4 2 2 4 4 2" xfId="3377" xr:uid="{00000000-0005-0000-0000-0000F9080000}"/>
    <cellStyle name="Normal 6 4 2 2 4 4 2 2" xfId="7298" xr:uid="{84E0EDD6-EBD1-4DA3-94D7-B354406D9837}"/>
    <cellStyle name="Normal 6 4 2 2 4 4 2 2 2" xfId="15158" xr:uid="{14D78C99-05DD-44F7-99F3-A8346F45BCDF}"/>
    <cellStyle name="Normal 6 4 2 2 4 4 2 3" xfId="11238" xr:uid="{B4498B72-FAB9-4F25-A82F-5A70C9C14124}"/>
    <cellStyle name="Normal 6 4 2 2 4 4 3" xfId="5344" xr:uid="{A6DD10D9-201A-4F05-A3C1-8DB412575775}"/>
    <cellStyle name="Normal 6 4 2 2 4 4 3 2" xfId="13204" xr:uid="{8B17C217-5F2C-44D8-A101-4D2C6AD58940}"/>
    <cellStyle name="Normal 6 4 2 2 4 4 4" xfId="9285" xr:uid="{FF9E25F4-DFCE-4956-8497-FDBB7C667111}"/>
    <cellStyle name="Normal 6 4 2 2 4 5" xfId="2076" xr:uid="{00000000-0005-0000-0000-0000FA080000}"/>
    <cellStyle name="Normal 6 4 2 2 4 5 2" xfId="5997" xr:uid="{283911D6-A1AF-4752-A531-4DF59D902669}"/>
    <cellStyle name="Normal 6 4 2 2 4 5 2 2" xfId="13857" xr:uid="{0612E244-9696-4C1A-8EF5-1DFDFF84D616}"/>
    <cellStyle name="Normal 6 4 2 2 4 5 3" xfId="9937" xr:uid="{CA296133-DEAA-444A-A520-D11FBC2AFD08}"/>
    <cellStyle name="Normal 6 4 2 2 4 6" xfId="4043" xr:uid="{DA58B75B-C08E-4E1E-957D-77901648CFF4}"/>
    <cellStyle name="Normal 6 4 2 2 4 6 2" xfId="11903" xr:uid="{D91C220B-0100-40EA-A5CD-5900F3539A7C}"/>
    <cellStyle name="Normal 6 4 2 2 4 7" xfId="7981" xr:uid="{807495B2-EC55-4BED-99C9-50EF0B869F61}"/>
    <cellStyle name="Normal 6 4 2 2 5" xfId="283" xr:uid="{00000000-0005-0000-0000-0000FB080000}"/>
    <cellStyle name="Normal 6 4 2 2 5 2" xfId="735" xr:uid="{00000000-0005-0000-0000-0000FC080000}"/>
    <cellStyle name="Normal 6 4 2 2 5 2 2" xfId="2689" xr:uid="{00000000-0005-0000-0000-0000FD080000}"/>
    <cellStyle name="Normal 6 4 2 2 5 2 2 2" xfId="6610" xr:uid="{9FCB1C9D-B6DC-4B8E-8796-120F66B34B84}"/>
    <cellStyle name="Normal 6 4 2 2 5 2 2 2 2" xfId="14470" xr:uid="{688C5B95-CBED-4B05-A30A-040C3BEC1651}"/>
    <cellStyle name="Normal 6 4 2 2 5 2 2 3" xfId="10550" xr:uid="{63AED9E3-7908-43B9-859B-B518F417F93C}"/>
    <cellStyle name="Normal 6 4 2 2 5 2 3" xfId="4656" xr:uid="{8F85813B-DB63-4121-820B-CA4AA5061F86}"/>
    <cellStyle name="Normal 6 4 2 2 5 2 3 2" xfId="12516" xr:uid="{02A4B982-F8A3-4B40-9577-29B8804916A7}"/>
    <cellStyle name="Normal 6 4 2 2 5 2 4" xfId="8597" xr:uid="{9BF6B65B-1FAC-42A2-82F9-72B42F00DFF3}"/>
    <cellStyle name="Normal 6 4 2 2 5 3" xfId="1171" xr:uid="{00000000-0005-0000-0000-0000FE080000}"/>
    <cellStyle name="Normal 6 4 2 2 5 3 2" xfId="3125" xr:uid="{00000000-0005-0000-0000-0000FF080000}"/>
    <cellStyle name="Normal 6 4 2 2 5 3 2 2" xfId="7046" xr:uid="{18E6BEE8-2430-4692-883A-D0F09DB1BC41}"/>
    <cellStyle name="Normal 6 4 2 2 5 3 2 2 2" xfId="14906" xr:uid="{35E3DC4F-7D1B-4902-BB30-288B56F8DD0A}"/>
    <cellStyle name="Normal 6 4 2 2 5 3 2 3" xfId="10986" xr:uid="{1E2ACE0B-1F04-4CDE-AC54-38E06DD7AB3F}"/>
    <cellStyle name="Normal 6 4 2 2 5 3 3" xfId="5092" xr:uid="{7026D3E8-CAD5-42C0-9217-E1FC65FAEE1A}"/>
    <cellStyle name="Normal 6 4 2 2 5 3 3 2" xfId="12952" xr:uid="{22A3EAF5-D46B-4740-A2F7-420172455CB9}"/>
    <cellStyle name="Normal 6 4 2 2 5 3 4" xfId="9033" xr:uid="{3A84C95A-99CE-4368-8844-8B1495DECF70}"/>
    <cellStyle name="Normal 6 4 2 2 5 4" xfId="1592" xr:uid="{00000000-0005-0000-0000-000000090000}"/>
    <cellStyle name="Normal 6 4 2 2 5 4 2" xfId="3546" xr:uid="{00000000-0005-0000-0000-000001090000}"/>
    <cellStyle name="Normal 6 4 2 2 5 4 2 2" xfId="7467" xr:uid="{AE1C81C3-B8DF-4C90-9A91-1443B497BF38}"/>
    <cellStyle name="Normal 6 4 2 2 5 4 2 2 2" xfId="15327" xr:uid="{4241EA9E-8202-44DD-8B63-177DB4754B0E}"/>
    <cellStyle name="Normal 6 4 2 2 5 4 2 3" xfId="11407" xr:uid="{95D1FC3D-3293-404D-B914-0C75C9CF96A1}"/>
    <cellStyle name="Normal 6 4 2 2 5 4 3" xfId="5513" xr:uid="{D38EE835-3538-4662-8B0D-9BEE92BDDD3B}"/>
    <cellStyle name="Normal 6 4 2 2 5 4 3 2" xfId="13373" xr:uid="{1890B467-0C0C-4D1C-A508-E25AEBB6A302}"/>
    <cellStyle name="Normal 6 4 2 2 5 4 4" xfId="9454" xr:uid="{5078FD8E-68C9-4B77-B23B-2CD943CE9A85}"/>
    <cellStyle name="Normal 6 4 2 2 5 5" xfId="2246" xr:uid="{00000000-0005-0000-0000-000002090000}"/>
    <cellStyle name="Normal 6 4 2 2 5 5 2" xfId="6167" xr:uid="{61152127-2419-4BAD-A01A-D996D270BC95}"/>
    <cellStyle name="Normal 6 4 2 2 5 5 2 2" xfId="14027" xr:uid="{8F170827-649C-4744-A8F9-7E419EB0E0FB}"/>
    <cellStyle name="Normal 6 4 2 2 5 5 3" xfId="10107" xr:uid="{D4BDD811-CA71-4C03-A936-3CC279F65855}"/>
    <cellStyle name="Normal 6 4 2 2 5 6" xfId="4213" xr:uid="{29BA50FC-FA94-4A5F-A953-CA9DD0C39459}"/>
    <cellStyle name="Normal 6 4 2 2 5 6 2" xfId="12073" xr:uid="{5688CB5E-89FA-47CA-A9C7-320BDD1FABD5}"/>
    <cellStyle name="Normal 6 4 2 2 5 7" xfId="8152" xr:uid="{DDF59B70-B425-4B60-992B-5EBE2134EB64}"/>
    <cellStyle name="Normal 6 4 2 2 6" xfId="383" xr:uid="{00000000-0005-0000-0000-000003090000}"/>
    <cellStyle name="Normal 6 4 2 2 6 2" xfId="834" xr:uid="{00000000-0005-0000-0000-000004090000}"/>
    <cellStyle name="Normal 6 4 2 2 6 2 2" xfId="2788" xr:uid="{00000000-0005-0000-0000-000005090000}"/>
    <cellStyle name="Normal 6 4 2 2 6 2 2 2" xfId="6709" xr:uid="{0657E8E9-058A-4B65-8D9E-DF33EF763553}"/>
    <cellStyle name="Normal 6 4 2 2 6 2 2 2 2" xfId="14569" xr:uid="{F9A9541B-A23B-42FE-883C-D018A42EF2FD}"/>
    <cellStyle name="Normal 6 4 2 2 6 2 2 3" xfId="10649" xr:uid="{CC4DE427-D5C5-4EEA-9B37-EAB995D32764}"/>
    <cellStyle name="Normal 6 4 2 2 6 2 3" xfId="4755" xr:uid="{3BB0AEFD-E890-4B27-8845-EEAB7D4FE3EE}"/>
    <cellStyle name="Normal 6 4 2 2 6 2 3 2" xfId="12615" xr:uid="{2DFEF41C-A469-4367-874B-A2307FF93824}"/>
    <cellStyle name="Normal 6 4 2 2 6 2 4" xfId="8696" xr:uid="{9494AB23-ED42-489E-84C8-87C92D7951EA}"/>
    <cellStyle name="Normal 6 4 2 2 6 3" xfId="1266" xr:uid="{00000000-0005-0000-0000-000006090000}"/>
    <cellStyle name="Normal 6 4 2 2 6 3 2" xfId="3220" xr:uid="{00000000-0005-0000-0000-000007090000}"/>
    <cellStyle name="Normal 6 4 2 2 6 3 2 2" xfId="7141" xr:uid="{2E3BEBF3-4262-402C-A6B0-64D3084C1FDC}"/>
    <cellStyle name="Normal 6 4 2 2 6 3 2 2 2" xfId="15001" xr:uid="{D4C65C33-7E03-48A4-8B2B-88B61A021A2A}"/>
    <cellStyle name="Normal 6 4 2 2 6 3 2 3" xfId="11081" xr:uid="{24E72242-A9BA-4788-92ED-9BEB56EA5BFE}"/>
    <cellStyle name="Normal 6 4 2 2 6 3 3" xfId="5187" xr:uid="{F203128F-37F7-4B2D-8390-B1DB753E59C7}"/>
    <cellStyle name="Normal 6 4 2 2 6 3 3 2" xfId="13047" xr:uid="{4C74A0F9-4FCC-41E7-89BA-E24AF38A4373}"/>
    <cellStyle name="Normal 6 4 2 2 6 3 4" xfId="9128" xr:uid="{8B3D4734-7D68-4CF0-8C65-5C3FF7CA2CC8}"/>
    <cellStyle name="Normal 6 4 2 2 6 4" xfId="1684" xr:uid="{00000000-0005-0000-0000-000008090000}"/>
    <cellStyle name="Normal 6 4 2 2 6 4 2" xfId="3638" xr:uid="{00000000-0005-0000-0000-000009090000}"/>
    <cellStyle name="Normal 6 4 2 2 6 4 2 2" xfId="7559" xr:uid="{A093613E-2FCB-4951-815F-0031ED70D8D8}"/>
    <cellStyle name="Normal 6 4 2 2 6 4 2 2 2" xfId="15419" xr:uid="{9DBDF445-A551-44CD-975E-A7E15F2D594C}"/>
    <cellStyle name="Normal 6 4 2 2 6 4 2 3" xfId="11499" xr:uid="{4AA0F856-204D-4C1A-B57E-7BC397AA2B97}"/>
    <cellStyle name="Normal 6 4 2 2 6 4 3" xfId="5605" xr:uid="{E3FF501B-8383-4ED6-816A-A19DAF37793B}"/>
    <cellStyle name="Normal 6 4 2 2 6 4 3 2" xfId="13465" xr:uid="{0C14D9E1-1D20-4F25-B055-DD0F5D09EE87}"/>
    <cellStyle name="Normal 6 4 2 2 6 4 4" xfId="9546" xr:uid="{3FBBA726-9FD9-4198-929F-40FC360D049E}"/>
    <cellStyle name="Normal 6 4 2 2 6 5" xfId="2338" xr:uid="{00000000-0005-0000-0000-00000A090000}"/>
    <cellStyle name="Normal 6 4 2 2 6 5 2" xfId="6259" xr:uid="{961CEA7D-D4D7-4BA4-8DAB-67B18E49857F}"/>
    <cellStyle name="Normal 6 4 2 2 6 5 2 2" xfId="14119" xr:uid="{1A85E459-F75F-4DBD-B029-DB8AE90CAD16}"/>
    <cellStyle name="Normal 6 4 2 2 6 5 3" xfId="10199" xr:uid="{91E61B19-ED18-4C23-82D8-E222ADFAB867}"/>
    <cellStyle name="Normal 6 4 2 2 6 6" xfId="4305" xr:uid="{C0A711DB-74E7-4493-A2DD-0220D9D9A813}"/>
    <cellStyle name="Normal 6 4 2 2 6 6 2" xfId="12165" xr:uid="{B6BDBBCA-45E7-40A6-927D-2F66C2893B0A}"/>
    <cellStyle name="Normal 6 4 2 2 6 7" xfId="8246" xr:uid="{277953D0-962A-4B31-AEC3-2C66AA78F10E}"/>
    <cellStyle name="Normal 6 4 2 2 7" xfId="480" xr:uid="{00000000-0005-0000-0000-00000B090000}"/>
    <cellStyle name="Normal 6 4 2 2 7 2" xfId="2434" xr:uid="{00000000-0005-0000-0000-00000C090000}"/>
    <cellStyle name="Normal 6 4 2 2 7 2 2" xfId="6355" xr:uid="{D6AA702B-1513-44B7-8FC4-17B7D89ED4FF}"/>
    <cellStyle name="Normal 6 4 2 2 7 2 2 2" xfId="14215" xr:uid="{DF717DD7-B392-4413-9571-984F3858E0A0}"/>
    <cellStyle name="Normal 6 4 2 2 7 2 3" xfId="10295" xr:uid="{DCAC9DF8-BF77-4AF1-B50B-000A4373952E}"/>
    <cellStyle name="Normal 6 4 2 2 7 3" xfId="4401" xr:uid="{3B07D58B-2E4A-43AE-AA91-B116BC238631}"/>
    <cellStyle name="Normal 6 4 2 2 7 3 2" xfId="12261" xr:uid="{C35E8CDF-1204-45A2-B8D3-C0E494C3667F}"/>
    <cellStyle name="Normal 6 4 2 2 7 4" xfId="8342" xr:uid="{01AB2300-307F-4589-A153-52AC4BE7F4FD}"/>
    <cellStyle name="Normal 6 4 2 2 8" xfId="916" xr:uid="{00000000-0005-0000-0000-00000D090000}"/>
    <cellStyle name="Normal 6 4 2 2 8 2" xfId="2870" xr:uid="{00000000-0005-0000-0000-00000E090000}"/>
    <cellStyle name="Normal 6 4 2 2 8 2 2" xfId="6791" xr:uid="{BFEFEDF8-B1A4-4D82-B6D6-732575C8CF74}"/>
    <cellStyle name="Normal 6 4 2 2 8 2 2 2" xfId="14651" xr:uid="{8C7C10F2-85B6-4B3A-A959-CC141083DE69}"/>
    <cellStyle name="Normal 6 4 2 2 8 2 3" xfId="10731" xr:uid="{B9D8214C-FA9F-4C2C-90E4-6F90CE2A5CA2}"/>
    <cellStyle name="Normal 6 4 2 2 8 3" xfId="4837" xr:uid="{63E80CBB-E62F-48D7-9AEC-E81A20CAB6EC}"/>
    <cellStyle name="Normal 6 4 2 2 8 3 2" xfId="12697" xr:uid="{E47EB3CA-4A0A-464A-94F3-88D023981560}"/>
    <cellStyle name="Normal 6 4 2 2 8 4" xfId="8778" xr:uid="{6B4E55A9-63DF-4AD7-A9CF-870926A886FA}"/>
    <cellStyle name="Normal 6 4 2 2 9" xfId="1345" xr:uid="{00000000-0005-0000-0000-00000F090000}"/>
    <cellStyle name="Normal 6 4 2 2 9 2" xfId="3299" xr:uid="{00000000-0005-0000-0000-000010090000}"/>
    <cellStyle name="Normal 6 4 2 2 9 2 2" xfId="7220" xr:uid="{65D035F6-8020-4201-911A-7397D5A70C03}"/>
    <cellStyle name="Normal 6 4 2 2 9 2 2 2" xfId="15080" xr:uid="{D6ED33FA-E5CC-4C11-96D2-D37941E4D76E}"/>
    <cellStyle name="Normal 6 4 2 2 9 2 3" xfId="11160" xr:uid="{28C755C8-B469-4E78-9FA6-DD5038C18FD2}"/>
    <cellStyle name="Normal 6 4 2 2 9 3" xfId="5266" xr:uid="{12090EE2-D6EC-46DE-AC2C-E1102982CBB0}"/>
    <cellStyle name="Normal 6 4 2 2 9 3 2" xfId="13126" xr:uid="{4F5AEEC3-9EFF-4578-B5B5-18C48A268672}"/>
    <cellStyle name="Normal 6 4 2 2 9 4" xfId="9207" xr:uid="{CF2AD2A7-67D9-4718-9793-AD3B6DA5A798}"/>
    <cellStyle name="Normal 6 4 2 3" xfId="38" xr:uid="{00000000-0005-0000-0000-000011090000}"/>
    <cellStyle name="Normal 6 4 2 3 10" xfId="2008" xr:uid="{00000000-0005-0000-0000-000012090000}"/>
    <cellStyle name="Normal 6 4 2 3 10 2" xfId="5929" xr:uid="{DA97BD55-B902-4FA7-AB5C-75FB1DBB51A0}"/>
    <cellStyle name="Normal 6 4 2 3 10 2 2" xfId="13789" xr:uid="{8882FCBB-0E55-4CE7-B366-8E1D530C95DF}"/>
    <cellStyle name="Normal 6 4 2 3 10 3" xfId="9869" xr:uid="{1C7421C7-0FBE-4591-9DC0-846E225B2D7B}"/>
    <cellStyle name="Normal 6 4 2 3 11" xfId="3975" xr:uid="{AE82ED7B-3E1A-4618-BDD8-FDEFDEEB2B46}"/>
    <cellStyle name="Normal 6 4 2 3 11 2" xfId="11835" xr:uid="{9EBCB8EE-C5CE-4846-AD6B-CE8CD09DB515}"/>
    <cellStyle name="Normal 6 4 2 3 12" xfId="7913" xr:uid="{7AE7E8E7-1C96-444B-B680-EEB0F18E6013}"/>
    <cellStyle name="Normal 6 4 2 3 2" xfId="79" xr:uid="{00000000-0005-0000-0000-000013090000}"/>
    <cellStyle name="Normal 6 4 2 3 2 10" xfId="4015" xr:uid="{E75F6794-B9F0-4367-B8E8-B8C061212F64}"/>
    <cellStyle name="Normal 6 4 2 3 2 10 2" xfId="11875" xr:uid="{15EE6ECB-25AD-4AA4-8E0E-4EC1B4E03FC7}"/>
    <cellStyle name="Normal 6 4 2 3 2 11" xfId="7953" xr:uid="{7CD65FE2-6C23-4FE8-B83A-C89EA8920283}"/>
    <cellStyle name="Normal 6 4 2 3 2 2" xfId="235" xr:uid="{00000000-0005-0000-0000-000014090000}"/>
    <cellStyle name="Normal 6 4 2 3 2 2 2" xfId="687" xr:uid="{00000000-0005-0000-0000-000015090000}"/>
    <cellStyle name="Normal 6 4 2 3 2 2 2 2" xfId="2641" xr:uid="{00000000-0005-0000-0000-000016090000}"/>
    <cellStyle name="Normal 6 4 2 3 2 2 2 2 2" xfId="6562" xr:uid="{A1020126-9CB6-42A2-84E5-0FAA0DFEC06E}"/>
    <cellStyle name="Normal 6 4 2 3 2 2 2 2 2 2" xfId="14422" xr:uid="{52A6B5F9-9D8A-4D76-BD11-0FF89BEE7452}"/>
    <cellStyle name="Normal 6 4 2 3 2 2 2 2 3" xfId="10502" xr:uid="{AE319680-9EC8-4A76-9F6D-8D44EE639295}"/>
    <cellStyle name="Normal 6 4 2 3 2 2 2 3" xfId="4608" xr:uid="{251E6971-7AF4-4E8A-9AAC-12D9691D2BDD}"/>
    <cellStyle name="Normal 6 4 2 3 2 2 2 3 2" xfId="12468" xr:uid="{1262A6C2-2DEB-4C49-9068-61B1519E24E3}"/>
    <cellStyle name="Normal 6 4 2 3 2 2 2 4" xfId="8549" xr:uid="{C0D54CDA-38C1-4749-9C31-AD4BAE4E45E1}"/>
    <cellStyle name="Normal 6 4 2 3 2 2 3" xfId="1124" xr:uid="{00000000-0005-0000-0000-000017090000}"/>
    <cellStyle name="Normal 6 4 2 3 2 2 3 2" xfId="3078" xr:uid="{00000000-0005-0000-0000-000018090000}"/>
    <cellStyle name="Normal 6 4 2 3 2 2 3 2 2" xfId="6999" xr:uid="{ED399D67-9595-4DAD-9217-A74A4B06E437}"/>
    <cellStyle name="Normal 6 4 2 3 2 2 3 2 2 2" xfId="14859" xr:uid="{7C39C548-8AE7-4C0E-BF7C-DD23EEEBBFAA}"/>
    <cellStyle name="Normal 6 4 2 3 2 2 3 2 3" xfId="10939" xr:uid="{E23C08DC-1E4A-4C91-9AA6-3D8DF90E29B4}"/>
    <cellStyle name="Normal 6 4 2 3 2 2 3 3" xfId="5045" xr:uid="{37DCB2DA-F53B-400E-8434-09567E944505}"/>
    <cellStyle name="Normal 6 4 2 3 2 2 3 3 2" xfId="12905" xr:uid="{74CE2D1F-7E8E-40BF-9952-047A7B87CB52}"/>
    <cellStyle name="Normal 6 4 2 3 2 2 3 4" xfId="8986" xr:uid="{03B81CF6-C3AD-4E11-8F3A-2B194D9AEE53}"/>
    <cellStyle name="Normal 6 4 2 3 2 2 4" xfId="1551" xr:uid="{00000000-0005-0000-0000-000019090000}"/>
    <cellStyle name="Normal 6 4 2 3 2 2 4 2" xfId="3505" xr:uid="{00000000-0005-0000-0000-00001A090000}"/>
    <cellStyle name="Normal 6 4 2 3 2 2 4 2 2" xfId="7426" xr:uid="{4AE3D165-3CF2-47B7-8ABA-DEDA3D01475D}"/>
    <cellStyle name="Normal 6 4 2 3 2 2 4 2 2 2" xfId="15286" xr:uid="{57F9D8C2-CC35-4817-BB7B-3D3090336731}"/>
    <cellStyle name="Normal 6 4 2 3 2 2 4 2 3" xfId="11366" xr:uid="{1055F80F-E72E-479B-93FE-8AE81E9802A8}"/>
    <cellStyle name="Normal 6 4 2 3 2 2 4 3" xfId="5472" xr:uid="{8486DB38-7C9A-4CA1-876D-A8875F2D9D00}"/>
    <cellStyle name="Normal 6 4 2 3 2 2 4 3 2" xfId="13332" xr:uid="{9E89FEBB-AAB8-42D6-9C0E-D597A95483F9}"/>
    <cellStyle name="Normal 6 4 2 3 2 2 4 4" xfId="9413" xr:uid="{7391CA9E-9815-4E6D-B9AA-EC3D391A0D08}"/>
    <cellStyle name="Normal 6 4 2 3 2 2 5" xfId="2204" xr:uid="{00000000-0005-0000-0000-00001B090000}"/>
    <cellStyle name="Normal 6 4 2 3 2 2 5 2" xfId="6125" xr:uid="{79F40E51-F9DC-4426-9060-1D0E34B9629C}"/>
    <cellStyle name="Normal 6 4 2 3 2 2 5 2 2" xfId="13985" xr:uid="{48DA5E7C-72EF-4836-A668-CAEE103491EE}"/>
    <cellStyle name="Normal 6 4 2 3 2 2 5 3" xfId="10065" xr:uid="{4876C851-2287-47F4-BBE0-E841DFC14F88}"/>
    <cellStyle name="Normal 6 4 2 3 2 2 6" xfId="4171" xr:uid="{2397AF0A-0690-47D3-BAFB-A25C0C1E1E7D}"/>
    <cellStyle name="Normal 6 4 2 3 2 2 6 2" xfId="12031" xr:uid="{E2FA9CDC-25A3-4CBE-A424-D34A5DC2A552}"/>
    <cellStyle name="Normal 6 4 2 3 2 2 7" xfId="8109" xr:uid="{20337C1B-A4DE-414D-857A-D77B78219E24}"/>
    <cellStyle name="Normal 6 4 2 3 2 3" xfId="157" xr:uid="{00000000-0005-0000-0000-00001C090000}"/>
    <cellStyle name="Normal 6 4 2 3 2 3 2" xfId="609" xr:uid="{00000000-0005-0000-0000-00001D090000}"/>
    <cellStyle name="Normal 6 4 2 3 2 3 2 2" xfId="2563" xr:uid="{00000000-0005-0000-0000-00001E090000}"/>
    <cellStyle name="Normal 6 4 2 3 2 3 2 2 2" xfId="6484" xr:uid="{82528147-8A63-4497-9DAC-087B8EA4B20C}"/>
    <cellStyle name="Normal 6 4 2 3 2 3 2 2 2 2" xfId="14344" xr:uid="{88D4B144-00C3-4D43-9556-9CC5BF494210}"/>
    <cellStyle name="Normal 6 4 2 3 2 3 2 2 3" xfId="10424" xr:uid="{B0F03AC0-C0B6-4050-9EEF-BA41DA9B2C96}"/>
    <cellStyle name="Normal 6 4 2 3 2 3 2 3" xfId="4530" xr:uid="{D666E520-4691-4E02-8262-B0EC46EA068B}"/>
    <cellStyle name="Normal 6 4 2 3 2 3 2 3 2" xfId="12390" xr:uid="{B1243B40-66E2-4BCF-8D4C-3EA1C230AE71}"/>
    <cellStyle name="Normal 6 4 2 3 2 3 2 4" xfId="8471" xr:uid="{C72B3BAB-FE40-4098-AEC6-5F175BADD54F}"/>
    <cellStyle name="Normal 6 4 2 3 2 3 3" xfId="1046" xr:uid="{00000000-0005-0000-0000-00001F090000}"/>
    <cellStyle name="Normal 6 4 2 3 2 3 3 2" xfId="3000" xr:uid="{00000000-0005-0000-0000-000020090000}"/>
    <cellStyle name="Normal 6 4 2 3 2 3 3 2 2" xfId="6921" xr:uid="{4C47E6FD-7680-4779-A03E-3DAAA58DB0CB}"/>
    <cellStyle name="Normal 6 4 2 3 2 3 3 2 2 2" xfId="14781" xr:uid="{A9B06DB9-2265-495E-9E22-9945D82B3FA6}"/>
    <cellStyle name="Normal 6 4 2 3 2 3 3 2 3" xfId="10861" xr:uid="{377D32BF-1433-4E52-B959-121C0354B1F2}"/>
    <cellStyle name="Normal 6 4 2 3 2 3 3 3" xfId="4967" xr:uid="{66253D5E-298F-4D5B-B9E1-E67CA05812A2}"/>
    <cellStyle name="Normal 6 4 2 3 2 3 3 3 2" xfId="12827" xr:uid="{06B9C6A8-FFE9-48FE-ACCA-91956AB1FBE6}"/>
    <cellStyle name="Normal 6 4 2 3 2 3 3 4" xfId="8908" xr:uid="{D57AB747-5868-4F1E-A9AE-9AD20E0558BD}"/>
    <cellStyle name="Normal 6 4 2 3 2 3 4" xfId="1473" xr:uid="{00000000-0005-0000-0000-000021090000}"/>
    <cellStyle name="Normal 6 4 2 3 2 3 4 2" xfId="3427" xr:uid="{00000000-0005-0000-0000-000022090000}"/>
    <cellStyle name="Normal 6 4 2 3 2 3 4 2 2" xfId="7348" xr:uid="{C41D1EE2-0771-4B5F-A8E2-A6235A3B38DE}"/>
    <cellStyle name="Normal 6 4 2 3 2 3 4 2 2 2" xfId="15208" xr:uid="{A0600573-8394-420B-886F-C655EDEE4BEB}"/>
    <cellStyle name="Normal 6 4 2 3 2 3 4 2 3" xfId="11288" xr:uid="{EEF7E074-B673-4B85-847C-5029FA3D8B36}"/>
    <cellStyle name="Normal 6 4 2 3 2 3 4 3" xfId="5394" xr:uid="{0B9B00AD-2188-4320-8EB1-845B035248CF}"/>
    <cellStyle name="Normal 6 4 2 3 2 3 4 3 2" xfId="13254" xr:uid="{D4ABE1DF-8F8E-4142-8505-490549E19F5B}"/>
    <cellStyle name="Normal 6 4 2 3 2 3 4 4" xfId="9335" xr:uid="{19DCD268-CF33-427B-B9C7-F433D8070B3D}"/>
    <cellStyle name="Normal 6 4 2 3 2 3 5" xfId="2126" xr:uid="{00000000-0005-0000-0000-000023090000}"/>
    <cellStyle name="Normal 6 4 2 3 2 3 5 2" xfId="6047" xr:uid="{A731282D-E176-4971-8EC2-BF5604D07D36}"/>
    <cellStyle name="Normal 6 4 2 3 2 3 5 2 2" xfId="13907" xr:uid="{A3472688-5DD4-496F-8CA3-A4243FF6918C}"/>
    <cellStyle name="Normal 6 4 2 3 2 3 5 3" xfId="9987" xr:uid="{FE7BAC55-57F8-46F2-ABD1-FC872EDCD6C8}"/>
    <cellStyle name="Normal 6 4 2 3 2 3 6" xfId="4093" xr:uid="{D77B01D3-1D09-48BA-AFB2-69FE2D24D21B}"/>
    <cellStyle name="Normal 6 4 2 3 2 3 6 2" xfId="11953" xr:uid="{C23B3922-9BAE-4303-BF95-2C9A96507FA1}"/>
    <cellStyle name="Normal 6 4 2 3 2 3 7" xfId="8031" xr:uid="{15C5F4CD-B352-4F06-A508-343FE6CF3061}"/>
    <cellStyle name="Normal 6 4 2 3 2 4" xfId="342" xr:uid="{00000000-0005-0000-0000-000024090000}"/>
    <cellStyle name="Normal 6 4 2 3 2 4 2" xfId="794" xr:uid="{00000000-0005-0000-0000-000025090000}"/>
    <cellStyle name="Normal 6 4 2 3 2 4 2 2" xfId="2748" xr:uid="{00000000-0005-0000-0000-000026090000}"/>
    <cellStyle name="Normal 6 4 2 3 2 4 2 2 2" xfId="6669" xr:uid="{F728883A-7DD2-436A-AF9D-E9185B542A5B}"/>
    <cellStyle name="Normal 6 4 2 3 2 4 2 2 2 2" xfId="14529" xr:uid="{A38281EA-07E3-449D-BEF1-3558444EA75B}"/>
    <cellStyle name="Normal 6 4 2 3 2 4 2 2 3" xfId="10609" xr:uid="{A8B91B0F-DD4A-4103-89E0-6AE03AE4FA45}"/>
    <cellStyle name="Normal 6 4 2 3 2 4 2 3" xfId="4715" xr:uid="{E8A11E3B-665E-4500-8823-5FD5151A5BCD}"/>
    <cellStyle name="Normal 6 4 2 3 2 4 2 3 2" xfId="12575" xr:uid="{E7798DA2-FBEF-4B13-9117-81A130521FE3}"/>
    <cellStyle name="Normal 6 4 2 3 2 4 2 4" xfId="8656" xr:uid="{3A666781-9E12-44CA-AC48-ABE2858DBA12}"/>
    <cellStyle name="Normal 6 4 2 3 2 4 3" xfId="1228" xr:uid="{00000000-0005-0000-0000-000027090000}"/>
    <cellStyle name="Normal 6 4 2 3 2 4 3 2" xfId="3182" xr:uid="{00000000-0005-0000-0000-000028090000}"/>
    <cellStyle name="Normal 6 4 2 3 2 4 3 2 2" xfId="7103" xr:uid="{FF89D359-F160-4F01-A8F5-E577D4EDC47C}"/>
    <cellStyle name="Normal 6 4 2 3 2 4 3 2 2 2" xfId="14963" xr:uid="{4A11ACA0-81D3-4A88-A287-72C1AC8E0B92}"/>
    <cellStyle name="Normal 6 4 2 3 2 4 3 2 3" xfId="11043" xr:uid="{E05BEF42-5F0E-49CA-B776-A020486D7517}"/>
    <cellStyle name="Normal 6 4 2 3 2 4 3 3" xfId="5149" xr:uid="{557D5D19-487C-46BE-8BB6-05AA8CBF97DA}"/>
    <cellStyle name="Normal 6 4 2 3 2 4 3 3 2" xfId="13009" xr:uid="{DD3B467B-F93A-4CC0-93EC-10768BD8B9A0}"/>
    <cellStyle name="Normal 6 4 2 3 2 4 3 4" xfId="9090" xr:uid="{80853D7E-8504-4A83-A152-0A7570FE111A}"/>
    <cellStyle name="Normal 6 4 2 3 2 4 4" xfId="1648" xr:uid="{00000000-0005-0000-0000-000029090000}"/>
    <cellStyle name="Normal 6 4 2 3 2 4 4 2" xfId="3602" xr:uid="{00000000-0005-0000-0000-00002A090000}"/>
    <cellStyle name="Normal 6 4 2 3 2 4 4 2 2" xfId="7523" xr:uid="{2F2FBCF6-DF22-4B5B-9FDA-688C1523ED62}"/>
    <cellStyle name="Normal 6 4 2 3 2 4 4 2 2 2" xfId="15383" xr:uid="{0B851523-D727-44FC-8EDD-802935C0741C}"/>
    <cellStyle name="Normal 6 4 2 3 2 4 4 2 3" xfId="11463" xr:uid="{52216A6D-809F-4EE9-8EB0-3F91C785AAF1}"/>
    <cellStyle name="Normal 6 4 2 3 2 4 4 3" xfId="5569" xr:uid="{B26A0DBC-6E55-445E-9DD6-0BDDE5B78FB2}"/>
    <cellStyle name="Normal 6 4 2 3 2 4 4 3 2" xfId="13429" xr:uid="{A6009CC6-694A-4412-8216-70395FC24384}"/>
    <cellStyle name="Normal 6 4 2 3 2 4 4 4" xfId="9510" xr:uid="{F413A2A6-BDB0-40DC-8C66-505602770692}"/>
    <cellStyle name="Normal 6 4 2 3 2 4 5" xfId="2302" xr:uid="{00000000-0005-0000-0000-00002B090000}"/>
    <cellStyle name="Normal 6 4 2 3 2 4 5 2" xfId="6223" xr:uid="{E24D45DF-E84F-4F09-9020-013496529DB8}"/>
    <cellStyle name="Normal 6 4 2 3 2 4 5 2 2" xfId="14083" xr:uid="{7128DDC2-E309-434A-A513-3B5288A92492}"/>
    <cellStyle name="Normal 6 4 2 3 2 4 5 3" xfId="10163" xr:uid="{3D8F649E-FC63-43FB-8BBF-EDD88EC6EAEA}"/>
    <cellStyle name="Normal 6 4 2 3 2 4 6" xfId="4269" xr:uid="{B0347D72-D07E-492C-B115-5C3BB7B12804}"/>
    <cellStyle name="Normal 6 4 2 3 2 4 6 2" xfId="12129" xr:uid="{46A5D2E3-C440-4F52-8E8A-A711480B8648}"/>
    <cellStyle name="Normal 6 4 2 3 2 4 7" xfId="8208" xr:uid="{43CF3B98-683B-4592-8F52-0D77695A6DC6}"/>
    <cellStyle name="Normal 6 4 2 3 2 5" xfId="439" xr:uid="{00000000-0005-0000-0000-00002C090000}"/>
    <cellStyle name="Normal 6 4 2 3 2 5 2" xfId="890" xr:uid="{00000000-0005-0000-0000-00002D090000}"/>
    <cellStyle name="Normal 6 4 2 3 2 5 2 2" xfId="2844" xr:uid="{00000000-0005-0000-0000-00002E090000}"/>
    <cellStyle name="Normal 6 4 2 3 2 5 2 2 2" xfId="6765" xr:uid="{87E68504-727A-4502-9820-A4C63E112AA3}"/>
    <cellStyle name="Normal 6 4 2 3 2 5 2 2 2 2" xfId="14625" xr:uid="{F055621B-E3CD-4668-829C-7078394E4BDE}"/>
    <cellStyle name="Normal 6 4 2 3 2 5 2 2 3" xfId="10705" xr:uid="{8D2C5D68-129B-44F8-90C1-D070ACAE4639}"/>
    <cellStyle name="Normal 6 4 2 3 2 5 2 3" xfId="4811" xr:uid="{254C00E8-0420-46D1-8065-BB6D896FF83A}"/>
    <cellStyle name="Normal 6 4 2 3 2 5 2 3 2" xfId="12671" xr:uid="{7D0E051A-D33E-470A-A707-71AA23F0E3E5}"/>
    <cellStyle name="Normal 6 4 2 3 2 5 2 4" xfId="8752" xr:uid="{E132B71E-0EC4-4973-A773-19B3B5D3A254}"/>
    <cellStyle name="Normal 6 4 2 3 2 5 3" xfId="1322" xr:uid="{00000000-0005-0000-0000-00002F090000}"/>
    <cellStyle name="Normal 6 4 2 3 2 5 3 2" xfId="3276" xr:uid="{00000000-0005-0000-0000-000030090000}"/>
    <cellStyle name="Normal 6 4 2 3 2 5 3 2 2" xfId="7197" xr:uid="{520194D5-477C-428B-AF38-6D8DF7F36DA7}"/>
    <cellStyle name="Normal 6 4 2 3 2 5 3 2 2 2" xfId="15057" xr:uid="{73AEFFCE-7252-47AF-8D8B-DFA23D0FE8C1}"/>
    <cellStyle name="Normal 6 4 2 3 2 5 3 2 3" xfId="11137" xr:uid="{EEC8D92A-F53B-4919-BD1D-122B78B15C37}"/>
    <cellStyle name="Normal 6 4 2 3 2 5 3 3" xfId="5243" xr:uid="{6014DF59-0447-4D45-92AB-FE25A8E3FD72}"/>
    <cellStyle name="Normal 6 4 2 3 2 5 3 3 2" xfId="13103" xr:uid="{92B9A402-D387-4170-B420-6B084B41CF41}"/>
    <cellStyle name="Normal 6 4 2 3 2 5 3 4" xfId="9184" xr:uid="{1D1CE1D0-2293-430D-AEE6-B5ABE0ED8863}"/>
    <cellStyle name="Normal 6 4 2 3 2 5 4" xfId="1740" xr:uid="{00000000-0005-0000-0000-000031090000}"/>
    <cellStyle name="Normal 6 4 2 3 2 5 4 2" xfId="3694" xr:uid="{00000000-0005-0000-0000-000032090000}"/>
    <cellStyle name="Normal 6 4 2 3 2 5 4 2 2" xfId="7615" xr:uid="{CA096730-D2FD-47B3-9E22-C7B3F8065A18}"/>
    <cellStyle name="Normal 6 4 2 3 2 5 4 2 2 2" xfId="15475" xr:uid="{BC940A1C-5CB1-4B5A-A281-007B13626B0F}"/>
    <cellStyle name="Normal 6 4 2 3 2 5 4 2 3" xfId="11555" xr:uid="{8F72CF2F-5006-459D-9C8A-2FFF33D06810}"/>
    <cellStyle name="Normal 6 4 2 3 2 5 4 3" xfId="5661" xr:uid="{AEC9670F-89DB-450D-B899-FC6FAC0CBF25}"/>
    <cellStyle name="Normal 6 4 2 3 2 5 4 3 2" xfId="13521" xr:uid="{94560DD2-3F4C-489D-9480-E56B7FD77686}"/>
    <cellStyle name="Normal 6 4 2 3 2 5 4 4" xfId="9602" xr:uid="{611BD74C-A7F6-47D1-A0CF-AC587A0CCE36}"/>
    <cellStyle name="Normal 6 4 2 3 2 5 5" xfId="2394" xr:uid="{00000000-0005-0000-0000-000033090000}"/>
    <cellStyle name="Normal 6 4 2 3 2 5 5 2" xfId="6315" xr:uid="{9F04AEAC-347E-42AF-9386-FC14E15C35B6}"/>
    <cellStyle name="Normal 6 4 2 3 2 5 5 2 2" xfId="14175" xr:uid="{9972BA61-1DAD-49EC-92C1-12F11342EAE8}"/>
    <cellStyle name="Normal 6 4 2 3 2 5 5 3" xfId="10255" xr:uid="{FE03D96D-71B9-42B5-A1CF-4B3136892517}"/>
    <cellStyle name="Normal 6 4 2 3 2 5 6" xfId="4361" xr:uid="{5B550F58-882E-487A-931C-8C80D8F230B2}"/>
    <cellStyle name="Normal 6 4 2 3 2 5 6 2" xfId="12221" xr:uid="{0F5B916B-79D7-4956-9FA9-F42685797EC6}"/>
    <cellStyle name="Normal 6 4 2 3 2 5 7" xfId="8302" xr:uid="{27C378B6-68DF-4EA7-B8B3-7E7063935D5B}"/>
    <cellStyle name="Normal 6 4 2 3 2 6" xfId="531" xr:uid="{00000000-0005-0000-0000-000034090000}"/>
    <cellStyle name="Normal 6 4 2 3 2 6 2" xfId="2485" xr:uid="{00000000-0005-0000-0000-000035090000}"/>
    <cellStyle name="Normal 6 4 2 3 2 6 2 2" xfId="6406" xr:uid="{357D35A5-8E80-4B6E-9E22-C26A9431C1CC}"/>
    <cellStyle name="Normal 6 4 2 3 2 6 2 2 2" xfId="14266" xr:uid="{123E6E3C-6256-40F6-A7B6-5C89DF0F19EA}"/>
    <cellStyle name="Normal 6 4 2 3 2 6 2 3" xfId="10346" xr:uid="{FECBE258-9749-4B39-BB21-5064F8693052}"/>
    <cellStyle name="Normal 6 4 2 3 2 6 3" xfId="4452" xr:uid="{BEE290E5-DDB3-4C86-908E-923299A9BEBB}"/>
    <cellStyle name="Normal 6 4 2 3 2 6 3 2" xfId="12312" xr:uid="{0E9D0E45-826D-4274-8504-31A16A391241}"/>
    <cellStyle name="Normal 6 4 2 3 2 6 4" xfId="8393" xr:uid="{7C31045E-0A53-466E-996D-5BA736196376}"/>
    <cellStyle name="Normal 6 4 2 3 2 7" xfId="968" xr:uid="{00000000-0005-0000-0000-000036090000}"/>
    <cellStyle name="Normal 6 4 2 3 2 7 2" xfId="2922" xr:uid="{00000000-0005-0000-0000-000037090000}"/>
    <cellStyle name="Normal 6 4 2 3 2 7 2 2" xfId="6843" xr:uid="{4C82E0C0-62DA-4390-A8D0-4779C97A4B8F}"/>
    <cellStyle name="Normal 6 4 2 3 2 7 2 2 2" xfId="14703" xr:uid="{B4072843-8051-493D-BA9A-94D702242FE0}"/>
    <cellStyle name="Normal 6 4 2 3 2 7 2 3" xfId="10783" xr:uid="{E77F93EC-E94B-4687-8A7E-23C782BEA5A4}"/>
    <cellStyle name="Normal 6 4 2 3 2 7 3" xfId="4889" xr:uid="{E319751D-EF35-4A4A-9417-774B711B5A22}"/>
    <cellStyle name="Normal 6 4 2 3 2 7 3 2" xfId="12749" xr:uid="{C0E45D43-2188-4040-A635-8F8B9A1A87A9}"/>
    <cellStyle name="Normal 6 4 2 3 2 7 4" xfId="8830" xr:uid="{18C7834B-12DE-47D7-9081-B0F481490E55}"/>
    <cellStyle name="Normal 6 4 2 3 2 8" xfId="1395" xr:uid="{00000000-0005-0000-0000-000038090000}"/>
    <cellStyle name="Normal 6 4 2 3 2 8 2" xfId="3349" xr:uid="{00000000-0005-0000-0000-000039090000}"/>
    <cellStyle name="Normal 6 4 2 3 2 8 2 2" xfId="7270" xr:uid="{7C1B931E-A121-4F96-A5A7-C5BFE76D8B6A}"/>
    <cellStyle name="Normal 6 4 2 3 2 8 2 2 2" xfId="15130" xr:uid="{1DB7C356-B662-4293-A1E1-ECE9D32C52C9}"/>
    <cellStyle name="Normal 6 4 2 3 2 8 2 3" xfId="11210" xr:uid="{ADB162C8-88D8-4F4E-B463-9D56B6C2A1BE}"/>
    <cellStyle name="Normal 6 4 2 3 2 8 3" xfId="5316" xr:uid="{7DC9DD3E-A792-49A3-8627-2471723E95FB}"/>
    <cellStyle name="Normal 6 4 2 3 2 8 3 2" xfId="13176" xr:uid="{32B86B00-EDE5-4F87-9105-769F54FBCB8E}"/>
    <cellStyle name="Normal 6 4 2 3 2 8 4" xfId="9257" xr:uid="{DFB7A06B-B96D-4CB7-A8FE-922C1BD66678}"/>
    <cellStyle name="Normal 6 4 2 3 2 9" xfId="2048" xr:uid="{00000000-0005-0000-0000-00003A090000}"/>
    <cellStyle name="Normal 6 4 2 3 2 9 2" xfId="5969" xr:uid="{9441A91D-805D-4F2A-BC63-4C52CB4C826F}"/>
    <cellStyle name="Normal 6 4 2 3 2 9 2 2" xfId="13829" xr:uid="{B4ECAED7-2306-4CBF-8E3A-DFDA2B31BD8C}"/>
    <cellStyle name="Normal 6 4 2 3 2 9 3" xfId="9909" xr:uid="{05E83666-4C78-4BB6-8B36-A0D890679E6F}"/>
    <cellStyle name="Normal 6 4 2 3 3" xfId="196" xr:uid="{00000000-0005-0000-0000-00003B090000}"/>
    <cellStyle name="Normal 6 4 2 3 3 2" xfId="648" xr:uid="{00000000-0005-0000-0000-00003C090000}"/>
    <cellStyle name="Normal 6 4 2 3 3 2 2" xfId="2602" xr:uid="{00000000-0005-0000-0000-00003D090000}"/>
    <cellStyle name="Normal 6 4 2 3 3 2 2 2" xfId="6523" xr:uid="{72E33B92-2568-42C8-909D-940A2CA8B07A}"/>
    <cellStyle name="Normal 6 4 2 3 3 2 2 2 2" xfId="14383" xr:uid="{680908A7-B9B7-4E02-8E60-FB6CE329B35A}"/>
    <cellStyle name="Normal 6 4 2 3 3 2 2 3" xfId="10463" xr:uid="{AAF91C74-833C-4368-84BB-9D2014A53EAB}"/>
    <cellStyle name="Normal 6 4 2 3 3 2 3" xfId="4569" xr:uid="{3AD1835C-89F1-4B91-A104-D9333F9F26F8}"/>
    <cellStyle name="Normal 6 4 2 3 3 2 3 2" xfId="12429" xr:uid="{B07CFDE2-D73C-4E5A-AFE4-1E3A8C201AD1}"/>
    <cellStyle name="Normal 6 4 2 3 3 2 4" xfId="8510" xr:uid="{F49F6EFF-D17D-45AD-BAE3-0773DFC5D855}"/>
    <cellStyle name="Normal 6 4 2 3 3 3" xfId="1085" xr:uid="{00000000-0005-0000-0000-00003E090000}"/>
    <cellStyle name="Normal 6 4 2 3 3 3 2" xfId="3039" xr:uid="{00000000-0005-0000-0000-00003F090000}"/>
    <cellStyle name="Normal 6 4 2 3 3 3 2 2" xfId="6960" xr:uid="{FFB93ED5-F1C6-4C9E-AEFA-1F025AD6C235}"/>
    <cellStyle name="Normal 6 4 2 3 3 3 2 2 2" xfId="14820" xr:uid="{9835370F-0C17-4CF5-B60C-6E1EFEF264D1}"/>
    <cellStyle name="Normal 6 4 2 3 3 3 2 3" xfId="10900" xr:uid="{EB1B6C96-384A-4A05-B803-D5275C67D3D3}"/>
    <cellStyle name="Normal 6 4 2 3 3 3 3" xfId="5006" xr:uid="{C38A48E6-81F0-4ABD-BEDD-23160C9C55FC}"/>
    <cellStyle name="Normal 6 4 2 3 3 3 3 2" xfId="12866" xr:uid="{110BB4F0-ED3B-47CA-A465-F23A2F62DEA8}"/>
    <cellStyle name="Normal 6 4 2 3 3 3 4" xfId="8947" xr:uid="{853DAB75-345A-4466-B865-6140FB97AF64}"/>
    <cellStyle name="Normal 6 4 2 3 3 4" xfId="1512" xr:uid="{00000000-0005-0000-0000-000040090000}"/>
    <cellStyle name="Normal 6 4 2 3 3 4 2" xfId="3466" xr:uid="{00000000-0005-0000-0000-000041090000}"/>
    <cellStyle name="Normal 6 4 2 3 3 4 2 2" xfId="7387" xr:uid="{BF1AD9BE-C948-450C-AC38-1FE9CE3527E8}"/>
    <cellStyle name="Normal 6 4 2 3 3 4 2 2 2" xfId="15247" xr:uid="{504E88F7-1EE3-4675-AAAE-2CF90A3AAABB}"/>
    <cellStyle name="Normal 6 4 2 3 3 4 2 3" xfId="11327" xr:uid="{F6FB0513-C40D-4150-891B-6B9F0C054479}"/>
    <cellStyle name="Normal 6 4 2 3 3 4 3" xfId="5433" xr:uid="{766578EC-9230-4F69-9EA8-98909428647E}"/>
    <cellStyle name="Normal 6 4 2 3 3 4 3 2" xfId="13293" xr:uid="{8E284072-818E-4189-9CAA-C23CA968FF22}"/>
    <cellStyle name="Normal 6 4 2 3 3 4 4" xfId="9374" xr:uid="{3762A191-C63F-4341-A48E-CC94362B23B3}"/>
    <cellStyle name="Normal 6 4 2 3 3 5" xfId="2165" xr:uid="{00000000-0005-0000-0000-000042090000}"/>
    <cellStyle name="Normal 6 4 2 3 3 5 2" xfId="6086" xr:uid="{B125A3CE-4AB3-44D0-A9C8-1407EE3EEE49}"/>
    <cellStyle name="Normal 6 4 2 3 3 5 2 2" xfId="13946" xr:uid="{97F0CC99-CA35-44F5-8A69-DBEDF432008C}"/>
    <cellStyle name="Normal 6 4 2 3 3 5 3" xfId="10026" xr:uid="{7566B820-DCFB-46C0-984C-CFA4481C332B}"/>
    <cellStyle name="Normal 6 4 2 3 3 6" xfId="4132" xr:uid="{B26D0561-ED6C-44F3-AD57-A9926EC6511F}"/>
    <cellStyle name="Normal 6 4 2 3 3 6 2" xfId="11992" xr:uid="{2AB1907E-7943-4799-97AD-71D879507B48}"/>
    <cellStyle name="Normal 6 4 2 3 3 7" xfId="8070" xr:uid="{7468AB28-A17C-4A0A-94CF-3581E8847611}"/>
    <cellStyle name="Normal 6 4 2 3 4" xfId="118" xr:uid="{00000000-0005-0000-0000-000043090000}"/>
    <cellStyle name="Normal 6 4 2 3 4 2" xfId="570" xr:uid="{00000000-0005-0000-0000-000044090000}"/>
    <cellStyle name="Normal 6 4 2 3 4 2 2" xfId="2524" xr:uid="{00000000-0005-0000-0000-000045090000}"/>
    <cellStyle name="Normal 6 4 2 3 4 2 2 2" xfId="6445" xr:uid="{04277706-84EC-4647-B4B2-B255346E54C1}"/>
    <cellStyle name="Normal 6 4 2 3 4 2 2 2 2" xfId="14305" xr:uid="{06297943-87BE-495B-B543-1A90FA72818D}"/>
    <cellStyle name="Normal 6 4 2 3 4 2 2 3" xfId="10385" xr:uid="{D50CB1D3-36F5-4808-834F-BCEF894E25F4}"/>
    <cellStyle name="Normal 6 4 2 3 4 2 3" xfId="4491" xr:uid="{44191363-77DD-4F7D-94E8-49DC2DCBB51F}"/>
    <cellStyle name="Normal 6 4 2 3 4 2 3 2" xfId="12351" xr:uid="{A6603509-825D-4BE3-BC81-62A24A2872F4}"/>
    <cellStyle name="Normal 6 4 2 3 4 2 4" xfId="8432" xr:uid="{319812B7-0AF2-4479-888C-26265E918246}"/>
    <cellStyle name="Normal 6 4 2 3 4 3" xfId="1007" xr:uid="{00000000-0005-0000-0000-000046090000}"/>
    <cellStyle name="Normal 6 4 2 3 4 3 2" xfId="2961" xr:uid="{00000000-0005-0000-0000-000047090000}"/>
    <cellStyle name="Normal 6 4 2 3 4 3 2 2" xfId="6882" xr:uid="{E0B9A762-A6CE-4A62-8A86-8DF5A7BBB14F}"/>
    <cellStyle name="Normal 6 4 2 3 4 3 2 2 2" xfId="14742" xr:uid="{0A0CD1CE-A70B-4768-98D3-D0079FF7099D}"/>
    <cellStyle name="Normal 6 4 2 3 4 3 2 3" xfId="10822" xr:uid="{70528BC2-325C-456B-9523-A60F5CB879B2}"/>
    <cellStyle name="Normal 6 4 2 3 4 3 3" xfId="4928" xr:uid="{7B871AEB-27E0-4F4D-94A1-05825F580E3E}"/>
    <cellStyle name="Normal 6 4 2 3 4 3 3 2" xfId="12788" xr:uid="{579A9092-F69C-4E2A-B950-C8AEF6460CAB}"/>
    <cellStyle name="Normal 6 4 2 3 4 3 4" xfId="8869" xr:uid="{091FE586-2877-4CE9-9830-77900AF5405C}"/>
    <cellStyle name="Normal 6 4 2 3 4 4" xfId="1434" xr:uid="{00000000-0005-0000-0000-000048090000}"/>
    <cellStyle name="Normal 6 4 2 3 4 4 2" xfId="3388" xr:uid="{00000000-0005-0000-0000-000049090000}"/>
    <cellStyle name="Normal 6 4 2 3 4 4 2 2" xfId="7309" xr:uid="{446AE45B-1104-4778-B2D2-4BE47502436A}"/>
    <cellStyle name="Normal 6 4 2 3 4 4 2 2 2" xfId="15169" xr:uid="{13176111-3EDA-4129-BE48-A7B3C840E7F7}"/>
    <cellStyle name="Normal 6 4 2 3 4 4 2 3" xfId="11249" xr:uid="{163CEC9C-7899-405C-BE84-AD321456E192}"/>
    <cellStyle name="Normal 6 4 2 3 4 4 3" xfId="5355" xr:uid="{53F742CD-D585-4E30-828A-B3A261AF6824}"/>
    <cellStyle name="Normal 6 4 2 3 4 4 3 2" xfId="13215" xr:uid="{6BDB8808-1DB2-41DE-81C4-2AA4F5DABEB9}"/>
    <cellStyle name="Normal 6 4 2 3 4 4 4" xfId="9296" xr:uid="{BF9F66F7-7C53-4DE6-9BDA-8968D04D820F}"/>
    <cellStyle name="Normal 6 4 2 3 4 5" xfId="2087" xr:uid="{00000000-0005-0000-0000-00004A090000}"/>
    <cellStyle name="Normal 6 4 2 3 4 5 2" xfId="6008" xr:uid="{818CD89F-3134-4D29-B19E-1B73E8231F85}"/>
    <cellStyle name="Normal 6 4 2 3 4 5 2 2" xfId="13868" xr:uid="{DC6DF410-A981-4B84-955E-B37B3A07E949}"/>
    <cellStyle name="Normal 6 4 2 3 4 5 3" xfId="9948" xr:uid="{157581CF-564D-465C-A7FA-257965DB08B8}"/>
    <cellStyle name="Normal 6 4 2 3 4 6" xfId="4054" xr:uid="{B7BF8C48-2ADB-4D97-BF0D-566A0DDBCDB5}"/>
    <cellStyle name="Normal 6 4 2 3 4 6 2" xfId="11914" xr:uid="{39E34207-BD51-464F-A885-B47EF65CEF3C}"/>
    <cellStyle name="Normal 6 4 2 3 4 7" xfId="7992" xr:uid="{92868554-4C9E-4070-9283-F9D0CDE52B95}"/>
    <cellStyle name="Normal 6 4 2 3 5" xfId="295" xr:uid="{00000000-0005-0000-0000-00004B090000}"/>
    <cellStyle name="Normal 6 4 2 3 5 2" xfId="747" xr:uid="{00000000-0005-0000-0000-00004C090000}"/>
    <cellStyle name="Normal 6 4 2 3 5 2 2" xfId="2701" xr:uid="{00000000-0005-0000-0000-00004D090000}"/>
    <cellStyle name="Normal 6 4 2 3 5 2 2 2" xfId="6622" xr:uid="{9BBD2AC7-7A1F-4A97-A4C8-FC492B03A2F9}"/>
    <cellStyle name="Normal 6 4 2 3 5 2 2 2 2" xfId="14482" xr:uid="{CA6DA7B4-D913-4161-9AB1-8BA4D12984A2}"/>
    <cellStyle name="Normal 6 4 2 3 5 2 2 3" xfId="10562" xr:uid="{034F8F08-7676-4459-B382-50E8544284D6}"/>
    <cellStyle name="Normal 6 4 2 3 5 2 3" xfId="4668" xr:uid="{4346AD83-4A45-474C-92C6-865CEA189EFF}"/>
    <cellStyle name="Normal 6 4 2 3 5 2 3 2" xfId="12528" xr:uid="{E8B824D2-6B36-46D5-94D8-942E8B61FAFB}"/>
    <cellStyle name="Normal 6 4 2 3 5 2 4" xfId="8609" xr:uid="{20241F61-EC63-4A2A-92C2-AA686E8973C7}"/>
    <cellStyle name="Normal 6 4 2 3 5 3" xfId="1183" xr:uid="{00000000-0005-0000-0000-00004E090000}"/>
    <cellStyle name="Normal 6 4 2 3 5 3 2" xfId="3137" xr:uid="{00000000-0005-0000-0000-00004F090000}"/>
    <cellStyle name="Normal 6 4 2 3 5 3 2 2" xfId="7058" xr:uid="{BCBE5D99-42F4-49BF-AC6F-4DF9EE205AC9}"/>
    <cellStyle name="Normal 6 4 2 3 5 3 2 2 2" xfId="14918" xr:uid="{4659555B-35B4-4C37-999D-DEBF6E522F9C}"/>
    <cellStyle name="Normal 6 4 2 3 5 3 2 3" xfId="10998" xr:uid="{A2042113-343A-44E7-84E7-66AB2C6AA052}"/>
    <cellStyle name="Normal 6 4 2 3 5 3 3" xfId="5104" xr:uid="{278B48B1-189C-419C-BA71-0A283EF2E8E1}"/>
    <cellStyle name="Normal 6 4 2 3 5 3 3 2" xfId="12964" xr:uid="{40B5C84B-D8A2-4FC6-BA49-B055C539FC8A}"/>
    <cellStyle name="Normal 6 4 2 3 5 3 4" xfId="9045" xr:uid="{0C862170-1358-48E6-AAE1-6555117684BC}"/>
    <cellStyle name="Normal 6 4 2 3 5 4" xfId="1603" xr:uid="{00000000-0005-0000-0000-000050090000}"/>
    <cellStyle name="Normal 6 4 2 3 5 4 2" xfId="3557" xr:uid="{00000000-0005-0000-0000-000051090000}"/>
    <cellStyle name="Normal 6 4 2 3 5 4 2 2" xfId="7478" xr:uid="{7E5D2478-A12D-4A9F-908D-E6A1AC547A84}"/>
    <cellStyle name="Normal 6 4 2 3 5 4 2 2 2" xfId="15338" xr:uid="{C26B28AB-526A-4DD1-894D-6BA78FB87C59}"/>
    <cellStyle name="Normal 6 4 2 3 5 4 2 3" xfId="11418" xr:uid="{7EB6E8B2-59EA-42B6-8C85-4F9B36FA93C7}"/>
    <cellStyle name="Normal 6 4 2 3 5 4 3" xfId="5524" xr:uid="{516EDD08-1231-4A35-BD28-B3A94761D309}"/>
    <cellStyle name="Normal 6 4 2 3 5 4 3 2" xfId="13384" xr:uid="{EA2427B9-C37F-452A-95C2-2B127BEFC6C8}"/>
    <cellStyle name="Normal 6 4 2 3 5 4 4" xfId="9465" xr:uid="{1BC029A7-E347-4BD8-A935-A260780932C6}"/>
    <cellStyle name="Normal 6 4 2 3 5 5" xfId="2257" xr:uid="{00000000-0005-0000-0000-000052090000}"/>
    <cellStyle name="Normal 6 4 2 3 5 5 2" xfId="6178" xr:uid="{C9CD685A-888D-4FBB-B9DC-EB813D13DE76}"/>
    <cellStyle name="Normal 6 4 2 3 5 5 2 2" xfId="14038" xr:uid="{86A72FA3-AC46-4093-A2FC-BA343AFACD95}"/>
    <cellStyle name="Normal 6 4 2 3 5 5 3" xfId="10118" xr:uid="{4B0B66C1-C3A3-49A0-B73D-C9851DA1C1DC}"/>
    <cellStyle name="Normal 6 4 2 3 5 6" xfId="4224" xr:uid="{1E6036E6-3610-4513-B568-C5A401EF997B}"/>
    <cellStyle name="Normal 6 4 2 3 5 6 2" xfId="12084" xr:uid="{37C6CC48-9131-4E45-BD64-D453C562CF29}"/>
    <cellStyle name="Normal 6 4 2 3 5 7" xfId="8163" xr:uid="{BDD1BAA0-3846-43DE-AB81-A062A450DB82}"/>
    <cellStyle name="Normal 6 4 2 3 6" xfId="394" xr:uid="{00000000-0005-0000-0000-000053090000}"/>
    <cellStyle name="Normal 6 4 2 3 6 2" xfId="845" xr:uid="{00000000-0005-0000-0000-000054090000}"/>
    <cellStyle name="Normal 6 4 2 3 6 2 2" xfId="2799" xr:uid="{00000000-0005-0000-0000-000055090000}"/>
    <cellStyle name="Normal 6 4 2 3 6 2 2 2" xfId="6720" xr:uid="{C8E7B7F4-8A08-4B3B-9864-EB359E67C906}"/>
    <cellStyle name="Normal 6 4 2 3 6 2 2 2 2" xfId="14580" xr:uid="{202CDEC7-4955-44E9-A356-797F0DED5B96}"/>
    <cellStyle name="Normal 6 4 2 3 6 2 2 3" xfId="10660" xr:uid="{14CC3A39-439E-42F0-9935-E4877B7A74E9}"/>
    <cellStyle name="Normal 6 4 2 3 6 2 3" xfId="4766" xr:uid="{519A32A4-3DFA-4766-B076-EC4ED3310357}"/>
    <cellStyle name="Normal 6 4 2 3 6 2 3 2" xfId="12626" xr:uid="{DD6E5ABE-FE02-424C-A907-56526E82EBCC}"/>
    <cellStyle name="Normal 6 4 2 3 6 2 4" xfId="8707" xr:uid="{33B8CCA0-C185-4C72-B937-695AC7FBAE26}"/>
    <cellStyle name="Normal 6 4 2 3 6 3" xfId="1277" xr:uid="{00000000-0005-0000-0000-000056090000}"/>
    <cellStyle name="Normal 6 4 2 3 6 3 2" xfId="3231" xr:uid="{00000000-0005-0000-0000-000057090000}"/>
    <cellStyle name="Normal 6 4 2 3 6 3 2 2" xfId="7152" xr:uid="{A992B43D-9372-446A-9616-D69B04EB736A}"/>
    <cellStyle name="Normal 6 4 2 3 6 3 2 2 2" xfId="15012" xr:uid="{8C9082E6-4F7B-4D3F-AD54-73E5D58C02DC}"/>
    <cellStyle name="Normal 6 4 2 3 6 3 2 3" xfId="11092" xr:uid="{A9831C93-DE48-44C0-BC92-20C718CBA82D}"/>
    <cellStyle name="Normal 6 4 2 3 6 3 3" xfId="5198" xr:uid="{E13181C8-C988-49ED-8C02-27F88F5EB5C1}"/>
    <cellStyle name="Normal 6 4 2 3 6 3 3 2" xfId="13058" xr:uid="{715C6216-BA10-4608-95E7-7A2FC06D1998}"/>
    <cellStyle name="Normal 6 4 2 3 6 3 4" xfId="9139" xr:uid="{48C3679D-E672-4457-A8CE-8CB5E1F4B13C}"/>
    <cellStyle name="Normal 6 4 2 3 6 4" xfId="1695" xr:uid="{00000000-0005-0000-0000-000058090000}"/>
    <cellStyle name="Normal 6 4 2 3 6 4 2" xfId="3649" xr:uid="{00000000-0005-0000-0000-000059090000}"/>
    <cellStyle name="Normal 6 4 2 3 6 4 2 2" xfId="7570" xr:uid="{683F8E60-999D-4263-BCCC-AA66FD39DB28}"/>
    <cellStyle name="Normal 6 4 2 3 6 4 2 2 2" xfId="15430" xr:uid="{4B3FD139-A782-46AA-BC6E-2ACCD932B741}"/>
    <cellStyle name="Normal 6 4 2 3 6 4 2 3" xfId="11510" xr:uid="{EE57FD8D-81BC-4837-BAA7-FD536E881D74}"/>
    <cellStyle name="Normal 6 4 2 3 6 4 3" xfId="5616" xr:uid="{B295F4A0-2E3D-41CF-A18C-8BF8341E3B6E}"/>
    <cellStyle name="Normal 6 4 2 3 6 4 3 2" xfId="13476" xr:uid="{6F5EA932-F3D2-4379-8EF4-190669E561E3}"/>
    <cellStyle name="Normal 6 4 2 3 6 4 4" xfId="9557" xr:uid="{EE4A6F74-BEF8-4DBD-BF44-10AFC91E54CB}"/>
    <cellStyle name="Normal 6 4 2 3 6 5" xfId="2349" xr:uid="{00000000-0005-0000-0000-00005A090000}"/>
    <cellStyle name="Normal 6 4 2 3 6 5 2" xfId="6270" xr:uid="{7F965D57-4928-4419-AC55-66FAD1C2979C}"/>
    <cellStyle name="Normal 6 4 2 3 6 5 2 2" xfId="14130" xr:uid="{8A8E3587-80BB-469A-8D10-415C8FAF3B5F}"/>
    <cellStyle name="Normal 6 4 2 3 6 5 3" xfId="10210" xr:uid="{B5A936D6-AD5F-407E-82A8-444DB916550A}"/>
    <cellStyle name="Normal 6 4 2 3 6 6" xfId="4316" xr:uid="{22C68902-243C-48F7-ABB7-0E532FC9206F}"/>
    <cellStyle name="Normal 6 4 2 3 6 6 2" xfId="12176" xr:uid="{632250D7-382C-4F90-8258-0A038E435908}"/>
    <cellStyle name="Normal 6 4 2 3 6 7" xfId="8257" xr:uid="{EE745689-B221-4E58-AD9F-AB7AB4A5233E}"/>
    <cellStyle name="Normal 6 4 2 3 7" xfId="492" xr:uid="{00000000-0005-0000-0000-00005B090000}"/>
    <cellStyle name="Normal 6 4 2 3 7 2" xfId="2446" xr:uid="{00000000-0005-0000-0000-00005C090000}"/>
    <cellStyle name="Normal 6 4 2 3 7 2 2" xfId="6367" xr:uid="{11610CB6-9AC0-4967-9E2B-06F5A200C88D}"/>
    <cellStyle name="Normal 6 4 2 3 7 2 2 2" xfId="14227" xr:uid="{D45CF925-4622-40C8-9AF6-10E5512C988D}"/>
    <cellStyle name="Normal 6 4 2 3 7 2 3" xfId="10307" xr:uid="{FF330355-E2DA-4FED-914C-1D3491E0379B}"/>
    <cellStyle name="Normal 6 4 2 3 7 3" xfId="4413" xr:uid="{DBB09E2B-4998-4661-A320-57E2B703773F}"/>
    <cellStyle name="Normal 6 4 2 3 7 3 2" xfId="12273" xr:uid="{00FE24EF-9789-4848-AA9E-12D7042D8A93}"/>
    <cellStyle name="Normal 6 4 2 3 7 4" xfId="8354" xr:uid="{C7D00D5A-6C4A-43F1-A756-CE96B4D61159}"/>
    <cellStyle name="Normal 6 4 2 3 8" xfId="928" xr:uid="{00000000-0005-0000-0000-00005D090000}"/>
    <cellStyle name="Normal 6 4 2 3 8 2" xfId="2882" xr:uid="{00000000-0005-0000-0000-00005E090000}"/>
    <cellStyle name="Normal 6 4 2 3 8 2 2" xfId="6803" xr:uid="{0919A1CF-435D-40DB-B26E-F428D54D2D7D}"/>
    <cellStyle name="Normal 6 4 2 3 8 2 2 2" xfId="14663" xr:uid="{5D550497-5D94-4DD5-BFF4-C17D35B9788D}"/>
    <cellStyle name="Normal 6 4 2 3 8 2 3" xfId="10743" xr:uid="{747C0718-D936-4E3C-B9AB-9BAB6998C14E}"/>
    <cellStyle name="Normal 6 4 2 3 8 3" xfId="4849" xr:uid="{1966E2D9-6619-4703-9F4D-556DC7534E65}"/>
    <cellStyle name="Normal 6 4 2 3 8 3 2" xfId="12709" xr:uid="{32D0CC07-A75B-438E-ABBF-9A7D70DEB0C0}"/>
    <cellStyle name="Normal 6 4 2 3 8 4" xfId="8790" xr:uid="{7291BD20-2BA6-493A-96A3-93C8BB7CF2CE}"/>
    <cellStyle name="Normal 6 4 2 3 9" xfId="1356" xr:uid="{00000000-0005-0000-0000-00005F090000}"/>
    <cellStyle name="Normal 6 4 2 3 9 2" xfId="3310" xr:uid="{00000000-0005-0000-0000-000060090000}"/>
    <cellStyle name="Normal 6 4 2 3 9 2 2" xfId="7231" xr:uid="{EBE21817-F880-4903-96DA-42E1C8300444}"/>
    <cellStyle name="Normal 6 4 2 3 9 2 2 2" xfId="15091" xr:uid="{81232624-A2D5-4F3F-B99C-503BA62AD3B2}"/>
    <cellStyle name="Normal 6 4 2 3 9 2 3" xfId="11171" xr:uid="{39BAD8A1-2510-41E0-BF9D-CAC5EFA37E38}"/>
    <cellStyle name="Normal 6 4 2 3 9 3" xfId="5277" xr:uid="{8E30C483-5FA6-4357-B282-47FEA3A36917}"/>
    <cellStyle name="Normal 6 4 2 3 9 3 2" xfId="13137" xr:uid="{4070FBC9-96B0-4F74-861F-1502F94A41D6}"/>
    <cellStyle name="Normal 6 4 2 3 9 4" xfId="9218" xr:uid="{7559F31B-0CB3-4D94-A98B-5F52774AFF75}"/>
    <cellStyle name="Normal 6 4 2 4" xfId="57" xr:uid="{00000000-0005-0000-0000-000061090000}"/>
    <cellStyle name="Normal 6 4 2 4 10" xfId="3993" xr:uid="{0D77CE4F-4E8F-46E4-BCC4-551439165B9F}"/>
    <cellStyle name="Normal 6 4 2 4 10 2" xfId="11853" xr:uid="{287A66F3-EC87-4F1A-AB96-C61397FBF0F0}"/>
    <cellStyle name="Normal 6 4 2 4 11" xfId="7931" xr:uid="{2D3F705A-8CDA-4A0E-A4C7-D68DF2D55DD5}"/>
    <cellStyle name="Normal 6 4 2 4 2" xfId="213" xr:uid="{00000000-0005-0000-0000-000062090000}"/>
    <cellStyle name="Normal 6 4 2 4 2 2" xfId="665" xr:uid="{00000000-0005-0000-0000-000063090000}"/>
    <cellStyle name="Normal 6 4 2 4 2 2 2" xfId="2619" xr:uid="{00000000-0005-0000-0000-000064090000}"/>
    <cellStyle name="Normal 6 4 2 4 2 2 2 2" xfId="6540" xr:uid="{8D905D21-C539-4D47-90D7-34D870AF621C}"/>
    <cellStyle name="Normal 6 4 2 4 2 2 2 2 2" xfId="14400" xr:uid="{3426AD2F-AC74-4ECA-91CF-6FD7F1A589B9}"/>
    <cellStyle name="Normal 6 4 2 4 2 2 2 3" xfId="10480" xr:uid="{4253FB44-A2C5-454F-AA62-665D3FF11445}"/>
    <cellStyle name="Normal 6 4 2 4 2 2 3" xfId="4586" xr:uid="{F0D73137-7928-4B58-8643-70FEC329CB98}"/>
    <cellStyle name="Normal 6 4 2 4 2 2 3 2" xfId="12446" xr:uid="{0A475087-FCD0-4A0A-B6DD-363B6B0CAE4B}"/>
    <cellStyle name="Normal 6 4 2 4 2 2 4" xfId="8527" xr:uid="{DDF15CA9-3BCD-4CD5-A1A2-78C98BDBE663}"/>
    <cellStyle name="Normal 6 4 2 4 2 3" xfId="1102" xr:uid="{00000000-0005-0000-0000-000065090000}"/>
    <cellStyle name="Normal 6 4 2 4 2 3 2" xfId="3056" xr:uid="{00000000-0005-0000-0000-000066090000}"/>
    <cellStyle name="Normal 6 4 2 4 2 3 2 2" xfId="6977" xr:uid="{E7CF6BB4-3B9E-438D-B592-F69ECAB97FF4}"/>
    <cellStyle name="Normal 6 4 2 4 2 3 2 2 2" xfId="14837" xr:uid="{3DB18374-5836-4A12-ADF3-91702EC923B0}"/>
    <cellStyle name="Normal 6 4 2 4 2 3 2 3" xfId="10917" xr:uid="{8DC13FD3-A5C6-4E91-A1EC-4F654C17352F}"/>
    <cellStyle name="Normal 6 4 2 4 2 3 3" xfId="5023" xr:uid="{2B26FD11-00F0-4EB6-9263-E4FACBAC6618}"/>
    <cellStyle name="Normal 6 4 2 4 2 3 3 2" xfId="12883" xr:uid="{CDA9D685-8C2B-4560-81F2-E2D7EEDBFDC0}"/>
    <cellStyle name="Normal 6 4 2 4 2 3 4" xfId="8964" xr:uid="{878E4AED-D7BC-429B-B455-FD8283AD3411}"/>
    <cellStyle name="Normal 6 4 2 4 2 4" xfId="1529" xr:uid="{00000000-0005-0000-0000-000067090000}"/>
    <cellStyle name="Normal 6 4 2 4 2 4 2" xfId="3483" xr:uid="{00000000-0005-0000-0000-000068090000}"/>
    <cellStyle name="Normal 6 4 2 4 2 4 2 2" xfId="7404" xr:uid="{D009A210-4AC9-41FE-A072-88F1AE00A9D3}"/>
    <cellStyle name="Normal 6 4 2 4 2 4 2 2 2" xfId="15264" xr:uid="{4EA5EBFF-59CB-44C1-AC8B-5902B244CE57}"/>
    <cellStyle name="Normal 6 4 2 4 2 4 2 3" xfId="11344" xr:uid="{72D00C3A-84AB-485B-ACB1-C3DEFFDCC292}"/>
    <cellStyle name="Normal 6 4 2 4 2 4 3" xfId="5450" xr:uid="{C1E92783-A275-4723-82BA-EE43DEEB08CC}"/>
    <cellStyle name="Normal 6 4 2 4 2 4 3 2" xfId="13310" xr:uid="{350314C6-3FC7-47FB-9982-E6D6F274612D}"/>
    <cellStyle name="Normal 6 4 2 4 2 4 4" xfId="9391" xr:uid="{9D30CB8D-D0D8-4C9C-83FF-AE90BBECCB52}"/>
    <cellStyle name="Normal 6 4 2 4 2 5" xfId="2182" xr:uid="{00000000-0005-0000-0000-000069090000}"/>
    <cellStyle name="Normal 6 4 2 4 2 5 2" xfId="6103" xr:uid="{45BD7BC6-DCF7-40EF-9346-19FB5F469AD6}"/>
    <cellStyle name="Normal 6 4 2 4 2 5 2 2" xfId="13963" xr:uid="{2674B2DB-ABE6-4522-B886-8A201DBFAEA7}"/>
    <cellStyle name="Normal 6 4 2 4 2 5 3" xfId="10043" xr:uid="{8A0F7B3B-4AD1-46D5-98C5-3451A4ADA11E}"/>
    <cellStyle name="Normal 6 4 2 4 2 6" xfId="4149" xr:uid="{3AB41388-15F8-4754-AC68-87D484DFE1B9}"/>
    <cellStyle name="Normal 6 4 2 4 2 6 2" xfId="12009" xr:uid="{DF68C777-0F65-40A9-B7B9-57EEE9E2B5FB}"/>
    <cellStyle name="Normal 6 4 2 4 2 7" xfId="8087" xr:uid="{625B7345-0F6B-404B-9754-3D50D10684A6}"/>
    <cellStyle name="Normal 6 4 2 4 3" xfId="135" xr:uid="{00000000-0005-0000-0000-00006A090000}"/>
    <cellStyle name="Normal 6 4 2 4 3 2" xfId="587" xr:uid="{00000000-0005-0000-0000-00006B090000}"/>
    <cellStyle name="Normal 6 4 2 4 3 2 2" xfId="2541" xr:uid="{00000000-0005-0000-0000-00006C090000}"/>
    <cellStyle name="Normal 6 4 2 4 3 2 2 2" xfId="6462" xr:uid="{8094E20D-487F-486B-BE4A-94C1FA4EE52D}"/>
    <cellStyle name="Normal 6 4 2 4 3 2 2 2 2" xfId="14322" xr:uid="{54B277FE-370B-4C57-8181-FDEB8A8DA9EB}"/>
    <cellStyle name="Normal 6 4 2 4 3 2 2 3" xfId="10402" xr:uid="{07F8F91F-50EF-41D7-9F32-366778F853F5}"/>
    <cellStyle name="Normal 6 4 2 4 3 2 3" xfId="4508" xr:uid="{DF11EFDF-73A1-455D-A322-32284ACB72D1}"/>
    <cellStyle name="Normal 6 4 2 4 3 2 3 2" xfId="12368" xr:uid="{FAC411C2-15D9-4363-9A72-63112B5827ED}"/>
    <cellStyle name="Normal 6 4 2 4 3 2 4" xfId="8449" xr:uid="{EEE5F0EF-5DE8-4C4C-8E6F-28B14847DB03}"/>
    <cellStyle name="Normal 6 4 2 4 3 3" xfId="1024" xr:uid="{00000000-0005-0000-0000-00006D090000}"/>
    <cellStyle name="Normal 6 4 2 4 3 3 2" xfId="2978" xr:uid="{00000000-0005-0000-0000-00006E090000}"/>
    <cellStyle name="Normal 6 4 2 4 3 3 2 2" xfId="6899" xr:uid="{86EB3B36-9429-4024-B61F-D2E342FFF617}"/>
    <cellStyle name="Normal 6 4 2 4 3 3 2 2 2" xfId="14759" xr:uid="{C7B0AD82-7C13-435B-BCC6-93F343B6BACC}"/>
    <cellStyle name="Normal 6 4 2 4 3 3 2 3" xfId="10839" xr:uid="{0C9B2D37-EAB6-4D63-9AB4-24DB0874991C}"/>
    <cellStyle name="Normal 6 4 2 4 3 3 3" xfId="4945" xr:uid="{E26DEC43-811F-40A3-8F06-E40B560EC369}"/>
    <cellStyle name="Normal 6 4 2 4 3 3 3 2" xfId="12805" xr:uid="{0FB1DB4A-03C5-4EC7-ADFC-7FEBEBD27500}"/>
    <cellStyle name="Normal 6 4 2 4 3 3 4" xfId="8886" xr:uid="{AA7F712A-6205-4EAE-BED1-A9B0917D5DA8}"/>
    <cellStyle name="Normal 6 4 2 4 3 4" xfId="1451" xr:uid="{00000000-0005-0000-0000-00006F090000}"/>
    <cellStyle name="Normal 6 4 2 4 3 4 2" xfId="3405" xr:uid="{00000000-0005-0000-0000-000070090000}"/>
    <cellStyle name="Normal 6 4 2 4 3 4 2 2" xfId="7326" xr:uid="{1F2A153A-95E5-4FE1-BC79-2E29EA98CD3B}"/>
    <cellStyle name="Normal 6 4 2 4 3 4 2 2 2" xfId="15186" xr:uid="{687B5392-94BE-4352-AC94-DFEB770E2893}"/>
    <cellStyle name="Normal 6 4 2 4 3 4 2 3" xfId="11266" xr:uid="{8685B4D9-E8CC-44E7-85F2-0DC9834E3DF2}"/>
    <cellStyle name="Normal 6 4 2 4 3 4 3" xfId="5372" xr:uid="{7465B4BB-79ED-457A-A9EE-99D93D7CB198}"/>
    <cellStyle name="Normal 6 4 2 4 3 4 3 2" xfId="13232" xr:uid="{FB6AEDCE-3B5F-4338-82C7-DDAF0DCD1AC1}"/>
    <cellStyle name="Normal 6 4 2 4 3 4 4" xfId="9313" xr:uid="{23C13911-632B-4D70-9AE7-D1BEACDAF0AE}"/>
    <cellStyle name="Normal 6 4 2 4 3 5" xfId="2104" xr:uid="{00000000-0005-0000-0000-000071090000}"/>
    <cellStyle name="Normal 6 4 2 4 3 5 2" xfId="6025" xr:uid="{6B443635-547F-4526-843A-B7A3B993B35F}"/>
    <cellStyle name="Normal 6 4 2 4 3 5 2 2" xfId="13885" xr:uid="{D3DF036B-11A6-4869-846E-FA32091CCDC9}"/>
    <cellStyle name="Normal 6 4 2 4 3 5 3" xfId="9965" xr:uid="{79F8AA14-8474-4050-A5DC-8F0ED5E6F636}"/>
    <cellStyle name="Normal 6 4 2 4 3 6" xfId="4071" xr:uid="{55907A4E-57C1-42B9-8800-3C9146B7233A}"/>
    <cellStyle name="Normal 6 4 2 4 3 6 2" xfId="11931" xr:uid="{6ABE8E80-1729-419A-94B0-1C238969DE81}"/>
    <cellStyle name="Normal 6 4 2 4 3 7" xfId="8009" xr:uid="{A659F2CC-24E2-450C-BAA4-0B84A4FBEFDB}"/>
    <cellStyle name="Normal 6 4 2 4 4" xfId="319" xr:uid="{00000000-0005-0000-0000-000072090000}"/>
    <cellStyle name="Normal 6 4 2 4 4 2" xfId="771" xr:uid="{00000000-0005-0000-0000-000073090000}"/>
    <cellStyle name="Normal 6 4 2 4 4 2 2" xfId="2725" xr:uid="{00000000-0005-0000-0000-000074090000}"/>
    <cellStyle name="Normal 6 4 2 4 4 2 2 2" xfId="6646" xr:uid="{1906FBE1-F3E6-4E46-96F8-A192080695A5}"/>
    <cellStyle name="Normal 6 4 2 4 4 2 2 2 2" xfId="14506" xr:uid="{CC21EEFC-826B-4793-A4BE-42B9BF56A0E8}"/>
    <cellStyle name="Normal 6 4 2 4 4 2 2 3" xfId="10586" xr:uid="{04F62F6A-B423-4333-9058-5EC7A5CAD56F}"/>
    <cellStyle name="Normal 6 4 2 4 4 2 3" xfId="4692" xr:uid="{787CD9BF-592D-4F9E-94FB-7D2EB785F36D}"/>
    <cellStyle name="Normal 6 4 2 4 4 2 3 2" xfId="12552" xr:uid="{67EB4B8C-2CA5-4C16-8BCF-DCB7A922FDEC}"/>
    <cellStyle name="Normal 6 4 2 4 4 2 4" xfId="8633" xr:uid="{ECD53B44-E47B-49AE-B03A-F5A6F5FEDE06}"/>
    <cellStyle name="Normal 6 4 2 4 4 3" xfId="1206" xr:uid="{00000000-0005-0000-0000-000075090000}"/>
    <cellStyle name="Normal 6 4 2 4 4 3 2" xfId="3160" xr:uid="{00000000-0005-0000-0000-000076090000}"/>
    <cellStyle name="Normal 6 4 2 4 4 3 2 2" xfId="7081" xr:uid="{31639ED6-5EF8-4610-8C08-996DEEBBC941}"/>
    <cellStyle name="Normal 6 4 2 4 4 3 2 2 2" xfId="14941" xr:uid="{6A1092EF-AF37-44A5-A46C-3E222967F088}"/>
    <cellStyle name="Normal 6 4 2 4 4 3 2 3" xfId="11021" xr:uid="{66359AAD-FF86-4ED6-A44A-98ECD92A8C2A}"/>
    <cellStyle name="Normal 6 4 2 4 4 3 3" xfId="5127" xr:uid="{C7E2A688-7AB3-4412-AD49-7012C77B7036}"/>
    <cellStyle name="Normal 6 4 2 4 4 3 3 2" xfId="12987" xr:uid="{DA451C68-F9E8-47FA-A771-14C3DD93A8E1}"/>
    <cellStyle name="Normal 6 4 2 4 4 3 4" xfId="9068" xr:uid="{FF4AD4A8-70F6-47D1-A46D-3CA289E74234}"/>
    <cellStyle name="Normal 6 4 2 4 4 4" xfId="1626" xr:uid="{00000000-0005-0000-0000-000077090000}"/>
    <cellStyle name="Normal 6 4 2 4 4 4 2" xfId="3580" xr:uid="{00000000-0005-0000-0000-000078090000}"/>
    <cellStyle name="Normal 6 4 2 4 4 4 2 2" xfId="7501" xr:uid="{37761C86-3DD7-4FF1-B7C8-11C1C07294AB}"/>
    <cellStyle name="Normal 6 4 2 4 4 4 2 2 2" xfId="15361" xr:uid="{B794FA08-9119-4881-A2F2-A872E9C523A8}"/>
    <cellStyle name="Normal 6 4 2 4 4 4 2 3" xfId="11441" xr:uid="{F58033C3-B9CF-42B9-BDDE-F91CDD5394B5}"/>
    <cellStyle name="Normal 6 4 2 4 4 4 3" xfId="5547" xr:uid="{08E8660B-A3E9-40E8-97B9-EEA8DE85A099}"/>
    <cellStyle name="Normal 6 4 2 4 4 4 3 2" xfId="13407" xr:uid="{8E93A57B-8444-4C1B-B8FF-18BC40FAD89C}"/>
    <cellStyle name="Normal 6 4 2 4 4 4 4" xfId="9488" xr:uid="{836897BD-DCE8-4429-8975-3425F626BAA3}"/>
    <cellStyle name="Normal 6 4 2 4 4 5" xfId="2280" xr:uid="{00000000-0005-0000-0000-000079090000}"/>
    <cellStyle name="Normal 6 4 2 4 4 5 2" xfId="6201" xr:uid="{8C5BC7FA-92E8-47F9-B835-D89F4C261995}"/>
    <cellStyle name="Normal 6 4 2 4 4 5 2 2" xfId="14061" xr:uid="{D55593E5-4650-4A2F-8207-1395459598E6}"/>
    <cellStyle name="Normal 6 4 2 4 4 5 3" xfId="10141" xr:uid="{F0324337-EA5C-4D62-8D24-1C71230BC82F}"/>
    <cellStyle name="Normal 6 4 2 4 4 6" xfId="4247" xr:uid="{32FC9FE8-78CB-4458-BDBD-83D12CC146F1}"/>
    <cellStyle name="Normal 6 4 2 4 4 6 2" xfId="12107" xr:uid="{903CED10-9D15-470E-8C03-C6B75C1483BC}"/>
    <cellStyle name="Normal 6 4 2 4 4 7" xfId="8186" xr:uid="{8CC0D38F-6E7B-497E-A223-D57F32DEB479}"/>
    <cellStyle name="Normal 6 4 2 4 5" xfId="417" xr:uid="{00000000-0005-0000-0000-00007A090000}"/>
    <cellStyle name="Normal 6 4 2 4 5 2" xfId="868" xr:uid="{00000000-0005-0000-0000-00007B090000}"/>
    <cellStyle name="Normal 6 4 2 4 5 2 2" xfId="2822" xr:uid="{00000000-0005-0000-0000-00007C090000}"/>
    <cellStyle name="Normal 6 4 2 4 5 2 2 2" xfId="6743" xr:uid="{E5E6775D-8D7B-4C8D-9956-3EAE244DBFC2}"/>
    <cellStyle name="Normal 6 4 2 4 5 2 2 2 2" xfId="14603" xr:uid="{F740034F-EB1D-47FC-8BAD-F1795AB92AA5}"/>
    <cellStyle name="Normal 6 4 2 4 5 2 2 3" xfId="10683" xr:uid="{150CB7A0-40ED-408B-9D88-A53CD1A4DDDC}"/>
    <cellStyle name="Normal 6 4 2 4 5 2 3" xfId="4789" xr:uid="{56755DF0-8B3D-46CB-A9B0-676B3F9EBD41}"/>
    <cellStyle name="Normal 6 4 2 4 5 2 3 2" xfId="12649" xr:uid="{678D3776-F7F6-45BB-B2B2-89891D3A4B91}"/>
    <cellStyle name="Normal 6 4 2 4 5 2 4" xfId="8730" xr:uid="{4A1CBC4A-BF09-4092-B14C-8F0A7570EE8C}"/>
    <cellStyle name="Normal 6 4 2 4 5 3" xfId="1300" xr:uid="{00000000-0005-0000-0000-00007D090000}"/>
    <cellStyle name="Normal 6 4 2 4 5 3 2" xfId="3254" xr:uid="{00000000-0005-0000-0000-00007E090000}"/>
    <cellStyle name="Normal 6 4 2 4 5 3 2 2" xfId="7175" xr:uid="{880667C9-A60C-461E-9DCC-DDA0DBD1047D}"/>
    <cellStyle name="Normal 6 4 2 4 5 3 2 2 2" xfId="15035" xr:uid="{A22A06AA-D5AA-4876-9B4E-4BA303174979}"/>
    <cellStyle name="Normal 6 4 2 4 5 3 2 3" xfId="11115" xr:uid="{CFAE7923-FC1B-4AB0-A49F-D1079AD39784}"/>
    <cellStyle name="Normal 6 4 2 4 5 3 3" xfId="5221" xr:uid="{9C9641AA-1292-4F9C-996B-16134CBD9F82}"/>
    <cellStyle name="Normal 6 4 2 4 5 3 3 2" xfId="13081" xr:uid="{0C8CDDB8-D57F-4578-A66C-CF17B1CF4925}"/>
    <cellStyle name="Normal 6 4 2 4 5 3 4" xfId="9162" xr:uid="{F53E4873-E08C-4405-9DB6-2E6947BD8C58}"/>
    <cellStyle name="Normal 6 4 2 4 5 4" xfId="1718" xr:uid="{00000000-0005-0000-0000-00007F090000}"/>
    <cellStyle name="Normal 6 4 2 4 5 4 2" xfId="3672" xr:uid="{00000000-0005-0000-0000-000080090000}"/>
    <cellStyle name="Normal 6 4 2 4 5 4 2 2" xfId="7593" xr:uid="{24E4D89E-78AC-4529-968F-C9F82161E64A}"/>
    <cellStyle name="Normal 6 4 2 4 5 4 2 2 2" xfId="15453" xr:uid="{1246CB41-3282-433A-A233-8AACFF622E54}"/>
    <cellStyle name="Normal 6 4 2 4 5 4 2 3" xfId="11533" xr:uid="{57C7C74B-85F6-450B-B50A-CC5E4CE3DB5D}"/>
    <cellStyle name="Normal 6 4 2 4 5 4 3" xfId="5639" xr:uid="{760A52DA-4ED8-4365-AE2E-3A1DAAB48CCE}"/>
    <cellStyle name="Normal 6 4 2 4 5 4 3 2" xfId="13499" xr:uid="{DC56A5C8-3994-4E97-82E9-19865551E1BA}"/>
    <cellStyle name="Normal 6 4 2 4 5 4 4" xfId="9580" xr:uid="{33507476-A145-4B14-8D07-C18B28ABC3A6}"/>
    <cellStyle name="Normal 6 4 2 4 5 5" xfId="2372" xr:uid="{00000000-0005-0000-0000-000081090000}"/>
    <cellStyle name="Normal 6 4 2 4 5 5 2" xfId="6293" xr:uid="{1F792547-0DB4-4D95-8D05-B99C01C38D01}"/>
    <cellStyle name="Normal 6 4 2 4 5 5 2 2" xfId="14153" xr:uid="{A054BAB3-5C1D-47C5-84D1-708C2FA13441}"/>
    <cellStyle name="Normal 6 4 2 4 5 5 3" xfId="10233" xr:uid="{B5115B83-B779-417D-A4CD-49ABCDD2B61A}"/>
    <cellStyle name="Normal 6 4 2 4 5 6" xfId="4339" xr:uid="{BB1BAD01-89D4-4E2D-B433-78A69DFEEA70}"/>
    <cellStyle name="Normal 6 4 2 4 5 6 2" xfId="12199" xr:uid="{7DE4292D-9459-4810-8764-57CA2B7AC420}"/>
    <cellStyle name="Normal 6 4 2 4 5 7" xfId="8280" xr:uid="{BB2AFC1B-5087-4F58-B8D3-95E536B5A5F1}"/>
    <cellStyle name="Normal 6 4 2 4 6" xfId="509" xr:uid="{00000000-0005-0000-0000-000082090000}"/>
    <cellStyle name="Normal 6 4 2 4 6 2" xfId="2463" xr:uid="{00000000-0005-0000-0000-000083090000}"/>
    <cellStyle name="Normal 6 4 2 4 6 2 2" xfId="6384" xr:uid="{EF066B43-1A5B-4AEA-801F-C6FC8D9806F6}"/>
    <cellStyle name="Normal 6 4 2 4 6 2 2 2" xfId="14244" xr:uid="{38030940-B5DD-4796-A867-BA08F2F7ECE3}"/>
    <cellStyle name="Normal 6 4 2 4 6 2 3" xfId="10324" xr:uid="{8DB4D0AB-0FBE-4939-BD38-C0FD77FDE042}"/>
    <cellStyle name="Normal 6 4 2 4 6 3" xfId="4430" xr:uid="{C9D540D5-3343-48CD-A2F9-93072F0CB4A6}"/>
    <cellStyle name="Normal 6 4 2 4 6 3 2" xfId="12290" xr:uid="{0A464754-BDB0-48F5-BD6E-6EE2B70A888C}"/>
    <cellStyle name="Normal 6 4 2 4 6 4" xfId="8371" xr:uid="{233FE9D0-60C7-47F6-8AC3-1AA4154C2CD8}"/>
    <cellStyle name="Normal 6 4 2 4 7" xfId="946" xr:uid="{00000000-0005-0000-0000-000084090000}"/>
    <cellStyle name="Normal 6 4 2 4 7 2" xfId="2900" xr:uid="{00000000-0005-0000-0000-000085090000}"/>
    <cellStyle name="Normal 6 4 2 4 7 2 2" xfId="6821" xr:uid="{7696D044-10E9-47FB-9F2C-DF9C1CEE2156}"/>
    <cellStyle name="Normal 6 4 2 4 7 2 2 2" xfId="14681" xr:uid="{17660358-6B47-4A27-AC46-700A6DEC68A6}"/>
    <cellStyle name="Normal 6 4 2 4 7 2 3" xfId="10761" xr:uid="{D5486E1B-B19D-4E4A-BB46-05750DEE6678}"/>
    <cellStyle name="Normal 6 4 2 4 7 3" xfId="4867" xr:uid="{5ACBE097-D4CF-45A9-965A-55067E1BCC21}"/>
    <cellStyle name="Normal 6 4 2 4 7 3 2" xfId="12727" xr:uid="{4A94488B-FDBF-418D-BD12-9BB6B14D69F2}"/>
    <cellStyle name="Normal 6 4 2 4 7 4" xfId="8808" xr:uid="{DE603B4F-DEC7-4BC2-BB22-D801773C3331}"/>
    <cellStyle name="Normal 6 4 2 4 8" xfId="1373" xr:uid="{00000000-0005-0000-0000-000086090000}"/>
    <cellStyle name="Normal 6 4 2 4 8 2" xfId="3327" xr:uid="{00000000-0005-0000-0000-000087090000}"/>
    <cellStyle name="Normal 6 4 2 4 8 2 2" xfId="7248" xr:uid="{C6146C05-AA43-4FFD-AF3F-59FBAECD3039}"/>
    <cellStyle name="Normal 6 4 2 4 8 2 2 2" xfId="15108" xr:uid="{4EABA2FC-B396-4528-953A-BE27BA67272D}"/>
    <cellStyle name="Normal 6 4 2 4 8 2 3" xfId="11188" xr:uid="{9348009C-5085-4F5E-BA08-6606B2D25D38}"/>
    <cellStyle name="Normal 6 4 2 4 8 3" xfId="5294" xr:uid="{2BE5C8AC-FAF8-4ECC-941E-4B363B1F4E43}"/>
    <cellStyle name="Normal 6 4 2 4 8 3 2" xfId="13154" xr:uid="{CAE42972-7A7E-4F1B-AE90-CB1538B5E89C}"/>
    <cellStyle name="Normal 6 4 2 4 8 4" xfId="9235" xr:uid="{F476870D-8F79-480C-BCB3-7A0E9516D32F}"/>
    <cellStyle name="Normal 6 4 2 4 9" xfId="2026" xr:uid="{00000000-0005-0000-0000-000088090000}"/>
    <cellStyle name="Normal 6 4 2 4 9 2" xfId="5947" xr:uid="{9AAB4494-9DD0-41B9-92A3-FB883C47DB31}"/>
    <cellStyle name="Normal 6 4 2 4 9 2 2" xfId="13807" xr:uid="{59794F50-909C-48FF-9974-397818722809}"/>
    <cellStyle name="Normal 6 4 2 4 9 3" xfId="9887" xr:uid="{E1D5F0EA-0F27-4E4C-9DCE-3F4303AAC383}"/>
    <cellStyle name="Normal 6 4 2 5" xfId="174" xr:uid="{00000000-0005-0000-0000-000089090000}"/>
    <cellStyle name="Normal 6 4 2 5 2" xfId="626" xr:uid="{00000000-0005-0000-0000-00008A090000}"/>
    <cellStyle name="Normal 6 4 2 5 2 2" xfId="2580" xr:uid="{00000000-0005-0000-0000-00008B090000}"/>
    <cellStyle name="Normal 6 4 2 5 2 2 2" xfId="6501" xr:uid="{835CE41B-ED50-45A8-893E-665C30AD8EBE}"/>
    <cellStyle name="Normal 6 4 2 5 2 2 2 2" xfId="14361" xr:uid="{11281EB3-BC13-47FA-8D75-FD3A358DBD80}"/>
    <cellStyle name="Normal 6 4 2 5 2 2 3" xfId="10441" xr:uid="{AD83E8F5-8086-4A58-9F21-A7EBF03A3353}"/>
    <cellStyle name="Normal 6 4 2 5 2 3" xfId="4547" xr:uid="{47292169-7002-4C87-B7CF-C167DC10EEA8}"/>
    <cellStyle name="Normal 6 4 2 5 2 3 2" xfId="12407" xr:uid="{D39227B8-3ACC-454F-8E4E-B359A82EEA5B}"/>
    <cellStyle name="Normal 6 4 2 5 2 4" xfId="8488" xr:uid="{DF3173CA-51C4-4FAC-BBE3-E5130EA1110B}"/>
    <cellStyle name="Normal 6 4 2 5 3" xfId="1063" xr:uid="{00000000-0005-0000-0000-00008C090000}"/>
    <cellStyle name="Normal 6 4 2 5 3 2" xfId="3017" xr:uid="{00000000-0005-0000-0000-00008D090000}"/>
    <cellStyle name="Normal 6 4 2 5 3 2 2" xfId="6938" xr:uid="{0929D544-6C10-448A-96AB-836A3DE05B91}"/>
    <cellStyle name="Normal 6 4 2 5 3 2 2 2" xfId="14798" xr:uid="{3B88FF32-180B-4B24-89A9-7870A199F41C}"/>
    <cellStyle name="Normal 6 4 2 5 3 2 3" xfId="10878" xr:uid="{3A6FAACA-1052-4453-A6A4-5B8DC9389EF2}"/>
    <cellStyle name="Normal 6 4 2 5 3 3" xfId="4984" xr:uid="{E48B07AC-8553-4399-998A-1C510ADA99AC}"/>
    <cellStyle name="Normal 6 4 2 5 3 3 2" xfId="12844" xr:uid="{7DF61EAF-33B3-4973-BB07-46D93432B7C2}"/>
    <cellStyle name="Normal 6 4 2 5 3 4" xfId="8925" xr:uid="{4A999CD6-7015-4EDB-BBCA-3D89B02F75A7}"/>
    <cellStyle name="Normal 6 4 2 5 4" xfId="1490" xr:uid="{00000000-0005-0000-0000-00008E090000}"/>
    <cellStyle name="Normal 6 4 2 5 4 2" xfId="3444" xr:uid="{00000000-0005-0000-0000-00008F090000}"/>
    <cellStyle name="Normal 6 4 2 5 4 2 2" xfId="7365" xr:uid="{95B960AA-5392-4C1F-ABFD-D9A00AB72A28}"/>
    <cellStyle name="Normal 6 4 2 5 4 2 2 2" xfId="15225" xr:uid="{E27BE822-799F-433B-9A9B-4CF2E4410693}"/>
    <cellStyle name="Normal 6 4 2 5 4 2 3" xfId="11305" xr:uid="{A43D2956-20BC-496A-802D-E4EDDC12FCF7}"/>
    <cellStyle name="Normal 6 4 2 5 4 3" xfId="5411" xr:uid="{53E876FD-82BB-4EF8-AB54-3D6B443D35DF}"/>
    <cellStyle name="Normal 6 4 2 5 4 3 2" xfId="13271" xr:uid="{1FFFE2AA-C6AB-4532-BDE1-CCE566590B4C}"/>
    <cellStyle name="Normal 6 4 2 5 4 4" xfId="9352" xr:uid="{A03EC8F7-29A3-4EDA-938A-F68BFD11C594}"/>
    <cellStyle name="Normal 6 4 2 5 5" xfId="2143" xr:uid="{00000000-0005-0000-0000-000090090000}"/>
    <cellStyle name="Normal 6 4 2 5 5 2" xfId="6064" xr:uid="{7F6967F1-620E-42F6-ABB2-150BA9AED059}"/>
    <cellStyle name="Normal 6 4 2 5 5 2 2" xfId="13924" xr:uid="{B90FDD2D-6CDC-4803-8F40-F0290E32F40D}"/>
    <cellStyle name="Normal 6 4 2 5 5 3" xfId="10004" xr:uid="{14F35F05-D61E-40D3-B4F9-99B0F2A21CB4}"/>
    <cellStyle name="Normal 6 4 2 5 6" xfId="4110" xr:uid="{82F4602D-FDB5-444A-AE1C-63724C75A59F}"/>
    <cellStyle name="Normal 6 4 2 5 6 2" xfId="11970" xr:uid="{47AD053D-7773-4074-A4B8-74825FC66FC2}"/>
    <cellStyle name="Normal 6 4 2 5 7" xfId="8048" xr:uid="{A2F47B64-8235-4B30-B9A4-76EFA685E6F8}"/>
    <cellStyle name="Normal 6 4 2 6" xfId="96" xr:uid="{00000000-0005-0000-0000-000091090000}"/>
    <cellStyle name="Normal 6 4 2 6 2" xfId="548" xr:uid="{00000000-0005-0000-0000-000092090000}"/>
    <cellStyle name="Normal 6 4 2 6 2 2" xfId="2502" xr:uid="{00000000-0005-0000-0000-000093090000}"/>
    <cellStyle name="Normal 6 4 2 6 2 2 2" xfId="6423" xr:uid="{13B975B3-AC5E-43F2-897F-EF804BCFCF2A}"/>
    <cellStyle name="Normal 6 4 2 6 2 2 2 2" xfId="14283" xr:uid="{D7FC9DA5-0BFB-4D70-B178-810F62E7956B}"/>
    <cellStyle name="Normal 6 4 2 6 2 2 3" xfId="10363" xr:uid="{DFC208E3-74E0-40F5-B199-4E4A1C43385B}"/>
    <cellStyle name="Normal 6 4 2 6 2 3" xfId="4469" xr:uid="{85A876EA-3AC2-4621-97E8-1E87FC0E65CA}"/>
    <cellStyle name="Normal 6 4 2 6 2 3 2" xfId="12329" xr:uid="{4347070C-8A15-41AD-B6DF-AD4A563D5EA2}"/>
    <cellStyle name="Normal 6 4 2 6 2 4" xfId="8410" xr:uid="{D0491787-C3A2-4EF4-BA14-11B685BA6236}"/>
    <cellStyle name="Normal 6 4 2 6 3" xfId="985" xr:uid="{00000000-0005-0000-0000-000094090000}"/>
    <cellStyle name="Normal 6 4 2 6 3 2" xfId="2939" xr:uid="{00000000-0005-0000-0000-000095090000}"/>
    <cellStyle name="Normal 6 4 2 6 3 2 2" xfId="6860" xr:uid="{CAB32586-AE4D-4FA2-9E43-E353C0C5FA35}"/>
    <cellStyle name="Normal 6 4 2 6 3 2 2 2" xfId="14720" xr:uid="{5D9898BF-CF5D-4A70-B24A-CC6192DDBEF9}"/>
    <cellStyle name="Normal 6 4 2 6 3 2 3" xfId="10800" xr:uid="{0BE0004B-1E4D-4A1D-9A5D-617F43E0DA1E}"/>
    <cellStyle name="Normal 6 4 2 6 3 3" xfId="4906" xr:uid="{E7B6DAEF-4EEA-43C9-8B9A-CEEA91314815}"/>
    <cellStyle name="Normal 6 4 2 6 3 3 2" xfId="12766" xr:uid="{DDF03EED-8804-4E26-BA4C-4D00E0458646}"/>
    <cellStyle name="Normal 6 4 2 6 3 4" xfId="8847" xr:uid="{8B803A7F-DDCC-484F-9DCB-1E836F62301A}"/>
    <cellStyle name="Normal 6 4 2 6 4" xfId="1412" xr:uid="{00000000-0005-0000-0000-000096090000}"/>
    <cellStyle name="Normal 6 4 2 6 4 2" xfId="3366" xr:uid="{00000000-0005-0000-0000-000097090000}"/>
    <cellStyle name="Normal 6 4 2 6 4 2 2" xfId="7287" xr:uid="{85490244-B548-4BAE-950D-69632E5EE210}"/>
    <cellStyle name="Normal 6 4 2 6 4 2 2 2" xfId="15147" xr:uid="{8294962E-0F82-4969-AEC9-9B3C5C0DBA52}"/>
    <cellStyle name="Normal 6 4 2 6 4 2 3" xfId="11227" xr:uid="{603D82DD-C05A-4EEF-AA73-431D82BDD864}"/>
    <cellStyle name="Normal 6 4 2 6 4 3" xfId="5333" xr:uid="{220ABF27-998D-4B3F-86E0-6699DA427D8C}"/>
    <cellStyle name="Normal 6 4 2 6 4 3 2" xfId="13193" xr:uid="{FFE214A6-19FF-4DEC-A0A2-2D17B690BAA1}"/>
    <cellStyle name="Normal 6 4 2 6 4 4" xfId="9274" xr:uid="{C6E55427-6ED7-4395-AF84-82A476430412}"/>
    <cellStyle name="Normal 6 4 2 6 5" xfId="2065" xr:uid="{00000000-0005-0000-0000-000098090000}"/>
    <cellStyle name="Normal 6 4 2 6 5 2" xfId="5986" xr:uid="{8B44D0B4-A172-4F79-867E-FBA3E48BD66C}"/>
    <cellStyle name="Normal 6 4 2 6 5 2 2" xfId="13846" xr:uid="{A8B95D99-5A85-4261-8C6E-F70E8DAB3108}"/>
    <cellStyle name="Normal 6 4 2 6 5 3" xfId="9926" xr:uid="{69FC57D8-FF5C-4E85-A41F-6F76E498ECD4}"/>
    <cellStyle name="Normal 6 4 2 6 6" xfId="4032" xr:uid="{85F48FBF-97E2-438B-847A-139548B93CB4}"/>
    <cellStyle name="Normal 6 4 2 6 6 2" xfId="11892" xr:uid="{3C18E357-8E58-4AD6-9278-EBC31BFB3B14}"/>
    <cellStyle name="Normal 6 4 2 6 7" xfId="7970" xr:uid="{73B5F84A-9354-4403-9C81-C57440C526D1}"/>
    <cellStyle name="Normal 6 4 2 7" xfId="272" xr:uid="{00000000-0005-0000-0000-000099090000}"/>
    <cellStyle name="Normal 6 4 2 7 2" xfId="724" xr:uid="{00000000-0005-0000-0000-00009A090000}"/>
    <cellStyle name="Normal 6 4 2 7 2 2" xfId="2678" xr:uid="{00000000-0005-0000-0000-00009B090000}"/>
    <cellStyle name="Normal 6 4 2 7 2 2 2" xfId="6599" xr:uid="{7543078B-B323-4EF0-9A22-AAC3CD918A8E}"/>
    <cellStyle name="Normal 6 4 2 7 2 2 2 2" xfId="14459" xr:uid="{01EDE189-1EE6-4347-B653-22ADCC7B5BD7}"/>
    <cellStyle name="Normal 6 4 2 7 2 2 3" xfId="10539" xr:uid="{5807F324-53ED-4A74-9E8F-833664B52D3A}"/>
    <cellStyle name="Normal 6 4 2 7 2 3" xfId="4645" xr:uid="{AB5F8ED2-F919-49EA-A584-EEAEC6BC74DF}"/>
    <cellStyle name="Normal 6 4 2 7 2 3 2" xfId="12505" xr:uid="{F5A9211C-92BA-4D15-A3C9-4723A6C7D7B3}"/>
    <cellStyle name="Normal 6 4 2 7 2 4" xfId="8586" xr:uid="{BB7E183D-D056-4CEC-89C8-4551D051A026}"/>
    <cellStyle name="Normal 6 4 2 7 3" xfId="1160" xr:uid="{00000000-0005-0000-0000-00009C090000}"/>
    <cellStyle name="Normal 6 4 2 7 3 2" xfId="3114" xr:uid="{00000000-0005-0000-0000-00009D090000}"/>
    <cellStyle name="Normal 6 4 2 7 3 2 2" xfId="7035" xr:uid="{6AB58769-B309-4DBF-9943-7F2C5443DF64}"/>
    <cellStyle name="Normal 6 4 2 7 3 2 2 2" xfId="14895" xr:uid="{9F53CF27-26EB-4500-BC0E-C5C6ECD99E2E}"/>
    <cellStyle name="Normal 6 4 2 7 3 2 3" xfId="10975" xr:uid="{6BDCFABE-A305-49B7-A969-5F96669975F2}"/>
    <cellStyle name="Normal 6 4 2 7 3 3" xfId="5081" xr:uid="{6C4EC34D-E4CE-4D27-9264-1A1140D64801}"/>
    <cellStyle name="Normal 6 4 2 7 3 3 2" xfId="12941" xr:uid="{F15157A3-D27E-493C-B57B-1BBE5AF9C67D}"/>
    <cellStyle name="Normal 6 4 2 7 3 4" xfId="9022" xr:uid="{BB93559E-6A73-444D-9136-018D53F0EE04}"/>
    <cellStyle name="Normal 6 4 2 7 4" xfId="1581" xr:uid="{00000000-0005-0000-0000-00009E090000}"/>
    <cellStyle name="Normal 6 4 2 7 4 2" xfId="3535" xr:uid="{00000000-0005-0000-0000-00009F090000}"/>
    <cellStyle name="Normal 6 4 2 7 4 2 2" xfId="7456" xr:uid="{4A8E6636-0219-444E-B89F-D4820336D800}"/>
    <cellStyle name="Normal 6 4 2 7 4 2 2 2" xfId="15316" xr:uid="{21F18CE7-04E6-4ADF-9522-A81B130A812E}"/>
    <cellStyle name="Normal 6 4 2 7 4 2 3" xfId="11396" xr:uid="{8789A715-5800-4676-AF39-6F9064400425}"/>
    <cellStyle name="Normal 6 4 2 7 4 3" xfId="5502" xr:uid="{3559A1D9-3814-44AC-AE9D-7A39523BAC5E}"/>
    <cellStyle name="Normal 6 4 2 7 4 3 2" xfId="13362" xr:uid="{549A0BF5-A36A-4F97-BD11-D0244CA876ED}"/>
    <cellStyle name="Normal 6 4 2 7 4 4" xfId="9443" xr:uid="{9CB9CE30-0C91-40B0-90E2-2D32F2E5BA65}"/>
    <cellStyle name="Normal 6 4 2 7 5" xfId="2235" xr:uid="{00000000-0005-0000-0000-0000A0090000}"/>
    <cellStyle name="Normal 6 4 2 7 5 2" xfId="6156" xr:uid="{C1A75614-3AA4-409B-8B48-149006B9A56F}"/>
    <cellStyle name="Normal 6 4 2 7 5 2 2" xfId="14016" xr:uid="{B3ABA931-39A1-4424-BA6F-A3E501009CE0}"/>
    <cellStyle name="Normal 6 4 2 7 5 3" xfId="10096" xr:uid="{2AB3EC42-0D95-40BC-9E83-0A6BEDA2668C}"/>
    <cellStyle name="Normal 6 4 2 7 6" xfId="4202" xr:uid="{21219665-FAC1-4A7E-B532-E36E25E89414}"/>
    <cellStyle name="Normal 6 4 2 7 6 2" xfId="12062" xr:uid="{6792AA50-5D1C-43C2-8919-40DD5A44FE55}"/>
    <cellStyle name="Normal 6 4 2 7 7" xfId="8141" xr:uid="{CA9473C2-9124-4702-8199-8583276E10DA}"/>
    <cellStyle name="Normal 6 4 2 8" xfId="372" xr:uid="{00000000-0005-0000-0000-0000A1090000}"/>
    <cellStyle name="Normal 6 4 2 8 2" xfId="823" xr:uid="{00000000-0005-0000-0000-0000A2090000}"/>
    <cellStyle name="Normal 6 4 2 8 2 2" xfId="2777" xr:uid="{00000000-0005-0000-0000-0000A3090000}"/>
    <cellStyle name="Normal 6 4 2 8 2 2 2" xfId="6698" xr:uid="{A5849589-E939-4358-97E8-0B14045A56E7}"/>
    <cellStyle name="Normal 6 4 2 8 2 2 2 2" xfId="14558" xr:uid="{C434A916-D372-4841-922E-08BD9038F11C}"/>
    <cellStyle name="Normal 6 4 2 8 2 2 3" xfId="10638" xr:uid="{7ECEAC9C-921D-4EE3-B7E5-10F2EB3CE4AF}"/>
    <cellStyle name="Normal 6 4 2 8 2 3" xfId="4744" xr:uid="{8AFA7799-4671-430D-970A-CD2801E8CC8A}"/>
    <cellStyle name="Normal 6 4 2 8 2 3 2" xfId="12604" xr:uid="{D07717A8-C64B-4FC1-B4EF-FA107B35FFCE}"/>
    <cellStyle name="Normal 6 4 2 8 2 4" xfId="8685" xr:uid="{B3A5B16C-7D5A-4A1D-AEF5-C5C07BD7CA24}"/>
    <cellStyle name="Normal 6 4 2 8 3" xfId="1255" xr:uid="{00000000-0005-0000-0000-0000A4090000}"/>
    <cellStyle name="Normal 6 4 2 8 3 2" xfId="3209" xr:uid="{00000000-0005-0000-0000-0000A5090000}"/>
    <cellStyle name="Normal 6 4 2 8 3 2 2" xfId="7130" xr:uid="{D52E0AE9-5197-404A-A069-516E69CC5779}"/>
    <cellStyle name="Normal 6 4 2 8 3 2 2 2" xfId="14990" xr:uid="{0826F8A2-0268-49BE-B128-F608376C60FC}"/>
    <cellStyle name="Normal 6 4 2 8 3 2 3" xfId="11070" xr:uid="{74A0757E-D5D7-4297-A7F9-D28B9D60E5BB}"/>
    <cellStyle name="Normal 6 4 2 8 3 3" xfId="5176" xr:uid="{C765B705-8EE0-4D08-8C30-6452BE7EBEEB}"/>
    <cellStyle name="Normal 6 4 2 8 3 3 2" xfId="13036" xr:uid="{D70E6CC6-238F-4292-983A-3C55B11864DF}"/>
    <cellStyle name="Normal 6 4 2 8 3 4" xfId="9117" xr:uid="{9F8C0F39-3CA9-47E1-A17C-500CDDBFBAE0}"/>
    <cellStyle name="Normal 6 4 2 8 4" xfId="1673" xr:uid="{00000000-0005-0000-0000-0000A6090000}"/>
    <cellStyle name="Normal 6 4 2 8 4 2" xfId="3627" xr:uid="{00000000-0005-0000-0000-0000A7090000}"/>
    <cellStyle name="Normal 6 4 2 8 4 2 2" xfId="7548" xr:uid="{2E54E9D0-6C01-4C73-A986-A592EFB2996E}"/>
    <cellStyle name="Normal 6 4 2 8 4 2 2 2" xfId="15408" xr:uid="{212941E3-5E1A-4111-B599-65A04192D7A8}"/>
    <cellStyle name="Normal 6 4 2 8 4 2 3" xfId="11488" xr:uid="{DD879081-4E6F-4C35-A3DC-58D21CE4EE62}"/>
    <cellStyle name="Normal 6 4 2 8 4 3" xfId="5594" xr:uid="{254E11B7-FA51-4AAE-9E9F-0E229C808464}"/>
    <cellStyle name="Normal 6 4 2 8 4 3 2" xfId="13454" xr:uid="{310BF3AF-BC9D-49DD-8351-E3014763E91F}"/>
    <cellStyle name="Normal 6 4 2 8 4 4" xfId="9535" xr:uid="{E0E09CB5-000A-4A3E-9DE0-2FC392169C31}"/>
    <cellStyle name="Normal 6 4 2 8 5" xfId="2327" xr:uid="{00000000-0005-0000-0000-0000A8090000}"/>
    <cellStyle name="Normal 6 4 2 8 5 2" xfId="6248" xr:uid="{60161340-77FC-4733-B935-D2B1EBDD3E25}"/>
    <cellStyle name="Normal 6 4 2 8 5 2 2" xfId="14108" xr:uid="{80F66595-3AB6-460D-AD3A-EBAC0BAE60E0}"/>
    <cellStyle name="Normal 6 4 2 8 5 3" xfId="10188" xr:uid="{23EDCAED-AE51-4815-BEDB-39D994821B7B}"/>
    <cellStyle name="Normal 6 4 2 8 6" xfId="4294" xr:uid="{ED00F72A-ACFE-4EBA-AA5C-6A28A40BEA26}"/>
    <cellStyle name="Normal 6 4 2 8 6 2" xfId="12154" xr:uid="{6CFF1A9B-512E-4816-97E1-5F8E9E00A431}"/>
    <cellStyle name="Normal 6 4 2 8 7" xfId="8235" xr:uid="{1B21C9CD-7EB8-4352-9450-5E6D76A664D3}"/>
    <cellStyle name="Normal 6 4 2 9" xfId="469" xr:uid="{00000000-0005-0000-0000-0000A9090000}"/>
    <cellStyle name="Normal 6 4 2 9 2" xfId="2423" xr:uid="{00000000-0005-0000-0000-0000AA090000}"/>
    <cellStyle name="Normal 6 4 2 9 2 2" xfId="6344" xr:uid="{2D2CC5AB-9F08-48DB-A211-1C11EBAA273F}"/>
    <cellStyle name="Normal 6 4 2 9 2 2 2" xfId="14204" xr:uid="{0532CB29-237A-4654-928D-C00725D22448}"/>
    <cellStyle name="Normal 6 4 2 9 2 3" xfId="10284" xr:uid="{CDBB9092-A85D-4CE3-9B77-25272FA1F365}"/>
    <cellStyle name="Normal 6 4 2 9 3" xfId="4390" xr:uid="{6753ABD3-7268-443C-ABF4-70547DC9CAAE}"/>
    <cellStyle name="Normal 6 4 2 9 3 2" xfId="12250" xr:uid="{2520C2B8-A21D-4D62-AD18-53D77CEA2CAB}"/>
    <cellStyle name="Normal 6 4 2 9 4" xfId="8331" xr:uid="{91F656C4-ADC4-4DB4-B884-2A1BAD552917}"/>
    <cellStyle name="Normal 6 4 3" xfId="855" xr:uid="{00000000-0005-0000-0000-0000AB090000}"/>
    <cellStyle name="Normal 6 4 3 2" xfId="2809" xr:uid="{00000000-0005-0000-0000-0000AC090000}"/>
    <cellStyle name="Normal 6 4 3 2 2" xfId="6730" xr:uid="{6182F56D-8D44-45D9-821D-43628FE01986}"/>
    <cellStyle name="Normal 6 4 3 2 2 2" xfId="14590" xr:uid="{1413E296-BEB7-44AB-8F2A-D2F0924738B4}"/>
    <cellStyle name="Normal 6 4 3 2 3" xfId="10670" xr:uid="{5EC989CD-27AB-475B-A894-518EE68829CC}"/>
    <cellStyle name="Normal 6 4 3 3" xfId="4776" xr:uid="{01E3E642-5C2E-44B0-B2CA-6DC3C57B446B}"/>
    <cellStyle name="Normal 6 4 3 3 2" xfId="12636" xr:uid="{3E7CDF7D-9F97-4AC4-996E-0890E25767E7}"/>
    <cellStyle name="Normal 6 4 3 4" xfId="8717" xr:uid="{66C44992-373C-4AE8-BC42-4C575CBDCCDC}"/>
    <cellStyle name="Normal 6 4 4" xfId="1287" xr:uid="{00000000-0005-0000-0000-0000AD090000}"/>
    <cellStyle name="Normal 6 4 4 2" xfId="3241" xr:uid="{00000000-0005-0000-0000-0000AE090000}"/>
    <cellStyle name="Normal 6 4 4 2 2" xfId="7162" xr:uid="{D9A0F2C1-6572-4B4E-A4B3-771B612C7962}"/>
    <cellStyle name="Normal 6 4 4 2 2 2" xfId="15022" xr:uid="{6CE1C8C1-24C8-4735-A302-4A415EB13650}"/>
    <cellStyle name="Normal 6 4 4 2 3" xfId="11102" xr:uid="{3C3C97BB-1C2B-439B-91F0-1A702F847FF3}"/>
    <cellStyle name="Normal 6 4 4 3" xfId="5208" xr:uid="{E43C3DA5-109E-41C4-ACAC-9BDC361CE560}"/>
    <cellStyle name="Normal 6 4 4 3 2" xfId="13068" xr:uid="{7AE35E5D-2149-493F-9A4B-A19D3DF94EE0}"/>
    <cellStyle name="Normal 6 4 4 4" xfId="9149" xr:uid="{B43A1F67-3BCF-40C4-93EA-E5DE8054899D}"/>
    <cellStyle name="Normal 6 4 5" xfId="1705" xr:uid="{00000000-0005-0000-0000-0000AF090000}"/>
    <cellStyle name="Normal 6 4 5 2" xfId="3659" xr:uid="{00000000-0005-0000-0000-0000B0090000}"/>
    <cellStyle name="Normal 6 4 5 2 2" xfId="7580" xr:uid="{E67D20FC-01CC-4988-9F61-31D31166729B}"/>
    <cellStyle name="Normal 6 4 5 2 2 2" xfId="15440" xr:uid="{152CE3DC-FF78-45AC-877B-CE7AEF714879}"/>
    <cellStyle name="Normal 6 4 5 2 3" xfId="11520" xr:uid="{99DB33F4-34F3-4C8C-AE5E-AE8D2AA7B345}"/>
    <cellStyle name="Normal 6 4 5 3" xfId="5626" xr:uid="{D354C72B-D960-4339-AE79-08B1B4B77F9E}"/>
    <cellStyle name="Normal 6 4 5 3 2" xfId="13486" xr:uid="{BFD2BABA-0780-460D-8072-14C29CB436AB}"/>
    <cellStyle name="Normal 6 4 5 4" xfId="9567" xr:uid="{747D2435-C9A0-4760-9072-2DC59FF392DC}"/>
    <cellStyle name="Normal 6 4 6" xfId="2359" xr:uid="{00000000-0005-0000-0000-0000B1090000}"/>
    <cellStyle name="Normal 6 4 6 2" xfId="6280" xr:uid="{A24FF548-17E6-4416-A9A6-EEC469DFA21B}"/>
    <cellStyle name="Normal 6 4 6 2 2" xfId="14140" xr:uid="{803384EC-931C-4C18-9477-A4D9DDEF27B3}"/>
    <cellStyle name="Normal 6 4 6 3" xfId="10220" xr:uid="{3E3A3BBD-5A33-4ADF-B674-0349E27A8EF1}"/>
    <cellStyle name="Normal 6 4 7" xfId="4326" xr:uid="{7B18712A-929A-40FD-8ABB-00A30022F389}"/>
    <cellStyle name="Normal 6 4 7 2" xfId="12186" xr:uid="{4EB2B9DA-10BD-47EB-81B1-9B30B1056ECA}"/>
    <cellStyle name="Normal 6 4 8" xfId="8267" xr:uid="{41638690-7DE8-4C47-A4CF-AAE76EC59259}"/>
    <cellStyle name="Normal 7" xfId="251" xr:uid="{00000000-0005-0000-0000-0000B2090000}"/>
    <cellStyle name="Normal 7 2" xfId="306" xr:uid="{00000000-0005-0000-0000-0000B3090000}"/>
    <cellStyle name="Normal 7 2 2" xfId="758" xr:uid="{00000000-0005-0000-0000-0000B4090000}"/>
    <cellStyle name="Normal 7 2 2 2" xfId="2712" xr:uid="{00000000-0005-0000-0000-0000B5090000}"/>
    <cellStyle name="Normal 7 2 2 2 2" xfId="44" xr:uid="{00000000-0005-0000-0000-0000B6090000}"/>
    <cellStyle name="Normal 7 2 2 2 2 10" xfId="1907" xr:uid="{00000000-0005-0000-0000-0000B7090000}"/>
    <cellStyle name="Normal 7 2 2 2 2 10 2" xfId="3860" xr:uid="{00000000-0005-0000-0000-0000B8090000}"/>
    <cellStyle name="Normal 7 2 2 2 2 10 2 2" xfId="7781" xr:uid="{E8B19C5A-3005-4B20-A14F-82423913AEE9}"/>
    <cellStyle name="Normal 7 2 2 2 2 10 2 2 2" xfId="15641" xr:uid="{84276CEF-0353-4BDB-B8A2-92E3B3DFAA71}"/>
    <cellStyle name="Normal 7 2 2 2 2 10 2 3" xfId="11721" xr:uid="{5CA0E430-4CF0-4C71-A9A8-313481A2DA98}"/>
    <cellStyle name="Normal 7 2 2 2 2 10 3" xfId="5828" xr:uid="{770B61AB-6D77-4B36-9231-A2DD240DC511}"/>
    <cellStyle name="Normal 7 2 2 2 2 10 3 2" xfId="13688" xr:uid="{BF8B3385-E90B-4D41-8D66-6F502B771D73}"/>
    <cellStyle name="Normal 7 2 2 2 2 10 4" xfId="9769" xr:uid="{06406F98-892F-4988-9C53-E7A7D39A5AC1}"/>
    <cellStyle name="Normal 7 2 2 2 2 10 5" xfId="15758" xr:uid="{5A0F52F5-4C2B-4161-AD20-C61A9AF596A0}"/>
    <cellStyle name="Normal 7 2 2 2 2 11" xfId="2014" xr:uid="{00000000-0005-0000-0000-0000B9090000}"/>
    <cellStyle name="Normal 7 2 2 2 2 11 2" xfId="5935" xr:uid="{B5CA8284-F2ED-4431-BE36-B4FD0D88E891}"/>
    <cellStyle name="Normal 7 2 2 2 2 11 2 2" xfId="13795" xr:uid="{47A4E93B-12B3-4BFB-83B1-959065C2335A}"/>
    <cellStyle name="Normal 7 2 2 2 2 11 3" xfId="9875" xr:uid="{93367E81-34A2-4C94-A5F5-BEB478C6199A}"/>
    <cellStyle name="Normal 7 2 2 2 2 12" xfId="3981" xr:uid="{9EA9F272-7448-497B-88E8-A7845377E960}"/>
    <cellStyle name="Normal 7 2 2 2 2 12 2" xfId="11841" xr:uid="{A595102E-8212-4A00-ACBE-385097A811AD}"/>
    <cellStyle name="Normal 7 2 2 2 2 13" xfId="7919" xr:uid="{5F599A4A-F0F8-408C-A905-E8D38D950EB1}"/>
    <cellStyle name="Normal 7 2 2 2 2 2" xfId="84" xr:uid="{00000000-0005-0000-0000-0000BA090000}"/>
    <cellStyle name="Normal 7 2 2 2 2 2 10" xfId="4020" xr:uid="{465CFECE-B397-44F5-8BE0-F66CE6C92008}"/>
    <cellStyle name="Normal 7 2 2 2 2 2 10 2" xfId="11880" xr:uid="{B10E4295-009C-4BBA-8F96-2734F1670CFD}"/>
    <cellStyle name="Normal 7 2 2 2 2 2 11" xfId="7958" xr:uid="{04001F36-C8AE-49F9-AF1D-57335B3ABDAA}"/>
    <cellStyle name="Normal 7 2 2 2 2 2 2" xfId="240" xr:uid="{00000000-0005-0000-0000-0000BB090000}"/>
    <cellStyle name="Normal 7 2 2 2 2 2 2 2" xfId="692" xr:uid="{00000000-0005-0000-0000-0000BC090000}"/>
    <cellStyle name="Normal 7 2 2 2 2 2 2 2 2" xfId="2646" xr:uid="{00000000-0005-0000-0000-0000BD090000}"/>
    <cellStyle name="Normal 7 2 2 2 2 2 2 2 2 2" xfId="6567" xr:uid="{F0A06664-FE4F-4CC0-B311-DAB31553E097}"/>
    <cellStyle name="Normal 7 2 2 2 2 2 2 2 2 2 2" xfId="14427" xr:uid="{39122263-7133-4309-B380-4F5B220E0CDF}"/>
    <cellStyle name="Normal 7 2 2 2 2 2 2 2 2 3" xfId="10507" xr:uid="{F24A523F-480D-4E5C-83A9-D984A0BB7E56}"/>
    <cellStyle name="Normal 7 2 2 2 2 2 2 2 3" xfId="4613" xr:uid="{8295D5F7-B99E-45BA-B2C7-82D690F3ADD2}"/>
    <cellStyle name="Normal 7 2 2 2 2 2 2 2 3 2" xfId="12473" xr:uid="{2AB70BB3-D02A-4A31-8EFE-27EF244D7F48}"/>
    <cellStyle name="Normal 7 2 2 2 2 2 2 2 4" xfId="8554" xr:uid="{C1CA7174-AB42-4D97-8D8F-4446F8DC88BA}"/>
    <cellStyle name="Normal 7 2 2 2 2 2 2 3" xfId="1129" xr:uid="{00000000-0005-0000-0000-0000BE090000}"/>
    <cellStyle name="Normal 7 2 2 2 2 2 2 3 2" xfId="3083" xr:uid="{00000000-0005-0000-0000-0000BF090000}"/>
    <cellStyle name="Normal 7 2 2 2 2 2 2 3 2 2" xfId="7004" xr:uid="{C3132344-CA8D-412B-A217-0C5F24DC7854}"/>
    <cellStyle name="Normal 7 2 2 2 2 2 2 3 2 2 2" xfId="14864" xr:uid="{8A0776F0-7050-4394-85E2-39BD3139CD7A}"/>
    <cellStyle name="Normal 7 2 2 2 2 2 2 3 2 3" xfId="10944" xr:uid="{9D34A6ED-CDE7-4BB6-8ABE-672B7DF02A25}"/>
    <cellStyle name="Normal 7 2 2 2 2 2 2 3 3" xfId="5050" xr:uid="{B37124A9-69FB-4B34-BA88-6E1776AE6398}"/>
    <cellStyle name="Normal 7 2 2 2 2 2 2 3 3 2" xfId="12910" xr:uid="{F7C83788-2CFE-4303-BB8D-3DC05CFEBE1B}"/>
    <cellStyle name="Normal 7 2 2 2 2 2 2 3 4" xfId="8991" xr:uid="{9D627938-B1EA-4E4C-8FB0-13E588F5E6EC}"/>
    <cellStyle name="Normal 7 2 2 2 2 2 2 4" xfId="1556" xr:uid="{00000000-0005-0000-0000-0000C0090000}"/>
    <cellStyle name="Normal 7 2 2 2 2 2 2 4 2" xfId="3510" xr:uid="{00000000-0005-0000-0000-0000C1090000}"/>
    <cellStyle name="Normal 7 2 2 2 2 2 2 4 2 2" xfId="7431" xr:uid="{09A41F86-7E25-4A14-BD3E-42446B6ECD89}"/>
    <cellStyle name="Normal 7 2 2 2 2 2 2 4 2 2 2" xfId="15291" xr:uid="{A6EBCC7B-2FA0-4820-9476-AD1999373BA2}"/>
    <cellStyle name="Normal 7 2 2 2 2 2 2 4 2 3" xfId="11371" xr:uid="{1589631C-2314-4F01-B585-9F416F467513}"/>
    <cellStyle name="Normal 7 2 2 2 2 2 2 4 3" xfId="5477" xr:uid="{188A383E-0622-4335-A1BB-CA8F41EEC165}"/>
    <cellStyle name="Normal 7 2 2 2 2 2 2 4 3 2" xfId="13337" xr:uid="{7162435B-CFE8-47D4-8829-6C3211B260FC}"/>
    <cellStyle name="Normal 7 2 2 2 2 2 2 4 4" xfId="9418" xr:uid="{61486349-79CB-4598-B115-CE4AA8E3E693}"/>
    <cellStyle name="Normal 7 2 2 2 2 2 2 5" xfId="2209" xr:uid="{00000000-0005-0000-0000-0000C2090000}"/>
    <cellStyle name="Normal 7 2 2 2 2 2 2 5 2" xfId="6130" xr:uid="{5259A300-5DE7-4808-84EB-F1AB93C51F24}"/>
    <cellStyle name="Normal 7 2 2 2 2 2 2 5 2 2" xfId="13990" xr:uid="{C0379484-E764-4870-9E4D-1D75D8285F64}"/>
    <cellStyle name="Normal 7 2 2 2 2 2 2 5 3" xfId="10070" xr:uid="{0609959D-AA71-4790-8B40-61B29EC08349}"/>
    <cellStyle name="Normal 7 2 2 2 2 2 2 6" xfId="4176" xr:uid="{DAF14123-63D6-4563-85F0-72CAA37AA582}"/>
    <cellStyle name="Normal 7 2 2 2 2 2 2 6 2" xfId="12036" xr:uid="{79D518ED-EA66-497E-97E8-71EEC46CB40B}"/>
    <cellStyle name="Normal 7 2 2 2 2 2 2 7" xfId="8114" xr:uid="{B65568ED-2A45-464E-B4B4-103C820B58D5}"/>
    <cellStyle name="Normal 7 2 2 2 2 2 3" xfId="162" xr:uid="{00000000-0005-0000-0000-0000C3090000}"/>
    <cellStyle name="Normal 7 2 2 2 2 2 3 2" xfId="614" xr:uid="{00000000-0005-0000-0000-0000C4090000}"/>
    <cellStyle name="Normal 7 2 2 2 2 2 3 2 2" xfId="2568" xr:uid="{00000000-0005-0000-0000-0000C5090000}"/>
    <cellStyle name="Normal 7 2 2 2 2 2 3 2 2 2" xfId="6489" xr:uid="{0B84BB82-9030-4812-8609-D390943324AA}"/>
    <cellStyle name="Normal 7 2 2 2 2 2 3 2 2 2 2" xfId="14349" xr:uid="{3DC53574-9522-4FD6-A8DA-8004A63B13CF}"/>
    <cellStyle name="Normal 7 2 2 2 2 2 3 2 2 3" xfId="10429" xr:uid="{1381FADD-A47A-4C34-A74A-6053F3186EDD}"/>
    <cellStyle name="Normal 7 2 2 2 2 2 3 2 3" xfId="4535" xr:uid="{7C28F240-4BC6-4917-AD27-BD9C65006281}"/>
    <cellStyle name="Normal 7 2 2 2 2 2 3 2 3 2" xfId="12395" xr:uid="{2175E5C7-5845-4D7F-98D7-327367FFF629}"/>
    <cellStyle name="Normal 7 2 2 2 2 2 3 2 4" xfId="8476" xr:uid="{1871B6AF-44A5-4B4A-AF77-CC4512611BFB}"/>
    <cellStyle name="Normal 7 2 2 2 2 2 3 3" xfId="1051" xr:uid="{00000000-0005-0000-0000-0000C6090000}"/>
    <cellStyle name="Normal 7 2 2 2 2 2 3 3 2" xfId="3005" xr:uid="{00000000-0005-0000-0000-0000C7090000}"/>
    <cellStyle name="Normal 7 2 2 2 2 2 3 3 2 2" xfId="6926" xr:uid="{BBA58C58-9CC8-49B3-AB32-4E977C7B05D5}"/>
    <cellStyle name="Normal 7 2 2 2 2 2 3 3 2 2 2" xfId="14786" xr:uid="{84FC8543-07F6-4237-BF15-730C8AD6A4DB}"/>
    <cellStyle name="Normal 7 2 2 2 2 2 3 3 2 3" xfId="10866" xr:uid="{F3D482D6-F790-4E2E-B115-A8FA7C9BA06B}"/>
    <cellStyle name="Normal 7 2 2 2 2 2 3 3 3" xfId="4972" xr:uid="{F80A7608-0349-4E7B-AF35-654C28FF99AE}"/>
    <cellStyle name="Normal 7 2 2 2 2 2 3 3 3 2" xfId="12832" xr:uid="{9C8BAC6B-8AFF-48CF-B663-ABAACBC6232B}"/>
    <cellStyle name="Normal 7 2 2 2 2 2 3 3 4" xfId="8913" xr:uid="{E1725F75-F2FC-4ABA-B493-4E188FF64951}"/>
    <cellStyle name="Normal 7 2 2 2 2 2 3 4" xfId="1478" xr:uid="{00000000-0005-0000-0000-0000C8090000}"/>
    <cellStyle name="Normal 7 2 2 2 2 2 3 4 2" xfId="3432" xr:uid="{00000000-0005-0000-0000-0000C9090000}"/>
    <cellStyle name="Normal 7 2 2 2 2 2 3 4 2 2" xfId="7353" xr:uid="{219BA1DB-B212-4325-B42E-C39A441775F2}"/>
    <cellStyle name="Normal 7 2 2 2 2 2 3 4 2 2 2" xfId="15213" xr:uid="{E6504CEE-8615-4D25-BCB3-95535569A2C8}"/>
    <cellStyle name="Normal 7 2 2 2 2 2 3 4 2 3" xfId="11293" xr:uid="{15B45819-CF57-4C78-89BA-90FC1FF5E3AE}"/>
    <cellStyle name="Normal 7 2 2 2 2 2 3 4 3" xfId="5399" xr:uid="{FC25A372-6553-4131-AC45-DD96A90A73A2}"/>
    <cellStyle name="Normal 7 2 2 2 2 2 3 4 3 2" xfId="13259" xr:uid="{76356561-D506-4D4D-82E9-202E3D1DCB37}"/>
    <cellStyle name="Normal 7 2 2 2 2 2 3 4 4" xfId="9340" xr:uid="{09E679CB-24A4-4E57-AC98-6717EC4B84F6}"/>
    <cellStyle name="Normal 7 2 2 2 2 2 3 5" xfId="2131" xr:uid="{00000000-0005-0000-0000-0000CA090000}"/>
    <cellStyle name="Normal 7 2 2 2 2 2 3 5 2" xfId="6052" xr:uid="{8F60B3E1-BA93-4E66-BC0A-B126644A7EED}"/>
    <cellStyle name="Normal 7 2 2 2 2 2 3 5 2 2" xfId="13912" xr:uid="{51D98D5D-F379-4A1A-ADD7-3CE449F9FD83}"/>
    <cellStyle name="Normal 7 2 2 2 2 2 3 5 3" xfId="9992" xr:uid="{842CAFB5-0F24-4D67-BA7B-F6FD9AFE4E7D}"/>
    <cellStyle name="Normal 7 2 2 2 2 2 3 6" xfId="4098" xr:uid="{166E6175-CA65-4A71-AA1F-DE974FA1B106}"/>
    <cellStyle name="Normal 7 2 2 2 2 2 3 6 2" xfId="11958" xr:uid="{51603A12-74ED-46DB-B431-36CDB954BE4F}"/>
    <cellStyle name="Normal 7 2 2 2 2 2 3 7" xfId="8036" xr:uid="{28F5A28F-3493-4A9E-8FC4-70EB3867D798}"/>
    <cellStyle name="Normal 7 2 2 2 2 2 4" xfId="347" xr:uid="{00000000-0005-0000-0000-0000CB090000}"/>
    <cellStyle name="Normal 7 2 2 2 2 2 4 2" xfId="799" xr:uid="{00000000-0005-0000-0000-0000CC090000}"/>
    <cellStyle name="Normal 7 2 2 2 2 2 4 2 2" xfId="2753" xr:uid="{00000000-0005-0000-0000-0000CD090000}"/>
    <cellStyle name="Normal 7 2 2 2 2 2 4 2 2 2" xfId="6674" xr:uid="{E2580E80-3512-42EC-8302-BAF64DF110FE}"/>
    <cellStyle name="Normal 7 2 2 2 2 2 4 2 2 2 2" xfId="14534" xr:uid="{5717C450-083E-4AA7-AA68-247EF5CB4D52}"/>
    <cellStyle name="Normal 7 2 2 2 2 2 4 2 2 3" xfId="10614" xr:uid="{C23F46B8-FC70-47C7-98E4-9FC5F91ED1AA}"/>
    <cellStyle name="Normal 7 2 2 2 2 2 4 2 3" xfId="4720" xr:uid="{DB6735DB-07C7-4A23-8B4B-E406F032B63B}"/>
    <cellStyle name="Normal 7 2 2 2 2 2 4 2 3 2" xfId="12580" xr:uid="{A71F6E27-308A-46F6-8272-E61D54ED7C8B}"/>
    <cellStyle name="Normal 7 2 2 2 2 2 4 2 4" xfId="8661" xr:uid="{7B9A9CE1-28D9-4754-8BD5-8E5F7B37C4A4}"/>
    <cellStyle name="Normal 7 2 2 2 2 2 4 3" xfId="1233" xr:uid="{00000000-0005-0000-0000-0000CE090000}"/>
    <cellStyle name="Normal 7 2 2 2 2 2 4 3 2" xfId="3187" xr:uid="{00000000-0005-0000-0000-0000CF090000}"/>
    <cellStyle name="Normal 7 2 2 2 2 2 4 3 2 2" xfId="7108" xr:uid="{69609F1C-1C09-4130-B262-DDC023B1EBDD}"/>
    <cellStyle name="Normal 7 2 2 2 2 2 4 3 2 2 2" xfId="14968" xr:uid="{93EDF8A2-AE5B-43D6-AE59-560BED5CB879}"/>
    <cellStyle name="Normal 7 2 2 2 2 2 4 3 2 3" xfId="11048" xr:uid="{12C6D7FF-3B2F-456E-8CDE-BC641EFDE5F0}"/>
    <cellStyle name="Normal 7 2 2 2 2 2 4 3 3" xfId="5154" xr:uid="{F46A6EE6-037F-4FE5-B263-CE15B5076E81}"/>
    <cellStyle name="Normal 7 2 2 2 2 2 4 3 3 2" xfId="13014" xr:uid="{5D7A6F8C-791A-41BA-A020-654C9994B490}"/>
    <cellStyle name="Normal 7 2 2 2 2 2 4 3 4" xfId="9095" xr:uid="{A5B36CFC-246D-4BF0-AD10-43F869EE6AA1}"/>
    <cellStyle name="Normal 7 2 2 2 2 2 4 4" xfId="1653" xr:uid="{00000000-0005-0000-0000-0000D0090000}"/>
    <cellStyle name="Normal 7 2 2 2 2 2 4 4 2" xfId="3607" xr:uid="{00000000-0005-0000-0000-0000D1090000}"/>
    <cellStyle name="Normal 7 2 2 2 2 2 4 4 2 2" xfId="7528" xr:uid="{5EE75147-61D3-4F13-ADF7-76EE165E22B8}"/>
    <cellStyle name="Normal 7 2 2 2 2 2 4 4 2 2 2" xfId="15388" xr:uid="{EAF5DEC2-A9C1-4270-9CE1-B64803BF06C0}"/>
    <cellStyle name="Normal 7 2 2 2 2 2 4 4 2 3" xfId="11468" xr:uid="{DBD0810A-6CE1-4A95-A783-621B8DB6AA2A}"/>
    <cellStyle name="Normal 7 2 2 2 2 2 4 4 3" xfId="5574" xr:uid="{F017E4AA-CD23-435C-83F7-29A9978DF76B}"/>
    <cellStyle name="Normal 7 2 2 2 2 2 4 4 3 2" xfId="13434" xr:uid="{2D0A1C69-C51D-45C8-B53D-157EC56D31FF}"/>
    <cellStyle name="Normal 7 2 2 2 2 2 4 4 4" xfId="9515" xr:uid="{D6E527DC-0674-40E3-B4F8-FF1E1BAD3C30}"/>
    <cellStyle name="Normal 7 2 2 2 2 2 4 5" xfId="2307" xr:uid="{00000000-0005-0000-0000-0000D2090000}"/>
    <cellStyle name="Normal 7 2 2 2 2 2 4 5 2" xfId="6228" xr:uid="{51FDA9AC-6241-44E9-9815-1BAD3635BDED}"/>
    <cellStyle name="Normal 7 2 2 2 2 2 4 5 2 2" xfId="14088" xr:uid="{7613C558-2C55-4E82-A325-8A5E96758487}"/>
    <cellStyle name="Normal 7 2 2 2 2 2 4 5 3" xfId="10168" xr:uid="{36619C69-905F-4326-9FB2-F50167B85E73}"/>
    <cellStyle name="Normal 7 2 2 2 2 2 4 6" xfId="4274" xr:uid="{11C94416-5B33-4FF5-99F0-F87B5C5E7BC8}"/>
    <cellStyle name="Normal 7 2 2 2 2 2 4 6 2" xfId="12134" xr:uid="{8C3F7350-4A55-4C74-9346-901FA971AE23}"/>
    <cellStyle name="Normal 7 2 2 2 2 2 4 7" xfId="8213" xr:uid="{5B4667AB-E20A-442F-A90A-352528BED48E}"/>
    <cellStyle name="Normal 7 2 2 2 2 2 5" xfId="444" xr:uid="{00000000-0005-0000-0000-0000D3090000}"/>
    <cellStyle name="Normal 7 2 2 2 2 2 5 2" xfId="895" xr:uid="{00000000-0005-0000-0000-0000D4090000}"/>
    <cellStyle name="Normal 7 2 2 2 2 2 5 2 2" xfId="2849" xr:uid="{00000000-0005-0000-0000-0000D5090000}"/>
    <cellStyle name="Normal 7 2 2 2 2 2 5 2 2 2" xfId="6770" xr:uid="{43CE4FD1-58BE-40A4-8B49-FD17CECBF817}"/>
    <cellStyle name="Normal 7 2 2 2 2 2 5 2 2 2 2" xfId="14630" xr:uid="{ABB77E04-CC1C-4317-99A5-A9D908F84A75}"/>
    <cellStyle name="Normal 7 2 2 2 2 2 5 2 2 3" xfId="10710" xr:uid="{1C507C75-87C0-456F-9E72-F9B7E96819EE}"/>
    <cellStyle name="Normal 7 2 2 2 2 2 5 2 3" xfId="4816" xr:uid="{A7AE6612-A362-4B8F-9FC2-5CFF2F248628}"/>
    <cellStyle name="Normal 7 2 2 2 2 2 5 2 3 2" xfId="12676" xr:uid="{898D9EB7-267F-4AE9-9E16-46818B448C91}"/>
    <cellStyle name="Normal 7 2 2 2 2 2 5 2 4" xfId="8757" xr:uid="{63A3C4DC-16E0-48FE-AAFD-487E29E367F6}"/>
    <cellStyle name="Normal 7 2 2 2 2 2 5 3" xfId="1327" xr:uid="{00000000-0005-0000-0000-0000D6090000}"/>
    <cellStyle name="Normal 7 2 2 2 2 2 5 3 2" xfId="3281" xr:uid="{00000000-0005-0000-0000-0000D7090000}"/>
    <cellStyle name="Normal 7 2 2 2 2 2 5 3 2 2" xfId="7202" xr:uid="{D8EE254C-2457-4BC6-9D1D-A3337B0AAB69}"/>
    <cellStyle name="Normal 7 2 2 2 2 2 5 3 2 2 2" xfId="15062" xr:uid="{E6FA300E-2BE8-438C-88EE-03FF95D57C7F}"/>
    <cellStyle name="Normal 7 2 2 2 2 2 5 3 2 3" xfId="11142" xr:uid="{23E91143-0658-45BB-8717-00530799ABA5}"/>
    <cellStyle name="Normal 7 2 2 2 2 2 5 3 3" xfId="5248" xr:uid="{D951CAD8-EED1-49BB-ACE8-8C6228F14B0E}"/>
    <cellStyle name="Normal 7 2 2 2 2 2 5 3 3 2" xfId="13108" xr:uid="{93AA2BEF-153C-4464-89CA-709D5EFD10AF}"/>
    <cellStyle name="Normal 7 2 2 2 2 2 5 3 4" xfId="9189" xr:uid="{1C11BDBE-9E41-42E3-9DF9-34A50096D356}"/>
    <cellStyle name="Normal 7 2 2 2 2 2 5 4" xfId="1745" xr:uid="{00000000-0005-0000-0000-0000D8090000}"/>
    <cellStyle name="Normal 7 2 2 2 2 2 5 4 2" xfId="3699" xr:uid="{00000000-0005-0000-0000-0000D9090000}"/>
    <cellStyle name="Normal 7 2 2 2 2 2 5 4 2 2" xfId="7620" xr:uid="{A930981B-2EA5-4D8F-8F47-57024866A5E8}"/>
    <cellStyle name="Normal 7 2 2 2 2 2 5 4 2 2 2" xfId="15480" xr:uid="{DE06B92F-DD55-407C-ACAA-4F634B32D4C8}"/>
    <cellStyle name="Normal 7 2 2 2 2 2 5 4 2 3" xfId="11560" xr:uid="{055B4682-4C3C-4E43-BE7E-DB369A7B2115}"/>
    <cellStyle name="Normal 7 2 2 2 2 2 5 4 3" xfId="5666" xr:uid="{71A7093D-4766-4059-A204-B183A288D49F}"/>
    <cellStyle name="Normal 7 2 2 2 2 2 5 4 3 2" xfId="13526" xr:uid="{7B963F51-60DA-42BA-8FB3-040EE7DF50AF}"/>
    <cellStyle name="Normal 7 2 2 2 2 2 5 4 4" xfId="9607" xr:uid="{4978F247-3B4A-4F88-9A75-6393AB291564}"/>
    <cellStyle name="Normal 7 2 2 2 2 2 5 5" xfId="2399" xr:uid="{00000000-0005-0000-0000-0000DA090000}"/>
    <cellStyle name="Normal 7 2 2 2 2 2 5 5 2" xfId="6320" xr:uid="{A080E62C-AC0F-4844-A7F2-276EBA28DBA7}"/>
    <cellStyle name="Normal 7 2 2 2 2 2 5 5 2 2" xfId="14180" xr:uid="{81704073-62BB-4CC5-BDD3-36508DB4A1F7}"/>
    <cellStyle name="Normal 7 2 2 2 2 2 5 5 3" xfId="10260" xr:uid="{48D7D8D3-5119-4C10-BECE-4C3A977BAE2C}"/>
    <cellStyle name="Normal 7 2 2 2 2 2 5 6" xfId="4366" xr:uid="{EE8DD8B7-FCA8-4D82-AF23-D79060B1D91B}"/>
    <cellStyle name="Normal 7 2 2 2 2 2 5 6 2" xfId="12226" xr:uid="{449500BF-2295-4A36-9C9A-79822E4002CD}"/>
    <cellStyle name="Normal 7 2 2 2 2 2 5 7" xfId="8307" xr:uid="{B0DC1F66-CF19-4153-86B8-3A7464A764C7}"/>
    <cellStyle name="Normal 7 2 2 2 2 2 6" xfId="536" xr:uid="{00000000-0005-0000-0000-0000DB090000}"/>
    <cellStyle name="Normal 7 2 2 2 2 2 6 2" xfId="2490" xr:uid="{00000000-0005-0000-0000-0000DC090000}"/>
    <cellStyle name="Normal 7 2 2 2 2 2 6 2 2" xfId="6411" xr:uid="{36E6A73C-75F2-4F27-9373-072D21535F1A}"/>
    <cellStyle name="Normal 7 2 2 2 2 2 6 2 2 2" xfId="14271" xr:uid="{7F50AB0D-EC7B-48B5-8CA3-52AC5452CD5E}"/>
    <cellStyle name="Normal 7 2 2 2 2 2 6 2 3" xfId="10351" xr:uid="{7C452078-3E49-4A81-AC55-E57E334D1575}"/>
    <cellStyle name="Normal 7 2 2 2 2 2 6 3" xfId="4457" xr:uid="{A3F6D362-C1C3-49EA-8A6F-9C7CAEBA5929}"/>
    <cellStyle name="Normal 7 2 2 2 2 2 6 3 2" xfId="12317" xr:uid="{6323A72D-6131-4BF8-B86E-58675A36A9B7}"/>
    <cellStyle name="Normal 7 2 2 2 2 2 6 4" xfId="8398" xr:uid="{A8F44754-0580-4180-A858-80E0177C5259}"/>
    <cellStyle name="Normal 7 2 2 2 2 2 7" xfId="973" xr:uid="{00000000-0005-0000-0000-0000DD090000}"/>
    <cellStyle name="Normal 7 2 2 2 2 2 7 2" xfId="2927" xr:uid="{00000000-0005-0000-0000-0000DE090000}"/>
    <cellStyle name="Normal 7 2 2 2 2 2 7 2 2" xfId="6848" xr:uid="{8AF8D2A5-6B8B-4081-AF3D-E66C120E8847}"/>
    <cellStyle name="Normal 7 2 2 2 2 2 7 2 2 2" xfId="14708" xr:uid="{EC700B34-91FD-4232-BB6A-2535F602DC2E}"/>
    <cellStyle name="Normal 7 2 2 2 2 2 7 2 3" xfId="10788" xr:uid="{F9849D72-937D-4CB6-A303-88CE29B74029}"/>
    <cellStyle name="Normal 7 2 2 2 2 2 7 3" xfId="4894" xr:uid="{D414ECE3-964B-440C-8C79-4F7C653AB515}"/>
    <cellStyle name="Normal 7 2 2 2 2 2 7 3 2" xfId="12754" xr:uid="{2E8EEBF6-7675-428D-9818-0FD339125B25}"/>
    <cellStyle name="Normal 7 2 2 2 2 2 7 4" xfId="8835" xr:uid="{41F81258-48A7-4B38-B016-70A3F235242B}"/>
    <cellStyle name="Normal 7 2 2 2 2 2 8" xfId="1400" xr:uid="{00000000-0005-0000-0000-0000DF090000}"/>
    <cellStyle name="Normal 7 2 2 2 2 2 8 2" xfId="3354" xr:uid="{00000000-0005-0000-0000-0000E0090000}"/>
    <cellStyle name="Normal 7 2 2 2 2 2 8 2 2" xfId="7275" xr:uid="{7541B5D1-59D4-482B-9930-B284399DBA77}"/>
    <cellStyle name="Normal 7 2 2 2 2 2 8 2 2 2" xfId="15135" xr:uid="{720C153A-09E6-448A-998D-643111D2E77B}"/>
    <cellStyle name="Normal 7 2 2 2 2 2 8 2 3" xfId="11215" xr:uid="{3023C2FC-D4B6-457B-9039-50B5F00044C8}"/>
    <cellStyle name="Normal 7 2 2 2 2 2 8 3" xfId="5321" xr:uid="{E0279089-0415-4421-A4D2-D322FC404303}"/>
    <cellStyle name="Normal 7 2 2 2 2 2 8 3 2" xfId="13181" xr:uid="{E31E2DCA-5671-4F28-97A0-4D5EB785A64C}"/>
    <cellStyle name="Normal 7 2 2 2 2 2 8 4" xfId="9262" xr:uid="{F4881689-3AC1-427E-9DB6-11720766397B}"/>
    <cellStyle name="Normal 7 2 2 2 2 2 9" xfId="2053" xr:uid="{00000000-0005-0000-0000-0000E1090000}"/>
    <cellStyle name="Normal 7 2 2 2 2 2 9 2" xfId="5974" xr:uid="{8BBCACC2-A03C-406F-A3D9-2B0526C8E745}"/>
    <cellStyle name="Normal 7 2 2 2 2 2 9 2 2" xfId="13834" xr:uid="{60AD2501-03A7-4F78-84E6-588D18FFB050}"/>
    <cellStyle name="Normal 7 2 2 2 2 2 9 3" xfId="9914" xr:uid="{5623D076-A78D-4237-8953-2DA6A03411C9}"/>
    <cellStyle name="Normal 7 2 2 2 2 3" xfId="201" xr:uid="{00000000-0005-0000-0000-0000E2090000}"/>
    <cellStyle name="Normal 7 2 2 2 2 3 2" xfId="653" xr:uid="{00000000-0005-0000-0000-0000E3090000}"/>
    <cellStyle name="Normal 7 2 2 2 2 3 2 2" xfId="2607" xr:uid="{00000000-0005-0000-0000-0000E4090000}"/>
    <cellStyle name="Normal 7 2 2 2 2 3 2 2 2" xfId="6528" xr:uid="{FC5F43F9-62D9-43E7-BC74-B1995B3CCE1E}"/>
    <cellStyle name="Normal 7 2 2 2 2 3 2 2 2 2" xfId="14388" xr:uid="{3465E1B1-9CA5-416A-862E-911FB4B0AEBB}"/>
    <cellStyle name="Normal 7 2 2 2 2 3 2 2 3" xfId="10468" xr:uid="{1D4F31AD-A0A0-4936-82CB-1B13E1E6BA21}"/>
    <cellStyle name="Normal 7 2 2 2 2 3 2 3" xfId="4574" xr:uid="{B73AAAEA-423B-4CD2-9E89-5530D1F634CA}"/>
    <cellStyle name="Normal 7 2 2 2 2 3 2 3 2" xfId="12434" xr:uid="{2F354400-3CDC-49AF-9BB0-FCE69B089D4D}"/>
    <cellStyle name="Normal 7 2 2 2 2 3 2 4" xfId="8515" xr:uid="{A1F51993-4988-4627-9DFC-0FE9BD837950}"/>
    <cellStyle name="Normal 7 2 2 2 2 3 3" xfId="1090" xr:uid="{00000000-0005-0000-0000-0000E5090000}"/>
    <cellStyle name="Normal 7 2 2 2 2 3 3 2" xfId="3044" xr:uid="{00000000-0005-0000-0000-0000E6090000}"/>
    <cellStyle name="Normal 7 2 2 2 2 3 3 2 2" xfId="6965" xr:uid="{87A6E8F8-8A3E-4F96-8CEB-97E871EBD660}"/>
    <cellStyle name="Normal 7 2 2 2 2 3 3 2 2 2" xfId="14825" xr:uid="{D260AF11-79E2-4EC8-BC48-1D868396F456}"/>
    <cellStyle name="Normal 7 2 2 2 2 3 3 2 3" xfId="10905" xr:uid="{038CE28F-8ED9-4EC7-9C77-6DE79D2C31BC}"/>
    <cellStyle name="Normal 7 2 2 2 2 3 3 3" xfId="5011" xr:uid="{5EABAAE9-CC7C-4185-BC9B-ABDA9F603192}"/>
    <cellStyle name="Normal 7 2 2 2 2 3 3 3 2" xfId="12871" xr:uid="{A6138CCD-1AEB-4485-A992-91B0B96FA549}"/>
    <cellStyle name="Normal 7 2 2 2 2 3 3 4" xfId="8952" xr:uid="{9450C7DC-DE8B-4AD7-8961-BEB2C30E3C9A}"/>
    <cellStyle name="Normal 7 2 2 2 2 3 4" xfId="1517" xr:uid="{00000000-0005-0000-0000-0000E7090000}"/>
    <cellStyle name="Normal 7 2 2 2 2 3 4 2" xfId="3471" xr:uid="{00000000-0005-0000-0000-0000E8090000}"/>
    <cellStyle name="Normal 7 2 2 2 2 3 4 2 2" xfId="7392" xr:uid="{ED3A12AA-4B16-4606-A5C5-C399FCD84841}"/>
    <cellStyle name="Normal 7 2 2 2 2 3 4 2 2 2" xfId="15252" xr:uid="{FF744DB4-5A08-4FB2-933B-541424455F8C}"/>
    <cellStyle name="Normal 7 2 2 2 2 3 4 2 3" xfId="11332" xr:uid="{3308582F-38F0-4A6E-99EF-68058F4C25A6}"/>
    <cellStyle name="Normal 7 2 2 2 2 3 4 3" xfId="5438" xr:uid="{59A9E411-7241-4D41-AB39-9D89E3364DC8}"/>
    <cellStyle name="Normal 7 2 2 2 2 3 4 3 2" xfId="13298" xr:uid="{1C647587-598F-4EF7-8BBF-54541F719F9B}"/>
    <cellStyle name="Normal 7 2 2 2 2 3 4 4" xfId="9379" xr:uid="{74682648-AD1A-4A80-8CA2-10B177E61B9E}"/>
    <cellStyle name="Normal 7 2 2 2 2 3 5" xfId="2170" xr:uid="{00000000-0005-0000-0000-0000E9090000}"/>
    <cellStyle name="Normal 7 2 2 2 2 3 5 2" xfId="6091" xr:uid="{13130CA1-D54D-4BC7-90F4-CF3FC1E33BCB}"/>
    <cellStyle name="Normal 7 2 2 2 2 3 5 2 2" xfId="13951" xr:uid="{E62AE6F0-66FE-4611-801B-6851F02DD42D}"/>
    <cellStyle name="Normal 7 2 2 2 2 3 5 3" xfId="10031" xr:uid="{7822A9E8-9A00-49FE-9C60-2FEFF9311666}"/>
    <cellStyle name="Normal 7 2 2 2 2 3 6" xfId="4137" xr:uid="{7E46F2B2-763C-43DA-B226-8282889B2415}"/>
    <cellStyle name="Normal 7 2 2 2 2 3 6 2" xfId="11997" xr:uid="{DCA2FE3D-E3DB-43DC-A183-9E5A4C47B380}"/>
    <cellStyle name="Normal 7 2 2 2 2 3 7" xfId="8075" xr:uid="{909CC250-943A-4BE6-A898-075A701220E5}"/>
    <cellStyle name="Normal 7 2 2 2 2 4" xfId="123" xr:uid="{00000000-0005-0000-0000-0000EA090000}"/>
    <cellStyle name="Normal 7 2 2 2 2 4 2" xfId="575" xr:uid="{00000000-0005-0000-0000-0000EB090000}"/>
    <cellStyle name="Normal 7 2 2 2 2 4 2 2" xfId="2529" xr:uid="{00000000-0005-0000-0000-0000EC090000}"/>
    <cellStyle name="Normal 7 2 2 2 2 4 2 2 2" xfId="6450" xr:uid="{729279E5-E3A6-4AA2-A946-32C1570D47EB}"/>
    <cellStyle name="Normal 7 2 2 2 2 4 2 2 2 2" xfId="14310" xr:uid="{B2EFB8AD-0C38-4CC2-907C-32AA16A464A8}"/>
    <cellStyle name="Normal 7 2 2 2 2 4 2 2 3" xfId="10390" xr:uid="{11E2C598-FE93-4341-84A9-05FC5AEC65D1}"/>
    <cellStyle name="Normal 7 2 2 2 2 4 2 3" xfId="4496" xr:uid="{3609C4FA-DB84-46D5-B127-A5F0ECDB6C42}"/>
    <cellStyle name="Normal 7 2 2 2 2 4 2 3 2" xfId="12356" xr:uid="{EA73C435-4BD7-4DE9-B286-FFE4C5292D11}"/>
    <cellStyle name="Normal 7 2 2 2 2 4 2 4" xfId="8437" xr:uid="{3CF6E4D2-4AA9-4CDA-8D6D-947D1C921D47}"/>
    <cellStyle name="Normal 7 2 2 2 2 4 3" xfId="1012" xr:uid="{00000000-0005-0000-0000-0000ED090000}"/>
    <cellStyle name="Normal 7 2 2 2 2 4 3 2" xfId="2966" xr:uid="{00000000-0005-0000-0000-0000EE090000}"/>
    <cellStyle name="Normal 7 2 2 2 2 4 3 2 2" xfId="6887" xr:uid="{EAE69953-1254-4C4B-8B9D-43E5E60AC4F6}"/>
    <cellStyle name="Normal 7 2 2 2 2 4 3 2 2 2" xfId="14747" xr:uid="{EF8E34FE-2EDC-4F2A-BE87-D50F7E7F368C}"/>
    <cellStyle name="Normal 7 2 2 2 2 4 3 2 3" xfId="10827" xr:uid="{EDC23333-29BA-4133-B7C5-F407371618B5}"/>
    <cellStyle name="Normal 7 2 2 2 2 4 3 3" xfId="4933" xr:uid="{C444C830-FCFB-4F95-8F55-DA4AFE71FB64}"/>
    <cellStyle name="Normal 7 2 2 2 2 4 3 3 2" xfId="12793" xr:uid="{ECA2CF00-3D8D-4989-AB80-9A18809BC5B7}"/>
    <cellStyle name="Normal 7 2 2 2 2 4 3 4" xfId="8874" xr:uid="{D9286153-2074-4B45-B75A-4235CBC19D64}"/>
    <cellStyle name="Normal 7 2 2 2 2 4 4" xfId="1439" xr:uid="{00000000-0005-0000-0000-0000EF090000}"/>
    <cellStyle name="Normal 7 2 2 2 2 4 4 2" xfId="3393" xr:uid="{00000000-0005-0000-0000-0000F0090000}"/>
    <cellStyle name="Normal 7 2 2 2 2 4 4 2 2" xfId="7314" xr:uid="{5B156908-9856-45A7-AE54-6525C9DAE01E}"/>
    <cellStyle name="Normal 7 2 2 2 2 4 4 2 2 2" xfId="15174" xr:uid="{94BEE206-AA70-425A-96EF-54E942EDC852}"/>
    <cellStyle name="Normal 7 2 2 2 2 4 4 2 3" xfId="11254" xr:uid="{8613E5E2-2F13-466F-ACCF-741BC09977F1}"/>
    <cellStyle name="Normal 7 2 2 2 2 4 4 3" xfId="5360" xr:uid="{4F3D29E6-3DBD-44B6-9347-4A75058ABAA7}"/>
    <cellStyle name="Normal 7 2 2 2 2 4 4 3 2" xfId="13220" xr:uid="{47F520D9-B9B1-4D32-8993-550964C14F75}"/>
    <cellStyle name="Normal 7 2 2 2 2 4 4 4" xfId="9301" xr:uid="{6A1FEBFC-8F81-429D-AAF9-F8C8CCADEE17}"/>
    <cellStyle name="Normal 7 2 2 2 2 4 5" xfId="2092" xr:uid="{00000000-0005-0000-0000-0000F1090000}"/>
    <cellStyle name="Normal 7 2 2 2 2 4 5 2" xfId="6013" xr:uid="{0DE525DF-6E0E-4826-8A09-6D3B46204A93}"/>
    <cellStyle name="Normal 7 2 2 2 2 4 5 2 2" xfId="13873" xr:uid="{C2218D12-0CD3-4126-9D5C-286742F308C8}"/>
    <cellStyle name="Normal 7 2 2 2 2 4 5 3" xfId="9953" xr:uid="{2DBE2CD2-7C43-435E-90C9-FEDAB1A1871F}"/>
    <cellStyle name="Normal 7 2 2 2 2 4 6" xfId="4059" xr:uid="{FD531481-F975-4A4F-BCED-C34918456D4E}"/>
    <cellStyle name="Normal 7 2 2 2 2 4 6 2" xfId="11919" xr:uid="{FC299044-4F8E-4CDA-9DFC-B9C92DE7B817}"/>
    <cellStyle name="Normal 7 2 2 2 2 4 7" xfId="7997" xr:uid="{15A7C39D-F5F0-4C59-B46B-7C05EF6535F9}"/>
    <cellStyle name="Normal 7 2 2 2 2 5" xfId="300" xr:uid="{00000000-0005-0000-0000-0000F2090000}"/>
    <cellStyle name="Normal 7 2 2 2 2 5 2" xfId="752" xr:uid="{00000000-0005-0000-0000-0000F3090000}"/>
    <cellStyle name="Normal 7 2 2 2 2 5 2 2" xfId="2706" xr:uid="{00000000-0005-0000-0000-0000F4090000}"/>
    <cellStyle name="Normal 7 2 2 2 2 5 2 2 2" xfId="6627" xr:uid="{8A165C3B-55D3-461E-96C2-3AABBA7BB149}"/>
    <cellStyle name="Normal 7 2 2 2 2 5 2 2 2 2" xfId="14487" xr:uid="{A1A5771E-54DF-425E-AEFB-E6DAE0CB7F67}"/>
    <cellStyle name="Normal 7 2 2 2 2 5 2 2 3" xfId="10567" xr:uid="{4ADD45D5-A004-47F7-BC10-1099552F2515}"/>
    <cellStyle name="Normal 7 2 2 2 2 5 2 3" xfId="4673" xr:uid="{DF4C66E6-8B13-40DC-9754-F758B14B1476}"/>
    <cellStyle name="Normal 7 2 2 2 2 5 2 3 2" xfId="12533" xr:uid="{E1243123-61F5-4F55-A25A-210A4650AA57}"/>
    <cellStyle name="Normal 7 2 2 2 2 5 2 4" xfId="8614" xr:uid="{610FC374-6AA6-4936-A71D-36ED4ECF367C}"/>
    <cellStyle name="Normal 7 2 2 2 2 5 3" xfId="1188" xr:uid="{00000000-0005-0000-0000-0000F5090000}"/>
    <cellStyle name="Normal 7 2 2 2 2 5 3 2" xfId="3142" xr:uid="{00000000-0005-0000-0000-0000F6090000}"/>
    <cellStyle name="Normal 7 2 2 2 2 5 3 2 2" xfId="7063" xr:uid="{665B901E-182A-42F8-B1CA-38460AE41F52}"/>
    <cellStyle name="Normal 7 2 2 2 2 5 3 2 2 2" xfId="14923" xr:uid="{1FBC2730-71EE-4123-9E9A-D930A7D1CF77}"/>
    <cellStyle name="Normal 7 2 2 2 2 5 3 2 3" xfId="11003" xr:uid="{B47093A9-9859-4BC3-8BF9-E2687951971B}"/>
    <cellStyle name="Normal 7 2 2 2 2 5 3 3" xfId="5109" xr:uid="{F544D6D6-64B5-4600-AA3B-0768B65B2FD4}"/>
    <cellStyle name="Normal 7 2 2 2 2 5 3 3 2" xfId="12969" xr:uid="{78939E28-0B57-4CA0-89AC-01C9A54BE96D}"/>
    <cellStyle name="Normal 7 2 2 2 2 5 3 4" xfId="9050" xr:uid="{F1724523-8185-441D-835B-6C8B198D0154}"/>
    <cellStyle name="Normal 7 2 2 2 2 5 4" xfId="1608" xr:uid="{00000000-0005-0000-0000-0000F7090000}"/>
    <cellStyle name="Normal 7 2 2 2 2 5 4 2" xfId="3562" xr:uid="{00000000-0005-0000-0000-0000F8090000}"/>
    <cellStyle name="Normal 7 2 2 2 2 5 4 2 2" xfId="7483" xr:uid="{38E2BFFE-74A5-4D8C-9C72-A1E41C541438}"/>
    <cellStyle name="Normal 7 2 2 2 2 5 4 2 2 2" xfId="15343" xr:uid="{E033B152-F653-431E-B1F2-83E6C2EFFB76}"/>
    <cellStyle name="Normal 7 2 2 2 2 5 4 2 3" xfId="11423" xr:uid="{9CABBC4A-4B21-439A-B481-5B8C454577D7}"/>
    <cellStyle name="Normal 7 2 2 2 2 5 4 3" xfId="5529" xr:uid="{7CC585A7-AB71-43C7-95B9-925AB64FC326}"/>
    <cellStyle name="Normal 7 2 2 2 2 5 4 3 2" xfId="13389" xr:uid="{6C05A6E9-9936-4389-99FC-FEF9F81054EB}"/>
    <cellStyle name="Normal 7 2 2 2 2 5 4 4" xfId="9470" xr:uid="{F57F001C-687E-4AA7-930F-5DF64569DCB2}"/>
    <cellStyle name="Normal 7 2 2 2 2 5 5" xfId="2262" xr:uid="{00000000-0005-0000-0000-0000F9090000}"/>
    <cellStyle name="Normal 7 2 2 2 2 5 5 2" xfId="6183" xr:uid="{1832130B-46FD-4212-95D5-376AC0CF40AD}"/>
    <cellStyle name="Normal 7 2 2 2 2 5 5 2 2" xfId="14043" xr:uid="{7C15F733-79AC-49F4-A682-2645C85EAEF8}"/>
    <cellStyle name="Normal 7 2 2 2 2 5 5 3" xfId="10123" xr:uid="{9E603346-35D3-465E-801E-F5A3BF4F3E70}"/>
    <cellStyle name="Normal 7 2 2 2 2 5 6" xfId="4229" xr:uid="{F58A23E7-C719-44A7-AFE9-A1B9D55AC11A}"/>
    <cellStyle name="Normal 7 2 2 2 2 5 6 2" xfId="12089" xr:uid="{F7D387AD-06D4-4358-9FFC-9E0D4B51164B}"/>
    <cellStyle name="Normal 7 2 2 2 2 5 7" xfId="8168" xr:uid="{5BF8E7AA-63A0-4AB0-9862-B9EF866C0583}"/>
    <cellStyle name="Normal 7 2 2 2 2 6" xfId="399" xr:uid="{00000000-0005-0000-0000-0000FA090000}"/>
    <cellStyle name="Normal 7 2 2 2 2 6 2" xfId="850" xr:uid="{00000000-0005-0000-0000-0000FB090000}"/>
    <cellStyle name="Normal 7 2 2 2 2 6 2 2" xfId="2804" xr:uid="{00000000-0005-0000-0000-0000FC090000}"/>
    <cellStyle name="Normal 7 2 2 2 2 6 2 2 2" xfId="6725" xr:uid="{720DDEA1-1DD8-4B82-9BA4-54229D854668}"/>
    <cellStyle name="Normal 7 2 2 2 2 6 2 2 2 2" xfId="14585" xr:uid="{0F6DB877-12AA-4322-BF36-734638B00FE0}"/>
    <cellStyle name="Normal 7 2 2 2 2 6 2 2 3" xfId="10665" xr:uid="{0DB07571-FFF1-4965-BB3D-4291466C6D92}"/>
    <cellStyle name="Normal 7 2 2 2 2 6 2 3" xfId="4771" xr:uid="{C87E179A-217B-42EC-9A4A-42C1E47BE623}"/>
    <cellStyle name="Normal 7 2 2 2 2 6 2 3 2" xfId="12631" xr:uid="{DE3ABCA7-B87B-4E81-A6D9-FDA9D66C40C1}"/>
    <cellStyle name="Normal 7 2 2 2 2 6 2 4" xfId="8712" xr:uid="{B1967529-33C0-4912-B9CF-4F4AA1CBCD13}"/>
    <cellStyle name="Normal 7 2 2 2 2 6 3" xfId="1282" xr:uid="{00000000-0005-0000-0000-0000FD090000}"/>
    <cellStyle name="Normal 7 2 2 2 2 6 3 2" xfId="3236" xr:uid="{00000000-0005-0000-0000-0000FE090000}"/>
    <cellStyle name="Normal 7 2 2 2 2 6 3 2 2" xfId="7157" xr:uid="{C410F457-7CBA-43DF-9240-8A64451BACB3}"/>
    <cellStyle name="Normal 7 2 2 2 2 6 3 2 2 2" xfId="15017" xr:uid="{1F87E89E-016A-4BC4-9729-922209C21853}"/>
    <cellStyle name="Normal 7 2 2 2 2 6 3 2 3" xfId="11097" xr:uid="{84480DEA-D0E0-4EFE-A2A8-0FDD6214AD8A}"/>
    <cellStyle name="Normal 7 2 2 2 2 6 3 3" xfId="5203" xr:uid="{C7B94CC7-3287-437A-A22C-417F0AB591F3}"/>
    <cellStyle name="Normal 7 2 2 2 2 6 3 3 2" xfId="13063" xr:uid="{7E570561-ED1C-45CA-B2EC-95A9AA84896D}"/>
    <cellStyle name="Normal 7 2 2 2 2 6 3 4" xfId="9144" xr:uid="{C3711956-06C6-4DB1-8E5A-87351EA0E2B9}"/>
    <cellStyle name="Normal 7 2 2 2 2 6 4" xfId="1700" xr:uid="{00000000-0005-0000-0000-0000FF090000}"/>
    <cellStyle name="Normal 7 2 2 2 2 6 4 2" xfId="3654" xr:uid="{00000000-0005-0000-0000-0000000A0000}"/>
    <cellStyle name="Normal 7 2 2 2 2 6 4 2 2" xfId="7575" xr:uid="{1F5B06C5-0D34-4222-A7A9-672119FC82EE}"/>
    <cellStyle name="Normal 7 2 2 2 2 6 4 2 2 2" xfId="15435" xr:uid="{8E0E38EF-0253-427A-8B7E-6B9616255ED1}"/>
    <cellStyle name="Normal 7 2 2 2 2 6 4 2 3" xfId="11515" xr:uid="{F399026B-AE65-4CBA-A77C-3D5C999DE715}"/>
    <cellStyle name="Normal 7 2 2 2 2 6 4 3" xfId="5621" xr:uid="{9CC96A03-0390-49D3-AA63-AA34B5324092}"/>
    <cellStyle name="Normal 7 2 2 2 2 6 4 3 2" xfId="13481" xr:uid="{9F786EC0-0EA4-48A5-BC69-C6DA5E77A2E6}"/>
    <cellStyle name="Normal 7 2 2 2 2 6 4 4" xfId="9562" xr:uid="{279407C6-E307-491F-B49C-0D140A686B38}"/>
    <cellStyle name="Normal 7 2 2 2 2 6 5" xfId="2354" xr:uid="{00000000-0005-0000-0000-0000010A0000}"/>
    <cellStyle name="Normal 7 2 2 2 2 6 5 2" xfId="6275" xr:uid="{864323BB-A242-4028-B01E-5457A8DD1DE8}"/>
    <cellStyle name="Normal 7 2 2 2 2 6 5 2 2" xfId="14135" xr:uid="{4F331A90-4DD8-497C-AF47-11719B25D9D6}"/>
    <cellStyle name="Normal 7 2 2 2 2 6 5 3" xfId="10215" xr:uid="{378D917A-EB4A-43D9-A563-FA871B99B1D8}"/>
    <cellStyle name="Normal 7 2 2 2 2 6 6" xfId="4321" xr:uid="{14BF2F4A-268A-4A88-A66E-A46F844BEDBC}"/>
    <cellStyle name="Normal 7 2 2 2 2 6 6 2" xfId="12181" xr:uid="{587E803A-4CA8-492B-815D-FEC6A7A554D6}"/>
    <cellStyle name="Normal 7 2 2 2 2 6 7" xfId="8262" xr:uid="{52DD5BCD-A71F-4113-B3A0-612C9EE7F4C3}"/>
    <cellStyle name="Normal 7 2 2 2 2 7" xfId="497" xr:uid="{00000000-0005-0000-0000-0000020A0000}"/>
    <cellStyle name="Normal 7 2 2 2 2 7 2" xfId="2451" xr:uid="{00000000-0005-0000-0000-0000030A0000}"/>
    <cellStyle name="Normal 7 2 2 2 2 7 2 2" xfId="6372" xr:uid="{D6578E7F-D360-4E50-A2D3-7C0021DE300F}"/>
    <cellStyle name="Normal 7 2 2 2 2 7 2 2 2" xfId="14232" xr:uid="{B16317F0-3837-418B-AFE7-24CAA7B3A643}"/>
    <cellStyle name="Normal 7 2 2 2 2 7 2 3" xfId="10312" xr:uid="{F6E2D2AD-37C1-4DE1-B978-E2CDECEDA4EF}"/>
    <cellStyle name="Normal 7 2 2 2 2 7 3" xfId="4418" xr:uid="{E0309C4B-8DB8-47E3-BB9E-61C5206BAB41}"/>
    <cellStyle name="Normal 7 2 2 2 2 7 3 2" xfId="12278" xr:uid="{C66EDE3E-E74F-4717-83B3-AD633447CA87}"/>
    <cellStyle name="Normal 7 2 2 2 2 7 4" xfId="8359" xr:uid="{7FE08F8E-1620-43E6-A9F1-79C4353C6D17}"/>
    <cellStyle name="Normal 7 2 2 2 2 8" xfId="934" xr:uid="{00000000-0005-0000-0000-0000040A0000}"/>
    <cellStyle name="Normal 7 2 2 2 2 8 2" xfId="2888" xr:uid="{00000000-0005-0000-0000-0000050A0000}"/>
    <cellStyle name="Normal 7 2 2 2 2 8 2 2" xfId="6809" xr:uid="{A50F127D-0950-490F-8ACE-95A9F0AA32F9}"/>
    <cellStyle name="Normal 7 2 2 2 2 8 2 2 2" xfId="14669" xr:uid="{24B75EB9-13E5-4945-AFFC-8E32E073D32C}"/>
    <cellStyle name="Normal 7 2 2 2 2 8 2 3" xfId="10749" xr:uid="{2583315F-A212-4200-9CC4-79675C1FE46E}"/>
    <cellStyle name="Normal 7 2 2 2 2 8 3" xfId="4855" xr:uid="{15DDB549-8B6F-494B-8E55-8F3DF1BCE80C}"/>
    <cellStyle name="Normal 7 2 2 2 2 8 3 2" xfId="12715" xr:uid="{66DCDD62-6958-4F0F-9878-A2B6DE032D89}"/>
    <cellStyle name="Normal 7 2 2 2 2 8 4" xfId="8796" xr:uid="{5AD771B2-6D92-4D58-871A-08A070AEBFF0}"/>
    <cellStyle name="Normal 7 2 2 2 2 9" xfId="1361" xr:uid="{00000000-0005-0000-0000-0000060A0000}"/>
    <cellStyle name="Normal 7 2 2 2 2 9 2" xfId="3315" xr:uid="{00000000-0005-0000-0000-0000070A0000}"/>
    <cellStyle name="Normal 7 2 2 2 2 9 2 2" xfId="7236" xr:uid="{92CA76AC-0CCF-43A9-A86E-597740C8C451}"/>
    <cellStyle name="Normal 7 2 2 2 2 9 2 2 2" xfId="15096" xr:uid="{38F3DA28-2E49-4820-94A0-470B20D38E66}"/>
    <cellStyle name="Normal 7 2 2 2 2 9 2 3" xfId="11176" xr:uid="{BC7817F3-9B7E-4776-B971-979E1137CCCC}"/>
    <cellStyle name="Normal 7 2 2 2 2 9 3" xfId="5282" xr:uid="{CDCD0FF8-54E4-4ACA-B966-41D0E428CA98}"/>
    <cellStyle name="Normal 7 2 2 2 2 9 3 2" xfId="13142" xr:uid="{AFAA1E85-7E87-48EC-B188-8AEBC3E5AFFA}"/>
    <cellStyle name="Normal 7 2 2 2 2 9 4" xfId="9223" xr:uid="{9D9F5EEC-3E80-4456-ACFA-422958AAB76A}"/>
    <cellStyle name="Normal 7 2 2 2 3" xfId="6633" xr:uid="{32F7BD10-9497-4975-B194-7C4F71A4AD00}"/>
    <cellStyle name="Normal 7 2 2 2 3 2" xfId="14493" xr:uid="{E4DBCA71-051E-4759-AA94-F9D907D539E3}"/>
    <cellStyle name="Normal 7 2 2 2 4" xfId="10573" xr:uid="{AB38A2AA-5ADB-4F16-9753-D355BC7C29B7}"/>
    <cellStyle name="Normal 7 2 2 3" xfId="4679" xr:uid="{397794CA-B64F-4229-8CE5-1E7B9F44BBEE}"/>
    <cellStyle name="Normal 7 2 2 3 2" xfId="12539" xr:uid="{7D81EFB0-A985-4EEA-8C5E-625306D139A8}"/>
    <cellStyle name="Normal 7 2 2 4" xfId="8620" xr:uid="{EBA754D2-4870-4734-ACA4-60D1CE97E287}"/>
    <cellStyle name="Normal 7 2 3" xfId="1194" xr:uid="{00000000-0005-0000-0000-0000080A0000}"/>
    <cellStyle name="Normal 7 2 3 2" xfId="3148" xr:uid="{00000000-0005-0000-0000-0000090A0000}"/>
    <cellStyle name="Normal 7 2 3 2 2" xfId="7069" xr:uid="{32D2C361-258B-4258-B8F7-0B9CDF9E4A46}"/>
    <cellStyle name="Normal 7 2 3 2 2 2" xfId="14929" xr:uid="{63DBC44A-6972-4B6A-8197-FAF96188F7ED}"/>
    <cellStyle name="Normal 7 2 3 2 3" xfId="11009" xr:uid="{21A5B3EB-A17B-408E-B09F-D2C10E60258E}"/>
    <cellStyle name="Normal 7 2 3 3" xfId="5115" xr:uid="{6B0AF9B6-F901-446F-B88C-6ADCA31B126B}"/>
    <cellStyle name="Normal 7 2 3 3 2" xfId="12975" xr:uid="{6B2E5F7F-00BE-4141-9EB0-BE1D550495A2}"/>
    <cellStyle name="Normal 7 2 3 4" xfId="9056" xr:uid="{8795936D-A976-4036-935A-94402F6265AB}"/>
    <cellStyle name="Normal 7 2 4" xfId="1614" xr:uid="{00000000-0005-0000-0000-00000A0A0000}"/>
    <cellStyle name="Normal 7 2 4 2" xfId="3568" xr:uid="{00000000-0005-0000-0000-00000B0A0000}"/>
    <cellStyle name="Normal 7 2 4 2 2" xfId="7489" xr:uid="{F85D0148-67AD-4FA8-84F4-A88CD8445A3F}"/>
    <cellStyle name="Normal 7 2 4 2 2 2" xfId="15349" xr:uid="{8DCA8E6F-B374-4421-A5C3-07F221000916}"/>
    <cellStyle name="Normal 7 2 4 2 3" xfId="11429" xr:uid="{A9E90F62-39BE-47E5-AE6F-779AF7663C64}"/>
    <cellStyle name="Normal 7 2 4 3" xfId="5535" xr:uid="{B6FA4BFF-EED6-4CBB-B708-5E370A5E8D99}"/>
    <cellStyle name="Normal 7 2 4 3 2" xfId="13395" xr:uid="{D3D73832-396E-40EE-A2B3-CB5BE1E494A5}"/>
    <cellStyle name="Normal 7 2 4 4" xfId="9476" xr:uid="{70159DDF-BF1D-4481-9195-A12A0C0614A0}"/>
    <cellStyle name="Normal 7 2 5" xfId="2268" xr:uid="{00000000-0005-0000-0000-00000C0A0000}"/>
    <cellStyle name="Normal 7 2 5 2" xfId="6189" xr:uid="{91644F9B-D840-48FD-942A-B540FCBB0590}"/>
    <cellStyle name="Normal 7 2 5 2 2" xfId="14049" xr:uid="{7861BB9E-535E-44C4-A2BC-D7F2594EB055}"/>
    <cellStyle name="Normal 7 2 5 3" xfId="10129" xr:uid="{884281FA-233B-4865-BE41-5293E1D1D1B1}"/>
    <cellStyle name="Normal 7 2 6" xfId="4235" xr:uid="{2A681E9E-5940-4442-A87B-6B31D7E6C120}"/>
    <cellStyle name="Normal 7 2 6 2" xfId="12095" xr:uid="{8C2C95C3-B98A-4F96-8F1B-286D2FE939F8}"/>
    <cellStyle name="Normal 7 2 7" xfId="8174" xr:uid="{E1A70741-A0A9-4D02-8D91-55F13A49741E}"/>
    <cellStyle name="Normal 7 3" xfId="405" xr:uid="{00000000-0005-0000-0000-00000D0A0000}"/>
    <cellStyle name="Normal 7 3 2" xfId="856" xr:uid="{00000000-0005-0000-0000-00000E0A0000}"/>
    <cellStyle name="Normal 7 3 2 2" xfId="2810" xr:uid="{00000000-0005-0000-0000-00000F0A0000}"/>
    <cellStyle name="Normal 7 3 2 2 2" xfId="6731" xr:uid="{64029ABE-ED3C-45F8-940D-442BFF32C5D3}"/>
    <cellStyle name="Normal 7 3 2 2 2 2" xfId="14591" xr:uid="{A4EAA05B-0D8E-4537-BF38-95B38CE63748}"/>
    <cellStyle name="Normal 7 3 2 2 3" xfId="10671" xr:uid="{1DA8AB23-9CA8-4A3F-A77D-A6D4FDBB52F1}"/>
    <cellStyle name="Normal 7 3 2 3" xfId="4777" xr:uid="{F4554E24-A8DE-4351-BD0E-A3BEEC07E113}"/>
    <cellStyle name="Normal 7 3 2 3 2" xfId="12637" xr:uid="{58440302-5EBC-4B65-9F6B-DC39F99E719F}"/>
    <cellStyle name="Normal 7 3 2 4" xfId="8718" xr:uid="{28360D21-98AE-49E1-9EA3-8DD327F96D54}"/>
    <cellStyle name="Normal 7 3 3" xfId="1288" xr:uid="{00000000-0005-0000-0000-0000100A0000}"/>
    <cellStyle name="Normal 7 3 3 2" xfId="3242" xr:uid="{00000000-0005-0000-0000-0000110A0000}"/>
    <cellStyle name="Normal 7 3 3 2 2" xfId="7163" xr:uid="{BC1A2144-A610-4D54-9455-0B1FD80E9EA5}"/>
    <cellStyle name="Normal 7 3 3 2 2 2" xfId="15023" xr:uid="{45ED550C-FBDC-4A2B-B24C-79F4C818FC0C}"/>
    <cellStyle name="Normal 7 3 3 2 3" xfId="11103" xr:uid="{A1BD1233-FF67-4350-A1C3-A4A04C927582}"/>
    <cellStyle name="Normal 7 3 3 3" xfId="5209" xr:uid="{918A7E73-5340-4E1A-8DE3-883F812790D9}"/>
    <cellStyle name="Normal 7 3 3 3 2" xfId="13069" xr:uid="{C3665B2C-F51F-488B-957E-2A6CA8879EE2}"/>
    <cellStyle name="Normal 7 3 3 4" xfId="9150" xr:uid="{573D55D7-7958-4BDD-8A61-4047CF3D8B3E}"/>
    <cellStyle name="Normal 7 3 4" xfId="1706" xr:uid="{00000000-0005-0000-0000-0000120A0000}"/>
    <cellStyle name="Normal 7 3 4 2" xfId="3660" xr:uid="{00000000-0005-0000-0000-0000130A0000}"/>
    <cellStyle name="Normal 7 3 4 2 2" xfId="7581" xr:uid="{EEA3CB40-1314-43CB-A4AF-8977882E4008}"/>
    <cellStyle name="Normal 7 3 4 2 2 2" xfId="15441" xr:uid="{3972BE19-0DF6-42A0-AF54-68A1F6F274FE}"/>
    <cellStyle name="Normal 7 3 4 2 3" xfId="11521" xr:uid="{0D85F08A-E2F8-4A88-B1B9-A9F20CF9D8DE}"/>
    <cellStyle name="Normal 7 3 4 3" xfId="5627" xr:uid="{BABE0E80-1490-4688-BF72-676CF7B1E490}"/>
    <cellStyle name="Normal 7 3 4 3 2" xfId="13487" xr:uid="{D6818D6C-0C71-49E7-953A-2CF90DAD7432}"/>
    <cellStyle name="Normal 7 3 4 4" xfId="9568" xr:uid="{AC2F2D5D-F9F2-4422-9C52-2A1AB31F349C}"/>
    <cellStyle name="Normal 7 3 5" xfId="2360" xr:uid="{00000000-0005-0000-0000-0000140A0000}"/>
    <cellStyle name="Normal 7 3 5 2" xfId="6281" xr:uid="{A430F3EB-8745-42ED-978A-CFBF1DD401C4}"/>
    <cellStyle name="Normal 7 3 5 2 2" xfId="14141" xr:uid="{A56CF335-7CDE-4DBF-9426-E8A26CF4F6E6}"/>
    <cellStyle name="Normal 7 3 5 3" xfId="10221" xr:uid="{66ED76EE-46AA-4FA1-AE9B-71E5C175119B}"/>
    <cellStyle name="Normal 7 3 6" xfId="4327" xr:uid="{7F66D2DE-1121-45F1-B35A-4C816FD62E7C}"/>
    <cellStyle name="Normal 7 3 6 2" xfId="12187" xr:uid="{E3D5665D-A546-439E-A872-5BC3911FC60F}"/>
    <cellStyle name="Normal 7 3 7" xfId="8268" xr:uid="{E727E526-FAE8-43D0-8BF1-429D4E3F8052}"/>
    <cellStyle name="Normal 7 4" xfId="703" xr:uid="{00000000-0005-0000-0000-0000150A0000}"/>
    <cellStyle name="Normal 7 4 2" xfId="2657" xr:uid="{00000000-0005-0000-0000-0000160A0000}"/>
    <cellStyle name="Normal 7 4 2 2" xfId="6578" xr:uid="{21CA1AC3-73A0-417F-9615-A1FE1B9870D6}"/>
    <cellStyle name="Normal 7 4 2 2 2" xfId="14438" xr:uid="{882E0D0D-BA79-4D15-ACB1-A2BFD3690181}"/>
    <cellStyle name="Normal 7 4 2 3" xfId="10518" xr:uid="{AF3BC486-B265-4E79-9BB5-B4D453A89216}"/>
    <cellStyle name="Normal 7 4 3" xfId="4624" xr:uid="{C149011C-036F-47C2-9C4A-E849491C838E}"/>
    <cellStyle name="Normal 7 4 3 2" xfId="12484" xr:uid="{6025C3D5-158E-41B2-893D-56661423EEDD}"/>
    <cellStyle name="Normal 7 4 4" xfId="8565" xr:uid="{0FCC1C35-B0C1-4800-B275-2951172F2C78}"/>
    <cellStyle name="Normal 7 5" xfId="1140" xr:uid="{00000000-0005-0000-0000-0000170A0000}"/>
    <cellStyle name="Normal 7 5 2" xfId="3094" xr:uid="{00000000-0005-0000-0000-0000180A0000}"/>
    <cellStyle name="Normal 7 5 2 2" xfId="7015" xr:uid="{FF80F3C4-1FFD-423C-A7A0-264BA67AB72C}"/>
    <cellStyle name="Normal 7 5 2 2 2" xfId="14875" xr:uid="{2CB60DB8-3675-4B6B-8711-C53BC1C11E53}"/>
    <cellStyle name="Normal 7 5 2 3" xfId="10955" xr:uid="{7DC01F7E-B107-4E0A-9716-17C50B4F21D8}"/>
    <cellStyle name="Normal 7 5 3" xfId="5061" xr:uid="{6FE5F80A-A422-4764-96D5-4A29819B8827}"/>
    <cellStyle name="Normal 7 5 3 2" xfId="12921" xr:uid="{DE09529D-4AD3-465F-B739-20990EAC5E87}"/>
    <cellStyle name="Normal 7 5 4" xfId="9002" xr:uid="{615542CF-85EA-4C4F-9234-2C827CCAC29B}"/>
    <cellStyle name="Normal 7 6" xfId="1564" xr:uid="{00000000-0005-0000-0000-0000190A0000}"/>
    <cellStyle name="Normal 7 6 2" xfId="3518" xr:uid="{00000000-0005-0000-0000-00001A0A0000}"/>
    <cellStyle name="Normal 7 6 2 2" xfId="7439" xr:uid="{5789F854-D9A5-4AC2-92F5-D7554F1859D1}"/>
    <cellStyle name="Normal 7 6 2 2 2" xfId="15299" xr:uid="{03E3B26C-FD85-4285-877F-FC098F708CFA}"/>
    <cellStyle name="Normal 7 6 2 3" xfId="11379" xr:uid="{E3EA70E3-81CC-4996-B515-04C23D73AE84}"/>
    <cellStyle name="Normal 7 6 3" xfId="5485" xr:uid="{0B98CBE5-265F-4315-993E-C3248E4F0DFC}"/>
    <cellStyle name="Normal 7 6 3 2" xfId="13345" xr:uid="{81F2C874-D7A2-4E49-9A67-74B2E8629091}"/>
    <cellStyle name="Normal 7 6 4" xfId="9426" xr:uid="{1A92EE15-B088-402B-B817-DD661F219689}"/>
    <cellStyle name="Normal 7 7" xfId="2217" xr:uid="{00000000-0005-0000-0000-00001B0A0000}"/>
    <cellStyle name="Normal 7 7 2" xfId="6138" xr:uid="{19BBF25B-7F51-466F-A5D2-EB58AE4696F7}"/>
    <cellStyle name="Normal 7 7 2 2" xfId="13998" xr:uid="{DA81989C-7380-435D-8D5E-8BF9F9F59CCC}"/>
    <cellStyle name="Normal 7 7 3" xfId="10078" xr:uid="{CDFA598D-90AC-4FF3-8D66-2261DED933E6}"/>
    <cellStyle name="Normal 7 8" xfId="4184" xr:uid="{6AD3FFE6-B985-480D-A6B4-A7008288C347}"/>
    <cellStyle name="Normal 7 8 2" xfId="12044" xr:uid="{F9DFA232-7A30-459C-9DE5-ED0B3D1B6E6D}"/>
    <cellStyle name="Normal 7 9" xfId="8123" xr:uid="{B8661BC1-5E0A-4EFB-96B2-310E867EDD61}"/>
    <cellStyle name="Normal 8" xfId="2" xr:uid="{00000000-0005-0000-0000-00001C0A0000}"/>
    <cellStyle name="Normal 8 10" xfId="362" xr:uid="{00000000-0005-0000-0000-00001D0A0000}"/>
    <cellStyle name="Normal 8 10 2" xfId="813" xr:uid="{00000000-0005-0000-0000-00001E0A0000}"/>
    <cellStyle name="Normal 8 10 2 2" xfId="2767" xr:uid="{00000000-0005-0000-0000-00001F0A0000}"/>
    <cellStyle name="Normal 8 10 2 2 2" xfId="6688" xr:uid="{4635B2EC-AE5C-4493-BC2C-2B6F4D15F414}"/>
    <cellStyle name="Normal 8 10 2 2 2 2" xfId="14548" xr:uid="{9BBD0848-DBC2-47F8-83BB-477D62543981}"/>
    <cellStyle name="Normal 8 10 2 2 3" xfId="10628" xr:uid="{6A041204-81BD-438F-984A-5B7BFA9FFCA9}"/>
    <cellStyle name="Normal 8 10 2 3" xfId="4734" xr:uid="{104D36B3-C564-420C-BEE6-D6746BAE1A95}"/>
    <cellStyle name="Normal 8 10 2 3 2" xfId="12594" xr:uid="{04D68386-2BAA-4370-A1CC-7A0B7E20A366}"/>
    <cellStyle name="Normal 8 10 2 4" xfId="8675" xr:uid="{7EE249A9-8E3B-444B-8273-3D942AFFA278}"/>
    <cellStyle name="Normal 8 10 3" xfId="1245" xr:uid="{00000000-0005-0000-0000-0000200A0000}"/>
    <cellStyle name="Normal 8 10 3 2" xfId="3199" xr:uid="{00000000-0005-0000-0000-0000210A0000}"/>
    <cellStyle name="Normal 8 10 3 2 2" xfId="7120" xr:uid="{00455D1E-ED8B-4477-B01F-BD742DB524A0}"/>
    <cellStyle name="Normal 8 10 3 2 2 2" xfId="14980" xr:uid="{6D4D53D7-0D20-44BA-B70C-48901095D088}"/>
    <cellStyle name="Normal 8 10 3 2 3" xfId="11060" xr:uid="{EDA69C60-7A37-4063-859D-750C9DB992B2}"/>
    <cellStyle name="Normal 8 10 3 3" xfId="5166" xr:uid="{4EC6CC4D-A898-475B-9E2D-F5E88429FA59}"/>
    <cellStyle name="Normal 8 10 3 3 2" xfId="13026" xr:uid="{EF1FC79E-2319-4736-A9DF-DC9F6E9AB4DC}"/>
    <cellStyle name="Normal 8 10 3 4" xfId="9107" xr:uid="{0B7E9C38-E3B1-47FD-B8D5-FAF8DFE4D428}"/>
    <cellStyle name="Normal 8 10 4" xfId="1663" xr:uid="{00000000-0005-0000-0000-0000220A0000}"/>
    <cellStyle name="Normal 8 10 4 2" xfId="3617" xr:uid="{00000000-0005-0000-0000-0000230A0000}"/>
    <cellStyle name="Normal 8 10 4 2 2" xfId="7538" xr:uid="{8B3B150F-EAD9-4758-B6D7-03E8468E2CDD}"/>
    <cellStyle name="Normal 8 10 4 2 2 2" xfId="15398" xr:uid="{20C073C5-BA59-442D-96C8-F76800335D17}"/>
    <cellStyle name="Normal 8 10 4 2 3" xfId="11478" xr:uid="{C876454B-687F-441B-BBFE-3524E6BEE760}"/>
    <cellStyle name="Normal 8 10 4 3" xfId="5584" xr:uid="{2E6A2259-BEE4-41F5-8682-F1C8372030F1}"/>
    <cellStyle name="Normal 8 10 4 3 2" xfId="13444" xr:uid="{9B0FD8B4-CB0B-4969-883E-E3AA681B220A}"/>
    <cellStyle name="Normal 8 10 4 4" xfId="9525" xr:uid="{5C8919E0-6192-4168-88F1-85B6265BF86C}"/>
    <cellStyle name="Normal 8 10 5" xfId="2317" xr:uid="{00000000-0005-0000-0000-0000240A0000}"/>
    <cellStyle name="Normal 8 10 5 2" xfId="6238" xr:uid="{CC3C2C28-0CD9-4DBC-9E59-65219EE1D7F6}"/>
    <cellStyle name="Normal 8 10 5 2 2" xfId="14098" xr:uid="{49FE12E9-1566-4124-94DD-7882AA00E7EC}"/>
    <cellStyle name="Normal 8 10 5 3" xfId="10178" xr:uid="{E9FDF578-D56E-4F6B-8999-70FECECD1CDA}"/>
    <cellStyle name="Normal 8 10 6" xfId="4284" xr:uid="{38FC68B2-C8B1-4EEC-A0F5-D9BE819F0930}"/>
    <cellStyle name="Normal 8 10 6 2" xfId="12144" xr:uid="{B1DF5506-5041-40C3-9E4E-6CCABB5F396E}"/>
    <cellStyle name="Normal 8 10 7" xfId="8225" xr:uid="{BDF79C95-07C2-4076-91BC-25E17D1337A5}"/>
    <cellStyle name="Normal 8 11" xfId="457" xr:uid="{00000000-0005-0000-0000-0000250A0000}"/>
    <cellStyle name="Normal 8 11 2" xfId="2411" xr:uid="{00000000-0005-0000-0000-0000260A0000}"/>
    <cellStyle name="Normal 8 11 2 2" xfId="6332" xr:uid="{971D5C64-1C26-489D-8B17-795DB07847AF}"/>
    <cellStyle name="Normal 8 11 2 2 2" xfId="14192" xr:uid="{A8A7FAB9-D9B2-41AD-A5BB-72B33742A709}"/>
    <cellStyle name="Normal 8 11 2 3" xfId="10272" xr:uid="{3EEAE421-A641-49E3-A75D-2749BB04420B}"/>
    <cellStyle name="Normal 8 11 3" xfId="4378" xr:uid="{DCE5446F-C350-4ECB-8A13-783930828C87}"/>
    <cellStyle name="Normal 8 11 3 2" xfId="12238" xr:uid="{5E791390-EFE7-4CF5-B7B5-7ED6644D0244}"/>
    <cellStyle name="Normal 8 11 4" xfId="8319" xr:uid="{67DF446C-1547-44BE-ADDC-8FB188EA5CE6}"/>
    <cellStyle name="Normal 8 12" xfId="708" xr:uid="{00000000-0005-0000-0000-0000270A0000}"/>
    <cellStyle name="Normal 8 12 2" xfId="2662" xr:uid="{00000000-0005-0000-0000-0000280A0000}"/>
    <cellStyle name="Normal 8 12 2 2" xfId="6583" xr:uid="{AF547BB7-BB38-4883-A523-B7AC5558B4DF}"/>
    <cellStyle name="Normal 8 12 2 2 2" xfId="14443" xr:uid="{C8992BA5-056B-4F49-83BC-FDFC4EDB83C8}"/>
    <cellStyle name="Normal 8 12 2 3" xfId="10523" xr:uid="{54653772-9694-437F-8D94-7CF7E883C690}"/>
    <cellStyle name="Normal 8 12 3" xfId="4629" xr:uid="{FF2F7375-9642-4175-AA25-40BF71E6A45F}"/>
    <cellStyle name="Normal 8 12 3 2" xfId="12489" xr:uid="{C154C108-D8A0-489D-AF64-2FFBED782960}"/>
    <cellStyle name="Normal 8 12 4" xfId="8570" xr:uid="{110F44A4-CFC8-4CF1-A39E-E8A1B73900B8}"/>
    <cellStyle name="Normal 8 13" xfId="1145" xr:uid="{00000000-0005-0000-0000-0000290A0000}"/>
    <cellStyle name="Normal 8 13 2" xfId="3099" xr:uid="{00000000-0005-0000-0000-00002A0A0000}"/>
    <cellStyle name="Normal 8 13 2 2" xfId="7020" xr:uid="{61DE0DFF-081C-4FFE-B9C0-363AC987270E}"/>
    <cellStyle name="Normal 8 13 2 2 2" xfId="14880" xr:uid="{759CAF22-0F05-469E-B08F-D6DAB2CE531C}"/>
    <cellStyle name="Normal 8 13 2 3" xfId="10960" xr:uid="{BBC827C4-8E06-4339-8423-836C34DD7018}"/>
    <cellStyle name="Normal 8 13 3" xfId="5066" xr:uid="{AF496CBF-33C8-4F45-81A4-8CCDDC952BDE}"/>
    <cellStyle name="Normal 8 13 3 2" xfId="12926" xr:uid="{02A19803-2070-4CE7-B027-DA1DB3477C10}"/>
    <cellStyle name="Normal 8 13 4" xfId="9007" xr:uid="{A33CC33D-3182-4C3A-BE08-DACCB9EE3A91}"/>
    <cellStyle name="Normal 8 14" xfId="1976" xr:uid="{00000000-0005-0000-0000-00002B0A0000}"/>
    <cellStyle name="Normal 8 14 2" xfId="5897" xr:uid="{2ED22973-C860-4827-8769-9B0CF2ECE6E8}"/>
    <cellStyle name="Normal 8 14 2 2" xfId="13757" xr:uid="{A3CF6B81-5D20-4C88-98B3-14F54FD31FEE}"/>
    <cellStyle name="Normal 8 14 3" xfId="9837" xr:uid="{64464606-63C3-4636-816D-0410113EC540}"/>
    <cellStyle name="Normal 8 15" xfId="3942" xr:uid="{3467A481-F99B-4814-8717-4294848842E6}"/>
    <cellStyle name="Normal 8 15 2" xfId="11802" xr:uid="{BF0DFB08-8529-4A80-9ED5-F155ECC5FBB7}"/>
    <cellStyle name="Normal 8 16" xfId="7879" xr:uid="{2589DA69-FE05-4757-977B-DA6AEC9E1D5E}"/>
    <cellStyle name="Normal 8 2" xfId="16" xr:uid="{00000000-0005-0000-0000-00002C0A0000}"/>
    <cellStyle name="Normal 8 2 10" xfId="1987" xr:uid="{00000000-0005-0000-0000-00002D0A0000}"/>
    <cellStyle name="Normal 8 2 10 2" xfId="5908" xr:uid="{154D9623-C670-4B2F-BA93-819E9DEB6FC7}"/>
    <cellStyle name="Normal 8 2 10 2 2" xfId="13768" xr:uid="{1D362AB1-78AF-4748-9E4C-4D927208B341}"/>
    <cellStyle name="Normal 8 2 10 3" xfId="9848" xr:uid="{7B997327-1280-48BA-BDB1-5CE6A147A8E2}"/>
    <cellStyle name="Normal 8 2 11" xfId="3954" xr:uid="{47DDFE04-EB12-43DE-8223-0116E51055EA}"/>
    <cellStyle name="Normal 8 2 11 2" xfId="11814" xr:uid="{A945E2EE-170D-4F9F-9CAF-E1E7355A1FF4}"/>
    <cellStyle name="Normal 8 2 12" xfId="7891" xr:uid="{37BE8153-A518-41F3-A7A1-449983080F40}"/>
    <cellStyle name="Normal 8 2 2" xfId="58" xr:uid="{00000000-0005-0000-0000-00002E0A0000}"/>
    <cellStyle name="Normal 8 2 2 10" xfId="3994" xr:uid="{FA98B7F9-4014-4FA8-A407-C9AE8D91538B}"/>
    <cellStyle name="Normal 8 2 2 10 2" xfId="11854" xr:uid="{B8AFF78D-488A-46DE-B78A-83278286E1DD}"/>
    <cellStyle name="Normal 8 2 2 11" xfId="7932" xr:uid="{08866967-40D5-48B8-A0EA-BFC4BA7AFDC0}"/>
    <cellStyle name="Normal 8 2 2 2" xfId="214" xr:uid="{00000000-0005-0000-0000-00002F0A0000}"/>
    <cellStyle name="Normal 8 2 2 2 2" xfId="666" xr:uid="{00000000-0005-0000-0000-0000300A0000}"/>
    <cellStyle name="Normal 8 2 2 2 2 2" xfId="2620" xr:uid="{00000000-0005-0000-0000-0000310A0000}"/>
    <cellStyle name="Normal 8 2 2 2 2 2 2" xfId="6541" xr:uid="{CD130B84-B990-41B9-825A-23817B07E925}"/>
    <cellStyle name="Normal 8 2 2 2 2 2 2 2" xfId="14401" xr:uid="{63D4D118-EE22-4EAC-B1AB-577D19136E1C}"/>
    <cellStyle name="Normal 8 2 2 2 2 2 3" xfId="10481" xr:uid="{133C8152-E1FA-4A4D-84A1-D7FE89FE1D34}"/>
    <cellStyle name="Normal 8 2 2 2 2 3" xfId="4587" xr:uid="{369E03CD-55B3-4034-81AE-89F25CEAB787}"/>
    <cellStyle name="Normal 8 2 2 2 2 3 2" xfId="12447" xr:uid="{FC9A7F0C-7E9C-491B-AB4C-4C97EBEC8896}"/>
    <cellStyle name="Normal 8 2 2 2 2 4" xfId="8528" xr:uid="{7B99CF6D-6918-452C-AC87-FA00157BF7F5}"/>
    <cellStyle name="Normal 8 2 2 2 3" xfId="1103" xr:uid="{00000000-0005-0000-0000-0000320A0000}"/>
    <cellStyle name="Normal 8 2 2 2 3 2" xfId="3057" xr:uid="{00000000-0005-0000-0000-0000330A0000}"/>
    <cellStyle name="Normal 8 2 2 2 3 2 2" xfId="6978" xr:uid="{710E910D-6F60-4E20-BF38-447257DFDBBD}"/>
    <cellStyle name="Normal 8 2 2 2 3 2 2 2" xfId="14838" xr:uid="{81261D2C-53C8-4D61-9917-92D267BF5FE3}"/>
    <cellStyle name="Normal 8 2 2 2 3 2 3" xfId="10918" xr:uid="{FECB02C9-46FE-4F6D-9E9B-08984D4CD0CC}"/>
    <cellStyle name="Normal 8 2 2 2 3 3" xfId="5024" xr:uid="{B51BDB92-6F85-4CD4-BAB1-DD7D711716B5}"/>
    <cellStyle name="Normal 8 2 2 2 3 3 2" xfId="12884" xr:uid="{7CF5BCFE-BAF0-4516-8FA8-0727A53CDC4F}"/>
    <cellStyle name="Normal 8 2 2 2 3 4" xfId="8965" xr:uid="{31013352-23A2-43B4-A299-1018F5F393B6}"/>
    <cellStyle name="Normal 8 2 2 2 4" xfId="1530" xr:uid="{00000000-0005-0000-0000-0000340A0000}"/>
    <cellStyle name="Normal 8 2 2 2 4 2" xfId="3484" xr:uid="{00000000-0005-0000-0000-0000350A0000}"/>
    <cellStyle name="Normal 8 2 2 2 4 2 2" xfId="7405" xr:uid="{D6F0CC54-A21D-4A19-A878-BC2C8D1C4A5D}"/>
    <cellStyle name="Normal 8 2 2 2 4 2 2 2" xfId="15265" xr:uid="{4A4415D0-2083-4A75-9539-D88A4C90378B}"/>
    <cellStyle name="Normal 8 2 2 2 4 2 3" xfId="11345" xr:uid="{E378680B-19BD-426F-946A-DE0EA325F58F}"/>
    <cellStyle name="Normal 8 2 2 2 4 3" xfId="5451" xr:uid="{3E26BF0D-A0B1-4E5B-8931-637BD4842333}"/>
    <cellStyle name="Normal 8 2 2 2 4 3 2" xfId="13311" xr:uid="{7FC261D4-844E-45FE-B889-7173AF78FB1D}"/>
    <cellStyle name="Normal 8 2 2 2 4 4" xfId="9392" xr:uid="{6F099931-D8B0-4060-8F44-4C98E4F6AC0E}"/>
    <cellStyle name="Normal 8 2 2 2 5" xfId="2183" xr:uid="{00000000-0005-0000-0000-0000360A0000}"/>
    <cellStyle name="Normal 8 2 2 2 5 2" xfId="6104" xr:uid="{72C8DCA2-DBE4-4E2B-8925-A991338C5C46}"/>
    <cellStyle name="Normal 8 2 2 2 5 2 2" xfId="13964" xr:uid="{688CD142-DD27-4297-AE07-C6BE11E5900F}"/>
    <cellStyle name="Normal 8 2 2 2 5 3" xfId="10044" xr:uid="{E0F3462C-8A4B-4349-AA6F-A4A9C82262B8}"/>
    <cellStyle name="Normal 8 2 2 2 6" xfId="4150" xr:uid="{C3C62965-F79F-4CC5-A6D2-C3B79FABF982}"/>
    <cellStyle name="Normal 8 2 2 2 6 2" xfId="12010" xr:uid="{FC89C569-E861-4123-99D9-B976901C67BF}"/>
    <cellStyle name="Normal 8 2 2 2 7" xfId="8088" xr:uid="{92427F20-4ACD-41CF-9639-5D95E205D58B}"/>
    <cellStyle name="Normal 8 2 2 3" xfId="136" xr:uid="{00000000-0005-0000-0000-0000370A0000}"/>
    <cellStyle name="Normal 8 2 2 3 2" xfId="588" xr:uid="{00000000-0005-0000-0000-0000380A0000}"/>
    <cellStyle name="Normal 8 2 2 3 2 2" xfId="2542" xr:uid="{00000000-0005-0000-0000-0000390A0000}"/>
    <cellStyle name="Normal 8 2 2 3 2 2 2" xfId="6463" xr:uid="{EA5AE070-E899-4295-9393-56CB17ACE969}"/>
    <cellStyle name="Normal 8 2 2 3 2 2 2 2" xfId="14323" xr:uid="{91FCA06C-43C7-4573-A41C-2149AF574FA8}"/>
    <cellStyle name="Normal 8 2 2 3 2 2 3" xfId="10403" xr:uid="{8812E806-5CE1-4A49-AD2A-107D13C6DA57}"/>
    <cellStyle name="Normal 8 2 2 3 2 3" xfId="4509" xr:uid="{8E1ABEFE-8C5F-4DDA-B71A-BC80BCAD93BD}"/>
    <cellStyle name="Normal 8 2 2 3 2 3 2" xfId="12369" xr:uid="{7B5BF17E-F13D-45DB-96A1-4B6720990817}"/>
    <cellStyle name="Normal 8 2 2 3 2 4" xfId="8450" xr:uid="{5331E5D8-428C-461F-8EE4-69630003C1BD}"/>
    <cellStyle name="Normal 8 2 2 3 3" xfId="1025" xr:uid="{00000000-0005-0000-0000-00003A0A0000}"/>
    <cellStyle name="Normal 8 2 2 3 3 2" xfId="2979" xr:uid="{00000000-0005-0000-0000-00003B0A0000}"/>
    <cellStyle name="Normal 8 2 2 3 3 2 2" xfId="6900" xr:uid="{80032E34-AF93-4588-9716-B5211CE8D234}"/>
    <cellStyle name="Normal 8 2 2 3 3 2 2 2" xfId="14760" xr:uid="{81AC821C-D7C7-4802-AA43-10D0169A89D6}"/>
    <cellStyle name="Normal 8 2 2 3 3 2 3" xfId="10840" xr:uid="{9973D03D-4D95-4202-9222-E371030EA4A6}"/>
    <cellStyle name="Normal 8 2 2 3 3 3" xfId="4946" xr:uid="{F9ED31C7-E40B-4DBE-8072-F339FE5DA116}"/>
    <cellStyle name="Normal 8 2 2 3 3 3 2" xfId="12806" xr:uid="{9A86BBAF-9C08-4E52-96D3-71987FBB7CC9}"/>
    <cellStyle name="Normal 8 2 2 3 3 4" xfId="8887" xr:uid="{015026E7-26F4-40F4-9729-49D31FE95C3B}"/>
    <cellStyle name="Normal 8 2 2 3 4" xfId="1452" xr:uid="{00000000-0005-0000-0000-00003C0A0000}"/>
    <cellStyle name="Normal 8 2 2 3 4 2" xfId="3406" xr:uid="{00000000-0005-0000-0000-00003D0A0000}"/>
    <cellStyle name="Normal 8 2 2 3 4 2 2" xfId="7327" xr:uid="{2113FA39-18EC-4ED4-A1C2-79CE80A1DE76}"/>
    <cellStyle name="Normal 8 2 2 3 4 2 2 2" xfId="15187" xr:uid="{C6E95683-DC7B-49C3-BB74-43D97B905B41}"/>
    <cellStyle name="Normal 8 2 2 3 4 2 3" xfId="11267" xr:uid="{62C6C7B1-F644-43A1-A1ED-9CB0177A96F1}"/>
    <cellStyle name="Normal 8 2 2 3 4 3" xfId="5373" xr:uid="{57B82624-EAB3-4573-B8DD-7529EE5D3551}"/>
    <cellStyle name="Normal 8 2 2 3 4 3 2" xfId="13233" xr:uid="{A05C5938-2562-4195-956A-67DECB306353}"/>
    <cellStyle name="Normal 8 2 2 3 4 4" xfId="9314" xr:uid="{A9F17822-B056-455C-9A06-1C6F27C9B040}"/>
    <cellStyle name="Normal 8 2 2 3 5" xfId="2105" xr:uid="{00000000-0005-0000-0000-00003E0A0000}"/>
    <cellStyle name="Normal 8 2 2 3 5 2" xfId="6026" xr:uid="{40CCEB94-142F-491B-8EAD-D0A80B5E424E}"/>
    <cellStyle name="Normal 8 2 2 3 5 2 2" xfId="13886" xr:uid="{C25EF179-0F71-47BA-B02E-8BBFFB2E364B}"/>
    <cellStyle name="Normal 8 2 2 3 5 3" xfId="9966" xr:uid="{59B48774-FC1F-4A2A-845F-A3DEB499F5EE}"/>
    <cellStyle name="Normal 8 2 2 3 6" xfId="4072" xr:uid="{F69EF4CA-DE9D-425A-B91A-254DE2E58B92}"/>
    <cellStyle name="Normal 8 2 2 3 6 2" xfId="11932" xr:uid="{9E1111C6-F9CD-4990-8313-879C6BC44538}"/>
    <cellStyle name="Normal 8 2 2 3 7" xfId="8010" xr:uid="{544C3114-4BF1-4931-AFF5-939FFFAF03E0}"/>
    <cellStyle name="Normal 8 2 2 4" xfId="320" xr:uid="{00000000-0005-0000-0000-00003F0A0000}"/>
    <cellStyle name="Normal 8 2 2 4 2" xfId="772" xr:uid="{00000000-0005-0000-0000-0000400A0000}"/>
    <cellStyle name="Normal 8 2 2 4 2 2" xfId="2726" xr:uid="{00000000-0005-0000-0000-0000410A0000}"/>
    <cellStyle name="Normal 8 2 2 4 2 2 2" xfId="6647" xr:uid="{35A4DE4E-8CF9-4FB5-92A0-4D65AA15E7D3}"/>
    <cellStyle name="Normal 8 2 2 4 2 2 2 2" xfId="14507" xr:uid="{7825A298-C51C-4EC8-B031-25DF104953E1}"/>
    <cellStyle name="Normal 8 2 2 4 2 2 3" xfId="10587" xr:uid="{60E7E850-4A7C-4AF9-B610-D1A2AF349A62}"/>
    <cellStyle name="Normal 8 2 2 4 2 3" xfId="4693" xr:uid="{CC73ED03-CE35-4B8E-AF2E-2FCCEDD5121D}"/>
    <cellStyle name="Normal 8 2 2 4 2 3 2" xfId="12553" xr:uid="{5E457CD0-9AD8-4EC9-96E2-24F0BBA8B18E}"/>
    <cellStyle name="Normal 8 2 2 4 2 4" xfId="8634" xr:uid="{66DE567D-EF81-4199-87B0-D45D7A140BF2}"/>
    <cellStyle name="Normal 8 2 2 4 3" xfId="1207" xr:uid="{00000000-0005-0000-0000-0000420A0000}"/>
    <cellStyle name="Normal 8 2 2 4 3 2" xfId="3161" xr:uid="{00000000-0005-0000-0000-0000430A0000}"/>
    <cellStyle name="Normal 8 2 2 4 3 2 2" xfId="7082" xr:uid="{70E34A15-041D-420D-9D6F-ECF4FD903CDF}"/>
    <cellStyle name="Normal 8 2 2 4 3 2 2 2" xfId="14942" xr:uid="{3242872F-8EED-4440-9AA1-75A627AA0187}"/>
    <cellStyle name="Normal 8 2 2 4 3 2 3" xfId="11022" xr:uid="{E0D0727E-DC53-494B-A9F5-04702ED1C0CB}"/>
    <cellStyle name="Normal 8 2 2 4 3 3" xfId="5128" xr:uid="{F1D6ED43-9D9C-4607-9587-E3080CE2D107}"/>
    <cellStyle name="Normal 8 2 2 4 3 3 2" xfId="12988" xr:uid="{7E6E6266-D0FF-4284-8BF5-B18F89A72E6B}"/>
    <cellStyle name="Normal 8 2 2 4 3 4" xfId="9069" xr:uid="{4EBA3FC4-3C6F-458A-AF77-2DE9790F75FB}"/>
    <cellStyle name="Normal 8 2 2 4 4" xfId="1627" xr:uid="{00000000-0005-0000-0000-0000440A0000}"/>
    <cellStyle name="Normal 8 2 2 4 4 2" xfId="3581" xr:uid="{00000000-0005-0000-0000-0000450A0000}"/>
    <cellStyle name="Normal 8 2 2 4 4 2 2" xfId="7502" xr:uid="{A8BFB15B-8DEE-4C32-A6F6-2315DDD4C173}"/>
    <cellStyle name="Normal 8 2 2 4 4 2 2 2" xfId="15362" xr:uid="{EE4E0D51-CB3F-46CB-A38D-4C927806D362}"/>
    <cellStyle name="Normal 8 2 2 4 4 2 3" xfId="11442" xr:uid="{447BD950-A872-4FF5-AAF0-61F20FEBB185}"/>
    <cellStyle name="Normal 8 2 2 4 4 3" xfId="5548" xr:uid="{E88DBDCD-205E-480B-AAAB-9FBE596D4CCA}"/>
    <cellStyle name="Normal 8 2 2 4 4 3 2" xfId="13408" xr:uid="{707124D4-3807-4E1A-95DE-22056B38F376}"/>
    <cellStyle name="Normal 8 2 2 4 4 4" xfId="9489" xr:uid="{8EBB3ACE-058E-4FE8-BD94-DFD342024C39}"/>
    <cellStyle name="Normal 8 2 2 4 5" xfId="2281" xr:uid="{00000000-0005-0000-0000-0000460A0000}"/>
    <cellStyle name="Normal 8 2 2 4 5 2" xfId="6202" xr:uid="{3E39ABD1-01AC-44C7-BDE8-1501BF830F73}"/>
    <cellStyle name="Normal 8 2 2 4 5 2 2" xfId="14062" xr:uid="{785E04A0-E072-484F-BB40-F7114ECF571B}"/>
    <cellStyle name="Normal 8 2 2 4 5 3" xfId="10142" xr:uid="{3D20F0A8-3D6C-4230-A61F-A782D58A0381}"/>
    <cellStyle name="Normal 8 2 2 4 6" xfId="4248" xr:uid="{1F89F596-E8AA-49DD-A1D4-1126EB765FA9}"/>
    <cellStyle name="Normal 8 2 2 4 6 2" xfId="12108" xr:uid="{E9CEF35E-BE47-4A00-87BC-9CA829734DC0}"/>
    <cellStyle name="Normal 8 2 2 4 7" xfId="8187" xr:uid="{9280195B-F6FE-49F8-8C17-45E4D88A0081}"/>
    <cellStyle name="Normal 8 2 2 5" xfId="418" xr:uid="{00000000-0005-0000-0000-0000470A0000}"/>
    <cellStyle name="Normal 8 2 2 5 2" xfId="869" xr:uid="{00000000-0005-0000-0000-0000480A0000}"/>
    <cellStyle name="Normal 8 2 2 5 2 2" xfId="2823" xr:uid="{00000000-0005-0000-0000-0000490A0000}"/>
    <cellStyle name="Normal 8 2 2 5 2 2 2" xfId="6744" xr:uid="{75B5DEA9-AEAD-40BB-9EC9-8FDB6DA2DABE}"/>
    <cellStyle name="Normal 8 2 2 5 2 2 2 2" xfId="14604" xr:uid="{51176CDF-334E-43AD-9BAC-0A64208A46D1}"/>
    <cellStyle name="Normal 8 2 2 5 2 2 3" xfId="10684" xr:uid="{BD2CC336-27D2-4191-A26B-784C17832034}"/>
    <cellStyle name="Normal 8 2 2 5 2 3" xfId="4790" xr:uid="{ADA5498B-1FCC-4597-935B-8B91F5AAD633}"/>
    <cellStyle name="Normal 8 2 2 5 2 3 2" xfId="12650" xr:uid="{EFE8E507-A264-43BD-B8D6-436332FC32C5}"/>
    <cellStyle name="Normal 8 2 2 5 2 4" xfId="8731" xr:uid="{AAB70F41-DEBF-46AB-92D4-12BA4B2D2111}"/>
    <cellStyle name="Normal 8 2 2 5 3" xfId="1301" xr:uid="{00000000-0005-0000-0000-00004A0A0000}"/>
    <cellStyle name="Normal 8 2 2 5 3 2" xfId="3255" xr:uid="{00000000-0005-0000-0000-00004B0A0000}"/>
    <cellStyle name="Normal 8 2 2 5 3 2 2" xfId="7176" xr:uid="{E9AB3E5D-3C90-4E2C-8D15-E0D109D77427}"/>
    <cellStyle name="Normal 8 2 2 5 3 2 2 2" xfId="15036" xr:uid="{FE9879C0-F34B-46D8-9BAF-FF1557BEAE2C}"/>
    <cellStyle name="Normal 8 2 2 5 3 2 3" xfId="11116" xr:uid="{5CD53DD0-B0BF-4169-8079-1ED00C540959}"/>
    <cellStyle name="Normal 8 2 2 5 3 3" xfId="5222" xr:uid="{552D6E87-5D8A-46DB-B597-8A78EF7B99EA}"/>
    <cellStyle name="Normal 8 2 2 5 3 3 2" xfId="13082" xr:uid="{3C5AC1BB-204A-4459-982B-D12F9C26EB0C}"/>
    <cellStyle name="Normal 8 2 2 5 3 4" xfId="9163" xr:uid="{E9B8F8BB-D14E-452B-8EDD-25CC264E575F}"/>
    <cellStyle name="Normal 8 2 2 5 4" xfId="1719" xr:uid="{00000000-0005-0000-0000-00004C0A0000}"/>
    <cellStyle name="Normal 8 2 2 5 4 2" xfId="3673" xr:uid="{00000000-0005-0000-0000-00004D0A0000}"/>
    <cellStyle name="Normal 8 2 2 5 4 2 2" xfId="7594" xr:uid="{9398AACD-EB7A-40E6-803D-9823C886B880}"/>
    <cellStyle name="Normal 8 2 2 5 4 2 2 2" xfId="15454" xr:uid="{4125F35B-F801-45D4-8AEC-BFAC50DE6E15}"/>
    <cellStyle name="Normal 8 2 2 5 4 2 3" xfId="11534" xr:uid="{1F60BC7C-2A69-4E9D-9BD2-7BC736A65B85}"/>
    <cellStyle name="Normal 8 2 2 5 4 3" xfId="5640" xr:uid="{41E2EFA2-9663-4C80-B2AC-5EC5F5C347B6}"/>
    <cellStyle name="Normal 8 2 2 5 4 3 2" xfId="13500" xr:uid="{7EFF2B14-BDA0-456E-9E72-2AEAD2096CAF}"/>
    <cellStyle name="Normal 8 2 2 5 4 4" xfId="9581" xr:uid="{50816E0D-9444-4161-867F-BBD29EA83BC1}"/>
    <cellStyle name="Normal 8 2 2 5 5" xfId="2373" xr:uid="{00000000-0005-0000-0000-00004E0A0000}"/>
    <cellStyle name="Normal 8 2 2 5 5 2" xfId="6294" xr:uid="{D285B0F9-30DC-4ECF-A310-2D9ABD0D28BC}"/>
    <cellStyle name="Normal 8 2 2 5 5 2 2" xfId="14154" xr:uid="{211EEDEE-49A3-42F7-9C9E-4DDC55575492}"/>
    <cellStyle name="Normal 8 2 2 5 5 3" xfId="10234" xr:uid="{B18EDDDC-FC71-428B-A4A0-16CC912C7E01}"/>
    <cellStyle name="Normal 8 2 2 5 6" xfId="4340" xr:uid="{AA409305-C3B0-4D34-A6EB-FFCD869D7E9D}"/>
    <cellStyle name="Normal 8 2 2 5 6 2" xfId="12200" xr:uid="{B6EF7DB8-1445-4ACF-9A27-A7969DABD125}"/>
    <cellStyle name="Normal 8 2 2 5 7" xfId="8281" xr:uid="{0B10EF62-B1F4-4ABB-88C5-A9AA9E2C7949}"/>
    <cellStyle name="Normal 8 2 2 6" xfId="510" xr:uid="{00000000-0005-0000-0000-00004F0A0000}"/>
    <cellStyle name="Normal 8 2 2 6 2" xfId="2464" xr:uid="{00000000-0005-0000-0000-0000500A0000}"/>
    <cellStyle name="Normal 8 2 2 6 2 2" xfId="6385" xr:uid="{419C1D50-1478-4725-8D22-BA2E32D2EF4D}"/>
    <cellStyle name="Normal 8 2 2 6 2 2 2" xfId="14245" xr:uid="{B87F4358-1F3A-4476-B084-1E6DF2512487}"/>
    <cellStyle name="Normal 8 2 2 6 2 3" xfId="10325" xr:uid="{D4D9EAA8-C258-4FB1-9C95-5B1070A326A7}"/>
    <cellStyle name="Normal 8 2 2 6 3" xfId="4431" xr:uid="{A71F77EF-26D3-4298-976E-98EB8431AFD7}"/>
    <cellStyle name="Normal 8 2 2 6 3 2" xfId="12291" xr:uid="{BF31210C-960C-427A-BD9F-7E3596E7BA1E}"/>
    <cellStyle name="Normal 8 2 2 6 4" xfId="8372" xr:uid="{3DF4D2E7-9FAA-4631-9FBC-B8D73CAB419C}"/>
    <cellStyle name="Normal 8 2 2 7" xfId="947" xr:uid="{00000000-0005-0000-0000-0000510A0000}"/>
    <cellStyle name="Normal 8 2 2 7 2" xfId="2901" xr:uid="{00000000-0005-0000-0000-0000520A0000}"/>
    <cellStyle name="Normal 8 2 2 7 2 2" xfId="6822" xr:uid="{A4941884-09D7-4FCD-903D-3231C58A662E}"/>
    <cellStyle name="Normal 8 2 2 7 2 2 2" xfId="14682" xr:uid="{98B4620B-1AFA-4C59-936C-1082EF35E812}"/>
    <cellStyle name="Normal 8 2 2 7 2 3" xfId="10762" xr:uid="{701A222E-81C0-43B5-8E8E-70C9BE93D1EC}"/>
    <cellStyle name="Normal 8 2 2 7 3" xfId="4868" xr:uid="{5F31CBEE-81D9-410A-961F-DE100D013399}"/>
    <cellStyle name="Normal 8 2 2 7 3 2" xfId="12728" xr:uid="{3B73C2F2-EF11-4F32-B961-1BBF7E2E0429}"/>
    <cellStyle name="Normal 8 2 2 7 4" xfId="8809" xr:uid="{B40C3784-1323-4EF8-B6F2-2C84D06D1A45}"/>
    <cellStyle name="Normal 8 2 2 8" xfId="1374" xr:uid="{00000000-0005-0000-0000-0000530A0000}"/>
    <cellStyle name="Normal 8 2 2 8 2" xfId="3328" xr:uid="{00000000-0005-0000-0000-0000540A0000}"/>
    <cellStyle name="Normal 8 2 2 8 2 2" xfId="7249" xr:uid="{69398983-CBA1-46D2-9E76-657F865D3F21}"/>
    <cellStyle name="Normal 8 2 2 8 2 2 2" xfId="15109" xr:uid="{B9B5236F-35E3-4257-A9B5-F29812B89C13}"/>
    <cellStyle name="Normal 8 2 2 8 2 3" xfId="11189" xr:uid="{C9F12CCF-D60E-4B05-8534-E433B605CA86}"/>
    <cellStyle name="Normal 8 2 2 8 3" xfId="5295" xr:uid="{91FC81FB-59F1-4809-9918-8EA2A08EDF0A}"/>
    <cellStyle name="Normal 8 2 2 8 3 2" xfId="13155" xr:uid="{42CF2A1E-4FD5-4DBA-AD19-0B924E769DA3}"/>
    <cellStyle name="Normal 8 2 2 8 4" xfId="9236" xr:uid="{19DDEB45-E9A4-43D7-BB55-2960694DA5B0}"/>
    <cellStyle name="Normal 8 2 2 9" xfId="2027" xr:uid="{00000000-0005-0000-0000-0000550A0000}"/>
    <cellStyle name="Normal 8 2 2 9 2" xfId="5948" xr:uid="{6DAC8862-504B-4B09-9326-F0D8105612F9}"/>
    <cellStyle name="Normal 8 2 2 9 2 2" xfId="13808" xr:uid="{ADC2CF21-47A3-4F49-BEC5-2A531E773A08}"/>
    <cellStyle name="Normal 8 2 2 9 3" xfId="9888" xr:uid="{5DA2D5EC-2442-4925-B667-F1A9E74D7FAE}"/>
    <cellStyle name="Normal 8 2 3" xfId="175" xr:uid="{00000000-0005-0000-0000-0000560A0000}"/>
    <cellStyle name="Normal 8 2 3 2" xfId="627" xr:uid="{00000000-0005-0000-0000-0000570A0000}"/>
    <cellStyle name="Normal 8 2 3 2 2" xfId="2581" xr:uid="{00000000-0005-0000-0000-0000580A0000}"/>
    <cellStyle name="Normal 8 2 3 2 2 2" xfId="6502" xr:uid="{4F6E9450-4D04-438B-B6B7-17A90FC6AA3D}"/>
    <cellStyle name="Normal 8 2 3 2 2 2 2" xfId="14362" xr:uid="{A8FA7A76-647E-4F5F-87E1-8CC64B079BAC}"/>
    <cellStyle name="Normal 8 2 3 2 2 3" xfId="10442" xr:uid="{4D37F3D1-2DA9-46FE-8998-F80D38DCE70E}"/>
    <cellStyle name="Normal 8 2 3 2 3" xfId="4548" xr:uid="{CF128DBF-B7B9-46B0-8416-4F924B6994F2}"/>
    <cellStyle name="Normal 8 2 3 2 3 2" xfId="12408" xr:uid="{F304A118-AB26-4C65-AE84-730F39308862}"/>
    <cellStyle name="Normal 8 2 3 2 4" xfId="8489" xr:uid="{D22559B3-1D93-412C-B5D9-2982FEC0DC65}"/>
    <cellStyle name="Normal 8 2 3 3" xfId="1064" xr:uid="{00000000-0005-0000-0000-0000590A0000}"/>
    <cellStyle name="Normal 8 2 3 3 2" xfId="3018" xr:uid="{00000000-0005-0000-0000-00005A0A0000}"/>
    <cellStyle name="Normal 8 2 3 3 2 2" xfId="6939" xr:uid="{4DE00D7B-2FD0-4455-B111-D5772E428035}"/>
    <cellStyle name="Normal 8 2 3 3 2 2 2" xfId="14799" xr:uid="{989B5DD3-F777-4289-ADA3-F1952DD419AE}"/>
    <cellStyle name="Normal 8 2 3 3 2 3" xfId="10879" xr:uid="{18934A6A-C66F-45FC-9152-42E265621CB2}"/>
    <cellStyle name="Normal 8 2 3 3 3" xfId="4985" xr:uid="{A8FE5EA1-DC3A-4811-BB9B-7777E5DD2DC8}"/>
    <cellStyle name="Normal 8 2 3 3 3 2" xfId="12845" xr:uid="{4B421D0C-A869-4554-A0AE-4BF5911B13F3}"/>
    <cellStyle name="Normal 8 2 3 3 4" xfId="8926" xr:uid="{67F4F3CF-8319-4223-8494-296D3894DA13}"/>
    <cellStyle name="Normal 8 2 3 4" xfId="1491" xr:uid="{00000000-0005-0000-0000-00005B0A0000}"/>
    <cellStyle name="Normal 8 2 3 4 2" xfId="3445" xr:uid="{00000000-0005-0000-0000-00005C0A0000}"/>
    <cellStyle name="Normal 8 2 3 4 2 2" xfId="7366" xr:uid="{E2270C28-7D1A-4B0F-AB4D-1F28CDF081C8}"/>
    <cellStyle name="Normal 8 2 3 4 2 2 2" xfId="15226" xr:uid="{05B59261-45D8-440A-9153-4661776B216E}"/>
    <cellStyle name="Normal 8 2 3 4 2 3" xfId="11306" xr:uid="{A0A93206-79C5-4A3A-B9B1-80CEEEA9DEFC}"/>
    <cellStyle name="Normal 8 2 3 4 3" xfId="5412" xr:uid="{5FB59F62-E153-4799-9B3F-30CCA4190A0F}"/>
    <cellStyle name="Normal 8 2 3 4 3 2" xfId="13272" xr:uid="{34CBE187-EE7F-48B4-AA49-9DACFF76615A}"/>
    <cellStyle name="Normal 8 2 3 4 4" xfId="9353" xr:uid="{B5BAC9EB-B3CC-43BD-9A18-A7A6571B0A48}"/>
    <cellStyle name="Normal 8 2 3 5" xfId="2144" xr:uid="{00000000-0005-0000-0000-00005D0A0000}"/>
    <cellStyle name="Normal 8 2 3 5 2" xfId="6065" xr:uid="{1F78395E-B7A3-48F5-993B-8DD8014E61D0}"/>
    <cellStyle name="Normal 8 2 3 5 2 2" xfId="13925" xr:uid="{A64AD2B4-7B01-4752-99FF-C78294C09305}"/>
    <cellStyle name="Normal 8 2 3 5 3" xfId="10005" xr:uid="{02D5F624-A5F9-4EC2-BE5B-9009C7E61D4D}"/>
    <cellStyle name="Normal 8 2 3 6" xfId="4111" xr:uid="{AF78CC16-7D3E-4A7B-816B-7EA72D934E50}"/>
    <cellStyle name="Normal 8 2 3 6 2" xfId="11971" xr:uid="{2930F27E-C2F0-41B1-884D-26544EF4644B}"/>
    <cellStyle name="Normal 8 2 3 7" xfId="8049" xr:uid="{6DE45511-A9D5-4EED-88FB-367714BFAC1D}"/>
    <cellStyle name="Normal 8 2 4" xfId="97" xr:uid="{00000000-0005-0000-0000-00005E0A0000}"/>
    <cellStyle name="Normal 8 2 4 2" xfId="549" xr:uid="{00000000-0005-0000-0000-00005F0A0000}"/>
    <cellStyle name="Normal 8 2 4 2 2" xfId="2503" xr:uid="{00000000-0005-0000-0000-0000600A0000}"/>
    <cellStyle name="Normal 8 2 4 2 2 2" xfId="6424" xr:uid="{32EB7F82-0290-4CFB-A315-178350255BBB}"/>
    <cellStyle name="Normal 8 2 4 2 2 2 2" xfId="14284" xr:uid="{6290F13F-55A8-4B0C-986B-0EFF44247BC0}"/>
    <cellStyle name="Normal 8 2 4 2 2 3" xfId="10364" xr:uid="{62223133-0AB2-4E5D-A02D-DF3BC5EAD5A6}"/>
    <cellStyle name="Normal 8 2 4 2 3" xfId="4470" xr:uid="{8E356BAE-4E2F-46A0-8482-3069CC650C10}"/>
    <cellStyle name="Normal 8 2 4 2 3 2" xfId="12330" xr:uid="{AF0FAD8F-1C58-4EA9-8CED-C04FCE33CA9A}"/>
    <cellStyle name="Normal 8 2 4 2 4" xfId="8411" xr:uid="{3FA65F2C-F02A-4285-9319-2BA5EC316537}"/>
    <cellStyle name="Normal 8 2 4 3" xfId="986" xr:uid="{00000000-0005-0000-0000-0000610A0000}"/>
    <cellStyle name="Normal 8 2 4 3 2" xfId="2940" xr:uid="{00000000-0005-0000-0000-0000620A0000}"/>
    <cellStyle name="Normal 8 2 4 3 2 2" xfId="6861" xr:uid="{5DCB2CEE-B84A-413D-86B5-4CB6EA2081FD}"/>
    <cellStyle name="Normal 8 2 4 3 2 2 2" xfId="14721" xr:uid="{9F0B7CC3-6372-429E-A9E8-5D5FF2E73677}"/>
    <cellStyle name="Normal 8 2 4 3 2 3" xfId="10801" xr:uid="{4F276227-84BE-43DC-8789-4EAF18FC0CE2}"/>
    <cellStyle name="Normal 8 2 4 3 3" xfId="4907" xr:uid="{2EC859E0-AAAE-448F-B3E9-5BA8BB638665}"/>
    <cellStyle name="Normal 8 2 4 3 3 2" xfId="12767" xr:uid="{FD467BCA-A265-4985-BFA3-7EE7F7A9D253}"/>
    <cellStyle name="Normal 8 2 4 3 4" xfId="8848" xr:uid="{07BAFF7B-F510-4369-8134-68196F76F50B}"/>
    <cellStyle name="Normal 8 2 4 4" xfId="1413" xr:uid="{00000000-0005-0000-0000-0000630A0000}"/>
    <cellStyle name="Normal 8 2 4 4 2" xfId="3367" xr:uid="{00000000-0005-0000-0000-0000640A0000}"/>
    <cellStyle name="Normal 8 2 4 4 2 2" xfId="7288" xr:uid="{0CF1D62A-AF24-4187-B261-93479454C63C}"/>
    <cellStyle name="Normal 8 2 4 4 2 2 2" xfId="15148" xr:uid="{FC648774-329E-4508-A6B2-8DF13F8ED572}"/>
    <cellStyle name="Normal 8 2 4 4 2 3" xfId="11228" xr:uid="{D839BFD1-2058-4A24-8D5D-F9EF55978C18}"/>
    <cellStyle name="Normal 8 2 4 4 3" xfId="5334" xr:uid="{39B667A8-EEEF-4764-A979-08B3E4DF02DB}"/>
    <cellStyle name="Normal 8 2 4 4 3 2" xfId="13194" xr:uid="{A738410D-C1B5-4517-B1D1-C93CA625FD43}"/>
    <cellStyle name="Normal 8 2 4 4 4" xfId="9275" xr:uid="{26A83853-7E26-4C83-8AD1-BBC88FC58CFA}"/>
    <cellStyle name="Normal 8 2 4 5" xfId="2066" xr:uid="{00000000-0005-0000-0000-0000650A0000}"/>
    <cellStyle name="Normal 8 2 4 5 2" xfId="5987" xr:uid="{DB20C05C-4674-4555-A049-3C27F0E53207}"/>
    <cellStyle name="Normal 8 2 4 5 2 2" xfId="13847" xr:uid="{4A3DB9C8-63CA-4ED6-899E-224F4B550E52}"/>
    <cellStyle name="Normal 8 2 4 5 3" xfId="9927" xr:uid="{7CEF67C3-4169-4469-95F0-CB777251B1BA}"/>
    <cellStyle name="Normal 8 2 4 6" xfId="4033" xr:uid="{41EA5520-F3E9-4E50-BC44-6FF2D6B0C620}"/>
    <cellStyle name="Normal 8 2 4 6 2" xfId="11893" xr:uid="{ABC8B885-857F-4076-83F7-FC1523FF424F}"/>
    <cellStyle name="Normal 8 2 4 7" xfId="7971" xr:uid="{737E9C0C-8FD8-45D9-AD04-71003E8D5F4B}"/>
    <cellStyle name="Normal 8 2 5" xfId="273" xr:uid="{00000000-0005-0000-0000-0000660A0000}"/>
    <cellStyle name="Normal 8 2 5 2" xfId="725" xr:uid="{00000000-0005-0000-0000-0000670A0000}"/>
    <cellStyle name="Normal 8 2 5 2 2" xfId="2679" xr:uid="{00000000-0005-0000-0000-0000680A0000}"/>
    <cellStyle name="Normal 8 2 5 2 2 2" xfId="6600" xr:uid="{D661671B-168C-45CA-BD5C-FB722EB1588A}"/>
    <cellStyle name="Normal 8 2 5 2 2 2 2" xfId="14460" xr:uid="{C1A46CD2-2DAF-441C-8E19-56963448E599}"/>
    <cellStyle name="Normal 8 2 5 2 2 3" xfId="10540" xr:uid="{7827D87C-9DEE-4A5F-B8AB-D2D2B19FD82A}"/>
    <cellStyle name="Normal 8 2 5 2 3" xfId="4646" xr:uid="{97457B83-18CA-45E6-BC33-3832C39CDDE7}"/>
    <cellStyle name="Normal 8 2 5 2 3 2" xfId="12506" xr:uid="{1C67170F-E0C9-4C95-BB62-AA8156C6380B}"/>
    <cellStyle name="Normal 8 2 5 2 4" xfId="8587" xr:uid="{8D1F4AAE-71F8-4228-A935-AF9CE54F400D}"/>
    <cellStyle name="Normal 8 2 5 3" xfId="1161" xr:uid="{00000000-0005-0000-0000-0000690A0000}"/>
    <cellStyle name="Normal 8 2 5 3 2" xfId="3115" xr:uid="{00000000-0005-0000-0000-00006A0A0000}"/>
    <cellStyle name="Normal 8 2 5 3 2 2" xfId="7036" xr:uid="{997E4D70-E06F-4C79-9356-B488385CEDA2}"/>
    <cellStyle name="Normal 8 2 5 3 2 2 2" xfId="14896" xr:uid="{8EC7C094-0BD8-4480-9EA6-0D842D39C16E}"/>
    <cellStyle name="Normal 8 2 5 3 2 3" xfId="10976" xr:uid="{ABA47416-122E-4B9B-9AD0-1EA2355C5FA5}"/>
    <cellStyle name="Normal 8 2 5 3 3" xfId="5082" xr:uid="{0C1CBA6B-081A-4638-B526-16F775F37539}"/>
    <cellStyle name="Normal 8 2 5 3 3 2" xfId="12942" xr:uid="{8C1DE1B3-AE51-4388-B571-0BDC67469C58}"/>
    <cellStyle name="Normal 8 2 5 3 4" xfId="9023" xr:uid="{E160342F-1FE7-40F5-98B8-87CD8E78674E}"/>
    <cellStyle name="Normal 8 2 5 4" xfId="1582" xr:uid="{00000000-0005-0000-0000-00006B0A0000}"/>
    <cellStyle name="Normal 8 2 5 4 2" xfId="3536" xr:uid="{00000000-0005-0000-0000-00006C0A0000}"/>
    <cellStyle name="Normal 8 2 5 4 2 2" xfId="7457" xr:uid="{1B828D0B-2617-482A-8042-598E0AC27689}"/>
    <cellStyle name="Normal 8 2 5 4 2 2 2" xfId="15317" xr:uid="{40845807-D15A-41B6-B5E3-330133F751D3}"/>
    <cellStyle name="Normal 8 2 5 4 2 3" xfId="11397" xr:uid="{FED6DC6B-5730-42FE-A07D-DC3D2C614F24}"/>
    <cellStyle name="Normal 8 2 5 4 3" xfId="5503" xr:uid="{5190E2E5-4A22-422D-8C23-9467A566647F}"/>
    <cellStyle name="Normal 8 2 5 4 3 2" xfId="13363" xr:uid="{5100EEA6-2047-4C5D-8E65-5583027FB0F1}"/>
    <cellStyle name="Normal 8 2 5 4 4" xfId="9444" xr:uid="{FEF7F810-C448-4CBD-BF7A-A7B2B74A4D55}"/>
    <cellStyle name="Normal 8 2 5 5" xfId="2236" xr:uid="{00000000-0005-0000-0000-00006D0A0000}"/>
    <cellStyle name="Normal 8 2 5 5 2" xfId="6157" xr:uid="{24D1F161-C658-4319-8331-476644F49D57}"/>
    <cellStyle name="Normal 8 2 5 5 2 2" xfId="14017" xr:uid="{B80B65FB-AF76-4013-BB13-ECC9E36FBED3}"/>
    <cellStyle name="Normal 8 2 5 5 3" xfId="10097" xr:uid="{0EC1A201-4B8A-4AC5-BE3F-473F6E0C20BE}"/>
    <cellStyle name="Normal 8 2 5 6" xfId="4203" xr:uid="{5656242F-2569-4246-BF2A-B670DF34A4B8}"/>
    <cellStyle name="Normal 8 2 5 6 2" xfId="12063" xr:uid="{310FD505-0061-4EE5-B7A0-BD3300FE8680}"/>
    <cellStyle name="Normal 8 2 5 7" xfId="8142" xr:uid="{0E7C49E3-EB0E-4F58-853E-E7AB29C94724}"/>
    <cellStyle name="Normal 8 2 6" xfId="373" xr:uid="{00000000-0005-0000-0000-00006E0A0000}"/>
    <cellStyle name="Normal 8 2 6 2" xfId="824" xr:uid="{00000000-0005-0000-0000-00006F0A0000}"/>
    <cellStyle name="Normal 8 2 6 2 2" xfId="2778" xr:uid="{00000000-0005-0000-0000-0000700A0000}"/>
    <cellStyle name="Normal 8 2 6 2 2 2" xfId="6699" xr:uid="{B41F9ABF-E24E-4D5E-9DFC-D047699E0EA2}"/>
    <cellStyle name="Normal 8 2 6 2 2 2 2" xfId="14559" xr:uid="{1340CEAC-6144-4C9C-AE50-AD13F00B904B}"/>
    <cellStyle name="Normal 8 2 6 2 2 3" xfId="10639" xr:uid="{B734036A-E986-4A54-87E6-32ED6970CF10}"/>
    <cellStyle name="Normal 8 2 6 2 3" xfId="4745" xr:uid="{65D14529-42C5-4BC9-A445-4C13CA07B49B}"/>
    <cellStyle name="Normal 8 2 6 2 3 2" xfId="12605" xr:uid="{E6B168AB-0A12-48FB-BECC-A7225B389747}"/>
    <cellStyle name="Normal 8 2 6 2 4" xfId="8686" xr:uid="{D9AA778C-90E3-4EA1-A99B-5046384D48B0}"/>
    <cellStyle name="Normal 8 2 6 3" xfId="1256" xr:uid="{00000000-0005-0000-0000-0000710A0000}"/>
    <cellStyle name="Normal 8 2 6 3 2" xfId="3210" xr:uid="{00000000-0005-0000-0000-0000720A0000}"/>
    <cellStyle name="Normal 8 2 6 3 2 2" xfId="7131" xr:uid="{6EA77E98-54CB-420C-8F2A-F58F6EC90F26}"/>
    <cellStyle name="Normal 8 2 6 3 2 2 2" xfId="14991" xr:uid="{7C4BFD6B-3AC5-4C44-95BD-B59815D1872F}"/>
    <cellStyle name="Normal 8 2 6 3 2 3" xfId="11071" xr:uid="{A51786EE-B810-4C37-A4EC-9A39DC67308E}"/>
    <cellStyle name="Normal 8 2 6 3 3" xfId="5177" xr:uid="{2E36A782-1B68-4D8D-AFAC-4A35AA5EA2F3}"/>
    <cellStyle name="Normal 8 2 6 3 3 2" xfId="13037" xr:uid="{8BC7F081-4F38-4B44-8E76-145B5948922C}"/>
    <cellStyle name="Normal 8 2 6 3 4" xfId="9118" xr:uid="{64DFF544-802E-4501-8EA0-E8E92007237D}"/>
    <cellStyle name="Normal 8 2 6 4" xfId="1674" xr:uid="{00000000-0005-0000-0000-0000730A0000}"/>
    <cellStyle name="Normal 8 2 6 4 2" xfId="3628" xr:uid="{00000000-0005-0000-0000-0000740A0000}"/>
    <cellStyle name="Normal 8 2 6 4 2 2" xfId="7549" xr:uid="{2199364F-97E2-4D59-BC77-D98F3C2CC667}"/>
    <cellStyle name="Normal 8 2 6 4 2 2 2" xfId="15409" xr:uid="{B8ED670E-193E-4D04-AA9F-EB95A9636110}"/>
    <cellStyle name="Normal 8 2 6 4 2 3" xfId="11489" xr:uid="{5F322DE5-DC5C-495C-BA30-664198C7E2B8}"/>
    <cellStyle name="Normal 8 2 6 4 3" xfId="5595" xr:uid="{26708924-327E-414D-8891-5315D769E847}"/>
    <cellStyle name="Normal 8 2 6 4 3 2" xfId="13455" xr:uid="{715BB49A-20B2-4AD8-8616-D47A2561D44F}"/>
    <cellStyle name="Normal 8 2 6 4 4" xfId="9536" xr:uid="{A5D975CF-29F3-47E2-9570-D714D0A81E03}"/>
    <cellStyle name="Normal 8 2 6 5" xfId="2328" xr:uid="{00000000-0005-0000-0000-0000750A0000}"/>
    <cellStyle name="Normal 8 2 6 5 2" xfId="6249" xr:uid="{266AA364-1DAB-4485-A65F-4B783963651D}"/>
    <cellStyle name="Normal 8 2 6 5 2 2" xfId="14109" xr:uid="{6BA05459-411B-47AB-986B-BFB6BD6EFA49}"/>
    <cellStyle name="Normal 8 2 6 5 3" xfId="10189" xr:uid="{F02E5E67-47C9-454E-A6E2-466D7F6971AD}"/>
    <cellStyle name="Normal 8 2 6 6" xfId="4295" xr:uid="{3846FA9F-C0B4-45E9-B36C-4DA3A9D58E8F}"/>
    <cellStyle name="Normal 8 2 6 6 2" xfId="12155" xr:uid="{4D790E28-18B8-4151-B256-70D1FA22939F}"/>
    <cellStyle name="Normal 8 2 6 7" xfId="8236" xr:uid="{387321C5-420A-4B3D-9BE4-23A6EF3466B4}"/>
    <cellStyle name="Normal 8 2 7" xfId="470" xr:uid="{00000000-0005-0000-0000-0000760A0000}"/>
    <cellStyle name="Normal 8 2 7 2" xfId="2424" xr:uid="{00000000-0005-0000-0000-0000770A0000}"/>
    <cellStyle name="Normal 8 2 7 2 2" xfId="6345" xr:uid="{0DAF83BC-8938-4674-9CA6-8B5E5D1F5527}"/>
    <cellStyle name="Normal 8 2 7 2 2 2" xfId="14205" xr:uid="{E4A62498-FD0D-45CA-9A54-BE0D2877A3D6}"/>
    <cellStyle name="Normal 8 2 7 2 3" xfId="10285" xr:uid="{8DF14A19-9802-4588-8B1E-2010CCAA7F8F}"/>
    <cellStyle name="Normal 8 2 7 3" xfId="4391" xr:uid="{CC4E644C-5A20-4791-9AB3-893A94A7805A}"/>
    <cellStyle name="Normal 8 2 7 3 2" xfId="12251" xr:uid="{2F309FEC-208A-47D8-9936-BBAA9586709D}"/>
    <cellStyle name="Normal 8 2 7 4" xfId="8332" xr:uid="{A5A63ECE-DA19-4C7B-8CF3-15ACCB8EDF41}"/>
    <cellStyle name="Normal 8 2 8" xfId="906" xr:uid="{00000000-0005-0000-0000-0000780A0000}"/>
    <cellStyle name="Normal 8 2 8 2" xfId="2860" xr:uid="{00000000-0005-0000-0000-0000790A0000}"/>
    <cellStyle name="Normal 8 2 8 2 2" xfId="6781" xr:uid="{62A46933-FE20-42BC-A9DC-E7D5B890331C}"/>
    <cellStyle name="Normal 8 2 8 2 2 2" xfId="14641" xr:uid="{26519BBA-AF2C-4DD3-B297-E6FCAF28FB2F}"/>
    <cellStyle name="Normal 8 2 8 2 3" xfId="10721" xr:uid="{CC12C4FE-3D67-4149-8D28-5BD87FF4E958}"/>
    <cellStyle name="Normal 8 2 8 3" xfId="4827" xr:uid="{4CD12546-EC25-4269-984C-408BF89869F3}"/>
    <cellStyle name="Normal 8 2 8 3 2" xfId="12687" xr:uid="{04BE11BD-E122-4648-B2C5-5E25A69F44D1}"/>
    <cellStyle name="Normal 8 2 8 4" xfId="8768" xr:uid="{8F676722-B116-44AD-A269-29E5B9DE1E26}"/>
    <cellStyle name="Normal 8 2 9" xfId="811" xr:uid="{00000000-0005-0000-0000-00007A0A0000}"/>
    <cellStyle name="Normal 8 2 9 2" xfId="2765" xr:uid="{00000000-0005-0000-0000-00007B0A0000}"/>
    <cellStyle name="Normal 8 2 9 2 2" xfId="6686" xr:uid="{CD1687B0-C5A8-4B68-BBB3-3DE38A2AAD9E}"/>
    <cellStyle name="Normal 8 2 9 2 2 2" xfId="14546" xr:uid="{393762E1-3FFB-4102-B4E3-C1E000E3ACF7}"/>
    <cellStyle name="Normal 8 2 9 2 3" xfId="10626" xr:uid="{ECBD01FA-980C-4C92-9AD1-ABC5BB4D6FB9}"/>
    <cellStyle name="Normal 8 2 9 3" xfId="4732" xr:uid="{77C2C933-9F71-4276-95AC-E5D32BDBCD9F}"/>
    <cellStyle name="Normal 8 2 9 3 2" xfId="12592" xr:uid="{6B7A973D-5F81-4C66-8A24-78EA10B65B90}"/>
    <cellStyle name="Normal 8 2 9 4" xfId="8673" xr:uid="{538F2AC6-1BE0-4A3E-8C4E-4E11D82ECA79}"/>
    <cellStyle name="Normal 8 3" xfId="27" xr:uid="{00000000-0005-0000-0000-00007C0A0000}"/>
    <cellStyle name="Normal 8 3 10" xfId="1346" xr:uid="{00000000-0005-0000-0000-00007D0A0000}"/>
    <cellStyle name="Normal 8 3 10 2" xfId="3300" xr:uid="{00000000-0005-0000-0000-00007E0A0000}"/>
    <cellStyle name="Normal 8 3 10 2 2" xfId="7221" xr:uid="{9FAD86FE-FCD2-4209-B768-2AA5E5CEB196}"/>
    <cellStyle name="Normal 8 3 10 2 2 2" xfId="15081" xr:uid="{287AB4E6-03B8-45B9-B15F-66535D724DAB}"/>
    <cellStyle name="Normal 8 3 10 2 3" xfId="11161" xr:uid="{18D9C678-B985-46C3-8E3A-CF155A78ACB3}"/>
    <cellStyle name="Normal 8 3 10 3" xfId="5267" xr:uid="{DBEB6147-03E3-4881-8497-2C3020BBAD74}"/>
    <cellStyle name="Normal 8 3 10 3 2" xfId="13127" xr:uid="{C0B4DA52-AC27-4093-8326-9AD3777C95EE}"/>
    <cellStyle name="Normal 8 3 10 4" xfId="9208" xr:uid="{21697786-73B7-4B45-9143-FFC899C2DAF6}"/>
    <cellStyle name="Normal 8 3 11" xfId="1998" xr:uid="{00000000-0005-0000-0000-00007F0A0000}"/>
    <cellStyle name="Normal 8 3 11 2" xfId="5919" xr:uid="{D6769CDD-FA84-4F1A-A1E5-AD4295CB652C}"/>
    <cellStyle name="Normal 8 3 11 2 2" xfId="13779" xr:uid="{79CF8237-08C8-4975-93B7-8397FF4FB278}"/>
    <cellStyle name="Normal 8 3 11 3" xfId="9859" xr:uid="{BB35C8CE-FE2A-4AEC-940B-E1ED6DC7611A}"/>
    <cellStyle name="Normal 8 3 12" xfId="3965" xr:uid="{3F49673A-80C2-412A-9A01-8BE035849616}"/>
    <cellStyle name="Normal 8 3 12 2" xfId="11825" xr:uid="{736329F7-70CC-4985-AA3A-6653E192D92A}"/>
    <cellStyle name="Normal 8 3 13" xfId="7902" xr:uid="{CBFFD836-5F31-4748-AF8E-3D13454C3A63}"/>
    <cellStyle name="Normal 8 3 2" xfId="7" xr:uid="{00000000-0005-0000-0000-0000800A0000}"/>
    <cellStyle name="Normal 8 3 2 10" xfId="810" xr:uid="{00000000-0005-0000-0000-0000810A0000}"/>
    <cellStyle name="Normal 8 3 2 10 2" xfId="2764" xr:uid="{00000000-0005-0000-0000-0000820A0000}"/>
    <cellStyle name="Normal 8 3 2 10 2 2" xfId="6685" xr:uid="{951B40F5-B413-45B9-803E-CFE676750F03}"/>
    <cellStyle name="Normal 8 3 2 10 2 2 2" xfId="14545" xr:uid="{45494B20-7CFA-4D1E-8DE9-4CCFF7511585}"/>
    <cellStyle name="Normal 8 3 2 10 2 3" xfId="10625" xr:uid="{41B10FB0-3CDD-4079-817B-C7B8B56F2B1C}"/>
    <cellStyle name="Normal 8 3 2 10 3" xfId="4731" xr:uid="{1254AA43-643D-43F4-9554-27B25DB83337}"/>
    <cellStyle name="Normal 8 3 2 10 3 2" xfId="12591" xr:uid="{92C471AF-3F03-41A0-A567-CF284A1B0A7C}"/>
    <cellStyle name="Normal 8 3 2 10 4" xfId="8672" xr:uid="{1DC9CCAF-FEBA-443E-B626-BAB30922A3A7}"/>
    <cellStyle name="Normal 8 3 2 11" xfId="783" xr:uid="{00000000-0005-0000-0000-0000830A0000}"/>
    <cellStyle name="Normal 8 3 2 11 2" xfId="2737" xr:uid="{00000000-0005-0000-0000-0000840A0000}"/>
    <cellStyle name="Normal 8 3 2 11 2 2" xfId="6658" xr:uid="{6C1CE37F-8FE7-4735-ADA1-8B3161A79693}"/>
    <cellStyle name="Normal 8 3 2 11 2 2 2" xfId="14518" xr:uid="{0C757ADE-55A4-4261-8202-187F2C578A10}"/>
    <cellStyle name="Normal 8 3 2 11 2 3" xfId="10598" xr:uid="{88E234F9-F28F-442C-B157-64E93BF13705}"/>
    <cellStyle name="Normal 8 3 2 11 3" xfId="4704" xr:uid="{B773A91E-B0A5-47E3-8A04-C9EA337D1BC2}"/>
    <cellStyle name="Normal 8 3 2 11 3 2" xfId="12564" xr:uid="{A61DBB93-1FCD-4920-80E2-6C5B0457C4E7}"/>
    <cellStyle name="Normal 8 3 2 11 4" xfId="8645" xr:uid="{3E33EF66-0B62-486E-9106-B2E8DD72B148}"/>
    <cellStyle name="Normal 8 3 2 12" xfId="1981" xr:uid="{00000000-0005-0000-0000-0000850A0000}"/>
    <cellStyle name="Normal 8 3 2 12 2" xfId="5902" xr:uid="{9CE16183-0730-43BE-91F6-A0B01BA2BFD9}"/>
    <cellStyle name="Normal 8 3 2 12 2 2" xfId="13762" xr:uid="{7FB337FD-CC13-4D15-AD11-07F7AA582C81}"/>
    <cellStyle name="Normal 8 3 2 12 3" xfId="9842" xr:uid="{A046CC6B-692C-41E1-BB45-6D2416816C3A}"/>
    <cellStyle name="Normal 8 3 2 13" xfId="3947" xr:uid="{1189CC48-6FF2-4EA8-AB76-A25757A626FA}"/>
    <cellStyle name="Normal 8 3 2 13 2" xfId="11807" xr:uid="{2F3595DA-0DFB-48CD-9B5A-9F01B3D8EEB2}"/>
    <cellStyle name="Normal 8 3 2 14" xfId="7884" xr:uid="{BB95204D-9239-4046-9207-37130DAC5CB6}"/>
    <cellStyle name="Normal 8 3 2 2" xfId="21" xr:uid="{00000000-0005-0000-0000-0000860A0000}"/>
    <cellStyle name="Normal 8 3 2 2 10" xfId="1340" xr:uid="{00000000-0005-0000-0000-0000870A0000}"/>
    <cellStyle name="Normal 8 3 2 2 10 2" xfId="3294" xr:uid="{00000000-0005-0000-0000-0000880A0000}"/>
    <cellStyle name="Normal 8 3 2 2 10 2 2" xfId="7215" xr:uid="{317D7E95-8D0D-408D-9299-D68379DC05AF}"/>
    <cellStyle name="Normal 8 3 2 2 10 2 2 2" xfId="15075" xr:uid="{20E51E73-C131-4B47-A239-3E4FCB9FBF12}"/>
    <cellStyle name="Normal 8 3 2 2 10 2 3" xfId="11155" xr:uid="{DB547969-E35C-4B7F-9D38-A15E6C10AC88}"/>
    <cellStyle name="Normal 8 3 2 2 10 3" xfId="5261" xr:uid="{AA5B3BE0-A910-4E3B-98FB-BC1066E9FE81}"/>
    <cellStyle name="Normal 8 3 2 2 10 3 2" xfId="13121" xr:uid="{E31E4D08-96D6-4F7C-909A-3B2790DC4F6F}"/>
    <cellStyle name="Normal 8 3 2 2 10 4" xfId="9202" xr:uid="{6052700A-426A-453B-B68F-1BD5E2223207}"/>
    <cellStyle name="Normal 8 3 2 2 11" xfId="1992" xr:uid="{00000000-0005-0000-0000-0000890A0000}"/>
    <cellStyle name="Normal 8 3 2 2 11 2" xfId="5913" xr:uid="{B8863206-AD03-4D4E-844E-0D9E965A6EA1}"/>
    <cellStyle name="Normal 8 3 2 2 11 2 2" xfId="13773" xr:uid="{D85D469D-5FF1-43B1-9855-FEAA42912168}"/>
    <cellStyle name="Normal 8 3 2 2 11 3" xfId="9853" xr:uid="{2B36A4DE-2EEA-4959-B559-89BB71E64C8F}"/>
    <cellStyle name="Normal 8 3 2 2 12" xfId="3959" xr:uid="{EFEC1F9C-7768-4975-A734-9E8DAB075EAE}"/>
    <cellStyle name="Normal 8 3 2 2 12 2" xfId="11819" xr:uid="{30C47640-1F97-4AEA-AA84-A84B66BD1073}"/>
    <cellStyle name="Normal 8 3 2 2 13" xfId="7896" xr:uid="{6BFB7512-1E1E-4CDC-822A-9B7DF6CBA291}"/>
    <cellStyle name="Normal 8 3 2 2 2" xfId="43" xr:uid="{00000000-0005-0000-0000-00008A0A0000}"/>
    <cellStyle name="Normal 8 3 2 2 2 10" xfId="1906" xr:uid="{00000000-0005-0000-0000-00008B0A0000}"/>
    <cellStyle name="Normal 8 3 2 2 2 10 2" xfId="3859" xr:uid="{00000000-0005-0000-0000-00008C0A0000}"/>
    <cellStyle name="Normal 8 3 2 2 2 10 2 2" xfId="7780" xr:uid="{197176A4-C2A4-4BF4-88D5-EDF44943C5C5}"/>
    <cellStyle name="Normal 8 3 2 2 2 10 2 2 2" xfId="15640" xr:uid="{DCF2EB41-9E01-41C1-943E-BF922F12B790}"/>
    <cellStyle name="Normal 8 3 2 2 2 10 2 3" xfId="11720" xr:uid="{83DF9146-E3E3-40B4-8F87-1BA411C61D2A}"/>
    <cellStyle name="Normal 8 3 2 2 2 10 3" xfId="3920" xr:uid="{026A483E-5683-4E5B-B957-7789651FEBFD}"/>
    <cellStyle name="Normal 8 3 2 2 2 10 3 2" xfId="7841" xr:uid="{1176D68A-0B40-454E-B89D-DFA95242CAF3}"/>
    <cellStyle name="Normal 8 3 2 2 2 10 3 2 2" xfId="15701" xr:uid="{C9E211E9-4871-4EE7-8851-28D4C2726F7D}"/>
    <cellStyle name="Normal 8 3 2 2 2 10 3 3" xfId="7861" xr:uid="{35062980-8D14-4E03-8727-E75665AD5C25}"/>
    <cellStyle name="Normal 8 3 2 2 2 10 3 3 2" xfId="15721" xr:uid="{A3EAD676-B835-43F2-9BBE-0DDAD7802C63}"/>
    <cellStyle name="Normal 8 3 2 2 2 10 3 4" xfId="11781" xr:uid="{026D0BCD-BF92-4BD0-8132-EECBCA82019F}"/>
    <cellStyle name="Normal 8 3 2 2 2 10 4" xfId="5827" xr:uid="{A6D30860-A01D-46E3-A87A-F68A20DFE479}"/>
    <cellStyle name="Normal 8 3 2 2 2 10 4 2" xfId="13687" xr:uid="{F3826DFD-B0E2-4B69-91B3-01AE134DEAFE}"/>
    <cellStyle name="Normal 8 3 2 2 2 10 5" xfId="9768" xr:uid="{0924B8A2-4874-403F-AA60-108A947C3E3C}"/>
    <cellStyle name="Normal 8 3 2 2 2 10 6" xfId="15757" xr:uid="{4EE72F68-E0AA-48B9-9DBB-B6EF4426FBED}"/>
    <cellStyle name="Normal 8 3 2 2 2 11" xfId="2013" xr:uid="{00000000-0005-0000-0000-00008D0A0000}"/>
    <cellStyle name="Normal 8 3 2 2 2 11 2" xfId="5934" xr:uid="{0914E07B-846D-4468-A574-708DF292BC58}"/>
    <cellStyle name="Normal 8 3 2 2 2 11 2 2" xfId="13794" xr:uid="{EC1AFF90-89E4-4FB4-BDCF-5A1421234B27}"/>
    <cellStyle name="Normal 8 3 2 2 2 11 3" xfId="9874" xr:uid="{22E9E8EE-9515-4681-812D-6BB7057A7B9C}"/>
    <cellStyle name="Normal 8 3 2 2 2 12" xfId="3980" xr:uid="{6E4C2487-6063-46B7-9109-5F1A8406A8DB}"/>
    <cellStyle name="Normal 8 3 2 2 2 12 2" xfId="11840" xr:uid="{E3118FD7-F9B6-4D3F-8BD5-94472C163A19}"/>
    <cellStyle name="Normal 8 3 2 2 2 13" xfId="7918" xr:uid="{533ED66C-82F9-43B5-B75D-B11F26D9DD20}"/>
    <cellStyle name="Normal 8 3 2 2 2 2" xfId="83" xr:uid="{00000000-0005-0000-0000-00008E0A0000}"/>
    <cellStyle name="Normal 8 3 2 2 2 2 10" xfId="4019" xr:uid="{C85F5E66-E887-47D2-A4D7-730D7A74BE28}"/>
    <cellStyle name="Normal 8 3 2 2 2 2 10 2" xfId="11879" xr:uid="{3F0D46A5-E687-45CB-A925-44277EB13676}"/>
    <cellStyle name="Normal 8 3 2 2 2 2 11" xfId="7957" xr:uid="{286D0F98-AC1D-404A-BABE-2EB33AF3CB5B}"/>
    <cellStyle name="Normal 8 3 2 2 2 2 2" xfId="239" xr:uid="{00000000-0005-0000-0000-00008F0A0000}"/>
    <cellStyle name="Normal 8 3 2 2 2 2 2 2" xfId="691" xr:uid="{00000000-0005-0000-0000-0000900A0000}"/>
    <cellStyle name="Normal 8 3 2 2 2 2 2 2 2" xfId="2645" xr:uid="{00000000-0005-0000-0000-0000910A0000}"/>
    <cellStyle name="Normal 8 3 2 2 2 2 2 2 2 2" xfId="6566" xr:uid="{7C560C60-8965-44C5-A0EF-54B4A0253C3B}"/>
    <cellStyle name="Normal 8 3 2 2 2 2 2 2 2 2 2" xfId="14426" xr:uid="{77B6EF64-0E06-4CC5-A869-31CDAA4BEF16}"/>
    <cellStyle name="Normal 8 3 2 2 2 2 2 2 2 3" xfId="10506" xr:uid="{FADB58DA-B366-41D1-99F3-D802FDCAA1D4}"/>
    <cellStyle name="Normal 8 3 2 2 2 2 2 2 3" xfId="4612" xr:uid="{22E9DC34-60E3-415E-BD26-CAC70DB1B9BF}"/>
    <cellStyle name="Normal 8 3 2 2 2 2 2 2 3 2" xfId="12472" xr:uid="{3C1506F0-4D4C-4582-8B3F-5929663B533B}"/>
    <cellStyle name="Normal 8 3 2 2 2 2 2 2 4" xfId="8553" xr:uid="{A065AFEE-24B4-4D92-8043-9CC4597599C7}"/>
    <cellStyle name="Normal 8 3 2 2 2 2 2 3" xfId="1128" xr:uid="{00000000-0005-0000-0000-0000920A0000}"/>
    <cellStyle name="Normal 8 3 2 2 2 2 2 3 2" xfId="3082" xr:uid="{00000000-0005-0000-0000-0000930A0000}"/>
    <cellStyle name="Normal 8 3 2 2 2 2 2 3 2 2" xfId="7003" xr:uid="{844CAA8B-A353-449E-8029-D1F888F525A0}"/>
    <cellStyle name="Normal 8 3 2 2 2 2 2 3 2 2 2" xfId="14863" xr:uid="{8D2F5F9A-ACB5-403E-AD18-A209FC25390C}"/>
    <cellStyle name="Normal 8 3 2 2 2 2 2 3 2 3" xfId="10943" xr:uid="{E64CDFE3-FE41-4D36-8AA9-2031E5988358}"/>
    <cellStyle name="Normal 8 3 2 2 2 2 2 3 3" xfId="5049" xr:uid="{844C7CA3-0721-442F-9DAF-A08E64C68CDD}"/>
    <cellStyle name="Normal 8 3 2 2 2 2 2 3 3 2" xfId="12909" xr:uid="{2BFA0AAC-7438-48B1-A015-BFF41A54D7C8}"/>
    <cellStyle name="Normal 8 3 2 2 2 2 2 3 4" xfId="8990" xr:uid="{E51778CF-D169-4506-9794-A914A55EB6B7}"/>
    <cellStyle name="Normal 8 3 2 2 2 2 2 4" xfId="1555" xr:uid="{00000000-0005-0000-0000-0000940A0000}"/>
    <cellStyle name="Normal 8 3 2 2 2 2 2 4 2" xfId="3509" xr:uid="{00000000-0005-0000-0000-0000950A0000}"/>
    <cellStyle name="Normal 8 3 2 2 2 2 2 4 2 2" xfId="7430" xr:uid="{1202192A-8876-4A23-A952-8EFBB0BC574A}"/>
    <cellStyle name="Normal 8 3 2 2 2 2 2 4 2 2 2" xfId="15290" xr:uid="{15C97D0F-0AB1-483E-8A68-09C4B15E0E7B}"/>
    <cellStyle name="Normal 8 3 2 2 2 2 2 4 2 3" xfId="11370" xr:uid="{7FEAC126-3204-470B-AED7-2F293D9CD856}"/>
    <cellStyle name="Normal 8 3 2 2 2 2 2 4 3" xfId="5476" xr:uid="{F10C4F00-C321-49A8-95E6-D017630E8E3B}"/>
    <cellStyle name="Normal 8 3 2 2 2 2 2 4 3 2" xfId="13336" xr:uid="{67D1FBC4-227E-40D8-91AE-5D5D4D672E57}"/>
    <cellStyle name="Normal 8 3 2 2 2 2 2 4 4" xfId="9417" xr:uid="{5D690FD5-1D33-4977-BAFD-19C7A21026F7}"/>
    <cellStyle name="Normal 8 3 2 2 2 2 2 5" xfId="2208" xr:uid="{00000000-0005-0000-0000-0000960A0000}"/>
    <cellStyle name="Normal 8 3 2 2 2 2 2 5 2" xfId="6129" xr:uid="{539B8AC9-B883-46A7-AA10-0BC05AC65946}"/>
    <cellStyle name="Normal 8 3 2 2 2 2 2 5 2 2" xfId="13989" xr:uid="{7451E192-D732-438A-8373-415EB151A214}"/>
    <cellStyle name="Normal 8 3 2 2 2 2 2 5 3" xfId="10069" xr:uid="{CD45B247-2D68-4E08-A537-E9B659301828}"/>
    <cellStyle name="Normal 8 3 2 2 2 2 2 6" xfId="4175" xr:uid="{3E14F6AE-4604-48E4-966F-840EA4E23E38}"/>
    <cellStyle name="Normal 8 3 2 2 2 2 2 6 2" xfId="12035" xr:uid="{2278B536-4514-4E80-B51B-5D813A99E8E1}"/>
    <cellStyle name="Normal 8 3 2 2 2 2 2 7" xfId="8113" xr:uid="{9ABA6C63-90B4-4313-8E90-F70CFD2A9774}"/>
    <cellStyle name="Normal 8 3 2 2 2 2 3" xfId="161" xr:uid="{00000000-0005-0000-0000-0000970A0000}"/>
    <cellStyle name="Normal 8 3 2 2 2 2 3 2" xfId="613" xr:uid="{00000000-0005-0000-0000-0000980A0000}"/>
    <cellStyle name="Normal 8 3 2 2 2 2 3 2 2" xfId="2567" xr:uid="{00000000-0005-0000-0000-0000990A0000}"/>
    <cellStyle name="Normal 8 3 2 2 2 2 3 2 2 2" xfId="6488" xr:uid="{2DC5BD01-1868-4377-B230-9114332611EC}"/>
    <cellStyle name="Normal 8 3 2 2 2 2 3 2 2 2 2" xfId="14348" xr:uid="{DA576AE5-25B4-41E2-8164-08644CBFD16C}"/>
    <cellStyle name="Normal 8 3 2 2 2 2 3 2 2 3" xfId="10428" xr:uid="{9599C996-66C9-43B6-9E82-CE4EF2B309BC}"/>
    <cellStyle name="Normal 8 3 2 2 2 2 3 2 3" xfId="4534" xr:uid="{97FE859C-EAB4-4AFA-97C9-14C6A46A736A}"/>
    <cellStyle name="Normal 8 3 2 2 2 2 3 2 3 2" xfId="12394" xr:uid="{AEC945C1-B033-475B-BAFB-C24DF17DD90A}"/>
    <cellStyle name="Normal 8 3 2 2 2 2 3 2 4" xfId="8475" xr:uid="{B8D0DA89-A980-4B63-B89A-6896A3F4BFB8}"/>
    <cellStyle name="Normal 8 3 2 2 2 2 3 3" xfId="1050" xr:uid="{00000000-0005-0000-0000-00009A0A0000}"/>
    <cellStyle name="Normal 8 3 2 2 2 2 3 3 2" xfId="3004" xr:uid="{00000000-0005-0000-0000-00009B0A0000}"/>
    <cellStyle name="Normal 8 3 2 2 2 2 3 3 2 2" xfId="6925" xr:uid="{35C48792-89D1-45CC-BCC6-5C84E1A0B159}"/>
    <cellStyle name="Normal 8 3 2 2 2 2 3 3 2 2 2" xfId="14785" xr:uid="{253A260F-FCE3-43C4-9B43-15C1BD0E430B}"/>
    <cellStyle name="Normal 8 3 2 2 2 2 3 3 2 3" xfId="10865" xr:uid="{C1218038-CBB4-4382-8410-471792D5D125}"/>
    <cellStyle name="Normal 8 3 2 2 2 2 3 3 3" xfId="4971" xr:uid="{D7117059-C998-423D-8D8A-216A26C25DC5}"/>
    <cellStyle name="Normal 8 3 2 2 2 2 3 3 3 2" xfId="12831" xr:uid="{5680049A-D9B1-4F13-BDE0-2897846354F0}"/>
    <cellStyle name="Normal 8 3 2 2 2 2 3 3 4" xfId="8912" xr:uid="{99CCF669-DFEF-43DC-A425-751E2BE298F2}"/>
    <cellStyle name="Normal 8 3 2 2 2 2 3 4" xfId="1477" xr:uid="{00000000-0005-0000-0000-00009C0A0000}"/>
    <cellStyle name="Normal 8 3 2 2 2 2 3 4 2" xfId="3431" xr:uid="{00000000-0005-0000-0000-00009D0A0000}"/>
    <cellStyle name="Normal 8 3 2 2 2 2 3 4 2 2" xfId="7352" xr:uid="{222D2FF7-0A02-4B75-8B12-A0AA78B45EE0}"/>
    <cellStyle name="Normal 8 3 2 2 2 2 3 4 2 2 2" xfId="15212" xr:uid="{C3013A2A-6229-4A45-BA81-BC5EEA20B9F4}"/>
    <cellStyle name="Normal 8 3 2 2 2 2 3 4 2 3" xfId="11292" xr:uid="{7B262E16-13B5-4B20-8764-74AE89E27C31}"/>
    <cellStyle name="Normal 8 3 2 2 2 2 3 4 3" xfId="5398" xr:uid="{1E92D322-7A96-47EA-96C7-9CE06E966A7A}"/>
    <cellStyle name="Normal 8 3 2 2 2 2 3 4 3 2" xfId="13258" xr:uid="{E1BFC8C5-0C98-4165-8958-D3EDFC965D6F}"/>
    <cellStyle name="Normal 8 3 2 2 2 2 3 4 4" xfId="9339" xr:uid="{718D1502-B2D0-4761-B254-B75174143CAA}"/>
    <cellStyle name="Normal 8 3 2 2 2 2 3 5" xfId="2130" xr:uid="{00000000-0005-0000-0000-00009E0A0000}"/>
    <cellStyle name="Normal 8 3 2 2 2 2 3 5 2" xfId="6051" xr:uid="{CD0CC725-D349-47C5-9B73-7FDF6E5BC216}"/>
    <cellStyle name="Normal 8 3 2 2 2 2 3 5 2 2" xfId="13911" xr:uid="{AB0A11EB-CCF3-47B8-93F9-EC20DBA969CB}"/>
    <cellStyle name="Normal 8 3 2 2 2 2 3 5 3" xfId="9991" xr:uid="{30213271-95DE-4FF4-B950-F04EB282472A}"/>
    <cellStyle name="Normal 8 3 2 2 2 2 3 6" xfId="4097" xr:uid="{E140D5A2-9658-4EFE-9E75-4E08B3AAB2E4}"/>
    <cellStyle name="Normal 8 3 2 2 2 2 3 6 2" xfId="11957" xr:uid="{30DBE2C5-D957-4110-ABEB-48949A2F52F5}"/>
    <cellStyle name="Normal 8 3 2 2 2 2 3 7" xfId="8035" xr:uid="{1AC329FD-EF29-4626-896B-BA37083F9B98}"/>
    <cellStyle name="Normal 8 3 2 2 2 2 4" xfId="346" xr:uid="{00000000-0005-0000-0000-00009F0A0000}"/>
    <cellStyle name="Normal 8 3 2 2 2 2 4 2" xfId="798" xr:uid="{00000000-0005-0000-0000-0000A00A0000}"/>
    <cellStyle name="Normal 8 3 2 2 2 2 4 2 2" xfId="2752" xr:uid="{00000000-0005-0000-0000-0000A10A0000}"/>
    <cellStyle name="Normal 8 3 2 2 2 2 4 2 2 2" xfId="6673" xr:uid="{E400A351-40B3-4605-BD58-E0AB70A3EB90}"/>
    <cellStyle name="Normal 8 3 2 2 2 2 4 2 2 2 2" xfId="14533" xr:uid="{415AA5EE-3E5A-4C9D-ABAA-47F63EA7754F}"/>
    <cellStyle name="Normal 8 3 2 2 2 2 4 2 2 3" xfId="10613" xr:uid="{24615017-2881-4FB0-AF29-D3F52372E5B2}"/>
    <cellStyle name="Normal 8 3 2 2 2 2 4 2 3" xfId="4719" xr:uid="{156D0040-F138-42B9-B00E-9E78DAA38798}"/>
    <cellStyle name="Normal 8 3 2 2 2 2 4 2 3 2" xfId="12579" xr:uid="{261119FF-99B5-4A28-9722-54F10B971821}"/>
    <cellStyle name="Normal 8 3 2 2 2 2 4 2 4" xfId="8660" xr:uid="{AA7C3304-27D2-407F-A124-01EFB71973CA}"/>
    <cellStyle name="Normal 8 3 2 2 2 2 4 3" xfId="1232" xr:uid="{00000000-0005-0000-0000-0000A20A0000}"/>
    <cellStyle name="Normal 8 3 2 2 2 2 4 3 2" xfId="3186" xr:uid="{00000000-0005-0000-0000-0000A30A0000}"/>
    <cellStyle name="Normal 8 3 2 2 2 2 4 3 2 2" xfId="7107" xr:uid="{EADE2C14-1692-4B46-871D-AF841C22436F}"/>
    <cellStyle name="Normal 8 3 2 2 2 2 4 3 2 2 2" xfId="14967" xr:uid="{6F721E9E-C847-42E1-8E4C-B396BC0450CF}"/>
    <cellStyle name="Normal 8 3 2 2 2 2 4 3 2 3" xfId="11047" xr:uid="{07F1FCAA-2493-4A6F-B894-59152AE97875}"/>
    <cellStyle name="Normal 8 3 2 2 2 2 4 3 3" xfId="5153" xr:uid="{EB5F3378-EB8D-4F0F-8A7C-CA44991FDFD5}"/>
    <cellStyle name="Normal 8 3 2 2 2 2 4 3 3 2" xfId="13013" xr:uid="{0C5FE336-5EFF-49CD-AB85-903D975DFDB9}"/>
    <cellStyle name="Normal 8 3 2 2 2 2 4 3 4" xfId="9094" xr:uid="{38546D6A-70A2-481D-B17B-C95BD3327861}"/>
    <cellStyle name="Normal 8 3 2 2 2 2 4 4" xfId="1652" xr:uid="{00000000-0005-0000-0000-0000A40A0000}"/>
    <cellStyle name="Normal 8 3 2 2 2 2 4 4 2" xfId="3606" xr:uid="{00000000-0005-0000-0000-0000A50A0000}"/>
    <cellStyle name="Normal 8 3 2 2 2 2 4 4 2 2" xfId="7527" xr:uid="{F4186FE6-27FD-4774-96E9-A1846575DAF7}"/>
    <cellStyle name="Normal 8 3 2 2 2 2 4 4 2 2 2" xfId="15387" xr:uid="{491C2B86-C8AB-41D4-8DB8-A3A3925ADCD2}"/>
    <cellStyle name="Normal 8 3 2 2 2 2 4 4 2 3" xfId="11467" xr:uid="{DF81EC5F-D08E-4803-943F-9269DABF88AE}"/>
    <cellStyle name="Normal 8 3 2 2 2 2 4 4 3" xfId="5573" xr:uid="{6FCB10C3-CD62-4569-A190-1F69C523DBAD}"/>
    <cellStyle name="Normal 8 3 2 2 2 2 4 4 3 2" xfId="13433" xr:uid="{AB1C8228-7866-4C70-919F-A16E8F49C278}"/>
    <cellStyle name="Normal 8 3 2 2 2 2 4 4 4" xfId="9514" xr:uid="{4D70132E-50F2-486A-AF7C-3B8968F69B4E}"/>
    <cellStyle name="Normal 8 3 2 2 2 2 4 5" xfId="2306" xr:uid="{00000000-0005-0000-0000-0000A60A0000}"/>
    <cellStyle name="Normal 8 3 2 2 2 2 4 5 2" xfId="6227" xr:uid="{D717FC8D-DEF0-4A9D-9AEE-5A71648ACDE9}"/>
    <cellStyle name="Normal 8 3 2 2 2 2 4 5 2 2" xfId="14087" xr:uid="{5BE20616-F58B-4181-ADC7-EC42984F5D6E}"/>
    <cellStyle name="Normal 8 3 2 2 2 2 4 5 3" xfId="10167" xr:uid="{E09A4189-A34A-4618-8C98-089943995504}"/>
    <cellStyle name="Normal 8 3 2 2 2 2 4 6" xfId="4273" xr:uid="{B5941D3C-E32B-4852-B082-643357F2E544}"/>
    <cellStyle name="Normal 8 3 2 2 2 2 4 6 2" xfId="12133" xr:uid="{AF22D3EA-EC28-44D6-B0D1-F2EE4D275274}"/>
    <cellStyle name="Normal 8 3 2 2 2 2 4 7" xfId="8212" xr:uid="{B0C2BF8A-3F23-4865-A791-9D0854317934}"/>
    <cellStyle name="Normal 8 3 2 2 2 2 5" xfId="443" xr:uid="{00000000-0005-0000-0000-0000A70A0000}"/>
    <cellStyle name="Normal 8 3 2 2 2 2 5 2" xfId="894" xr:uid="{00000000-0005-0000-0000-0000A80A0000}"/>
    <cellStyle name="Normal 8 3 2 2 2 2 5 2 2" xfId="2848" xr:uid="{00000000-0005-0000-0000-0000A90A0000}"/>
    <cellStyle name="Normal 8 3 2 2 2 2 5 2 2 2" xfId="6769" xr:uid="{F2EE9D8B-0541-4D3E-88A7-0D17CC495698}"/>
    <cellStyle name="Normal 8 3 2 2 2 2 5 2 2 2 2" xfId="14629" xr:uid="{BD7071A8-C3F2-4F7C-9557-D93F979D57BE}"/>
    <cellStyle name="Normal 8 3 2 2 2 2 5 2 2 3" xfId="10709" xr:uid="{1F372BCD-57F6-4351-8695-6FFA711554D3}"/>
    <cellStyle name="Normal 8 3 2 2 2 2 5 2 3" xfId="4815" xr:uid="{C3F51458-F16B-4C17-846C-AFFB637E9E41}"/>
    <cellStyle name="Normal 8 3 2 2 2 2 5 2 3 2" xfId="12675" xr:uid="{980852AF-C33E-404E-8005-8BFE0EA895B1}"/>
    <cellStyle name="Normal 8 3 2 2 2 2 5 2 4" xfId="8756" xr:uid="{23AD6F03-1E02-4520-A6A7-339291FE6316}"/>
    <cellStyle name="Normal 8 3 2 2 2 2 5 3" xfId="1326" xr:uid="{00000000-0005-0000-0000-0000AA0A0000}"/>
    <cellStyle name="Normal 8 3 2 2 2 2 5 3 2" xfId="3280" xr:uid="{00000000-0005-0000-0000-0000AB0A0000}"/>
    <cellStyle name="Normal 8 3 2 2 2 2 5 3 2 2" xfId="7201" xr:uid="{49407C4C-718F-4585-B70E-63C68522EF32}"/>
    <cellStyle name="Normal 8 3 2 2 2 2 5 3 2 2 2" xfId="15061" xr:uid="{5BD3AE6E-F465-4FED-A354-1865907823F5}"/>
    <cellStyle name="Normal 8 3 2 2 2 2 5 3 2 3" xfId="11141" xr:uid="{7516CB85-CCCC-4EF7-BC9A-34474D0FA6CB}"/>
    <cellStyle name="Normal 8 3 2 2 2 2 5 3 3" xfId="5247" xr:uid="{0FD1B43D-6304-46AD-908A-61BAE03DE9A6}"/>
    <cellStyle name="Normal 8 3 2 2 2 2 5 3 3 2" xfId="13107" xr:uid="{6573ECD3-60AF-496C-93A1-00ABD50433AB}"/>
    <cellStyle name="Normal 8 3 2 2 2 2 5 3 4" xfId="9188" xr:uid="{EBA53983-553C-49C2-8033-D6B81F9B3F30}"/>
    <cellStyle name="Normal 8 3 2 2 2 2 5 4" xfId="1744" xr:uid="{00000000-0005-0000-0000-0000AC0A0000}"/>
    <cellStyle name="Normal 8 3 2 2 2 2 5 4 2" xfId="3698" xr:uid="{00000000-0005-0000-0000-0000AD0A0000}"/>
    <cellStyle name="Normal 8 3 2 2 2 2 5 4 2 2" xfId="7619" xr:uid="{91BD65A0-FA03-48CF-B4EA-C8AA1BF1B9BC}"/>
    <cellStyle name="Normal 8 3 2 2 2 2 5 4 2 2 2" xfId="15479" xr:uid="{4EB1F134-DCB6-4541-9340-278FFA9F767C}"/>
    <cellStyle name="Normal 8 3 2 2 2 2 5 4 2 3" xfId="11559" xr:uid="{528B3BDA-76D8-4A22-9D06-E35238DE0712}"/>
    <cellStyle name="Normal 8 3 2 2 2 2 5 4 3" xfId="5665" xr:uid="{DED1CC51-F5F2-4283-B605-F33FCD290B0C}"/>
    <cellStyle name="Normal 8 3 2 2 2 2 5 4 3 2" xfId="13525" xr:uid="{C8A50B13-C181-4241-B490-1E90074C0202}"/>
    <cellStyle name="Normal 8 3 2 2 2 2 5 4 4" xfId="9606" xr:uid="{86EB5CAB-ACB2-4D24-BE17-A63F2320292D}"/>
    <cellStyle name="Normal 8 3 2 2 2 2 5 5" xfId="2398" xr:uid="{00000000-0005-0000-0000-0000AE0A0000}"/>
    <cellStyle name="Normal 8 3 2 2 2 2 5 5 2" xfId="6319" xr:uid="{ED4F0176-752B-4041-B2EA-924D1427AAFF}"/>
    <cellStyle name="Normal 8 3 2 2 2 2 5 5 2 2" xfId="14179" xr:uid="{350BD1C8-5EE6-471D-9B5C-3F8E0BA6B47A}"/>
    <cellStyle name="Normal 8 3 2 2 2 2 5 5 3" xfId="10259" xr:uid="{25896A72-4F09-479E-A9B7-CFF27391EDEC}"/>
    <cellStyle name="Normal 8 3 2 2 2 2 5 6" xfId="4365" xr:uid="{16DE8DA5-F34E-4943-B32A-8C8A8EC02D55}"/>
    <cellStyle name="Normal 8 3 2 2 2 2 5 6 2" xfId="12225" xr:uid="{F2E44394-6699-4977-9873-6C6A77A343A2}"/>
    <cellStyle name="Normal 8 3 2 2 2 2 5 7" xfId="8306" xr:uid="{D0264CA2-3BB6-4218-B81C-272054FB705C}"/>
    <cellStyle name="Normal 8 3 2 2 2 2 6" xfId="535" xr:uid="{00000000-0005-0000-0000-0000AF0A0000}"/>
    <cellStyle name="Normal 8 3 2 2 2 2 6 2" xfId="2489" xr:uid="{00000000-0005-0000-0000-0000B00A0000}"/>
    <cellStyle name="Normal 8 3 2 2 2 2 6 2 2" xfId="6410" xr:uid="{F43E1281-6043-4FC7-B22A-A04DA9E4DD53}"/>
    <cellStyle name="Normal 8 3 2 2 2 2 6 2 2 2" xfId="14270" xr:uid="{647A16D3-73DC-4FCF-BD24-7E6066062B11}"/>
    <cellStyle name="Normal 8 3 2 2 2 2 6 2 3" xfId="10350" xr:uid="{BA372271-CB25-4C83-BB9B-36890FB8DB6B}"/>
    <cellStyle name="Normal 8 3 2 2 2 2 6 3" xfId="4456" xr:uid="{323E798B-AFAD-4BB2-84B4-F49B70CA6AE6}"/>
    <cellStyle name="Normal 8 3 2 2 2 2 6 3 2" xfId="12316" xr:uid="{8EF603D2-3E6A-4D87-A9F3-6912FF04D58E}"/>
    <cellStyle name="Normal 8 3 2 2 2 2 6 4" xfId="8397" xr:uid="{E6449B28-D15C-4CA5-8AB5-85DA57CF4DC8}"/>
    <cellStyle name="Normal 8 3 2 2 2 2 7" xfId="972" xr:uid="{00000000-0005-0000-0000-0000B10A0000}"/>
    <cellStyle name="Normal 8 3 2 2 2 2 7 2" xfId="2926" xr:uid="{00000000-0005-0000-0000-0000B20A0000}"/>
    <cellStyle name="Normal 8 3 2 2 2 2 7 2 2" xfId="6847" xr:uid="{676A41FF-D302-4164-A12D-1B2783A04D97}"/>
    <cellStyle name="Normal 8 3 2 2 2 2 7 2 2 2" xfId="14707" xr:uid="{0D4FA237-7FA5-48AC-A063-3E36350D441B}"/>
    <cellStyle name="Normal 8 3 2 2 2 2 7 2 3" xfId="10787" xr:uid="{C7E8E516-5AEE-45A8-BBA5-516EDF5E16A8}"/>
    <cellStyle name="Normal 8 3 2 2 2 2 7 3" xfId="4893" xr:uid="{A8DB7685-4500-4C70-93B9-2D38E4FC200A}"/>
    <cellStyle name="Normal 8 3 2 2 2 2 7 3 2" xfId="12753" xr:uid="{69037F67-E172-454B-962D-D572EC2ABEDE}"/>
    <cellStyle name="Normal 8 3 2 2 2 2 7 4" xfId="8834" xr:uid="{ECFA4F4A-5470-44EB-B571-46B0EA9B2879}"/>
    <cellStyle name="Normal 8 3 2 2 2 2 8" xfId="1399" xr:uid="{00000000-0005-0000-0000-0000B30A0000}"/>
    <cellStyle name="Normal 8 3 2 2 2 2 8 2" xfId="3353" xr:uid="{00000000-0005-0000-0000-0000B40A0000}"/>
    <cellStyle name="Normal 8 3 2 2 2 2 8 2 2" xfId="7274" xr:uid="{CC009025-FFC2-4795-93EA-4ED916735B12}"/>
    <cellStyle name="Normal 8 3 2 2 2 2 8 2 2 2" xfId="15134" xr:uid="{A629EABD-1B4B-4BBE-BFF5-AED9789EFA92}"/>
    <cellStyle name="Normal 8 3 2 2 2 2 8 2 3" xfId="11214" xr:uid="{B330471E-7114-4BDA-AD48-C5C0ED615EB7}"/>
    <cellStyle name="Normal 8 3 2 2 2 2 8 3" xfId="5320" xr:uid="{8CA23399-A238-4FC2-8BDE-AD172B2C3A6E}"/>
    <cellStyle name="Normal 8 3 2 2 2 2 8 3 2" xfId="13180" xr:uid="{EB610D00-D2F8-4B95-9400-7BE02CCE610A}"/>
    <cellStyle name="Normal 8 3 2 2 2 2 8 4" xfId="9261" xr:uid="{80ECE819-8597-4776-A992-FCC9ED0271AE}"/>
    <cellStyle name="Normal 8 3 2 2 2 2 9" xfId="2052" xr:uid="{00000000-0005-0000-0000-0000B50A0000}"/>
    <cellStyle name="Normal 8 3 2 2 2 2 9 2" xfId="5973" xr:uid="{36F7DDA3-C95E-418F-A042-F796F8ED1889}"/>
    <cellStyle name="Normal 8 3 2 2 2 2 9 2 2" xfId="13833" xr:uid="{248E6D0D-A64D-45DF-84D5-FB36D5A841D9}"/>
    <cellStyle name="Normal 8 3 2 2 2 2 9 3" xfId="9913" xr:uid="{B5039811-11E8-4A5D-BAFA-E54CE7E0C973}"/>
    <cellStyle name="Normal 8 3 2 2 2 3" xfId="200" xr:uid="{00000000-0005-0000-0000-0000B60A0000}"/>
    <cellStyle name="Normal 8 3 2 2 2 3 2" xfId="652" xr:uid="{00000000-0005-0000-0000-0000B70A0000}"/>
    <cellStyle name="Normal 8 3 2 2 2 3 2 2" xfId="2606" xr:uid="{00000000-0005-0000-0000-0000B80A0000}"/>
    <cellStyle name="Normal 8 3 2 2 2 3 2 2 2" xfId="6527" xr:uid="{B2F2DF9B-1570-4635-95E0-0E683BAE7644}"/>
    <cellStyle name="Normal 8 3 2 2 2 3 2 2 2 2" xfId="14387" xr:uid="{31D38909-31A6-4CD3-B319-005A207B912C}"/>
    <cellStyle name="Normal 8 3 2 2 2 3 2 2 3" xfId="10467" xr:uid="{CA827E87-C4E9-4DE0-A88F-5160A978AF14}"/>
    <cellStyle name="Normal 8 3 2 2 2 3 2 3" xfId="4573" xr:uid="{B11D3283-B221-4422-B9C8-704435AF8A85}"/>
    <cellStyle name="Normal 8 3 2 2 2 3 2 3 2" xfId="12433" xr:uid="{280B214B-1883-411B-9039-A88B01D23E3F}"/>
    <cellStyle name="Normal 8 3 2 2 2 3 2 4" xfId="8514" xr:uid="{FF23479A-7667-4FC0-8E07-1BD6BEBAB2C4}"/>
    <cellStyle name="Normal 8 3 2 2 2 3 3" xfId="1089" xr:uid="{00000000-0005-0000-0000-0000B90A0000}"/>
    <cellStyle name="Normal 8 3 2 2 2 3 3 2" xfId="3043" xr:uid="{00000000-0005-0000-0000-0000BA0A0000}"/>
    <cellStyle name="Normal 8 3 2 2 2 3 3 2 2" xfId="6964" xr:uid="{FD447DF3-F599-406B-AF3E-AB6F829CD002}"/>
    <cellStyle name="Normal 8 3 2 2 2 3 3 2 2 2" xfId="14824" xr:uid="{8BEFC433-C784-495F-AAF8-8DA46BFB18A5}"/>
    <cellStyle name="Normal 8 3 2 2 2 3 3 2 3" xfId="10904" xr:uid="{4FC0A430-D315-476A-AC5B-8D42E98BA551}"/>
    <cellStyle name="Normal 8 3 2 2 2 3 3 3" xfId="5010" xr:uid="{C38B70DD-2485-45B4-82BA-3294855E4EA8}"/>
    <cellStyle name="Normal 8 3 2 2 2 3 3 3 2" xfId="12870" xr:uid="{8A2A10E3-54FE-44AC-90E3-DE12082F0BC9}"/>
    <cellStyle name="Normal 8 3 2 2 2 3 3 4" xfId="8951" xr:uid="{D899EBE6-68C5-45FE-BE1F-07FAD9ACCEAF}"/>
    <cellStyle name="Normal 8 3 2 2 2 3 4" xfId="1516" xr:uid="{00000000-0005-0000-0000-0000BB0A0000}"/>
    <cellStyle name="Normal 8 3 2 2 2 3 4 2" xfId="3470" xr:uid="{00000000-0005-0000-0000-0000BC0A0000}"/>
    <cellStyle name="Normal 8 3 2 2 2 3 4 2 2" xfId="7391" xr:uid="{93D94205-626A-459A-9337-C6241F3A6F17}"/>
    <cellStyle name="Normal 8 3 2 2 2 3 4 2 2 2" xfId="15251" xr:uid="{FAA809F7-D885-4027-8926-37867F92858C}"/>
    <cellStyle name="Normal 8 3 2 2 2 3 4 2 3" xfId="11331" xr:uid="{B69B02A2-A747-4A60-87F6-D2EFFCEE14D5}"/>
    <cellStyle name="Normal 8 3 2 2 2 3 4 3" xfId="5437" xr:uid="{74B39735-8F43-4D8F-94AD-2B8F7E003821}"/>
    <cellStyle name="Normal 8 3 2 2 2 3 4 3 2" xfId="13297" xr:uid="{724DA0B4-74ED-4562-A65E-899721CC5CB3}"/>
    <cellStyle name="Normal 8 3 2 2 2 3 4 4" xfId="9378" xr:uid="{CD979EF2-19C8-476E-A8AA-50B93F6AD47C}"/>
    <cellStyle name="Normal 8 3 2 2 2 3 5" xfId="2169" xr:uid="{00000000-0005-0000-0000-0000BD0A0000}"/>
    <cellStyle name="Normal 8 3 2 2 2 3 5 2" xfId="6090" xr:uid="{8BC26F73-C857-4EB6-B05A-6483FE59EF04}"/>
    <cellStyle name="Normal 8 3 2 2 2 3 5 2 2" xfId="13950" xr:uid="{9703AC7A-6ADA-47A6-B5DD-233CF0360D84}"/>
    <cellStyle name="Normal 8 3 2 2 2 3 5 3" xfId="10030" xr:uid="{506F2D9F-C762-4496-B7C6-87139A378FB5}"/>
    <cellStyle name="Normal 8 3 2 2 2 3 6" xfId="4136" xr:uid="{6C4F7E3A-D6EB-4CF3-A907-925F5B31D760}"/>
    <cellStyle name="Normal 8 3 2 2 2 3 6 2" xfId="11996" xr:uid="{C26CD8C6-0153-4127-9E2F-8C960F20140B}"/>
    <cellStyle name="Normal 8 3 2 2 2 3 7" xfId="8074" xr:uid="{DD328592-AAB7-40B0-B199-5FCC85EE5C06}"/>
    <cellStyle name="Normal 8 3 2 2 2 4" xfId="122" xr:uid="{00000000-0005-0000-0000-0000BE0A0000}"/>
    <cellStyle name="Normal 8 3 2 2 2 4 2" xfId="574" xr:uid="{00000000-0005-0000-0000-0000BF0A0000}"/>
    <cellStyle name="Normal 8 3 2 2 2 4 2 2" xfId="2528" xr:uid="{00000000-0005-0000-0000-0000C00A0000}"/>
    <cellStyle name="Normal 8 3 2 2 2 4 2 2 2" xfId="6449" xr:uid="{B1CEF9AC-E52F-4FB8-ADB5-4A4032D9B9B5}"/>
    <cellStyle name="Normal 8 3 2 2 2 4 2 2 2 2" xfId="14309" xr:uid="{BF40469B-DF42-4E58-9059-F0D945D2F21C}"/>
    <cellStyle name="Normal 8 3 2 2 2 4 2 2 3" xfId="10389" xr:uid="{566AED51-B5DF-4BBC-86CF-929BDC6920A0}"/>
    <cellStyle name="Normal 8 3 2 2 2 4 2 3" xfId="4495" xr:uid="{D9704130-C098-4E83-8921-54FE526FC3C6}"/>
    <cellStyle name="Normal 8 3 2 2 2 4 2 3 2" xfId="12355" xr:uid="{2149EA4F-433B-4003-A1B9-817B3A0D7678}"/>
    <cellStyle name="Normal 8 3 2 2 2 4 2 4" xfId="8436" xr:uid="{6245ADDC-465B-41DD-B6C8-59AD886D0066}"/>
    <cellStyle name="Normal 8 3 2 2 2 4 3" xfId="1011" xr:uid="{00000000-0005-0000-0000-0000C10A0000}"/>
    <cellStyle name="Normal 8 3 2 2 2 4 3 2" xfId="2965" xr:uid="{00000000-0005-0000-0000-0000C20A0000}"/>
    <cellStyle name="Normal 8 3 2 2 2 4 3 2 2" xfId="6886" xr:uid="{E56394A6-46B0-4845-87D4-30373C5A09AF}"/>
    <cellStyle name="Normal 8 3 2 2 2 4 3 2 2 2" xfId="14746" xr:uid="{93843576-C042-4E6F-A0A3-DA43AD8AF9D4}"/>
    <cellStyle name="Normal 8 3 2 2 2 4 3 2 3" xfId="10826" xr:uid="{DBC432C7-A81C-495C-AF34-7BC522673961}"/>
    <cellStyle name="Normal 8 3 2 2 2 4 3 3" xfId="4932" xr:uid="{1BD9B952-38D4-41A8-8F08-27498C707733}"/>
    <cellStyle name="Normal 8 3 2 2 2 4 3 3 2" xfId="12792" xr:uid="{2FF61B26-9E90-4BDA-ADE9-5172A1B124DC}"/>
    <cellStyle name="Normal 8 3 2 2 2 4 3 4" xfId="8873" xr:uid="{FA75A427-B76F-4ED2-B919-5066ABBC2FD8}"/>
    <cellStyle name="Normal 8 3 2 2 2 4 4" xfId="1438" xr:uid="{00000000-0005-0000-0000-0000C30A0000}"/>
    <cellStyle name="Normal 8 3 2 2 2 4 4 2" xfId="3392" xr:uid="{00000000-0005-0000-0000-0000C40A0000}"/>
    <cellStyle name="Normal 8 3 2 2 2 4 4 2 2" xfId="7313" xr:uid="{172277AC-4220-4915-8611-071C869A89D9}"/>
    <cellStyle name="Normal 8 3 2 2 2 4 4 2 2 2" xfId="15173" xr:uid="{6B44CE18-11A8-49BC-A368-6F3CF09B8DEA}"/>
    <cellStyle name="Normal 8 3 2 2 2 4 4 2 3" xfId="11253" xr:uid="{CAECA90F-C160-4598-B79A-4579370D1E62}"/>
    <cellStyle name="Normal 8 3 2 2 2 4 4 3" xfId="5359" xr:uid="{E67B580D-B536-47FB-A44E-DA94BB5A7B10}"/>
    <cellStyle name="Normal 8 3 2 2 2 4 4 3 2" xfId="13219" xr:uid="{33563DFD-6DD0-4860-B43E-0EC27C4935A4}"/>
    <cellStyle name="Normal 8 3 2 2 2 4 4 4" xfId="9300" xr:uid="{AD939ED9-B311-4906-9715-631C7FEE07E4}"/>
    <cellStyle name="Normal 8 3 2 2 2 4 5" xfId="2091" xr:uid="{00000000-0005-0000-0000-0000C50A0000}"/>
    <cellStyle name="Normal 8 3 2 2 2 4 5 2" xfId="6012" xr:uid="{05BD716C-7C57-4A19-9DB1-2A57F69DBB2B}"/>
    <cellStyle name="Normal 8 3 2 2 2 4 5 2 2" xfId="13872" xr:uid="{637EF015-40FC-407F-88A5-79C2EAAB9EAD}"/>
    <cellStyle name="Normal 8 3 2 2 2 4 5 3" xfId="9952" xr:uid="{DF4A6762-4585-43BE-8322-559A505268F6}"/>
    <cellStyle name="Normal 8 3 2 2 2 4 6" xfId="4058" xr:uid="{90EEC968-2FCB-4B02-AAD4-BA14736BCB59}"/>
    <cellStyle name="Normal 8 3 2 2 2 4 6 2" xfId="11918" xr:uid="{09427130-3624-402F-973C-FDAF7A2E531F}"/>
    <cellStyle name="Normal 8 3 2 2 2 4 7" xfId="7996" xr:uid="{EA7826F8-A2E3-45D5-9B08-E2A413A97183}"/>
    <cellStyle name="Normal 8 3 2 2 2 5" xfId="299" xr:uid="{00000000-0005-0000-0000-0000C60A0000}"/>
    <cellStyle name="Normal 8 3 2 2 2 5 2" xfId="751" xr:uid="{00000000-0005-0000-0000-0000C70A0000}"/>
    <cellStyle name="Normal 8 3 2 2 2 5 2 2" xfId="2705" xr:uid="{00000000-0005-0000-0000-0000C80A0000}"/>
    <cellStyle name="Normal 8 3 2 2 2 5 2 2 2" xfId="6626" xr:uid="{02D757F6-CC44-4A5A-B36E-5E1EF5299BF0}"/>
    <cellStyle name="Normal 8 3 2 2 2 5 2 2 2 2" xfId="14486" xr:uid="{2480F1AE-09A7-4718-8E53-C2DF236B7449}"/>
    <cellStyle name="Normal 8 3 2 2 2 5 2 2 3" xfId="10566" xr:uid="{B431872E-7C98-4452-A56A-0419D50BCB6C}"/>
    <cellStyle name="Normal 8 3 2 2 2 5 2 3" xfId="4672" xr:uid="{1C42D9AC-419E-46F2-AD1F-D54EBF88EE89}"/>
    <cellStyle name="Normal 8 3 2 2 2 5 2 3 2" xfId="12532" xr:uid="{15F7D14D-D347-4D5D-8746-FBCAB0E40026}"/>
    <cellStyle name="Normal 8 3 2 2 2 5 2 4" xfId="8613" xr:uid="{B3CDA37F-7253-491E-8D8A-8AC76B1D8459}"/>
    <cellStyle name="Normal 8 3 2 2 2 5 3" xfId="1187" xr:uid="{00000000-0005-0000-0000-0000C90A0000}"/>
    <cellStyle name="Normal 8 3 2 2 2 5 3 2" xfId="3141" xr:uid="{00000000-0005-0000-0000-0000CA0A0000}"/>
    <cellStyle name="Normal 8 3 2 2 2 5 3 2 2" xfId="7062" xr:uid="{45206E9D-2AD4-49B2-81AB-08F7ABF44614}"/>
    <cellStyle name="Normal 8 3 2 2 2 5 3 2 2 2" xfId="14922" xr:uid="{A51B7343-0EE3-469D-9EEC-008373F55B30}"/>
    <cellStyle name="Normal 8 3 2 2 2 5 3 2 3" xfId="11002" xr:uid="{A4B382A2-42FC-4627-B2A8-711BDC0D4842}"/>
    <cellStyle name="Normal 8 3 2 2 2 5 3 3" xfId="5108" xr:uid="{7F9F4A46-2E28-418B-A2BC-C12C0CBF749D}"/>
    <cellStyle name="Normal 8 3 2 2 2 5 3 3 2" xfId="12968" xr:uid="{33779C35-39E3-4E42-9E9F-CFC9123E868C}"/>
    <cellStyle name="Normal 8 3 2 2 2 5 3 4" xfId="9049" xr:uid="{92FE6159-CE5C-464F-8D7E-083F3B638723}"/>
    <cellStyle name="Normal 8 3 2 2 2 5 4" xfId="1607" xr:uid="{00000000-0005-0000-0000-0000CB0A0000}"/>
    <cellStyle name="Normal 8 3 2 2 2 5 4 2" xfId="3561" xr:uid="{00000000-0005-0000-0000-0000CC0A0000}"/>
    <cellStyle name="Normal 8 3 2 2 2 5 4 2 2" xfId="7482" xr:uid="{4A96EC88-2D63-4DA8-9FC5-345E652ACE3E}"/>
    <cellStyle name="Normal 8 3 2 2 2 5 4 2 2 2" xfId="15342" xr:uid="{538335B9-E56F-4041-A427-FCE072142440}"/>
    <cellStyle name="Normal 8 3 2 2 2 5 4 2 3" xfId="11422" xr:uid="{C8E4340A-AC2A-49CE-90C3-64E1AF2D720A}"/>
    <cellStyle name="Normal 8 3 2 2 2 5 4 3" xfId="5528" xr:uid="{537FE913-98D5-4CB7-88C3-8EC2FBDE47FD}"/>
    <cellStyle name="Normal 8 3 2 2 2 5 4 3 2" xfId="13388" xr:uid="{A174F430-509E-4B54-A023-947842813348}"/>
    <cellStyle name="Normal 8 3 2 2 2 5 4 4" xfId="9469" xr:uid="{8C304E5F-DDE8-44CF-8420-E6422A07F532}"/>
    <cellStyle name="Normal 8 3 2 2 2 5 5" xfId="2261" xr:uid="{00000000-0005-0000-0000-0000CD0A0000}"/>
    <cellStyle name="Normal 8 3 2 2 2 5 5 2" xfId="6182" xr:uid="{F5FC6D5B-595C-431E-8F22-A1A8EEE89237}"/>
    <cellStyle name="Normal 8 3 2 2 2 5 5 2 2" xfId="14042" xr:uid="{52DEE6A2-23BA-47DB-8BC7-6A7DB549C55F}"/>
    <cellStyle name="Normal 8 3 2 2 2 5 5 3" xfId="10122" xr:uid="{ABE52F27-3B2C-4E78-9582-98693582E07A}"/>
    <cellStyle name="Normal 8 3 2 2 2 5 6" xfId="4228" xr:uid="{9E11BF5F-CDD0-447F-B8B7-E9EE58D964E5}"/>
    <cellStyle name="Normal 8 3 2 2 2 5 6 2" xfId="12088" xr:uid="{B8B1E920-13AF-4882-B59B-08ED3726146F}"/>
    <cellStyle name="Normal 8 3 2 2 2 5 7" xfId="8167" xr:uid="{0B8B4871-2B24-488F-984A-7B985D9F29E3}"/>
    <cellStyle name="Normal 8 3 2 2 2 6" xfId="398" xr:uid="{00000000-0005-0000-0000-0000CE0A0000}"/>
    <cellStyle name="Normal 8 3 2 2 2 6 2" xfId="849" xr:uid="{00000000-0005-0000-0000-0000CF0A0000}"/>
    <cellStyle name="Normal 8 3 2 2 2 6 2 2" xfId="2803" xr:uid="{00000000-0005-0000-0000-0000D00A0000}"/>
    <cellStyle name="Normal 8 3 2 2 2 6 2 2 2" xfId="6724" xr:uid="{516A4794-EB9A-4AF9-A921-D6B6C42E4BBB}"/>
    <cellStyle name="Normal 8 3 2 2 2 6 2 2 2 2" xfId="14584" xr:uid="{8CBFF6FF-CD60-4854-B4C3-4E8BF81C7968}"/>
    <cellStyle name="Normal 8 3 2 2 2 6 2 2 3" xfId="10664" xr:uid="{741B4FFD-7947-4C27-8BE9-C814FB4DEB82}"/>
    <cellStyle name="Normal 8 3 2 2 2 6 2 3" xfId="4770" xr:uid="{E66D146C-F2AC-4A45-BF35-63C1AE1C0D0F}"/>
    <cellStyle name="Normal 8 3 2 2 2 6 2 3 2" xfId="12630" xr:uid="{5D7ED130-F8ED-419A-9F81-AAA7D6CCB336}"/>
    <cellStyle name="Normal 8 3 2 2 2 6 2 4" xfId="8711" xr:uid="{AC2E31A5-DEA7-46FB-A9E9-D339C3525839}"/>
    <cellStyle name="Normal 8 3 2 2 2 6 3" xfId="1281" xr:uid="{00000000-0005-0000-0000-0000D10A0000}"/>
    <cellStyle name="Normal 8 3 2 2 2 6 3 2" xfId="3235" xr:uid="{00000000-0005-0000-0000-0000D20A0000}"/>
    <cellStyle name="Normal 8 3 2 2 2 6 3 2 2" xfId="7156" xr:uid="{F22F0887-3EF8-4249-9FD9-25617F30CDF0}"/>
    <cellStyle name="Normal 8 3 2 2 2 6 3 2 2 2" xfId="15016" xr:uid="{58616207-94ED-49B3-9350-A3603FD5362E}"/>
    <cellStyle name="Normal 8 3 2 2 2 6 3 2 3" xfId="11096" xr:uid="{08AEE8C0-5A54-4375-80E5-B4A102AD88CD}"/>
    <cellStyle name="Normal 8 3 2 2 2 6 3 3" xfId="5202" xr:uid="{BB39C1A1-671A-4453-9418-D61792528DF9}"/>
    <cellStyle name="Normal 8 3 2 2 2 6 3 3 2" xfId="13062" xr:uid="{E0C5D73A-9966-4F26-9062-9A649011813A}"/>
    <cellStyle name="Normal 8 3 2 2 2 6 3 4" xfId="9143" xr:uid="{C5BFC8F1-A663-4C23-9BF9-07C016481383}"/>
    <cellStyle name="Normal 8 3 2 2 2 6 4" xfId="1699" xr:uid="{00000000-0005-0000-0000-0000D30A0000}"/>
    <cellStyle name="Normal 8 3 2 2 2 6 4 2" xfId="3653" xr:uid="{00000000-0005-0000-0000-0000D40A0000}"/>
    <cellStyle name="Normal 8 3 2 2 2 6 4 2 2" xfId="7574" xr:uid="{2671303E-4331-4BFC-AD74-61820E7381D6}"/>
    <cellStyle name="Normal 8 3 2 2 2 6 4 2 2 2" xfId="15434" xr:uid="{40BFF885-9BF0-49A0-99FC-8286B485987E}"/>
    <cellStyle name="Normal 8 3 2 2 2 6 4 2 3" xfId="11514" xr:uid="{3031548E-A9C5-4F33-9956-CCA3DC689594}"/>
    <cellStyle name="Normal 8 3 2 2 2 6 4 3" xfId="5620" xr:uid="{F69B722A-3FAF-45F9-88B0-8E2DD0A0D58D}"/>
    <cellStyle name="Normal 8 3 2 2 2 6 4 3 2" xfId="13480" xr:uid="{FFBF6063-B1D4-47FE-ABF3-16F53A3EDD8A}"/>
    <cellStyle name="Normal 8 3 2 2 2 6 4 4" xfId="9561" xr:uid="{67FF8083-D067-485D-8668-BDB88EC25F05}"/>
    <cellStyle name="Normal 8 3 2 2 2 6 5" xfId="2353" xr:uid="{00000000-0005-0000-0000-0000D50A0000}"/>
    <cellStyle name="Normal 8 3 2 2 2 6 5 2" xfId="6274" xr:uid="{B5A20BAC-8779-43BA-ACE9-C442338D875F}"/>
    <cellStyle name="Normal 8 3 2 2 2 6 5 2 2" xfId="14134" xr:uid="{2AE9FA92-7F55-4AE1-9C8B-0172B66DE120}"/>
    <cellStyle name="Normal 8 3 2 2 2 6 5 3" xfId="10214" xr:uid="{830B9CE2-FB29-455D-9391-2C940E165FD5}"/>
    <cellStyle name="Normal 8 3 2 2 2 6 6" xfId="4320" xr:uid="{FC3152A8-F083-4FA0-AB0F-FD17CE8F89AD}"/>
    <cellStyle name="Normal 8 3 2 2 2 6 6 2" xfId="12180" xr:uid="{A3043D9A-CD91-411C-843D-796CDF503F36}"/>
    <cellStyle name="Normal 8 3 2 2 2 6 7" xfId="8261" xr:uid="{2B92C568-AA84-4978-9E17-D4FCBFCB2658}"/>
    <cellStyle name="Normal 8 3 2 2 2 7" xfId="496" xr:uid="{00000000-0005-0000-0000-0000D60A0000}"/>
    <cellStyle name="Normal 8 3 2 2 2 7 2" xfId="2450" xr:uid="{00000000-0005-0000-0000-0000D70A0000}"/>
    <cellStyle name="Normal 8 3 2 2 2 7 2 2" xfId="6371" xr:uid="{6102DED0-6071-4DDE-B582-61ED55B66268}"/>
    <cellStyle name="Normal 8 3 2 2 2 7 2 2 2" xfId="14231" xr:uid="{C36E4229-DC9D-4A5F-AC2A-CEA4B14E7825}"/>
    <cellStyle name="Normal 8 3 2 2 2 7 2 3" xfId="10311" xr:uid="{90A075E3-6FBC-40E3-A040-B52BC7F78C68}"/>
    <cellStyle name="Normal 8 3 2 2 2 7 3" xfId="4417" xr:uid="{AA35BED4-56CF-449C-A18C-BAB718F688A3}"/>
    <cellStyle name="Normal 8 3 2 2 2 7 3 2" xfId="12277" xr:uid="{BF0C7420-3D9D-449D-BD22-76D780C11D3A}"/>
    <cellStyle name="Normal 8 3 2 2 2 7 4" xfId="8358" xr:uid="{A6325D76-B426-4162-B27F-36A908077686}"/>
    <cellStyle name="Normal 8 3 2 2 2 8" xfId="933" xr:uid="{00000000-0005-0000-0000-0000D80A0000}"/>
    <cellStyle name="Normal 8 3 2 2 2 8 2" xfId="2887" xr:uid="{00000000-0005-0000-0000-0000D90A0000}"/>
    <cellStyle name="Normal 8 3 2 2 2 8 2 2" xfId="6808" xr:uid="{961D244D-D655-408E-8157-FB1CE430ED05}"/>
    <cellStyle name="Normal 8 3 2 2 2 8 2 2 2" xfId="14668" xr:uid="{1220BE07-96F0-47A1-BAA8-6827DB1705CA}"/>
    <cellStyle name="Normal 8 3 2 2 2 8 2 3" xfId="10748" xr:uid="{0F9D5927-D8BA-4FD7-A90A-2E262F156754}"/>
    <cellStyle name="Normal 8 3 2 2 2 8 3" xfId="4854" xr:uid="{0E0D671F-A738-4978-92EF-C12AB656E63A}"/>
    <cellStyle name="Normal 8 3 2 2 2 8 3 2" xfId="12714" xr:uid="{63B7FB99-A4CC-4060-B155-F931E9AFA0ED}"/>
    <cellStyle name="Normal 8 3 2 2 2 8 4" xfId="8795" xr:uid="{070EB6CF-2DE9-4745-A9B9-4AEACD4A2F01}"/>
    <cellStyle name="Normal 8 3 2 2 2 9" xfId="1360" xr:uid="{00000000-0005-0000-0000-0000DA0A0000}"/>
    <cellStyle name="Normal 8 3 2 2 2 9 2" xfId="3314" xr:uid="{00000000-0005-0000-0000-0000DB0A0000}"/>
    <cellStyle name="Normal 8 3 2 2 2 9 2 2" xfId="7235" xr:uid="{9230AA3E-3CC8-4CB7-8DEF-2C4463C1C46E}"/>
    <cellStyle name="Normal 8 3 2 2 2 9 2 2 2" xfId="15095" xr:uid="{58E2B144-1B0A-4EF0-BCE6-5FA2F7F30DF7}"/>
    <cellStyle name="Normal 8 3 2 2 2 9 2 3" xfId="11175" xr:uid="{0D397BBF-39F7-4680-BAE8-7DD35F0F689B}"/>
    <cellStyle name="Normal 8 3 2 2 2 9 3" xfId="5281" xr:uid="{21F39EC6-2C52-4E6B-B0F9-B48C21F3145A}"/>
    <cellStyle name="Normal 8 3 2 2 2 9 3 2" xfId="13141" xr:uid="{A9EB6340-B4A3-42D5-A8D1-22B36CA79D8B}"/>
    <cellStyle name="Normal 8 3 2 2 2 9 4" xfId="9222" xr:uid="{E0823E06-85E1-447C-B6F5-A282EA054654}"/>
    <cellStyle name="Normal 8 3 2 2 3" xfId="63" xr:uid="{00000000-0005-0000-0000-0000DC0A0000}"/>
    <cellStyle name="Normal 8 3 2 2 3 10" xfId="3999" xr:uid="{A66E0F92-8298-444D-9764-1A9E5F093096}"/>
    <cellStyle name="Normal 8 3 2 2 3 10 2" xfId="11859" xr:uid="{F375802D-78ED-4D90-AE5D-420568EA2245}"/>
    <cellStyle name="Normal 8 3 2 2 3 11" xfId="7937" xr:uid="{4B5AFC21-3BB4-48E7-84F7-956A3791A273}"/>
    <cellStyle name="Normal 8 3 2 2 3 2" xfId="219" xr:uid="{00000000-0005-0000-0000-0000DD0A0000}"/>
    <cellStyle name="Normal 8 3 2 2 3 2 2" xfId="671" xr:uid="{00000000-0005-0000-0000-0000DE0A0000}"/>
    <cellStyle name="Normal 8 3 2 2 3 2 2 2" xfId="2625" xr:uid="{00000000-0005-0000-0000-0000DF0A0000}"/>
    <cellStyle name="Normal 8 3 2 2 3 2 2 2 2" xfId="6546" xr:uid="{703C0077-6829-4EE9-BD42-30944209D430}"/>
    <cellStyle name="Normal 8 3 2 2 3 2 2 2 2 2" xfId="14406" xr:uid="{76755AFD-349D-4F2E-B058-9A75872FC674}"/>
    <cellStyle name="Normal 8 3 2 2 3 2 2 2 3" xfId="10486" xr:uid="{6E13AAEC-5E2F-490F-A2F1-35B28D9F68A8}"/>
    <cellStyle name="Normal 8 3 2 2 3 2 2 3" xfId="4592" xr:uid="{8EB4807E-2A7A-43F9-BC15-B18AD1D25DBC}"/>
    <cellStyle name="Normal 8 3 2 2 3 2 2 3 2" xfId="12452" xr:uid="{7E9BA62E-53F3-4461-ADCD-0C1D525F49C2}"/>
    <cellStyle name="Normal 8 3 2 2 3 2 2 4" xfId="8533" xr:uid="{F786EDE6-B74A-4DBA-9732-08FCABB7BCB4}"/>
    <cellStyle name="Normal 8 3 2 2 3 2 3" xfId="1108" xr:uid="{00000000-0005-0000-0000-0000E00A0000}"/>
    <cellStyle name="Normal 8 3 2 2 3 2 3 2" xfId="3062" xr:uid="{00000000-0005-0000-0000-0000E10A0000}"/>
    <cellStyle name="Normal 8 3 2 2 3 2 3 2 2" xfId="6983" xr:uid="{14637D86-9A68-4FF8-9745-EBDDF729D44A}"/>
    <cellStyle name="Normal 8 3 2 2 3 2 3 2 2 2" xfId="14843" xr:uid="{147C1672-07F0-473C-92F4-09F768788FA5}"/>
    <cellStyle name="Normal 8 3 2 2 3 2 3 2 3" xfId="10923" xr:uid="{8F026FE4-B116-43CC-9C74-34AB6AC1E464}"/>
    <cellStyle name="Normal 8 3 2 2 3 2 3 3" xfId="5029" xr:uid="{90E67E9D-5A77-42CE-91B7-535DCF30C92A}"/>
    <cellStyle name="Normal 8 3 2 2 3 2 3 3 2" xfId="12889" xr:uid="{8C35BE8E-4AB0-4757-A0FC-7D6DAA3BC7AC}"/>
    <cellStyle name="Normal 8 3 2 2 3 2 3 4" xfId="8970" xr:uid="{1235F597-3BAA-4B6F-833A-C65F32A3504C}"/>
    <cellStyle name="Normal 8 3 2 2 3 2 4" xfId="1535" xr:uid="{00000000-0005-0000-0000-0000E20A0000}"/>
    <cellStyle name="Normal 8 3 2 2 3 2 4 2" xfId="3489" xr:uid="{00000000-0005-0000-0000-0000E30A0000}"/>
    <cellStyle name="Normal 8 3 2 2 3 2 4 2 2" xfId="7410" xr:uid="{4F1E6668-AE98-42EF-90AE-7DEC10AE0245}"/>
    <cellStyle name="Normal 8 3 2 2 3 2 4 2 2 2" xfId="15270" xr:uid="{5A36917C-3FE6-4C2F-AAD0-A75FCAE86599}"/>
    <cellStyle name="Normal 8 3 2 2 3 2 4 2 3" xfId="11350" xr:uid="{25E86FA4-A1F1-4D07-ACD7-18B627178B23}"/>
    <cellStyle name="Normal 8 3 2 2 3 2 4 3" xfId="5456" xr:uid="{12DB0B62-365D-4037-B14C-C728190B8AE8}"/>
    <cellStyle name="Normal 8 3 2 2 3 2 4 3 2" xfId="13316" xr:uid="{EFC85F31-436D-4E65-A264-B9F3A6AE661D}"/>
    <cellStyle name="Normal 8 3 2 2 3 2 4 4" xfId="9397" xr:uid="{60086F69-0390-4746-9D01-B36D499B639F}"/>
    <cellStyle name="Normal 8 3 2 2 3 2 5" xfId="2188" xr:uid="{00000000-0005-0000-0000-0000E40A0000}"/>
    <cellStyle name="Normal 8 3 2 2 3 2 5 2" xfId="6109" xr:uid="{6908D5FD-4E9A-4831-B9F3-76C18ABBB6EE}"/>
    <cellStyle name="Normal 8 3 2 2 3 2 5 2 2" xfId="13969" xr:uid="{0F29C674-D422-4202-B42F-CAB81BE2755C}"/>
    <cellStyle name="Normal 8 3 2 2 3 2 5 3" xfId="10049" xr:uid="{204015BB-5A3C-4FE6-8C76-078D11DE03EF}"/>
    <cellStyle name="Normal 8 3 2 2 3 2 6" xfId="4155" xr:uid="{98B1861A-0414-45BA-88D1-610571EA5CF0}"/>
    <cellStyle name="Normal 8 3 2 2 3 2 6 2" xfId="12015" xr:uid="{584B3010-A786-4FF1-92C6-28832FE98F17}"/>
    <cellStyle name="Normal 8 3 2 2 3 2 7" xfId="8093" xr:uid="{31EF62D3-87F2-4E6C-81D7-1FF7A640DABD}"/>
    <cellStyle name="Normal 8 3 2 2 3 3" xfId="141" xr:uid="{00000000-0005-0000-0000-0000E50A0000}"/>
    <cellStyle name="Normal 8 3 2 2 3 3 2" xfId="593" xr:uid="{00000000-0005-0000-0000-0000E60A0000}"/>
    <cellStyle name="Normal 8 3 2 2 3 3 2 2" xfId="2547" xr:uid="{00000000-0005-0000-0000-0000E70A0000}"/>
    <cellStyle name="Normal 8 3 2 2 3 3 2 2 2" xfId="6468" xr:uid="{CE1237CD-CA7F-41DC-B625-049CEC6FB89B}"/>
    <cellStyle name="Normal 8 3 2 2 3 3 2 2 2 2" xfId="14328" xr:uid="{E2978B11-E98E-48CF-B5C7-12CDEB17DD8E}"/>
    <cellStyle name="Normal 8 3 2 2 3 3 2 2 3" xfId="10408" xr:uid="{AE2EEC4F-1BC6-4A41-9BB8-3F532D8881FA}"/>
    <cellStyle name="Normal 8 3 2 2 3 3 2 3" xfId="4514" xr:uid="{87819660-A665-4320-8491-17A8E5C337BE}"/>
    <cellStyle name="Normal 8 3 2 2 3 3 2 3 2" xfId="12374" xr:uid="{A838B99A-1F09-4BE8-92BB-92DE9FF1BA7A}"/>
    <cellStyle name="Normal 8 3 2 2 3 3 2 4" xfId="8455" xr:uid="{D9430A1A-31B4-45C4-8D31-7F5DD584C845}"/>
    <cellStyle name="Normal 8 3 2 2 3 3 3" xfId="1030" xr:uid="{00000000-0005-0000-0000-0000E80A0000}"/>
    <cellStyle name="Normal 8 3 2 2 3 3 3 2" xfId="2984" xr:uid="{00000000-0005-0000-0000-0000E90A0000}"/>
    <cellStyle name="Normal 8 3 2 2 3 3 3 2 2" xfId="6905" xr:uid="{CA548E38-7F9A-431E-8016-CB4E0F40DCC4}"/>
    <cellStyle name="Normal 8 3 2 2 3 3 3 2 2 2" xfId="14765" xr:uid="{164BB493-FCEF-43ED-8F88-C1AAAC5D57E8}"/>
    <cellStyle name="Normal 8 3 2 2 3 3 3 2 3" xfId="10845" xr:uid="{76C2DA27-3E33-41FC-B4DD-D1EFEE500D0B}"/>
    <cellStyle name="Normal 8 3 2 2 3 3 3 3" xfId="4951" xr:uid="{017E2D59-419F-4588-91A5-90FD658F7D66}"/>
    <cellStyle name="Normal 8 3 2 2 3 3 3 3 2" xfId="12811" xr:uid="{02639823-697A-47DC-B264-4A0F9C050327}"/>
    <cellStyle name="Normal 8 3 2 2 3 3 3 4" xfId="8892" xr:uid="{7CCC252C-084D-4912-9D60-14E55BDE0A58}"/>
    <cellStyle name="Normal 8 3 2 2 3 3 4" xfId="1457" xr:uid="{00000000-0005-0000-0000-0000EA0A0000}"/>
    <cellStyle name="Normal 8 3 2 2 3 3 4 2" xfId="3411" xr:uid="{00000000-0005-0000-0000-0000EB0A0000}"/>
    <cellStyle name="Normal 8 3 2 2 3 3 4 2 2" xfId="7332" xr:uid="{5AD1F7F5-BBA2-4E8B-B480-A35713C0AA79}"/>
    <cellStyle name="Normal 8 3 2 2 3 3 4 2 2 2" xfId="15192" xr:uid="{0AC4A33D-8CC2-46EA-BBA2-46DC78383311}"/>
    <cellStyle name="Normal 8 3 2 2 3 3 4 2 3" xfId="11272" xr:uid="{7D26BACD-E7F1-4240-9316-AE1D99BFFB57}"/>
    <cellStyle name="Normal 8 3 2 2 3 3 4 3" xfId="5378" xr:uid="{0F2A7261-4CA9-409C-B7D2-5AFA8D0816FD}"/>
    <cellStyle name="Normal 8 3 2 2 3 3 4 3 2" xfId="13238" xr:uid="{D69C5D59-531C-4306-BB40-3FA772BF0E45}"/>
    <cellStyle name="Normal 8 3 2 2 3 3 4 4" xfId="9319" xr:uid="{C0D2AB79-EBEC-42D9-A0F0-DD89D9928505}"/>
    <cellStyle name="Normal 8 3 2 2 3 3 5" xfId="2110" xr:uid="{00000000-0005-0000-0000-0000EC0A0000}"/>
    <cellStyle name="Normal 8 3 2 2 3 3 5 2" xfId="6031" xr:uid="{B00F2CFE-5863-4A3C-9065-DE3EC36BC3AF}"/>
    <cellStyle name="Normal 8 3 2 2 3 3 5 2 2" xfId="13891" xr:uid="{5046F301-7630-43EF-B575-284A92A1023B}"/>
    <cellStyle name="Normal 8 3 2 2 3 3 5 3" xfId="9971" xr:uid="{8E9F1B23-247C-49AE-8C48-09CD7760FA43}"/>
    <cellStyle name="Normal 8 3 2 2 3 3 6" xfId="4077" xr:uid="{645BBCC0-E3A6-4178-8C6B-6EB6D8B77A0A}"/>
    <cellStyle name="Normal 8 3 2 2 3 3 6 2" xfId="11937" xr:uid="{F79A1007-7257-4C69-B3AF-212C4AFAF6F2}"/>
    <cellStyle name="Normal 8 3 2 2 3 3 7" xfId="8015" xr:uid="{1EFFA8F3-3EC1-498A-85E6-2FB5433B175B}"/>
    <cellStyle name="Normal 8 3 2 2 3 4" xfId="325" xr:uid="{00000000-0005-0000-0000-0000ED0A0000}"/>
    <cellStyle name="Normal 8 3 2 2 3 4 2" xfId="777" xr:uid="{00000000-0005-0000-0000-0000EE0A0000}"/>
    <cellStyle name="Normal 8 3 2 2 3 4 2 2" xfId="2731" xr:uid="{00000000-0005-0000-0000-0000EF0A0000}"/>
    <cellStyle name="Normal 8 3 2 2 3 4 2 2 2" xfId="6652" xr:uid="{6751FB85-4E15-438F-A745-AE5368E74B8E}"/>
    <cellStyle name="Normal 8 3 2 2 3 4 2 2 2 2" xfId="14512" xr:uid="{C8351754-7FF8-4540-8201-45E8A98DB7D7}"/>
    <cellStyle name="Normal 8 3 2 2 3 4 2 2 3" xfId="10592" xr:uid="{21C6AAAB-67D6-4311-B998-B65598EDF8EC}"/>
    <cellStyle name="Normal 8 3 2 2 3 4 2 3" xfId="4698" xr:uid="{5BFEFBB8-A19D-48AF-888A-4E375CF69290}"/>
    <cellStyle name="Normal 8 3 2 2 3 4 2 3 2" xfId="12558" xr:uid="{A4C1EDAD-14F9-4D17-A7B6-0309D6BE991F}"/>
    <cellStyle name="Normal 8 3 2 2 3 4 2 4" xfId="8639" xr:uid="{F02813D6-FAC9-4D18-8FC1-0D160FEA860F}"/>
    <cellStyle name="Normal 8 3 2 2 3 4 3" xfId="1212" xr:uid="{00000000-0005-0000-0000-0000F00A0000}"/>
    <cellStyle name="Normal 8 3 2 2 3 4 3 2" xfId="3166" xr:uid="{00000000-0005-0000-0000-0000F10A0000}"/>
    <cellStyle name="Normal 8 3 2 2 3 4 3 2 2" xfId="7087" xr:uid="{598995B6-C699-488D-8900-FDA56ADCA98A}"/>
    <cellStyle name="Normal 8 3 2 2 3 4 3 2 2 2" xfId="14947" xr:uid="{A8CD8D44-A7CD-4CEC-BCCC-506A1E08923D}"/>
    <cellStyle name="Normal 8 3 2 2 3 4 3 2 3" xfId="11027" xr:uid="{6295DE2E-8290-456C-8E19-66D6DF0E3E55}"/>
    <cellStyle name="Normal 8 3 2 2 3 4 3 3" xfId="5133" xr:uid="{8187A84E-BEE4-4403-A9B8-582AEF719059}"/>
    <cellStyle name="Normal 8 3 2 2 3 4 3 3 2" xfId="12993" xr:uid="{D3888907-2E75-4DC7-8F96-A736F26AB5A1}"/>
    <cellStyle name="Normal 8 3 2 2 3 4 3 4" xfId="9074" xr:uid="{CF6588F2-F540-4B5E-9750-5F1DB54C4C19}"/>
    <cellStyle name="Normal 8 3 2 2 3 4 4" xfId="1632" xr:uid="{00000000-0005-0000-0000-0000F20A0000}"/>
    <cellStyle name="Normal 8 3 2 2 3 4 4 2" xfId="3586" xr:uid="{00000000-0005-0000-0000-0000F30A0000}"/>
    <cellStyle name="Normal 8 3 2 2 3 4 4 2 2" xfId="7507" xr:uid="{01A1F280-08E9-4081-AFC8-09CBA2960A16}"/>
    <cellStyle name="Normal 8 3 2 2 3 4 4 2 2 2" xfId="15367" xr:uid="{B0967346-95E9-41D8-9B03-8BA5CA6961A8}"/>
    <cellStyle name="Normal 8 3 2 2 3 4 4 2 3" xfId="11447" xr:uid="{03C638AC-0C25-4799-B6DC-AF0EA2D2E35E}"/>
    <cellStyle name="Normal 8 3 2 2 3 4 4 3" xfId="5553" xr:uid="{A3F50511-BE37-4A15-856D-814ECBBEC691}"/>
    <cellStyle name="Normal 8 3 2 2 3 4 4 3 2" xfId="13413" xr:uid="{92BAACDA-F4BD-4C5E-9AC5-6CD488E38BF8}"/>
    <cellStyle name="Normal 8 3 2 2 3 4 4 4" xfId="9494" xr:uid="{474978BB-B26E-485A-AA24-1E419C0AFD7D}"/>
    <cellStyle name="Normal 8 3 2 2 3 4 5" xfId="2286" xr:uid="{00000000-0005-0000-0000-0000F40A0000}"/>
    <cellStyle name="Normal 8 3 2 2 3 4 5 2" xfId="6207" xr:uid="{C57C3815-4E35-48D9-938C-98A169003556}"/>
    <cellStyle name="Normal 8 3 2 2 3 4 5 2 2" xfId="14067" xr:uid="{96A36A3C-6782-4A2F-B59A-CFF32D594F3A}"/>
    <cellStyle name="Normal 8 3 2 2 3 4 5 3" xfId="10147" xr:uid="{E8EA0008-BBBF-4515-BC01-54D630F4067C}"/>
    <cellStyle name="Normal 8 3 2 2 3 4 6" xfId="4253" xr:uid="{4788E75B-AE1A-4CD8-891C-1365DCF7BCF1}"/>
    <cellStyle name="Normal 8 3 2 2 3 4 6 2" xfId="12113" xr:uid="{24EE9F42-E8E2-4E67-A0BE-CC6AAC2F3469}"/>
    <cellStyle name="Normal 8 3 2 2 3 4 7" xfId="8192" xr:uid="{BCCACBCB-6211-4332-8058-274A9DA722FD}"/>
    <cellStyle name="Normal 8 3 2 2 3 5" xfId="423" xr:uid="{00000000-0005-0000-0000-0000F50A0000}"/>
    <cellStyle name="Normal 8 3 2 2 3 5 2" xfId="874" xr:uid="{00000000-0005-0000-0000-0000F60A0000}"/>
    <cellStyle name="Normal 8 3 2 2 3 5 2 2" xfId="2828" xr:uid="{00000000-0005-0000-0000-0000F70A0000}"/>
    <cellStyle name="Normal 8 3 2 2 3 5 2 2 2" xfId="6749" xr:uid="{BEFD170D-0EBA-4135-8C4D-49F30C899140}"/>
    <cellStyle name="Normal 8 3 2 2 3 5 2 2 2 2" xfId="14609" xr:uid="{F9533CE5-73C1-4EAF-878D-70083FEB41CD}"/>
    <cellStyle name="Normal 8 3 2 2 3 5 2 2 3" xfId="10689" xr:uid="{7F10C9AA-7FC0-488D-A2B2-D61F9687AC3F}"/>
    <cellStyle name="Normal 8 3 2 2 3 5 2 3" xfId="4795" xr:uid="{7F05A13F-5528-45DD-8FF4-0E1CF5FF6E6B}"/>
    <cellStyle name="Normal 8 3 2 2 3 5 2 3 2" xfId="12655" xr:uid="{4F4AAF6D-CAD1-4A3C-8911-AA53634FF534}"/>
    <cellStyle name="Normal 8 3 2 2 3 5 2 4" xfId="8736" xr:uid="{9152EFCF-1DE2-4158-89FA-729ADFE90F26}"/>
    <cellStyle name="Normal 8 3 2 2 3 5 3" xfId="1306" xr:uid="{00000000-0005-0000-0000-0000F80A0000}"/>
    <cellStyle name="Normal 8 3 2 2 3 5 3 2" xfId="3260" xr:uid="{00000000-0005-0000-0000-0000F90A0000}"/>
    <cellStyle name="Normal 8 3 2 2 3 5 3 2 2" xfId="7181" xr:uid="{F8FA8AB1-4E79-43C6-9E75-E72C0295A56E}"/>
    <cellStyle name="Normal 8 3 2 2 3 5 3 2 2 2" xfId="15041" xr:uid="{A898EE96-99B2-472C-9A2F-98D37F20A381}"/>
    <cellStyle name="Normal 8 3 2 2 3 5 3 2 3" xfId="11121" xr:uid="{AFE2810A-5FA8-443F-AA60-6A2B323FDC69}"/>
    <cellStyle name="Normal 8 3 2 2 3 5 3 3" xfId="5227" xr:uid="{BE254DE5-A846-422E-BD4E-3B4E72665167}"/>
    <cellStyle name="Normal 8 3 2 2 3 5 3 3 2" xfId="13087" xr:uid="{26A53CA5-05F0-40EC-8F6D-8A465FC51BBA}"/>
    <cellStyle name="Normal 8 3 2 2 3 5 3 4" xfId="9168" xr:uid="{18936ED3-781C-4EF5-8EA9-88214AE714F0}"/>
    <cellStyle name="Normal 8 3 2 2 3 5 4" xfId="1724" xr:uid="{00000000-0005-0000-0000-0000FA0A0000}"/>
    <cellStyle name="Normal 8 3 2 2 3 5 4 2" xfId="3678" xr:uid="{00000000-0005-0000-0000-0000FB0A0000}"/>
    <cellStyle name="Normal 8 3 2 2 3 5 4 2 2" xfId="7599" xr:uid="{813D1CC0-6298-498E-87EA-FC1BC7E25026}"/>
    <cellStyle name="Normal 8 3 2 2 3 5 4 2 2 2" xfId="15459" xr:uid="{A43298C9-BEB3-464C-BC82-C0BD53A9A7A9}"/>
    <cellStyle name="Normal 8 3 2 2 3 5 4 2 3" xfId="11539" xr:uid="{74EB3919-0FE4-4E2D-91DC-46AB75071422}"/>
    <cellStyle name="Normal 8 3 2 2 3 5 4 3" xfId="5645" xr:uid="{3F649F74-37EF-4C7F-86AA-93B796C4BD9D}"/>
    <cellStyle name="Normal 8 3 2 2 3 5 4 3 2" xfId="13505" xr:uid="{DB2BE2E4-3EAC-427E-8B8D-EC8A2C463112}"/>
    <cellStyle name="Normal 8 3 2 2 3 5 4 4" xfId="9586" xr:uid="{BD37C0AC-1246-4D13-A6DB-5055021F8130}"/>
    <cellStyle name="Normal 8 3 2 2 3 5 5" xfId="2378" xr:uid="{00000000-0005-0000-0000-0000FC0A0000}"/>
    <cellStyle name="Normal 8 3 2 2 3 5 5 2" xfId="6299" xr:uid="{4F075D13-F9DB-4A99-9E20-83857D83022C}"/>
    <cellStyle name="Normal 8 3 2 2 3 5 5 2 2" xfId="14159" xr:uid="{D6232F47-B5E2-4700-BFE4-CD5DB3B2E167}"/>
    <cellStyle name="Normal 8 3 2 2 3 5 5 3" xfId="10239" xr:uid="{EC7C74C2-EA53-4845-AB7A-17273C6EE41C}"/>
    <cellStyle name="Normal 8 3 2 2 3 5 6" xfId="4345" xr:uid="{42362E6C-C4FF-48F6-A55F-65BD11ADC024}"/>
    <cellStyle name="Normal 8 3 2 2 3 5 6 2" xfId="12205" xr:uid="{88FBB730-F718-4646-AD7D-AE632D2D1792}"/>
    <cellStyle name="Normal 8 3 2 2 3 5 7" xfId="8286" xr:uid="{C09634AE-00F9-4607-8AA7-DB79ECD96A53}"/>
    <cellStyle name="Normal 8 3 2 2 3 6" xfId="515" xr:uid="{00000000-0005-0000-0000-0000FD0A0000}"/>
    <cellStyle name="Normal 8 3 2 2 3 6 2" xfId="2469" xr:uid="{00000000-0005-0000-0000-0000FE0A0000}"/>
    <cellStyle name="Normal 8 3 2 2 3 6 2 2" xfId="6390" xr:uid="{5FF2C5DD-5E65-44D1-B059-B15E4DE84A90}"/>
    <cellStyle name="Normal 8 3 2 2 3 6 2 2 2" xfId="14250" xr:uid="{9DD520A9-F3DF-4958-9B44-0B444FF5F58E}"/>
    <cellStyle name="Normal 8 3 2 2 3 6 2 3" xfId="10330" xr:uid="{CAE674D9-60D0-44F8-A153-09F9903A0006}"/>
    <cellStyle name="Normal 8 3 2 2 3 6 3" xfId="4436" xr:uid="{821889D1-3E06-419E-9576-6364E7EA249E}"/>
    <cellStyle name="Normal 8 3 2 2 3 6 3 2" xfId="12296" xr:uid="{DBBF59FE-9CA5-417D-A6EF-05A25636407D}"/>
    <cellStyle name="Normal 8 3 2 2 3 6 4" xfId="8377" xr:uid="{887123EA-BAB7-427B-80BA-BF731CC2F84D}"/>
    <cellStyle name="Normal 8 3 2 2 3 7" xfId="952" xr:uid="{00000000-0005-0000-0000-0000FF0A0000}"/>
    <cellStyle name="Normal 8 3 2 2 3 7 2" xfId="2906" xr:uid="{00000000-0005-0000-0000-0000000B0000}"/>
    <cellStyle name="Normal 8 3 2 2 3 7 2 2" xfId="6827" xr:uid="{58815ED0-ADAD-4C83-AFC1-31F7EA3C0A0F}"/>
    <cellStyle name="Normal 8 3 2 2 3 7 2 2 2" xfId="14687" xr:uid="{108BD753-5495-4BD4-B97D-E4744C6D7E2D}"/>
    <cellStyle name="Normal 8 3 2 2 3 7 2 3" xfId="10767" xr:uid="{D58B8F18-0657-413B-8CEF-256D249A4408}"/>
    <cellStyle name="Normal 8 3 2 2 3 7 3" xfId="4873" xr:uid="{FCD27932-3BDD-4567-A9F0-357D9523B9BA}"/>
    <cellStyle name="Normal 8 3 2 2 3 7 3 2" xfId="12733" xr:uid="{0749B031-78E5-4F55-A7BA-D193F26F9103}"/>
    <cellStyle name="Normal 8 3 2 2 3 7 4" xfId="8814" xr:uid="{36C4A945-EF48-44C2-BD72-D32DEE4A033D}"/>
    <cellStyle name="Normal 8 3 2 2 3 8" xfId="1379" xr:uid="{00000000-0005-0000-0000-0000010B0000}"/>
    <cellStyle name="Normal 8 3 2 2 3 8 2" xfId="3333" xr:uid="{00000000-0005-0000-0000-0000020B0000}"/>
    <cellStyle name="Normal 8 3 2 2 3 8 2 2" xfId="7254" xr:uid="{738CFF94-689A-48F1-8E03-1289BB5CD390}"/>
    <cellStyle name="Normal 8 3 2 2 3 8 2 2 2" xfId="15114" xr:uid="{DDD4865C-2CFD-4C3D-828D-B4942F1F45DA}"/>
    <cellStyle name="Normal 8 3 2 2 3 8 2 3" xfId="11194" xr:uid="{2F0F3D4B-0447-4216-B79E-62DBF02C9D63}"/>
    <cellStyle name="Normal 8 3 2 2 3 8 3" xfId="5300" xr:uid="{16BE0B79-0CA6-4AA1-99F4-4515DF327436}"/>
    <cellStyle name="Normal 8 3 2 2 3 8 3 2" xfId="13160" xr:uid="{224CA5C2-BEBD-48A5-A66C-5DA657F9349D}"/>
    <cellStyle name="Normal 8 3 2 2 3 8 4" xfId="9241" xr:uid="{09D86DD2-16BF-447A-BD73-272898B59E90}"/>
    <cellStyle name="Normal 8 3 2 2 3 9" xfId="2032" xr:uid="{00000000-0005-0000-0000-0000030B0000}"/>
    <cellStyle name="Normal 8 3 2 2 3 9 2" xfId="5953" xr:uid="{F62CFF50-36E0-4048-8BD4-135620D657E4}"/>
    <cellStyle name="Normal 8 3 2 2 3 9 2 2" xfId="13813" xr:uid="{4BCA8CE4-B909-45F2-8676-AD66EF7303BC}"/>
    <cellStyle name="Normal 8 3 2 2 3 9 3" xfId="9893" xr:uid="{AEF7AF64-2DA2-4758-A0FE-26E3968F296A}"/>
    <cellStyle name="Normal 8 3 2 2 4" xfId="180" xr:uid="{00000000-0005-0000-0000-0000040B0000}"/>
    <cellStyle name="Normal 8 3 2 2 4 2" xfId="632" xr:uid="{00000000-0005-0000-0000-0000050B0000}"/>
    <cellStyle name="Normal 8 3 2 2 4 2 2" xfId="2586" xr:uid="{00000000-0005-0000-0000-0000060B0000}"/>
    <cellStyle name="Normal 8 3 2 2 4 2 2 2" xfId="6507" xr:uid="{7F59812E-CCDF-47CB-9B6D-D582B9BEAF07}"/>
    <cellStyle name="Normal 8 3 2 2 4 2 2 2 2" xfId="14367" xr:uid="{D03EC438-6995-476D-870C-01962D752B5D}"/>
    <cellStyle name="Normal 8 3 2 2 4 2 2 3" xfId="10447" xr:uid="{38CEF016-0443-492C-9E4B-4D249B8F1AE9}"/>
    <cellStyle name="Normal 8 3 2 2 4 2 3" xfId="4553" xr:uid="{85C5DD2B-7E5D-4189-B5E1-408590CA676B}"/>
    <cellStyle name="Normal 8 3 2 2 4 2 3 2" xfId="12413" xr:uid="{17713FBB-3C7B-451A-A652-31494A3B8589}"/>
    <cellStyle name="Normal 8 3 2 2 4 2 4" xfId="8494" xr:uid="{0656169A-0786-47C6-9AA8-17C902278371}"/>
    <cellStyle name="Normal 8 3 2 2 4 3" xfId="1069" xr:uid="{00000000-0005-0000-0000-0000070B0000}"/>
    <cellStyle name="Normal 8 3 2 2 4 3 2" xfId="3023" xr:uid="{00000000-0005-0000-0000-0000080B0000}"/>
    <cellStyle name="Normal 8 3 2 2 4 3 2 2" xfId="6944" xr:uid="{2309CD5A-43FD-4414-A720-185F96CBE49E}"/>
    <cellStyle name="Normal 8 3 2 2 4 3 2 2 2" xfId="14804" xr:uid="{35372EAC-E4E3-4815-AAE3-27A1D3C46878}"/>
    <cellStyle name="Normal 8 3 2 2 4 3 2 3" xfId="10884" xr:uid="{19135B52-CCD9-4460-B8A7-66D0627CDA16}"/>
    <cellStyle name="Normal 8 3 2 2 4 3 3" xfId="4990" xr:uid="{2164D9A8-9624-4E6A-ACC6-2DF00D73F66A}"/>
    <cellStyle name="Normal 8 3 2 2 4 3 3 2" xfId="12850" xr:uid="{0E0EF61A-3F18-41CF-AF0B-EE2F939D7C94}"/>
    <cellStyle name="Normal 8 3 2 2 4 3 4" xfId="8931" xr:uid="{409EBEDB-AD6A-46AB-B127-439009EC3570}"/>
    <cellStyle name="Normal 8 3 2 2 4 4" xfId="1496" xr:uid="{00000000-0005-0000-0000-0000090B0000}"/>
    <cellStyle name="Normal 8 3 2 2 4 4 2" xfId="3450" xr:uid="{00000000-0005-0000-0000-00000A0B0000}"/>
    <cellStyle name="Normal 8 3 2 2 4 4 2 2" xfId="7371" xr:uid="{F03DDC00-0F06-4B21-AD5C-E7031F389638}"/>
    <cellStyle name="Normal 8 3 2 2 4 4 2 2 2" xfId="15231" xr:uid="{36F9AB15-4648-479D-8B89-31F4CE27B8DF}"/>
    <cellStyle name="Normal 8 3 2 2 4 4 2 3" xfId="11311" xr:uid="{C4CCC116-ED1E-46F1-80EF-E8A3D265FC2C}"/>
    <cellStyle name="Normal 8 3 2 2 4 4 3" xfId="5417" xr:uid="{3FDDA17A-8036-484A-AD79-EF1226B45F90}"/>
    <cellStyle name="Normal 8 3 2 2 4 4 3 2" xfId="13277" xr:uid="{07361B8E-4D86-4DE8-BC1E-47CFB77222AE}"/>
    <cellStyle name="Normal 8 3 2 2 4 4 4" xfId="9358" xr:uid="{3A7F28A7-03ED-4FB6-BBE3-46D7A2417DEC}"/>
    <cellStyle name="Normal 8 3 2 2 4 5" xfId="2149" xr:uid="{00000000-0005-0000-0000-00000B0B0000}"/>
    <cellStyle name="Normal 8 3 2 2 4 5 2" xfId="6070" xr:uid="{A3E8ED53-F5A6-4C66-B136-99018FEF31F9}"/>
    <cellStyle name="Normal 8 3 2 2 4 5 2 2" xfId="13930" xr:uid="{008C3D23-EF4E-4540-98DD-35F803EEC0E7}"/>
    <cellStyle name="Normal 8 3 2 2 4 5 3" xfId="10010" xr:uid="{6BD39165-95AD-4C43-B36A-5343C3DAD11A}"/>
    <cellStyle name="Normal 8 3 2 2 4 6" xfId="4116" xr:uid="{22E8834E-B30F-4CF6-BB21-FED52090329F}"/>
    <cellStyle name="Normal 8 3 2 2 4 6 2" xfId="11976" xr:uid="{80E839AF-9CE8-40C3-8DC8-6DB7215108FC}"/>
    <cellStyle name="Normal 8 3 2 2 4 7" xfId="8054" xr:uid="{D553E358-8409-4755-913D-9C9AFF6F5AB4}"/>
    <cellStyle name="Normal 8 3 2 2 5" xfId="102" xr:uid="{00000000-0005-0000-0000-00000C0B0000}"/>
    <cellStyle name="Normal 8 3 2 2 5 2" xfId="554" xr:uid="{00000000-0005-0000-0000-00000D0B0000}"/>
    <cellStyle name="Normal 8 3 2 2 5 2 2" xfId="2508" xr:uid="{00000000-0005-0000-0000-00000E0B0000}"/>
    <cellStyle name="Normal 8 3 2 2 5 2 2 2" xfId="6429" xr:uid="{C57E5DB3-ACBC-47EB-A76D-DCD3F2B1EDB6}"/>
    <cellStyle name="Normal 8 3 2 2 5 2 2 2 2" xfId="14289" xr:uid="{0A151167-17ED-46D9-A21A-C118B5C70BF4}"/>
    <cellStyle name="Normal 8 3 2 2 5 2 2 3" xfId="10369" xr:uid="{B95141AD-2EC2-4453-A1B7-0B2CF6732DBF}"/>
    <cellStyle name="Normal 8 3 2 2 5 2 3" xfId="4475" xr:uid="{8EB58F88-338C-409E-8F01-58364F46A68F}"/>
    <cellStyle name="Normal 8 3 2 2 5 2 3 2" xfId="12335" xr:uid="{91FEC33F-D572-414E-9CAE-BAA4D5595E63}"/>
    <cellStyle name="Normal 8 3 2 2 5 2 4" xfId="8416" xr:uid="{4B82C8F4-DD48-4A89-B29C-169352D83F51}"/>
    <cellStyle name="Normal 8 3 2 2 5 3" xfId="991" xr:uid="{00000000-0005-0000-0000-00000F0B0000}"/>
    <cellStyle name="Normal 8 3 2 2 5 3 2" xfId="2945" xr:uid="{00000000-0005-0000-0000-0000100B0000}"/>
    <cellStyle name="Normal 8 3 2 2 5 3 2 2" xfId="6866" xr:uid="{A2EECD09-5C42-41AF-BCBA-4DCFD93BA5A6}"/>
    <cellStyle name="Normal 8 3 2 2 5 3 2 2 2" xfId="14726" xr:uid="{4785F9F3-05A3-4BE6-A708-FB951193B759}"/>
    <cellStyle name="Normal 8 3 2 2 5 3 2 3" xfId="10806" xr:uid="{CBB62553-98DE-4F0E-97C5-37B1BEF95DCB}"/>
    <cellStyle name="Normal 8 3 2 2 5 3 3" xfId="4912" xr:uid="{3B66AF4A-6035-4EC1-A615-D1168E7A6870}"/>
    <cellStyle name="Normal 8 3 2 2 5 3 3 2" xfId="12772" xr:uid="{80B42B5B-6CF4-4AB7-9796-53EE3C343059}"/>
    <cellStyle name="Normal 8 3 2 2 5 3 4" xfId="8853" xr:uid="{F4E79D0A-0287-41D4-8823-A0C31F41CD44}"/>
    <cellStyle name="Normal 8 3 2 2 5 4" xfId="1418" xr:uid="{00000000-0005-0000-0000-0000110B0000}"/>
    <cellStyle name="Normal 8 3 2 2 5 4 2" xfId="3372" xr:uid="{00000000-0005-0000-0000-0000120B0000}"/>
    <cellStyle name="Normal 8 3 2 2 5 4 2 2" xfId="7293" xr:uid="{E3F192A1-EFFA-4CCC-B875-E3731683E89F}"/>
    <cellStyle name="Normal 8 3 2 2 5 4 2 2 2" xfId="15153" xr:uid="{B0D22B35-AEA3-49C7-B685-11701A77971C}"/>
    <cellStyle name="Normal 8 3 2 2 5 4 2 3" xfId="11233" xr:uid="{CF352A60-C532-4C63-8189-D2FB221AD06B}"/>
    <cellStyle name="Normal 8 3 2 2 5 4 3" xfId="5339" xr:uid="{650EB791-575B-47A9-AC12-4D6F5E3AE3BB}"/>
    <cellStyle name="Normal 8 3 2 2 5 4 3 2" xfId="13199" xr:uid="{F1A174C3-50FE-4D25-8655-1D70F9AF3369}"/>
    <cellStyle name="Normal 8 3 2 2 5 4 4" xfId="9280" xr:uid="{2033DB35-16E1-49EE-B597-B346260F5664}"/>
    <cellStyle name="Normal 8 3 2 2 5 5" xfId="2071" xr:uid="{00000000-0005-0000-0000-0000130B0000}"/>
    <cellStyle name="Normal 8 3 2 2 5 5 2" xfId="5992" xr:uid="{14330329-B7AF-4757-8ECE-D23386930317}"/>
    <cellStyle name="Normal 8 3 2 2 5 5 2 2" xfId="13852" xr:uid="{2B524465-4FAA-4B46-BD84-A6B26883A244}"/>
    <cellStyle name="Normal 8 3 2 2 5 5 3" xfId="9932" xr:uid="{0918871E-2BF3-4FCE-9385-18205797E453}"/>
    <cellStyle name="Normal 8 3 2 2 5 6" xfId="4038" xr:uid="{36F376DC-35E7-459D-8104-CF8300CE5C76}"/>
    <cellStyle name="Normal 8 3 2 2 5 6 2" xfId="11898" xr:uid="{79AAB824-1A16-461F-9545-EEC2F63774D5}"/>
    <cellStyle name="Normal 8 3 2 2 5 7" xfId="7976" xr:uid="{8CE38C97-073A-4712-A4E3-FB8FA21331DA}"/>
    <cellStyle name="Normal 8 3 2 2 6" xfId="278" xr:uid="{00000000-0005-0000-0000-0000140B0000}"/>
    <cellStyle name="Normal 8 3 2 2 6 2" xfId="730" xr:uid="{00000000-0005-0000-0000-0000150B0000}"/>
    <cellStyle name="Normal 8 3 2 2 6 2 2" xfId="2684" xr:uid="{00000000-0005-0000-0000-0000160B0000}"/>
    <cellStyle name="Normal 8 3 2 2 6 2 2 2" xfId="6605" xr:uid="{3C4D9555-82AF-4F5A-A242-3CC2AA081121}"/>
    <cellStyle name="Normal 8 3 2 2 6 2 2 2 2" xfId="14465" xr:uid="{0CD452D4-D815-4D93-B349-3B25B58A005B}"/>
    <cellStyle name="Normal 8 3 2 2 6 2 2 3" xfId="10545" xr:uid="{6A6189AB-F45D-42BB-90DD-FD8CBA46042B}"/>
    <cellStyle name="Normal 8 3 2 2 6 2 3" xfId="4651" xr:uid="{626BF526-2F0C-4B3F-ADAA-7A7641943051}"/>
    <cellStyle name="Normal 8 3 2 2 6 2 3 2" xfId="12511" xr:uid="{920B89EA-A083-476A-98BD-6F24B2B58E54}"/>
    <cellStyle name="Normal 8 3 2 2 6 2 4" xfId="8592" xr:uid="{B06961A2-CFEB-44F0-BEB5-A5017755607B}"/>
    <cellStyle name="Normal 8 3 2 2 6 3" xfId="1166" xr:uid="{00000000-0005-0000-0000-0000170B0000}"/>
    <cellStyle name="Normal 8 3 2 2 6 3 2" xfId="3120" xr:uid="{00000000-0005-0000-0000-0000180B0000}"/>
    <cellStyle name="Normal 8 3 2 2 6 3 2 2" xfId="7041" xr:uid="{4A0C9E89-F2F2-49C1-A020-B0FFB7ADF9EF}"/>
    <cellStyle name="Normal 8 3 2 2 6 3 2 2 2" xfId="14901" xr:uid="{4516060D-6B02-46F1-8515-873E7887FB73}"/>
    <cellStyle name="Normal 8 3 2 2 6 3 2 3" xfId="10981" xr:uid="{EF9E60CB-4D3B-4B43-9A1C-09B4E37EE11D}"/>
    <cellStyle name="Normal 8 3 2 2 6 3 3" xfId="5087" xr:uid="{4258FAD5-2623-4B68-AB3C-8557770E4DFB}"/>
    <cellStyle name="Normal 8 3 2 2 6 3 3 2" xfId="12947" xr:uid="{5F17F042-3817-4A21-8ED2-025E14F227AE}"/>
    <cellStyle name="Normal 8 3 2 2 6 3 4" xfId="9028" xr:uid="{756710A0-A897-4900-A9A7-2D74FC7FE74C}"/>
    <cellStyle name="Normal 8 3 2 2 6 4" xfId="1587" xr:uid="{00000000-0005-0000-0000-0000190B0000}"/>
    <cellStyle name="Normal 8 3 2 2 6 4 2" xfId="3541" xr:uid="{00000000-0005-0000-0000-00001A0B0000}"/>
    <cellStyle name="Normal 8 3 2 2 6 4 2 2" xfId="7462" xr:uid="{331F5294-0BD5-4B09-B530-D752253EB819}"/>
    <cellStyle name="Normal 8 3 2 2 6 4 2 2 2" xfId="15322" xr:uid="{8D7040D3-B5DC-4D70-B8BA-8A96DADE4980}"/>
    <cellStyle name="Normal 8 3 2 2 6 4 2 3" xfId="11402" xr:uid="{9546EA58-7361-4F34-9C2B-84462794DE91}"/>
    <cellStyle name="Normal 8 3 2 2 6 4 3" xfId="5508" xr:uid="{11FA516E-C7CA-4FC5-8E3E-0B74E41CD4AD}"/>
    <cellStyle name="Normal 8 3 2 2 6 4 3 2" xfId="13368" xr:uid="{67689A38-EE59-4386-9955-B97D48A56BF8}"/>
    <cellStyle name="Normal 8 3 2 2 6 4 4" xfId="9449" xr:uid="{95A187C5-A58C-4CC0-9C63-5949E204088A}"/>
    <cellStyle name="Normal 8 3 2 2 6 5" xfId="2241" xr:uid="{00000000-0005-0000-0000-00001B0B0000}"/>
    <cellStyle name="Normal 8 3 2 2 6 5 2" xfId="6162" xr:uid="{3771145F-F49E-4D30-89AB-90ECE04C4B93}"/>
    <cellStyle name="Normal 8 3 2 2 6 5 2 2" xfId="14022" xr:uid="{40139141-5370-4DBA-A46C-C3FFF8E3A639}"/>
    <cellStyle name="Normal 8 3 2 2 6 5 3" xfId="10102" xr:uid="{56696397-2AD5-4A71-8151-D5E59FFD0F97}"/>
    <cellStyle name="Normal 8 3 2 2 6 6" xfId="4208" xr:uid="{94033E6F-EC5B-4AA5-8736-22835F67E0A4}"/>
    <cellStyle name="Normal 8 3 2 2 6 6 2" xfId="12068" xr:uid="{2BB79BF2-2FE5-4732-B17A-A54811620DB2}"/>
    <cellStyle name="Normal 8 3 2 2 6 7" xfId="8147" xr:uid="{D154B6B3-ECA2-430B-A0C8-F481BDE21316}"/>
    <cellStyle name="Normal 8 3 2 2 7" xfId="378" xr:uid="{00000000-0005-0000-0000-00001C0B0000}"/>
    <cellStyle name="Normal 8 3 2 2 7 2" xfId="829" xr:uid="{00000000-0005-0000-0000-00001D0B0000}"/>
    <cellStyle name="Normal 8 3 2 2 7 2 2" xfId="2783" xr:uid="{00000000-0005-0000-0000-00001E0B0000}"/>
    <cellStyle name="Normal 8 3 2 2 7 2 2 2" xfId="6704" xr:uid="{B2533FB5-DE52-4379-AC53-FA13C10E39CD}"/>
    <cellStyle name="Normal 8 3 2 2 7 2 2 2 2" xfId="14564" xr:uid="{542031FE-3B1F-45D2-A3A4-35A86CCB83CB}"/>
    <cellStyle name="Normal 8 3 2 2 7 2 2 3" xfId="10644" xr:uid="{30E11044-B7CE-4A04-AAE2-508EC2F3989D}"/>
    <cellStyle name="Normal 8 3 2 2 7 2 3" xfId="4750" xr:uid="{1A9DEB9C-D888-4670-8AE8-6AF75321DD5B}"/>
    <cellStyle name="Normal 8 3 2 2 7 2 3 2" xfId="12610" xr:uid="{1DFDE3FC-067A-4662-9A2C-2D96FD257C6C}"/>
    <cellStyle name="Normal 8 3 2 2 7 2 4" xfId="8691" xr:uid="{7B1A6341-ACEA-402E-B148-62B4881A3221}"/>
    <cellStyle name="Normal 8 3 2 2 7 3" xfId="1261" xr:uid="{00000000-0005-0000-0000-00001F0B0000}"/>
    <cellStyle name="Normal 8 3 2 2 7 3 2" xfId="3215" xr:uid="{00000000-0005-0000-0000-0000200B0000}"/>
    <cellStyle name="Normal 8 3 2 2 7 3 2 2" xfId="7136" xr:uid="{21C1B32B-918E-4817-9C49-AD0A50EC26BB}"/>
    <cellStyle name="Normal 8 3 2 2 7 3 2 2 2" xfId="14996" xr:uid="{2A34889E-96E2-442A-A676-FFB23F90266A}"/>
    <cellStyle name="Normal 8 3 2 2 7 3 2 3" xfId="11076" xr:uid="{044D6760-B001-4D05-B2FB-2F1FD11B551D}"/>
    <cellStyle name="Normal 8 3 2 2 7 3 3" xfId="5182" xr:uid="{9B40A3A4-E4D4-426D-AD5F-1C2E84EB7EB5}"/>
    <cellStyle name="Normal 8 3 2 2 7 3 3 2" xfId="13042" xr:uid="{F8FD34AF-E878-4F87-98D3-920290933E62}"/>
    <cellStyle name="Normal 8 3 2 2 7 3 4" xfId="9123" xr:uid="{2EF228C6-BB56-4B50-993F-4DD61B0C402F}"/>
    <cellStyle name="Normal 8 3 2 2 7 4" xfId="1679" xr:uid="{00000000-0005-0000-0000-0000210B0000}"/>
    <cellStyle name="Normal 8 3 2 2 7 4 2" xfId="3633" xr:uid="{00000000-0005-0000-0000-0000220B0000}"/>
    <cellStyle name="Normal 8 3 2 2 7 4 2 2" xfId="7554" xr:uid="{D9AB8D7E-9F4B-4930-B05F-182D5B8A665B}"/>
    <cellStyle name="Normal 8 3 2 2 7 4 2 2 2" xfId="15414" xr:uid="{319676C1-47DD-41D3-AADB-33955F6CF03A}"/>
    <cellStyle name="Normal 8 3 2 2 7 4 2 3" xfId="11494" xr:uid="{A171B6D8-9A1C-44FF-9C95-D729D40FE636}"/>
    <cellStyle name="Normal 8 3 2 2 7 4 3" xfId="5600" xr:uid="{029F2D91-E820-4598-AC9F-46FC97F0A481}"/>
    <cellStyle name="Normal 8 3 2 2 7 4 3 2" xfId="13460" xr:uid="{C04DE676-BBF2-4460-B68E-AAD4A5C21C56}"/>
    <cellStyle name="Normal 8 3 2 2 7 4 4" xfId="9541" xr:uid="{1851EF55-26A2-4F0B-BB1D-A716E19E525C}"/>
    <cellStyle name="Normal 8 3 2 2 7 5" xfId="2333" xr:uid="{00000000-0005-0000-0000-0000230B0000}"/>
    <cellStyle name="Normal 8 3 2 2 7 5 2" xfId="6254" xr:uid="{41F55B7B-C238-4304-958D-96DE29E7607F}"/>
    <cellStyle name="Normal 8 3 2 2 7 5 2 2" xfId="14114" xr:uid="{366D785D-DAFE-4703-BC7A-213D2161996F}"/>
    <cellStyle name="Normal 8 3 2 2 7 5 3" xfId="10194" xr:uid="{38600DC3-4388-40B4-8451-C16D177BD95E}"/>
    <cellStyle name="Normal 8 3 2 2 7 6" xfId="4300" xr:uid="{43CE952C-0F64-4442-B241-B1F01BFA45DC}"/>
    <cellStyle name="Normal 8 3 2 2 7 6 2" xfId="12160" xr:uid="{93C94787-4185-4DB3-9A14-F10B9CC5B0C4}"/>
    <cellStyle name="Normal 8 3 2 2 7 7" xfId="8241" xr:uid="{2C4B0408-8396-4270-AA17-177C95B7F3C0}"/>
    <cellStyle name="Normal 8 3 2 2 8" xfId="475" xr:uid="{00000000-0005-0000-0000-0000240B0000}"/>
    <cellStyle name="Normal 8 3 2 2 8 2" xfId="2429" xr:uid="{00000000-0005-0000-0000-0000250B0000}"/>
    <cellStyle name="Normal 8 3 2 2 8 2 2" xfId="6350" xr:uid="{9B45F1BD-8207-4286-A4DA-B149EBDCEA3C}"/>
    <cellStyle name="Normal 8 3 2 2 8 2 2 2" xfId="14210" xr:uid="{6733A69B-950C-4783-BD5C-D0325070A8AB}"/>
    <cellStyle name="Normal 8 3 2 2 8 2 3" xfId="10290" xr:uid="{6E0E39C1-8E5D-4AE6-9F56-96727BD0CD43}"/>
    <cellStyle name="Normal 8 3 2 2 8 3" xfId="4396" xr:uid="{A3C1B55F-F3ED-410E-B3FF-7E10320F389D}"/>
    <cellStyle name="Normal 8 3 2 2 8 3 2" xfId="12256" xr:uid="{2ECD0887-B366-43CC-8D22-149F904E9795}"/>
    <cellStyle name="Normal 8 3 2 2 8 4" xfId="8337" xr:uid="{42D29581-54A7-462B-8FC3-BC639EF15BAA}"/>
    <cellStyle name="Normal 8 3 2 2 9" xfId="911" xr:uid="{00000000-0005-0000-0000-0000260B0000}"/>
    <cellStyle name="Normal 8 3 2 2 9 2" xfId="2865" xr:uid="{00000000-0005-0000-0000-0000270B0000}"/>
    <cellStyle name="Normal 8 3 2 2 9 2 2" xfId="6786" xr:uid="{12DC6671-A967-4D50-81F1-3B46B7199D96}"/>
    <cellStyle name="Normal 8 3 2 2 9 2 2 2" xfId="14646" xr:uid="{8939503E-1B91-4C86-8322-EADEA93AF74B}"/>
    <cellStyle name="Normal 8 3 2 2 9 2 3" xfId="10726" xr:uid="{81A513D3-B967-45B0-AD97-90EF2E25FD75}"/>
    <cellStyle name="Normal 8 3 2 2 9 3" xfId="4832" xr:uid="{15CD25A8-851B-4D52-9075-3F208488EE8D}"/>
    <cellStyle name="Normal 8 3 2 2 9 3 2" xfId="12692" xr:uid="{AD3DE4C9-31B4-45FD-96B5-C747546FE998}"/>
    <cellStyle name="Normal 8 3 2 2 9 4" xfId="8773" xr:uid="{45983C9B-BBB6-4AA4-9F5A-D36F8A968D84}"/>
    <cellStyle name="Normal 8 3 2 3" xfId="32" xr:uid="{00000000-0005-0000-0000-0000280B0000}"/>
    <cellStyle name="Normal 8 3 2 3 10" xfId="2003" xr:uid="{00000000-0005-0000-0000-0000290B0000}"/>
    <cellStyle name="Normal 8 3 2 3 10 2" xfId="5924" xr:uid="{DE32379A-FB9A-492E-AB89-889157F30C43}"/>
    <cellStyle name="Normal 8 3 2 3 10 2 2" xfId="13784" xr:uid="{F836A17E-9605-4ACF-AAB2-04883CAA2354}"/>
    <cellStyle name="Normal 8 3 2 3 10 3" xfId="9864" xr:uid="{E2E05027-0673-42E2-B6E8-C117809CDD50}"/>
    <cellStyle name="Normal 8 3 2 3 11" xfId="3970" xr:uid="{9D0EB297-B850-4CBF-B370-915A089CC6FB}"/>
    <cellStyle name="Normal 8 3 2 3 11 2" xfId="11830" xr:uid="{028F2E12-2968-44B5-BA65-38B4034BE75A}"/>
    <cellStyle name="Normal 8 3 2 3 12" xfId="7907" xr:uid="{78E40981-73CF-4277-BA70-A31FF4876DDA}"/>
    <cellStyle name="Normal 8 3 2 3 2" xfId="74" xr:uid="{00000000-0005-0000-0000-00002A0B0000}"/>
    <cellStyle name="Normal 8 3 2 3 2 10" xfId="4010" xr:uid="{2E31F118-C8B0-4D44-BBF9-4AADEFA24E55}"/>
    <cellStyle name="Normal 8 3 2 3 2 10 2" xfId="11870" xr:uid="{B1E6E7C3-CD75-4E43-BD3B-51719ADB634F}"/>
    <cellStyle name="Normal 8 3 2 3 2 11" xfId="7948" xr:uid="{4CABF57F-2A1E-4405-BF12-24566410BBBD}"/>
    <cellStyle name="Normal 8 3 2 3 2 2" xfId="230" xr:uid="{00000000-0005-0000-0000-00002B0B0000}"/>
    <cellStyle name="Normal 8 3 2 3 2 2 2" xfId="682" xr:uid="{00000000-0005-0000-0000-00002C0B0000}"/>
    <cellStyle name="Normal 8 3 2 3 2 2 2 2" xfId="2636" xr:uid="{00000000-0005-0000-0000-00002D0B0000}"/>
    <cellStyle name="Normal 8 3 2 3 2 2 2 2 2" xfId="6557" xr:uid="{D1F24A23-F130-4BA5-9C55-B6432D1CBD5A}"/>
    <cellStyle name="Normal 8 3 2 3 2 2 2 2 2 2" xfId="14417" xr:uid="{CAA35566-447B-46E1-9BA2-9C0BFB1D8AD7}"/>
    <cellStyle name="Normal 8 3 2 3 2 2 2 2 3" xfId="10497" xr:uid="{DA821A93-D809-4223-8808-7DD1484F578A}"/>
    <cellStyle name="Normal 8 3 2 3 2 2 2 3" xfId="4603" xr:uid="{483B949D-6960-4249-9115-0350CBB4674B}"/>
    <cellStyle name="Normal 8 3 2 3 2 2 2 3 2" xfId="12463" xr:uid="{6E529C7B-255E-4C1E-8AEC-CAADAE24EB8C}"/>
    <cellStyle name="Normal 8 3 2 3 2 2 2 4" xfId="8544" xr:uid="{305A4038-92B5-4DAD-A0B6-519D013B1F10}"/>
    <cellStyle name="Normal 8 3 2 3 2 2 3" xfId="1119" xr:uid="{00000000-0005-0000-0000-00002E0B0000}"/>
    <cellStyle name="Normal 8 3 2 3 2 2 3 2" xfId="3073" xr:uid="{00000000-0005-0000-0000-00002F0B0000}"/>
    <cellStyle name="Normal 8 3 2 3 2 2 3 2 2" xfId="6994" xr:uid="{88D7051F-7CBF-44AE-BB4D-6960DF919A29}"/>
    <cellStyle name="Normal 8 3 2 3 2 2 3 2 2 2" xfId="14854" xr:uid="{6A3FC905-A770-496E-88C3-FA3E17881BA1}"/>
    <cellStyle name="Normal 8 3 2 3 2 2 3 2 3" xfId="10934" xr:uid="{2885C55C-20F8-47B6-8158-B5D78ACD0BB2}"/>
    <cellStyle name="Normal 8 3 2 3 2 2 3 3" xfId="5040" xr:uid="{B8426972-47BA-420F-A602-FEF580BB8DEC}"/>
    <cellStyle name="Normal 8 3 2 3 2 2 3 3 2" xfId="12900" xr:uid="{F04723D6-30D2-4700-AFC2-465D26205E30}"/>
    <cellStyle name="Normal 8 3 2 3 2 2 3 4" xfId="8981" xr:uid="{88AFC10C-623B-4706-A4B3-C75AC5A66298}"/>
    <cellStyle name="Normal 8 3 2 3 2 2 4" xfId="1546" xr:uid="{00000000-0005-0000-0000-0000300B0000}"/>
    <cellStyle name="Normal 8 3 2 3 2 2 4 2" xfId="3500" xr:uid="{00000000-0005-0000-0000-0000310B0000}"/>
    <cellStyle name="Normal 8 3 2 3 2 2 4 2 2" xfId="7421" xr:uid="{1C7E9B7B-0539-420D-AD0D-9BC024C8C22D}"/>
    <cellStyle name="Normal 8 3 2 3 2 2 4 2 2 2" xfId="15281" xr:uid="{82734A19-F3A9-482A-9C3B-CE0F8877FBEF}"/>
    <cellStyle name="Normal 8 3 2 3 2 2 4 2 3" xfId="11361" xr:uid="{26D95F9E-C3A9-475E-99AB-3EB3E7976753}"/>
    <cellStyle name="Normal 8 3 2 3 2 2 4 3" xfId="5467" xr:uid="{85F63F60-2C61-4420-A0F1-93BD788551B1}"/>
    <cellStyle name="Normal 8 3 2 3 2 2 4 3 2" xfId="13327" xr:uid="{87D14B90-9DD2-4600-811A-C7265C6B61BF}"/>
    <cellStyle name="Normal 8 3 2 3 2 2 4 4" xfId="9408" xr:uid="{B0869CCF-B5A6-4231-8260-DFF45AEAC744}"/>
    <cellStyle name="Normal 8 3 2 3 2 2 5" xfId="2199" xr:uid="{00000000-0005-0000-0000-0000320B0000}"/>
    <cellStyle name="Normal 8 3 2 3 2 2 5 2" xfId="6120" xr:uid="{D87112A5-36FE-4390-8760-29EE325555AB}"/>
    <cellStyle name="Normal 8 3 2 3 2 2 5 2 2" xfId="13980" xr:uid="{CEF1E946-8802-4DCC-AE5A-3E77889DE4CC}"/>
    <cellStyle name="Normal 8 3 2 3 2 2 5 3" xfId="10060" xr:uid="{37D4131B-4A55-4B87-B9B2-00F6ECB82141}"/>
    <cellStyle name="Normal 8 3 2 3 2 2 6" xfId="4166" xr:uid="{EDBCEDC9-C75F-4C6E-902E-06EFD0BC9C3F}"/>
    <cellStyle name="Normal 8 3 2 3 2 2 6 2" xfId="12026" xr:uid="{A0B3735C-7391-4EF9-B6C4-27D0945F5F1E}"/>
    <cellStyle name="Normal 8 3 2 3 2 2 7" xfId="8104" xr:uid="{731C3EA2-1625-4084-8A5E-34E812BC8775}"/>
    <cellStyle name="Normal 8 3 2 3 2 3" xfId="152" xr:uid="{00000000-0005-0000-0000-0000330B0000}"/>
    <cellStyle name="Normal 8 3 2 3 2 3 2" xfId="604" xr:uid="{00000000-0005-0000-0000-0000340B0000}"/>
    <cellStyle name="Normal 8 3 2 3 2 3 2 2" xfId="2558" xr:uid="{00000000-0005-0000-0000-0000350B0000}"/>
    <cellStyle name="Normal 8 3 2 3 2 3 2 2 2" xfId="6479" xr:uid="{E70F7A64-E04D-4F1C-910B-2E29ECFB2CB6}"/>
    <cellStyle name="Normal 8 3 2 3 2 3 2 2 2 2" xfId="14339" xr:uid="{8F9ACFC2-EC44-4CB7-B3D8-263E92A29414}"/>
    <cellStyle name="Normal 8 3 2 3 2 3 2 2 3" xfId="10419" xr:uid="{48598C06-CE73-437E-A93D-A292CD1898B7}"/>
    <cellStyle name="Normal 8 3 2 3 2 3 2 3" xfId="4525" xr:uid="{E140841A-E349-410D-86F7-9FB7385AF73E}"/>
    <cellStyle name="Normal 8 3 2 3 2 3 2 3 2" xfId="12385" xr:uid="{9A7CBA6A-9D50-4781-AA49-EA2577AC1BC1}"/>
    <cellStyle name="Normal 8 3 2 3 2 3 2 4" xfId="8466" xr:uid="{FFAB4F0E-2427-48D5-9791-6F2ED31657C0}"/>
    <cellStyle name="Normal 8 3 2 3 2 3 3" xfId="1041" xr:uid="{00000000-0005-0000-0000-0000360B0000}"/>
    <cellStyle name="Normal 8 3 2 3 2 3 3 2" xfId="2995" xr:uid="{00000000-0005-0000-0000-0000370B0000}"/>
    <cellStyle name="Normal 8 3 2 3 2 3 3 2 2" xfId="6916" xr:uid="{D39D68E0-56A1-4ACC-816F-252CDB1F22FB}"/>
    <cellStyle name="Normal 8 3 2 3 2 3 3 2 2 2" xfId="14776" xr:uid="{251F4DE2-825B-409D-83D3-1B7C916DC0F6}"/>
    <cellStyle name="Normal 8 3 2 3 2 3 3 2 3" xfId="10856" xr:uid="{927259A7-C08F-4880-B71A-95522265B546}"/>
    <cellStyle name="Normal 8 3 2 3 2 3 3 3" xfId="4962" xr:uid="{60F8B668-CA39-4E27-BEE1-CA3312D5BB76}"/>
    <cellStyle name="Normal 8 3 2 3 2 3 3 3 2" xfId="12822" xr:uid="{949CF8CF-DA1B-42F6-91ED-A23F3329B8D9}"/>
    <cellStyle name="Normal 8 3 2 3 2 3 3 4" xfId="8903" xr:uid="{E8FC3263-2B54-4959-A88E-B6147E1BF627}"/>
    <cellStyle name="Normal 8 3 2 3 2 3 4" xfId="1468" xr:uid="{00000000-0005-0000-0000-0000380B0000}"/>
    <cellStyle name="Normal 8 3 2 3 2 3 4 2" xfId="3422" xr:uid="{00000000-0005-0000-0000-0000390B0000}"/>
    <cellStyle name="Normal 8 3 2 3 2 3 4 2 2" xfId="7343" xr:uid="{DA0F6262-40CB-4D1E-8E1B-F276ECCFB911}"/>
    <cellStyle name="Normal 8 3 2 3 2 3 4 2 2 2" xfId="15203" xr:uid="{B00526E3-EA30-48D6-A248-62BCFBCA2733}"/>
    <cellStyle name="Normal 8 3 2 3 2 3 4 2 3" xfId="11283" xr:uid="{F818B2FB-A2D6-449E-B540-ED9A78267316}"/>
    <cellStyle name="Normal 8 3 2 3 2 3 4 3" xfId="5389" xr:uid="{49468455-6646-4206-9D60-85CF617B50DB}"/>
    <cellStyle name="Normal 8 3 2 3 2 3 4 3 2" xfId="13249" xr:uid="{19BCDA84-0A65-4CE9-AECA-DC47FD7D272F}"/>
    <cellStyle name="Normal 8 3 2 3 2 3 4 4" xfId="9330" xr:uid="{E17E620F-01CE-47B6-9E40-2EBD3DE64A20}"/>
    <cellStyle name="Normal 8 3 2 3 2 3 5" xfId="2121" xr:uid="{00000000-0005-0000-0000-00003A0B0000}"/>
    <cellStyle name="Normal 8 3 2 3 2 3 5 2" xfId="6042" xr:uid="{EF30BBFC-F910-434E-8CCC-CE29B0858595}"/>
    <cellStyle name="Normal 8 3 2 3 2 3 5 2 2" xfId="13902" xr:uid="{945C1143-0C1D-4956-9218-C63C2D3FCBCB}"/>
    <cellStyle name="Normal 8 3 2 3 2 3 5 3" xfId="9982" xr:uid="{C3A0A818-26DF-4992-A42F-71064DE3E4BC}"/>
    <cellStyle name="Normal 8 3 2 3 2 3 6" xfId="4088" xr:uid="{DF75716A-06EC-438E-91AB-650869C9290D}"/>
    <cellStyle name="Normal 8 3 2 3 2 3 6 2" xfId="11948" xr:uid="{3C8ACD0B-332D-4942-94C7-C0716B6E4713}"/>
    <cellStyle name="Normal 8 3 2 3 2 3 7" xfId="8026" xr:uid="{8D61D0CB-D69D-4FC0-B26A-8C5F3417FEDB}"/>
    <cellStyle name="Normal 8 3 2 3 2 4" xfId="337" xr:uid="{00000000-0005-0000-0000-00003B0B0000}"/>
    <cellStyle name="Normal 8 3 2 3 2 4 2" xfId="789" xr:uid="{00000000-0005-0000-0000-00003C0B0000}"/>
    <cellStyle name="Normal 8 3 2 3 2 4 2 2" xfId="2743" xr:uid="{00000000-0005-0000-0000-00003D0B0000}"/>
    <cellStyle name="Normal 8 3 2 3 2 4 2 2 2" xfId="6664" xr:uid="{63768812-45B2-4EFF-84F6-E3C8E27BD6FC}"/>
    <cellStyle name="Normal 8 3 2 3 2 4 2 2 2 2" xfId="14524" xr:uid="{AA95BFBE-48B8-4685-AD33-C56988226024}"/>
    <cellStyle name="Normal 8 3 2 3 2 4 2 2 3" xfId="10604" xr:uid="{64F2DB11-46E4-43F8-9EF3-1DD7AB2C778A}"/>
    <cellStyle name="Normal 8 3 2 3 2 4 2 3" xfId="4710" xr:uid="{CF21E364-15CE-4F32-8A71-BC9381CD6785}"/>
    <cellStyle name="Normal 8 3 2 3 2 4 2 3 2" xfId="12570" xr:uid="{E1EDC87C-E41C-4E48-B62F-67580892F7E4}"/>
    <cellStyle name="Normal 8 3 2 3 2 4 2 4" xfId="8651" xr:uid="{3403FC71-5AF2-4E65-902C-EDF0AF4D6651}"/>
    <cellStyle name="Normal 8 3 2 3 2 4 3" xfId="1223" xr:uid="{00000000-0005-0000-0000-00003E0B0000}"/>
    <cellStyle name="Normal 8 3 2 3 2 4 3 2" xfId="3177" xr:uid="{00000000-0005-0000-0000-00003F0B0000}"/>
    <cellStyle name="Normal 8 3 2 3 2 4 3 2 2" xfId="7098" xr:uid="{6B277B67-FFEC-4031-911A-CA5F0300702B}"/>
    <cellStyle name="Normal 8 3 2 3 2 4 3 2 2 2" xfId="14958" xr:uid="{223C5138-A4F6-44E6-A20D-10D339C2E0AC}"/>
    <cellStyle name="Normal 8 3 2 3 2 4 3 2 3" xfId="11038" xr:uid="{9D0E84C4-59E1-4F18-B66B-FE63261641CC}"/>
    <cellStyle name="Normal 8 3 2 3 2 4 3 3" xfId="5144" xr:uid="{35AAA7A1-FA71-4450-9E27-E21974AADA35}"/>
    <cellStyle name="Normal 8 3 2 3 2 4 3 3 2" xfId="13004" xr:uid="{3EEEE4A5-7845-43F0-AB64-FB74DCA17D4F}"/>
    <cellStyle name="Normal 8 3 2 3 2 4 3 4" xfId="9085" xr:uid="{829DCBB8-E039-4471-A55B-35634240A22D}"/>
    <cellStyle name="Normal 8 3 2 3 2 4 4" xfId="1643" xr:uid="{00000000-0005-0000-0000-0000400B0000}"/>
    <cellStyle name="Normal 8 3 2 3 2 4 4 2" xfId="3597" xr:uid="{00000000-0005-0000-0000-0000410B0000}"/>
    <cellStyle name="Normal 8 3 2 3 2 4 4 2 2" xfId="7518" xr:uid="{B004549F-2B94-4AEC-BA67-9C3360119ECD}"/>
    <cellStyle name="Normal 8 3 2 3 2 4 4 2 2 2" xfId="15378" xr:uid="{29FCCC6A-F7E3-42E5-893C-4E7B9EECD76D}"/>
    <cellStyle name="Normal 8 3 2 3 2 4 4 2 3" xfId="11458" xr:uid="{EF383F5E-8F8B-4DD8-82F9-C8E963E32BDE}"/>
    <cellStyle name="Normal 8 3 2 3 2 4 4 3" xfId="5564" xr:uid="{9E7B57D8-8E31-4B80-B6EA-69243EF14CD5}"/>
    <cellStyle name="Normal 8 3 2 3 2 4 4 3 2" xfId="13424" xr:uid="{262B61FE-7852-4897-A0D9-B56B383D9A94}"/>
    <cellStyle name="Normal 8 3 2 3 2 4 4 4" xfId="9505" xr:uid="{630BE8E6-06FA-4B15-B81F-8F43211BC12B}"/>
    <cellStyle name="Normal 8 3 2 3 2 4 5" xfId="2297" xr:uid="{00000000-0005-0000-0000-0000420B0000}"/>
    <cellStyle name="Normal 8 3 2 3 2 4 5 2" xfId="6218" xr:uid="{D3F3D8FB-101B-4247-AF97-6C407BA8AD7F}"/>
    <cellStyle name="Normal 8 3 2 3 2 4 5 2 2" xfId="14078" xr:uid="{850B70AF-4728-41B5-9447-A5B48765290C}"/>
    <cellStyle name="Normal 8 3 2 3 2 4 5 3" xfId="10158" xr:uid="{FB4A93C4-6993-4DC9-8059-D6C5A9B875F3}"/>
    <cellStyle name="Normal 8 3 2 3 2 4 6" xfId="4264" xr:uid="{8EF01890-A46A-4E3E-BD1F-FDB484D72102}"/>
    <cellStyle name="Normal 8 3 2 3 2 4 6 2" xfId="12124" xr:uid="{B6363AE5-3FA2-4F79-8DC2-85F512919AE8}"/>
    <cellStyle name="Normal 8 3 2 3 2 4 7" xfId="8203" xr:uid="{6E607D0B-727C-4FF8-8FF2-39E0103B535C}"/>
    <cellStyle name="Normal 8 3 2 3 2 5" xfId="434" xr:uid="{00000000-0005-0000-0000-0000430B0000}"/>
    <cellStyle name="Normal 8 3 2 3 2 5 2" xfId="885" xr:uid="{00000000-0005-0000-0000-0000440B0000}"/>
    <cellStyle name="Normal 8 3 2 3 2 5 2 2" xfId="2839" xr:uid="{00000000-0005-0000-0000-0000450B0000}"/>
    <cellStyle name="Normal 8 3 2 3 2 5 2 2 2" xfId="6760" xr:uid="{D984DAFA-3E0B-4AB6-BF6F-FEF0B99DF10E}"/>
    <cellStyle name="Normal 8 3 2 3 2 5 2 2 2 2" xfId="14620" xr:uid="{204362EB-0F03-4969-A99A-A90AD665E590}"/>
    <cellStyle name="Normal 8 3 2 3 2 5 2 2 3" xfId="10700" xr:uid="{8C66C6CE-2F74-474B-8A55-015CD9739B66}"/>
    <cellStyle name="Normal 8 3 2 3 2 5 2 3" xfId="4806" xr:uid="{FE67619C-2C26-4DB5-9DAC-AC8A02026F3B}"/>
    <cellStyle name="Normal 8 3 2 3 2 5 2 3 2" xfId="12666" xr:uid="{59FEE099-892A-4FA2-BCFC-C8C1E891111E}"/>
    <cellStyle name="Normal 8 3 2 3 2 5 2 4" xfId="8747" xr:uid="{47369364-C6F5-40F6-90DD-C0DE2DECEBEF}"/>
    <cellStyle name="Normal 8 3 2 3 2 5 3" xfId="1317" xr:uid="{00000000-0005-0000-0000-0000460B0000}"/>
    <cellStyle name="Normal 8 3 2 3 2 5 3 2" xfId="3271" xr:uid="{00000000-0005-0000-0000-0000470B0000}"/>
    <cellStyle name="Normal 8 3 2 3 2 5 3 2 2" xfId="7192" xr:uid="{31827834-20DA-49E5-86EB-72DA6346DCDF}"/>
    <cellStyle name="Normal 8 3 2 3 2 5 3 2 2 2" xfId="15052" xr:uid="{515BB49F-CB07-4BA1-BEE3-5C088CF4DC4A}"/>
    <cellStyle name="Normal 8 3 2 3 2 5 3 2 3" xfId="11132" xr:uid="{2AE369ED-166D-45CE-8E00-0A12F704E8B9}"/>
    <cellStyle name="Normal 8 3 2 3 2 5 3 3" xfId="5238" xr:uid="{E69F5857-1406-4CF8-9AD8-A3AE1305DA75}"/>
    <cellStyle name="Normal 8 3 2 3 2 5 3 3 2" xfId="13098" xr:uid="{599B8D52-8CBC-4BF0-9B45-210569C0CFFA}"/>
    <cellStyle name="Normal 8 3 2 3 2 5 3 4" xfId="9179" xr:uid="{B154C885-D982-4FB6-8BFD-36A0D336D5D1}"/>
    <cellStyle name="Normal 8 3 2 3 2 5 4" xfId="1735" xr:uid="{00000000-0005-0000-0000-0000480B0000}"/>
    <cellStyle name="Normal 8 3 2 3 2 5 4 2" xfId="3689" xr:uid="{00000000-0005-0000-0000-0000490B0000}"/>
    <cellStyle name="Normal 8 3 2 3 2 5 4 2 2" xfId="7610" xr:uid="{78A9EF30-8494-4F0B-B626-1A53A338F0B1}"/>
    <cellStyle name="Normal 8 3 2 3 2 5 4 2 2 2" xfId="15470" xr:uid="{27367417-FD39-4B5D-851E-0431FCD58C23}"/>
    <cellStyle name="Normal 8 3 2 3 2 5 4 2 3" xfId="11550" xr:uid="{313F9AD1-C6F4-43B4-9D4B-D50B095F61C0}"/>
    <cellStyle name="Normal 8 3 2 3 2 5 4 3" xfId="5656" xr:uid="{1A040A71-54BE-4EC2-9ED9-AF2D09988745}"/>
    <cellStyle name="Normal 8 3 2 3 2 5 4 3 2" xfId="13516" xr:uid="{51B56F73-7D46-4897-B579-6E64DAA9F81D}"/>
    <cellStyle name="Normal 8 3 2 3 2 5 4 4" xfId="9597" xr:uid="{3A2C7A4B-ADC6-41D4-85F1-7FE688AB3CCC}"/>
    <cellStyle name="Normal 8 3 2 3 2 5 5" xfId="2389" xr:uid="{00000000-0005-0000-0000-00004A0B0000}"/>
    <cellStyle name="Normal 8 3 2 3 2 5 5 2" xfId="6310" xr:uid="{B14F85A7-6D1F-4EE5-BC46-FD39A56261FB}"/>
    <cellStyle name="Normal 8 3 2 3 2 5 5 2 2" xfId="14170" xr:uid="{7B6940BF-71ED-43F4-8FC5-29C21EF50E2B}"/>
    <cellStyle name="Normal 8 3 2 3 2 5 5 3" xfId="10250" xr:uid="{2EF314BF-0900-49FF-BBA9-9BE2514CA5FD}"/>
    <cellStyle name="Normal 8 3 2 3 2 5 6" xfId="4356" xr:uid="{28FA8DC9-48F5-40F6-8594-4ADCA7749A8D}"/>
    <cellStyle name="Normal 8 3 2 3 2 5 6 2" xfId="12216" xr:uid="{2344F09A-1353-4C99-8A30-2089F4E2DAE3}"/>
    <cellStyle name="Normal 8 3 2 3 2 5 7" xfId="8297" xr:uid="{E664A374-0CBA-4651-86C2-79D0B2D322B4}"/>
    <cellStyle name="Normal 8 3 2 3 2 6" xfId="526" xr:uid="{00000000-0005-0000-0000-00004B0B0000}"/>
    <cellStyle name="Normal 8 3 2 3 2 6 2" xfId="2480" xr:uid="{00000000-0005-0000-0000-00004C0B0000}"/>
    <cellStyle name="Normal 8 3 2 3 2 6 2 2" xfId="6401" xr:uid="{42B01E36-11C1-469E-ADB1-D591A8C3F860}"/>
    <cellStyle name="Normal 8 3 2 3 2 6 2 2 2" xfId="14261" xr:uid="{57349766-42A7-4505-9AD5-BDAF8C307912}"/>
    <cellStyle name="Normal 8 3 2 3 2 6 2 3" xfId="10341" xr:uid="{319B199E-BB23-4153-9476-B9491D3FDEC4}"/>
    <cellStyle name="Normal 8 3 2 3 2 6 3" xfId="4447" xr:uid="{D3584D1B-5EB9-42FD-83AB-E2E670000350}"/>
    <cellStyle name="Normal 8 3 2 3 2 6 3 2" xfId="12307" xr:uid="{C74AEE65-3A18-4064-889F-4217A9A41B5F}"/>
    <cellStyle name="Normal 8 3 2 3 2 6 4" xfId="8388" xr:uid="{41A0382C-82D4-4C46-AA8D-9910C7353919}"/>
    <cellStyle name="Normal 8 3 2 3 2 7" xfId="963" xr:uid="{00000000-0005-0000-0000-00004D0B0000}"/>
    <cellStyle name="Normal 8 3 2 3 2 7 2" xfId="2917" xr:uid="{00000000-0005-0000-0000-00004E0B0000}"/>
    <cellStyle name="Normal 8 3 2 3 2 7 2 2" xfId="6838" xr:uid="{BD0E458F-3424-4EBB-B7E1-EE755B304D38}"/>
    <cellStyle name="Normal 8 3 2 3 2 7 2 2 2" xfId="14698" xr:uid="{7CA739EC-D2EC-4ADE-A6B0-D22B6FA479DB}"/>
    <cellStyle name="Normal 8 3 2 3 2 7 2 3" xfId="10778" xr:uid="{600065D4-CD2C-480C-8EDF-6EB2E4D8B9E8}"/>
    <cellStyle name="Normal 8 3 2 3 2 7 3" xfId="4884" xr:uid="{924774F4-8A79-422D-AB5C-7673388BBF52}"/>
    <cellStyle name="Normal 8 3 2 3 2 7 3 2" xfId="12744" xr:uid="{DE5957B3-EBE8-402E-8CB5-0B9470FD31D9}"/>
    <cellStyle name="Normal 8 3 2 3 2 7 4" xfId="8825" xr:uid="{4E3F0E7A-9B97-4963-BBC3-12F44584B5CF}"/>
    <cellStyle name="Normal 8 3 2 3 2 8" xfId="1390" xr:uid="{00000000-0005-0000-0000-00004F0B0000}"/>
    <cellStyle name="Normal 8 3 2 3 2 8 2" xfId="3344" xr:uid="{00000000-0005-0000-0000-0000500B0000}"/>
    <cellStyle name="Normal 8 3 2 3 2 8 2 2" xfId="7265" xr:uid="{6CE01500-1C5A-4E75-B9F3-08B77F7CAC68}"/>
    <cellStyle name="Normal 8 3 2 3 2 8 2 2 2" xfId="15125" xr:uid="{C1223739-04A2-4CEC-882A-0F70005B1174}"/>
    <cellStyle name="Normal 8 3 2 3 2 8 2 3" xfId="11205" xr:uid="{B7F9BEDC-AB93-49E9-9F12-0E2B4DB08BF9}"/>
    <cellStyle name="Normal 8 3 2 3 2 8 3" xfId="5311" xr:uid="{9275CBD4-8918-4AF5-B76B-20C8BB7C8A5B}"/>
    <cellStyle name="Normal 8 3 2 3 2 8 3 2" xfId="13171" xr:uid="{0EF55EC2-EFEC-4E5B-A07D-CE06838E3ECB}"/>
    <cellStyle name="Normal 8 3 2 3 2 8 4" xfId="9252" xr:uid="{885A18FE-C6C6-426F-A8BD-11FB5342304B}"/>
    <cellStyle name="Normal 8 3 2 3 2 9" xfId="2043" xr:uid="{00000000-0005-0000-0000-0000510B0000}"/>
    <cellStyle name="Normal 8 3 2 3 2 9 2" xfId="5964" xr:uid="{6AD3A170-19FE-422D-89C6-7662F4830DF6}"/>
    <cellStyle name="Normal 8 3 2 3 2 9 2 2" xfId="13824" xr:uid="{B9D17F96-689F-4A76-B13C-E39CC8D467BC}"/>
    <cellStyle name="Normal 8 3 2 3 2 9 3" xfId="9904" xr:uid="{4A7803C3-F35D-4A2F-B2BB-589CE30EB298}"/>
    <cellStyle name="Normal 8 3 2 3 3" xfId="191" xr:uid="{00000000-0005-0000-0000-0000520B0000}"/>
    <cellStyle name="Normal 8 3 2 3 3 2" xfId="643" xr:uid="{00000000-0005-0000-0000-0000530B0000}"/>
    <cellStyle name="Normal 8 3 2 3 3 2 2" xfId="2597" xr:uid="{00000000-0005-0000-0000-0000540B0000}"/>
    <cellStyle name="Normal 8 3 2 3 3 2 2 2" xfId="6518" xr:uid="{F165660B-0982-416C-B148-5E303159B524}"/>
    <cellStyle name="Normal 8 3 2 3 3 2 2 2 2" xfId="14378" xr:uid="{11EFC32E-D859-4A84-8D98-6DA42703F0C4}"/>
    <cellStyle name="Normal 8 3 2 3 3 2 2 3" xfId="10458" xr:uid="{41F0BF12-797B-46DB-A10E-FFC90FFD163C}"/>
    <cellStyle name="Normal 8 3 2 3 3 2 3" xfId="4564" xr:uid="{F822F990-8BC9-45B1-88F1-3C01F58838D4}"/>
    <cellStyle name="Normal 8 3 2 3 3 2 3 2" xfId="12424" xr:uid="{EF75B35D-8D27-46A8-A503-91ADE8B50E85}"/>
    <cellStyle name="Normal 8 3 2 3 3 2 4" xfId="8505" xr:uid="{B0D4D1FD-3D5F-4A15-B245-E82F9277FB9B}"/>
    <cellStyle name="Normal 8 3 2 3 3 3" xfId="1080" xr:uid="{00000000-0005-0000-0000-0000550B0000}"/>
    <cellStyle name="Normal 8 3 2 3 3 3 2" xfId="3034" xr:uid="{00000000-0005-0000-0000-0000560B0000}"/>
    <cellStyle name="Normal 8 3 2 3 3 3 2 2" xfId="6955" xr:uid="{B16A7C6D-71B6-4857-B9E4-07DD18AD8D42}"/>
    <cellStyle name="Normal 8 3 2 3 3 3 2 2 2" xfId="14815" xr:uid="{A937D8E4-56D6-4660-9549-99F82971D70D}"/>
    <cellStyle name="Normal 8 3 2 3 3 3 2 3" xfId="10895" xr:uid="{E829EB8B-B331-4552-922B-287A44854AB2}"/>
    <cellStyle name="Normal 8 3 2 3 3 3 3" xfId="5001" xr:uid="{44597F2A-D357-4310-A646-5EEB18B0CECE}"/>
    <cellStyle name="Normal 8 3 2 3 3 3 3 2" xfId="12861" xr:uid="{F514E4C5-949D-492C-8CA6-AA123A1C2306}"/>
    <cellStyle name="Normal 8 3 2 3 3 3 4" xfId="8942" xr:uid="{B4990948-0671-4591-A2C6-73E27E2ED47A}"/>
    <cellStyle name="Normal 8 3 2 3 3 4" xfId="1507" xr:uid="{00000000-0005-0000-0000-0000570B0000}"/>
    <cellStyle name="Normal 8 3 2 3 3 4 2" xfId="3461" xr:uid="{00000000-0005-0000-0000-0000580B0000}"/>
    <cellStyle name="Normal 8 3 2 3 3 4 2 2" xfId="7382" xr:uid="{4D1AF425-31A6-4B63-A1D9-B2AD8CED5DD3}"/>
    <cellStyle name="Normal 8 3 2 3 3 4 2 2 2" xfId="15242" xr:uid="{4CF6E050-391B-4D62-802C-5E325EEF9F9D}"/>
    <cellStyle name="Normal 8 3 2 3 3 4 2 3" xfId="11322" xr:uid="{8ACA7400-4D59-4B9A-9E8A-170298BB9124}"/>
    <cellStyle name="Normal 8 3 2 3 3 4 3" xfId="5428" xr:uid="{E4B12216-3041-4EC3-8D74-BF2AFE99E3ED}"/>
    <cellStyle name="Normal 8 3 2 3 3 4 3 2" xfId="13288" xr:uid="{7CC709C0-454B-480C-9356-15AA504EE616}"/>
    <cellStyle name="Normal 8 3 2 3 3 4 4" xfId="9369" xr:uid="{1ACB6C13-ABA4-4E51-B6E0-D7BB5104A95C}"/>
    <cellStyle name="Normal 8 3 2 3 3 5" xfId="2160" xr:uid="{00000000-0005-0000-0000-0000590B0000}"/>
    <cellStyle name="Normal 8 3 2 3 3 5 2" xfId="6081" xr:uid="{8113B7B9-7CCF-4879-9C2E-7ABFF93E51E5}"/>
    <cellStyle name="Normal 8 3 2 3 3 5 2 2" xfId="13941" xr:uid="{E432BACE-70C7-4E90-85F2-5669B84989A3}"/>
    <cellStyle name="Normal 8 3 2 3 3 5 3" xfId="10021" xr:uid="{41DD6A26-591B-495A-AB2F-5C7534ACBF7E}"/>
    <cellStyle name="Normal 8 3 2 3 3 6" xfId="4127" xr:uid="{0315B57C-197E-4D75-A934-B1239335CBF8}"/>
    <cellStyle name="Normal 8 3 2 3 3 6 2" xfId="11987" xr:uid="{691DD860-ABB6-42D7-A412-056C34AD2DBE}"/>
    <cellStyle name="Normal 8 3 2 3 3 7" xfId="8065" xr:uid="{5E1F3E78-74A7-4F09-902B-63D3E7DB8B40}"/>
    <cellStyle name="Normal 8 3 2 3 4" xfId="113" xr:uid="{00000000-0005-0000-0000-00005A0B0000}"/>
    <cellStyle name="Normal 8 3 2 3 4 2" xfId="565" xr:uid="{00000000-0005-0000-0000-00005B0B0000}"/>
    <cellStyle name="Normal 8 3 2 3 4 2 2" xfId="2519" xr:uid="{00000000-0005-0000-0000-00005C0B0000}"/>
    <cellStyle name="Normal 8 3 2 3 4 2 2 2" xfId="6440" xr:uid="{93A76E3F-CE94-4657-9C7A-2D9AA72A4861}"/>
    <cellStyle name="Normal 8 3 2 3 4 2 2 2 2" xfId="14300" xr:uid="{9F05480A-5B65-4572-A644-197203E3C973}"/>
    <cellStyle name="Normal 8 3 2 3 4 2 2 3" xfId="10380" xr:uid="{1D437FF2-E079-48C1-8D30-515AFF439EAF}"/>
    <cellStyle name="Normal 8 3 2 3 4 2 3" xfId="4486" xr:uid="{976C24FF-CF01-483B-82EC-0944848A6556}"/>
    <cellStyle name="Normal 8 3 2 3 4 2 3 2" xfId="12346" xr:uid="{4873D871-74F6-4EA8-A843-8D682A56F26F}"/>
    <cellStyle name="Normal 8 3 2 3 4 2 4" xfId="8427" xr:uid="{66A3BEA0-4760-41F7-8524-3D4F707FBFCD}"/>
    <cellStyle name="Normal 8 3 2 3 4 3" xfId="1002" xr:uid="{00000000-0005-0000-0000-00005D0B0000}"/>
    <cellStyle name="Normal 8 3 2 3 4 3 2" xfId="2956" xr:uid="{00000000-0005-0000-0000-00005E0B0000}"/>
    <cellStyle name="Normal 8 3 2 3 4 3 2 2" xfId="6877" xr:uid="{1E420F3F-23B0-4C2F-9210-E067E8FD2838}"/>
    <cellStyle name="Normal 8 3 2 3 4 3 2 2 2" xfId="14737" xr:uid="{4C615F94-7AB1-47CB-8F17-A2BD857A802F}"/>
    <cellStyle name="Normal 8 3 2 3 4 3 2 3" xfId="10817" xr:uid="{217C7DE7-6B5F-4524-975E-2133734FF0B8}"/>
    <cellStyle name="Normal 8 3 2 3 4 3 3" xfId="4923" xr:uid="{810CBC8C-A662-4820-8FCB-560AAC7F9D0E}"/>
    <cellStyle name="Normal 8 3 2 3 4 3 3 2" xfId="12783" xr:uid="{DA4757B5-1E0F-48EF-9E93-4158214350BF}"/>
    <cellStyle name="Normal 8 3 2 3 4 3 4" xfId="8864" xr:uid="{0C7B78AA-A063-42B7-882D-B04506D08C2C}"/>
    <cellStyle name="Normal 8 3 2 3 4 4" xfId="1429" xr:uid="{00000000-0005-0000-0000-00005F0B0000}"/>
    <cellStyle name="Normal 8 3 2 3 4 4 2" xfId="3383" xr:uid="{00000000-0005-0000-0000-0000600B0000}"/>
    <cellStyle name="Normal 8 3 2 3 4 4 2 2" xfId="7304" xr:uid="{6BE2F474-9327-45B8-A518-8AD3110FBFA6}"/>
    <cellStyle name="Normal 8 3 2 3 4 4 2 2 2" xfId="15164" xr:uid="{299CB07F-91C3-4E0B-9DCA-2D57F4A80724}"/>
    <cellStyle name="Normal 8 3 2 3 4 4 2 3" xfId="11244" xr:uid="{2BFCB01B-A791-4F8D-9179-5CEF333EDBEE}"/>
    <cellStyle name="Normal 8 3 2 3 4 4 3" xfId="5350" xr:uid="{6D4493DD-DBFE-40BC-AD62-8E8109A8F519}"/>
    <cellStyle name="Normal 8 3 2 3 4 4 3 2" xfId="13210" xr:uid="{2F200A68-CD41-49DE-8036-834F1FF6FCBA}"/>
    <cellStyle name="Normal 8 3 2 3 4 4 4" xfId="9291" xr:uid="{8B4C160E-7579-4C77-9760-7B8A22EA65A6}"/>
    <cellStyle name="Normal 8 3 2 3 4 5" xfId="2082" xr:uid="{00000000-0005-0000-0000-0000610B0000}"/>
    <cellStyle name="Normal 8 3 2 3 4 5 2" xfId="6003" xr:uid="{5256293E-5372-4E0F-A34D-13383E273A85}"/>
    <cellStyle name="Normal 8 3 2 3 4 5 2 2" xfId="13863" xr:uid="{6DDE1FEF-2B4E-498C-A227-4D22F1FB7FE8}"/>
    <cellStyle name="Normal 8 3 2 3 4 5 3" xfId="9943" xr:uid="{7921832F-AE62-4169-8046-E5373C0EF7D8}"/>
    <cellStyle name="Normal 8 3 2 3 4 6" xfId="4049" xr:uid="{E197EB74-5BA3-4E02-8A0D-8E37849FEF29}"/>
    <cellStyle name="Normal 8 3 2 3 4 6 2" xfId="11909" xr:uid="{3B8D842D-5689-4961-81F4-F2BA285D78DF}"/>
    <cellStyle name="Normal 8 3 2 3 4 7" xfId="7987" xr:uid="{A56D164F-494A-4B2B-AE5A-04BD360D97C6}"/>
    <cellStyle name="Normal 8 3 2 3 5" xfId="290" xr:uid="{00000000-0005-0000-0000-0000620B0000}"/>
    <cellStyle name="Normal 8 3 2 3 5 2" xfId="742" xr:uid="{00000000-0005-0000-0000-0000630B0000}"/>
    <cellStyle name="Normal 8 3 2 3 5 2 2" xfId="2696" xr:uid="{00000000-0005-0000-0000-0000640B0000}"/>
    <cellStyle name="Normal 8 3 2 3 5 2 2 2" xfId="6617" xr:uid="{7C1F16C8-1244-47DD-AA7B-AA9EDDFAEF28}"/>
    <cellStyle name="Normal 8 3 2 3 5 2 2 2 2" xfId="14477" xr:uid="{2228FC93-8A54-4DA6-ADA6-411FE1D1AB36}"/>
    <cellStyle name="Normal 8 3 2 3 5 2 2 3" xfId="10557" xr:uid="{FF39A440-2754-479D-84D2-00F9163ED344}"/>
    <cellStyle name="Normal 8 3 2 3 5 2 3" xfId="4663" xr:uid="{AE29AB01-70B4-4264-9024-B5D754E3B649}"/>
    <cellStyle name="Normal 8 3 2 3 5 2 3 2" xfId="12523" xr:uid="{135B0449-0358-491F-9A8E-877017E15846}"/>
    <cellStyle name="Normal 8 3 2 3 5 2 4" xfId="8604" xr:uid="{9E612CB2-80D6-4BA2-99B9-F3AABAC7F650}"/>
    <cellStyle name="Normal 8 3 2 3 5 3" xfId="1178" xr:uid="{00000000-0005-0000-0000-0000650B0000}"/>
    <cellStyle name="Normal 8 3 2 3 5 3 2" xfId="3132" xr:uid="{00000000-0005-0000-0000-0000660B0000}"/>
    <cellStyle name="Normal 8 3 2 3 5 3 2 2" xfId="7053" xr:uid="{51B6EB3F-3EA0-4943-826D-8E7ECC92FF2D}"/>
    <cellStyle name="Normal 8 3 2 3 5 3 2 2 2" xfId="14913" xr:uid="{8B6D0654-3613-481B-9181-9BCCACEE25EC}"/>
    <cellStyle name="Normal 8 3 2 3 5 3 2 3" xfId="10993" xr:uid="{2605C039-04EF-4119-9156-28C2E0CF0A6A}"/>
    <cellStyle name="Normal 8 3 2 3 5 3 3" xfId="5099" xr:uid="{15307FB5-DB0F-48AF-AFC9-1AEFA83BFA45}"/>
    <cellStyle name="Normal 8 3 2 3 5 3 3 2" xfId="12959" xr:uid="{2FF5DB88-0FB8-47F9-A15E-AACD06272042}"/>
    <cellStyle name="Normal 8 3 2 3 5 3 4" xfId="9040" xr:uid="{EF86A2A1-851E-4EF8-9051-DB55A56F7853}"/>
    <cellStyle name="Normal 8 3 2 3 5 4" xfId="1598" xr:uid="{00000000-0005-0000-0000-0000670B0000}"/>
    <cellStyle name="Normal 8 3 2 3 5 4 2" xfId="3552" xr:uid="{00000000-0005-0000-0000-0000680B0000}"/>
    <cellStyle name="Normal 8 3 2 3 5 4 2 2" xfId="7473" xr:uid="{35696595-A973-4D75-B05A-CB9013141091}"/>
    <cellStyle name="Normal 8 3 2 3 5 4 2 2 2" xfId="15333" xr:uid="{FC5A6C18-DC45-4E6A-BDA2-CE875796BDC8}"/>
    <cellStyle name="Normal 8 3 2 3 5 4 2 3" xfId="11413" xr:uid="{E7807564-798E-4BE1-95AA-06254E5B2C89}"/>
    <cellStyle name="Normal 8 3 2 3 5 4 3" xfId="5519" xr:uid="{04A88C00-7569-453D-80F8-760FB981E6D3}"/>
    <cellStyle name="Normal 8 3 2 3 5 4 3 2" xfId="13379" xr:uid="{5D6A0785-780C-410F-8C2C-F4A618D7891F}"/>
    <cellStyle name="Normal 8 3 2 3 5 4 4" xfId="9460" xr:uid="{45C17E4A-2053-413D-A3D4-CF5CEAAF8F3F}"/>
    <cellStyle name="Normal 8 3 2 3 5 5" xfId="2252" xr:uid="{00000000-0005-0000-0000-0000690B0000}"/>
    <cellStyle name="Normal 8 3 2 3 5 5 2" xfId="6173" xr:uid="{C596ADAB-2660-42AB-8E7C-C428CE85B966}"/>
    <cellStyle name="Normal 8 3 2 3 5 5 2 2" xfId="14033" xr:uid="{8F71B12D-2102-496B-BC0E-C3DA163D9936}"/>
    <cellStyle name="Normal 8 3 2 3 5 5 3" xfId="10113" xr:uid="{9D7BE258-A938-44C7-A9B8-AE5E708E200A}"/>
    <cellStyle name="Normal 8 3 2 3 5 6" xfId="4219" xr:uid="{A15BC7D8-094A-45B8-8EDB-45FE3387B3B8}"/>
    <cellStyle name="Normal 8 3 2 3 5 6 2" xfId="12079" xr:uid="{B45A4EF5-7080-4E9C-8C57-C2A40A608489}"/>
    <cellStyle name="Normal 8 3 2 3 5 7" xfId="8158" xr:uid="{1CFEB273-DCC0-4654-B17F-FA57533A51F9}"/>
    <cellStyle name="Normal 8 3 2 3 6" xfId="389" xr:uid="{00000000-0005-0000-0000-00006A0B0000}"/>
    <cellStyle name="Normal 8 3 2 3 6 2" xfId="840" xr:uid="{00000000-0005-0000-0000-00006B0B0000}"/>
    <cellStyle name="Normal 8 3 2 3 6 2 2" xfId="2794" xr:uid="{00000000-0005-0000-0000-00006C0B0000}"/>
    <cellStyle name="Normal 8 3 2 3 6 2 2 2" xfId="6715" xr:uid="{D361B2C2-78CC-40F6-8C73-D4EBEBBE9E42}"/>
    <cellStyle name="Normal 8 3 2 3 6 2 2 2 2" xfId="14575" xr:uid="{5E1FBB35-C606-4DA3-AF8F-901E6A9A3D75}"/>
    <cellStyle name="Normal 8 3 2 3 6 2 2 3" xfId="10655" xr:uid="{6C393CA4-E624-4A35-BF82-16E230B21C1B}"/>
    <cellStyle name="Normal 8 3 2 3 6 2 3" xfId="4761" xr:uid="{F02D2C2F-0AA1-48AF-8A00-AA0245CC7D86}"/>
    <cellStyle name="Normal 8 3 2 3 6 2 3 2" xfId="12621" xr:uid="{076C3CD3-17F4-44EA-A066-11FC966AA6D4}"/>
    <cellStyle name="Normal 8 3 2 3 6 2 4" xfId="8702" xr:uid="{63206459-AB63-40F7-8941-FEE9C3D108B7}"/>
    <cellStyle name="Normal 8 3 2 3 6 3" xfId="1272" xr:uid="{00000000-0005-0000-0000-00006D0B0000}"/>
    <cellStyle name="Normal 8 3 2 3 6 3 2" xfId="3226" xr:uid="{00000000-0005-0000-0000-00006E0B0000}"/>
    <cellStyle name="Normal 8 3 2 3 6 3 2 2" xfId="7147" xr:uid="{B727A771-B821-4DC8-A360-B6E61D52BAE6}"/>
    <cellStyle name="Normal 8 3 2 3 6 3 2 2 2" xfId="15007" xr:uid="{1F71F17D-C770-4DC4-ACE8-A788D63661A8}"/>
    <cellStyle name="Normal 8 3 2 3 6 3 2 3" xfId="11087" xr:uid="{57FC2891-87E4-4DA6-97F0-F611F60A39F8}"/>
    <cellStyle name="Normal 8 3 2 3 6 3 3" xfId="5193" xr:uid="{CA320373-50D1-4CD9-AD2D-F9B67523E2B2}"/>
    <cellStyle name="Normal 8 3 2 3 6 3 3 2" xfId="13053" xr:uid="{38E9806D-0034-4396-B95B-B1C3D3BD2A9D}"/>
    <cellStyle name="Normal 8 3 2 3 6 3 4" xfId="9134" xr:uid="{F32D8BA2-E040-464C-B862-1FA3777A661B}"/>
    <cellStyle name="Normal 8 3 2 3 6 4" xfId="1690" xr:uid="{00000000-0005-0000-0000-00006F0B0000}"/>
    <cellStyle name="Normal 8 3 2 3 6 4 2" xfId="3644" xr:uid="{00000000-0005-0000-0000-0000700B0000}"/>
    <cellStyle name="Normal 8 3 2 3 6 4 2 2" xfId="7565" xr:uid="{4363989D-7AED-4BE4-BC3F-E9FCB4000453}"/>
    <cellStyle name="Normal 8 3 2 3 6 4 2 2 2" xfId="15425" xr:uid="{AC0D6FDE-AE97-4C83-B0CA-129605BA0BF2}"/>
    <cellStyle name="Normal 8 3 2 3 6 4 2 3" xfId="11505" xr:uid="{0E750D28-569B-4979-9865-7C58DD9CA432}"/>
    <cellStyle name="Normal 8 3 2 3 6 4 3" xfId="5611" xr:uid="{D5A5432A-0671-4BFB-B37E-6CE12F1CCA0B}"/>
    <cellStyle name="Normal 8 3 2 3 6 4 3 2" xfId="13471" xr:uid="{4EDD3869-9FD6-45CE-AF27-CC3A26F3A14E}"/>
    <cellStyle name="Normal 8 3 2 3 6 4 4" xfId="9552" xr:uid="{2FA38EFB-C6D5-4165-8C67-C1F2F14F45A4}"/>
    <cellStyle name="Normal 8 3 2 3 6 5" xfId="2344" xr:uid="{00000000-0005-0000-0000-0000710B0000}"/>
    <cellStyle name="Normal 8 3 2 3 6 5 2" xfId="6265" xr:uid="{AAA42F6A-ED00-4552-BE3D-2575065191FC}"/>
    <cellStyle name="Normal 8 3 2 3 6 5 2 2" xfId="14125" xr:uid="{C197DCC8-5A83-409D-9B1D-4B219178FF9E}"/>
    <cellStyle name="Normal 8 3 2 3 6 5 3" xfId="10205" xr:uid="{7F10051E-F426-4C07-B5A5-41EA6C763D0A}"/>
    <cellStyle name="Normal 8 3 2 3 6 6" xfId="4311" xr:uid="{411851F7-12C5-44B5-8471-8565519E8922}"/>
    <cellStyle name="Normal 8 3 2 3 6 6 2" xfId="12171" xr:uid="{69C36DA0-3E81-4D33-A665-315A86ED0234}"/>
    <cellStyle name="Normal 8 3 2 3 6 7" xfId="8252" xr:uid="{CA39467B-8C4C-41B9-8F51-856D5B40CA1E}"/>
    <cellStyle name="Normal 8 3 2 3 7" xfId="486" xr:uid="{00000000-0005-0000-0000-0000720B0000}"/>
    <cellStyle name="Normal 8 3 2 3 7 2" xfId="2440" xr:uid="{00000000-0005-0000-0000-0000730B0000}"/>
    <cellStyle name="Normal 8 3 2 3 7 2 2" xfId="6361" xr:uid="{E4E4F498-3C2B-45FF-A2CD-D122FEE46AE5}"/>
    <cellStyle name="Normal 8 3 2 3 7 2 2 2" xfId="14221" xr:uid="{983096D3-6595-4ED4-ABCE-27C9ADA191DD}"/>
    <cellStyle name="Normal 8 3 2 3 7 2 3" xfId="10301" xr:uid="{C44C654F-4E54-462C-A043-7DCC6D5658B6}"/>
    <cellStyle name="Normal 8 3 2 3 7 3" xfId="4407" xr:uid="{744D65F7-CB97-4A4F-8010-3B9EE6F456D9}"/>
    <cellStyle name="Normal 8 3 2 3 7 3 2" xfId="12267" xr:uid="{111B02AA-B201-4137-9F3A-4335209AABE2}"/>
    <cellStyle name="Normal 8 3 2 3 7 4" xfId="8348" xr:uid="{E5A5FCB6-DA41-454D-9BFA-868F28B1675F}"/>
    <cellStyle name="Normal 8 3 2 3 8" xfId="922" xr:uid="{00000000-0005-0000-0000-0000740B0000}"/>
    <cellStyle name="Normal 8 3 2 3 8 2" xfId="2876" xr:uid="{00000000-0005-0000-0000-0000750B0000}"/>
    <cellStyle name="Normal 8 3 2 3 8 2 2" xfId="6797" xr:uid="{F8ADEB52-7B38-4677-8C5F-4A0526EA66CD}"/>
    <cellStyle name="Normal 8 3 2 3 8 2 2 2" xfId="14657" xr:uid="{B2E2BEE1-7262-4D8C-8D48-634E99F06DE7}"/>
    <cellStyle name="Normal 8 3 2 3 8 2 3" xfId="10737" xr:uid="{6FB53C96-4D41-400A-A26B-F47EBE0B6833}"/>
    <cellStyle name="Normal 8 3 2 3 8 3" xfId="4843" xr:uid="{0D21E3A7-A3F0-424E-AF72-20ED340108F5}"/>
    <cellStyle name="Normal 8 3 2 3 8 3 2" xfId="12703" xr:uid="{5AD2E26C-A1C0-4FBF-99FF-080536674837}"/>
    <cellStyle name="Normal 8 3 2 3 8 4" xfId="8784" xr:uid="{19EFE73B-AE20-46E3-B54B-071F92624431}"/>
    <cellStyle name="Normal 8 3 2 3 9" xfId="1351" xr:uid="{00000000-0005-0000-0000-0000760B0000}"/>
    <cellStyle name="Normal 8 3 2 3 9 2" xfId="3305" xr:uid="{00000000-0005-0000-0000-0000770B0000}"/>
    <cellStyle name="Normal 8 3 2 3 9 2 2" xfId="7226" xr:uid="{6DD80067-E66B-4779-80D2-10D50A44A492}"/>
    <cellStyle name="Normal 8 3 2 3 9 2 2 2" xfId="15086" xr:uid="{1C53DF6D-9031-41FE-BF72-E0E066AA1310}"/>
    <cellStyle name="Normal 8 3 2 3 9 2 3" xfId="11166" xr:uid="{17194FE6-92A9-4E78-A19C-36996E0654F2}"/>
    <cellStyle name="Normal 8 3 2 3 9 3" xfId="5272" xr:uid="{A80E9E21-16C4-4D0A-8EE5-90C912996A32}"/>
    <cellStyle name="Normal 8 3 2 3 9 3 2" xfId="13132" xr:uid="{0F6AD466-EF2C-4592-94D7-0D1FA926DFA5}"/>
    <cellStyle name="Normal 8 3 2 3 9 4" xfId="9213" xr:uid="{DC9783E7-C5FD-4600-BA98-16E94FEC1AE9}"/>
    <cellStyle name="Normal 8 3 2 4" xfId="52" xr:uid="{00000000-0005-0000-0000-0000780B0000}"/>
    <cellStyle name="Normal 8 3 2 4 10" xfId="3988" xr:uid="{29AB5856-4ED5-4514-BBE0-854E4C574098}"/>
    <cellStyle name="Normal 8 3 2 4 10 2" xfId="11848" xr:uid="{9F74CCEA-3400-4C61-A545-1023365C9DC7}"/>
    <cellStyle name="Normal 8 3 2 4 11" xfId="7926" xr:uid="{1BBE4310-CE61-43FB-AAD2-36B960261768}"/>
    <cellStyle name="Normal 8 3 2 4 2" xfId="208" xr:uid="{00000000-0005-0000-0000-0000790B0000}"/>
    <cellStyle name="Normal 8 3 2 4 2 2" xfId="660" xr:uid="{00000000-0005-0000-0000-00007A0B0000}"/>
    <cellStyle name="Normal 8 3 2 4 2 2 2" xfId="2614" xr:uid="{00000000-0005-0000-0000-00007B0B0000}"/>
    <cellStyle name="Normal 8 3 2 4 2 2 2 2" xfId="6535" xr:uid="{335B4CB6-98CD-4F99-9AE3-418126F99D63}"/>
    <cellStyle name="Normal 8 3 2 4 2 2 2 2 2" xfId="14395" xr:uid="{D964A4CE-4A89-4224-89F4-E9D234B8A6E7}"/>
    <cellStyle name="Normal 8 3 2 4 2 2 2 3" xfId="10475" xr:uid="{0C3619CB-3CCB-48CE-88FB-5EC1ABDDC64A}"/>
    <cellStyle name="Normal 8 3 2 4 2 2 3" xfId="4581" xr:uid="{7FABC236-B978-4D9A-A5F1-B8F2AE686062}"/>
    <cellStyle name="Normal 8 3 2 4 2 2 3 2" xfId="12441" xr:uid="{6CD40FBE-FFBE-4BC4-B44A-FBC6A6B8055A}"/>
    <cellStyle name="Normal 8 3 2 4 2 2 4" xfId="8522" xr:uid="{8950D12E-0FBA-49E0-9675-F4A6E97D987D}"/>
    <cellStyle name="Normal 8 3 2 4 2 3" xfId="1097" xr:uid="{00000000-0005-0000-0000-00007C0B0000}"/>
    <cellStyle name="Normal 8 3 2 4 2 3 2" xfId="3051" xr:uid="{00000000-0005-0000-0000-00007D0B0000}"/>
    <cellStyle name="Normal 8 3 2 4 2 3 2 2" xfId="6972" xr:uid="{4A046261-DE49-4A16-AA46-08DB181E3882}"/>
    <cellStyle name="Normal 8 3 2 4 2 3 2 2 2" xfId="14832" xr:uid="{3CD19F80-6DDA-486A-8647-AD6F3E027CA9}"/>
    <cellStyle name="Normal 8 3 2 4 2 3 2 3" xfId="10912" xr:uid="{A1F1B101-F88D-4609-8291-595F84B75434}"/>
    <cellStyle name="Normal 8 3 2 4 2 3 3" xfId="5018" xr:uid="{617EBFE9-EE5A-4C98-ACD3-B9EF40552DDA}"/>
    <cellStyle name="Normal 8 3 2 4 2 3 3 2" xfId="12878" xr:uid="{06B00529-5E56-4AFE-B3BB-692A9D87BAE0}"/>
    <cellStyle name="Normal 8 3 2 4 2 3 4" xfId="8959" xr:uid="{00490F5F-F47B-4C8E-B048-E5D263A978B3}"/>
    <cellStyle name="Normal 8 3 2 4 2 4" xfId="1524" xr:uid="{00000000-0005-0000-0000-00007E0B0000}"/>
    <cellStyle name="Normal 8 3 2 4 2 4 2" xfId="3478" xr:uid="{00000000-0005-0000-0000-00007F0B0000}"/>
    <cellStyle name="Normal 8 3 2 4 2 4 2 2" xfId="7399" xr:uid="{98B87B31-E292-4E4F-AE52-D5931E9FE493}"/>
    <cellStyle name="Normal 8 3 2 4 2 4 2 2 2" xfId="15259" xr:uid="{3305FA7D-A963-45FF-B7CB-09FBF4B1A6DE}"/>
    <cellStyle name="Normal 8 3 2 4 2 4 2 3" xfId="11339" xr:uid="{14FE2205-48E8-44E6-B38F-778757F72332}"/>
    <cellStyle name="Normal 8 3 2 4 2 4 3" xfId="5445" xr:uid="{CCE9AC3B-48B4-4558-820F-61B3A181967A}"/>
    <cellStyle name="Normal 8 3 2 4 2 4 3 2" xfId="13305" xr:uid="{757592D4-D96E-4FF9-A692-99E83E09565E}"/>
    <cellStyle name="Normal 8 3 2 4 2 4 4" xfId="9386" xr:uid="{F1BAB0D3-CA22-4C6C-AA74-388D1E8318FD}"/>
    <cellStyle name="Normal 8 3 2 4 2 5" xfId="2177" xr:uid="{00000000-0005-0000-0000-0000800B0000}"/>
    <cellStyle name="Normal 8 3 2 4 2 5 2" xfId="6098" xr:uid="{131D6275-9187-4F2F-BD30-7D0A03CBAAE7}"/>
    <cellStyle name="Normal 8 3 2 4 2 5 2 2" xfId="13958" xr:uid="{254297CC-FF84-4E8B-B45B-EBCA28CEA426}"/>
    <cellStyle name="Normal 8 3 2 4 2 5 3" xfId="10038" xr:uid="{D0ABD19F-BFE1-4EA4-ABB5-4E85B9F61147}"/>
    <cellStyle name="Normal 8 3 2 4 2 6" xfId="4144" xr:uid="{4BBA661F-6413-4D8A-B64B-8E29274E51AB}"/>
    <cellStyle name="Normal 8 3 2 4 2 6 2" xfId="12004" xr:uid="{75E29550-D98D-427F-B3C2-62AFC8BE6BCD}"/>
    <cellStyle name="Normal 8 3 2 4 2 7" xfId="8082" xr:uid="{EAB25F99-78AB-40A1-8D22-203BA40A3CEA}"/>
    <cellStyle name="Normal 8 3 2 4 3" xfId="130" xr:uid="{00000000-0005-0000-0000-0000810B0000}"/>
    <cellStyle name="Normal 8 3 2 4 3 2" xfId="582" xr:uid="{00000000-0005-0000-0000-0000820B0000}"/>
    <cellStyle name="Normal 8 3 2 4 3 2 2" xfId="2536" xr:uid="{00000000-0005-0000-0000-0000830B0000}"/>
    <cellStyle name="Normal 8 3 2 4 3 2 2 2" xfId="6457" xr:uid="{A4490CD7-B161-4799-A4ED-2EAAE6277AE9}"/>
    <cellStyle name="Normal 8 3 2 4 3 2 2 2 2" xfId="14317" xr:uid="{747F1BAA-DCB0-4ED5-860B-09D29FD25791}"/>
    <cellStyle name="Normal 8 3 2 4 3 2 2 3" xfId="10397" xr:uid="{B4A9AF7E-B9CD-47A6-B492-433CB4CB7E29}"/>
    <cellStyle name="Normal 8 3 2 4 3 2 3" xfId="4503" xr:uid="{1511F676-85DA-4E96-9018-4AC4DAA15804}"/>
    <cellStyle name="Normal 8 3 2 4 3 2 3 2" xfId="12363" xr:uid="{F8446AB9-7F92-4631-9147-1DDBD3176572}"/>
    <cellStyle name="Normal 8 3 2 4 3 2 4" xfId="8444" xr:uid="{2E359016-D3FB-4EB0-8287-ECFBC7DBF05A}"/>
    <cellStyle name="Normal 8 3 2 4 3 3" xfId="1019" xr:uid="{00000000-0005-0000-0000-0000840B0000}"/>
    <cellStyle name="Normal 8 3 2 4 3 3 2" xfId="2973" xr:uid="{00000000-0005-0000-0000-0000850B0000}"/>
    <cellStyle name="Normal 8 3 2 4 3 3 2 2" xfId="6894" xr:uid="{615DBA1E-3353-41CF-97CE-C13DEFFF6DF8}"/>
    <cellStyle name="Normal 8 3 2 4 3 3 2 2 2" xfId="14754" xr:uid="{706B2C02-5058-457D-83D0-FC988F5F6DA4}"/>
    <cellStyle name="Normal 8 3 2 4 3 3 2 3" xfId="10834" xr:uid="{618A89F6-58B8-4C5E-A806-60C9BD885609}"/>
    <cellStyle name="Normal 8 3 2 4 3 3 3" xfId="4940" xr:uid="{81920719-6E6E-48FC-83E1-82CB11A4DEBD}"/>
    <cellStyle name="Normal 8 3 2 4 3 3 3 2" xfId="12800" xr:uid="{FA848856-C8A5-4C74-88D7-CFF35E4C31D3}"/>
    <cellStyle name="Normal 8 3 2 4 3 3 4" xfId="8881" xr:uid="{C2085A4E-0331-41A2-8922-48470415AB0E}"/>
    <cellStyle name="Normal 8 3 2 4 3 4" xfId="1446" xr:uid="{00000000-0005-0000-0000-0000860B0000}"/>
    <cellStyle name="Normal 8 3 2 4 3 4 2" xfId="3400" xr:uid="{00000000-0005-0000-0000-0000870B0000}"/>
    <cellStyle name="Normal 8 3 2 4 3 4 2 2" xfId="7321" xr:uid="{5A3B2317-B286-4722-9ECF-DD46142E5FDA}"/>
    <cellStyle name="Normal 8 3 2 4 3 4 2 2 2" xfId="15181" xr:uid="{E8C6134F-AE1D-41D4-AD5F-312D0C01D64E}"/>
    <cellStyle name="Normal 8 3 2 4 3 4 2 3" xfId="11261" xr:uid="{E98C7C0A-469C-43DE-9CAF-326033C439AC}"/>
    <cellStyle name="Normal 8 3 2 4 3 4 3" xfId="5367" xr:uid="{C5815453-A5F6-4BD0-9DFF-D5C07BF17CE8}"/>
    <cellStyle name="Normal 8 3 2 4 3 4 3 2" xfId="13227" xr:uid="{965958D1-73B6-47C7-AD79-C0CCD3DA19E3}"/>
    <cellStyle name="Normal 8 3 2 4 3 4 4" xfId="9308" xr:uid="{0E08573D-4942-49AC-A789-A0D6D5970460}"/>
    <cellStyle name="Normal 8 3 2 4 3 5" xfId="2099" xr:uid="{00000000-0005-0000-0000-0000880B0000}"/>
    <cellStyle name="Normal 8 3 2 4 3 5 2" xfId="6020" xr:uid="{DE897086-F4AD-4BD9-85AF-D0335FB907BD}"/>
    <cellStyle name="Normal 8 3 2 4 3 5 2 2" xfId="13880" xr:uid="{EFEE3FD9-DE8F-4B36-8920-FBFBB9C874D2}"/>
    <cellStyle name="Normal 8 3 2 4 3 5 3" xfId="9960" xr:uid="{FC330259-16D2-4523-AB3E-0577B9D7D91C}"/>
    <cellStyle name="Normal 8 3 2 4 3 6" xfId="4066" xr:uid="{72A4150E-E331-4D66-8E47-80599989569A}"/>
    <cellStyle name="Normal 8 3 2 4 3 6 2" xfId="11926" xr:uid="{75B2EDB6-C5B5-43FD-9825-1AE01AD2250D}"/>
    <cellStyle name="Normal 8 3 2 4 3 7" xfId="8004" xr:uid="{1B8A9C10-A178-43AD-BC6B-F84E9B218A34}"/>
    <cellStyle name="Normal 8 3 2 4 4" xfId="315" xr:uid="{00000000-0005-0000-0000-0000890B0000}"/>
    <cellStyle name="Normal 8 3 2 4 4 2" xfId="767" xr:uid="{00000000-0005-0000-0000-00008A0B0000}"/>
    <cellStyle name="Normal 8 3 2 4 4 2 2" xfId="2721" xr:uid="{00000000-0005-0000-0000-00008B0B0000}"/>
    <cellStyle name="Normal 8 3 2 4 4 2 2 2" xfId="6642" xr:uid="{07270FD5-F4CE-4DD7-A617-926D55777511}"/>
    <cellStyle name="Normal 8 3 2 4 4 2 2 2 2" xfId="14502" xr:uid="{4818C2CD-C753-4FE1-968D-302EA35019FA}"/>
    <cellStyle name="Normal 8 3 2 4 4 2 2 3" xfId="10582" xr:uid="{8A92EAD1-B461-48C0-8804-D2E9D66D1AA2}"/>
    <cellStyle name="Normal 8 3 2 4 4 2 3" xfId="4688" xr:uid="{7FC674C8-7CD8-44AC-9DC9-EEA9A2FB0BB2}"/>
    <cellStyle name="Normal 8 3 2 4 4 2 3 2" xfId="12548" xr:uid="{7BC317FC-877C-438F-8E4A-A2E11120E305}"/>
    <cellStyle name="Normal 8 3 2 4 4 2 4" xfId="8629" xr:uid="{BBC311F6-8C26-4840-99E1-87709E8CA116}"/>
    <cellStyle name="Normal 8 3 2 4 4 3" xfId="1202" xr:uid="{00000000-0005-0000-0000-00008C0B0000}"/>
    <cellStyle name="Normal 8 3 2 4 4 3 2" xfId="3156" xr:uid="{00000000-0005-0000-0000-00008D0B0000}"/>
    <cellStyle name="Normal 8 3 2 4 4 3 2 2" xfId="7077" xr:uid="{B98C3AAD-5FD6-4700-A55D-3DDF79B07983}"/>
    <cellStyle name="Normal 8 3 2 4 4 3 2 2 2" xfId="14937" xr:uid="{471FFA7E-5494-4D42-AF86-019CAC363689}"/>
    <cellStyle name="Normal 8 3 2 4 4 3 2 3" xfId="11017" xr:uid="{35E7A469-9D07-463C-B406-88B90E1025DC}"/>
    <cellStyle name="Normal 8 3 2 4 4 3 3" xfId="5123" xr:uid="{306D2E71-4377-4743-ADED-81B2A2E8D725}"/>
    <cellStyle name="Normal 8 3 2 4 4 3 3 2" xfId="12983" xr:uid="{1E8C10D5-9AD0-40BD-AF46-F1AB2634C2D3}"/>
    <cellStyle name="Normal 8 3 2 4 4 3 4" xfId="9064" xr:uid="{35C0B367-13E1-49D6-9828-EA7C52D27607}"/>
    <cellStyle name="Normal 8 3 2 4 4 4" xfId="1622" xr:uid="{00000000-0005-0000-0000-00008E0B0000}"/>
    <cellStyle name="Normal 8 3 2 4 4 4 2" xfId="3576" xr:uid="{00000000-0005-0000-0000-00008F0B0000}"/>
    <cellStyle name="Normal 8 3 2 4 4 4 2 2" xfId="7497" xr:uid="{FA622D69-9A9D-4098-8B0A-23B6213250D5}"/>
    <cellStyle name="Normal 8 3 2 4 4 4 2 2 2" xfId="15357" xr:uid="{3FAD84BD-1335-4757-AEB2-F2A93880FE81}"/>
    <cellStyle name="Normal 8 3 2 4 4 4 2 3" xfId="11437" xr:uid="{4340F968-129A-417A-A6D6-ACACED71F5B0}"/>
    <cellStyle name="Normal 8 3 2 4 4 4 3" xfId="5543" xr:uid="{9630D77E-62CB-46A3-8AF1-B37F36B433C4}"/>
    <cellStyle name="Normal 8 3 2 4 4 4 3 2" xfId="13403" xr:uid="{C6B6C403-218D-4C66-A99A-040FE692441D}"/>
    <cellStyle name="Normal 8 3 2 4 4 4 4" xfId="9484" xr:uid="{B2EED304-5448-41D6-BC93-6EC5CEDDEAB2}"/>
    <cellStyle name="Normal 8 3 2 4 4 5" xfId="2276" xr:uid="{00000000-0005-0000-0000-0000900B0000}"/>
    <cellStyle name="Normal 8 3 2 4 4 5 2" xfId="6197" xr:uid="{66F1D331-17BB-4745-8BE1-48948ACDCBC1}"/>
    <cellStyle name="Normal 8 3 2 4 4 5 2 2" xfId="14057" xr:uid="{135F9DB9-EE4D-4BDB-8285-CBAFC857981D}"/>
    <cellStyle name="Normal 8 3 2 4 4 5 3" xfId="10137" xr:uid="{91D898C8-9D09-4F06-913A-CA256F54541A}"/>
    <cellStyle name="Normal 8 3 2 4 4 6" xfId="4243" xr:uid="{A7211D3C-D84C-4C22-9BCC-0175050F870B}"/>
    <cellStyle name="Normal 8 3 2 4 4 6 2" xfId="12103" xr:uid="{0CA62FDA-6997-4F94-AF1F-33DBB8428800}"/>
    <cellStyle name="Normal 8 3 2 4 4 7" xfId="8182" xr:uid="{C86C36A3-9672-4419-8A10-2098F126D9D0}"/>
    <cellStyle name="Normal 8 3 2 4 5" xfId="413" xr:uid="{00000000-0005-0000-0000-0000910B0000}"/>
    <cellStyle name="Normal 8 3 2 4 5 2" xfId="864" xr:uid="{00000000-0005-0000-0000-0000920B0000}"/>
    <cellStyle name="Normal 8 3 2 4 5 2 2" xfId="2818" xr:uid="{00000000-0005-0000-0000-0000930B0000}"/>
    <cellStyle name="Normal 8 3 2 4 5 2 2 2" xfId="6739" xr:uid="{ED1F2871-6B44-4E09-939E-1049782091A0}"/>
    <cellStyle name="Normal 8 3 2 4 5 2 2 2 2" xfId="14599" xr:uid="{52D57F0C-899A-42DB-9BD5-BEB2B4087FBC}"/>
    <cellStyle name="Normal 8 3 2 4 5 2 2 3" xfId="10679" xr:uid="{222C4B38-D1C7-44F3-B0F6-7EEE713CF741}"/>
    <cellStyle name="Normal 8 3 2 4 5 2 3" xfId="4785" xr:uid="{9BBD64F5-BB47-4DB2-BA0B-1854315F538B}"/>
    <cellStyle name="Normal 8 3 2 4 5 2 3 2" xfId="12645" xr:uid="{50AD6050-78EE-4379-AD53-0C0C25F759BC}"/>
    <cellStyle name="Normal 8 3 2 4 5 2 4" xfId="8726" xr:uid="{601F5158-7F6C-472C-88F7-3A5DC064F4E4}"/>
    <cellStyle name="Normal 8 3 2 4 5 3" xfId="1296" xr:uid="{00000000-0005-0000-0000-0000940B0000}"/>
    <cellStyle name="Normal 8 3 2 4 5 3 2" xfId="3250" xr:uid="{00000000-0005-0000-0000-0000950B0000}"/>
    <cellStyle name="Normal 8 3 2 4 5 3 2 2" xfId="7171" xr:uid="{CE84E733-F0F8-4679-B47D-1F8630AC2483}"/>
    <cellStyle name="Normal 8 3 2 4 5 3 2 2 2" xfId="15031" xr:uid="{C9749349-A155-4A0D-94A7-89417C0886C6}"/>
    <cellStyle name="Normal 8 3 2 4 5 3 2 3" xfId="11111" xr:uid="{5C77EEA0-A37D-4922-89CA-383B17095FA1}"/>
    <cellStyle name="Normal 8 3 2 4 5 3 3" xfId="5217" xr:uid="{28329A33-DEB5-4835-99C5-45B719C000CC}"/>
    <cellStyle name="Normal 8 3 2 4 5 3 3 2" xfId="13077" xr:uid="{7B5A39D6-F24E-4739-9869-C3887627F38A}"/>
    <cellStyle name="Normal 8 3 2 4 5 3 4" xfId="9158" xr:uid="{521299D2-E0CE-4C5C-BAEE-21713BF5BF9A}"/>
    <cellStyle name="Normal 8 3 2 4 5 4" xfId="1714" xr:uid="{00000000-0005-0000-0000-0000960B0000}"/>
    <cellStyle name="Normal 8 3 2 4 5 4 2" xfId="3668" xr:uid="{00000000-0005-0000-0000-0000970B0000}"/>
    <cellStyle name="Normal 8 3 2 4 5 4 2 2" xfId="7589" xr:uid="{CAAA6E05-BE54-4857-8FA5-CD8DBAC2A360}"/>
    <cellStyle name="Normal 8 3 2 4 5 4 2 2 2" xfId="15449" xr:uid="{C44C9C32-BD2C-41E2-A1C1-0988786FC9B8}"/>
    <cellStyle name="Normal 8 3 2 4 5 4 2 3" xfId="11529" xr:uid="{ADFCBFA2-DB59-479F-BE28-9C3D456D978B}"/>
    <cellStyle name="Normal 8 3 2 4 5 4 3" xfId="5635" xr:uid="{84F4A491-265B-4CFA-9467-BCA4AB842F60}"/>
    <cellStyle name="Normal 8 3 2 4 5 4 3 2" xfId="13495" xr:uid="{6E97C2F3-4628-4B9F-8F6A-DF23003521F6}"/>
    <cellStyle name="Normal 8 3 2 4 5 4 4" xfId="9576" xr:uid="{B9442253-BC9A-4468-B8CC-68354228375B}"/>
    <cellStyle name="Normal 8 3 2 4 5 5" xfId="2368" xr:uid="{00000000-0005-0000-0000-0000980B0000}"/>
    <cellStyle name="Normal 8 3 2 4 5 5 2" xfId="6289" xr:uid="{6E457B37-2470-41DE-9058-E7146B0F2279}"/>
    <cellStyle name="Normal 8 3 2 4 5 5 2 2" xfId="14149" xr:uid="{899093A0-E759-4594-BD1E-53569FAE7B00}"/>
    <cellStyle name="Normal 8 3 2 4 5 5 3" xfId="10229" xr:uid="{A04EEA1B-826C-494C-8BFE-DA35818C050D}"/>
    <cellStyle name="Normal 8 3 2 4 5 6" xfId="4335" xr:uid="{D066B4B8-42CC-43C4-96E8-37E8BE9F9640}"/>
    <cellStyle name="Normal 8 3 2 4 5 6 2" xfId="12195" xr:uid="{EAF12871-1143-4E4C-B21C-E00CAEA89B6B}"/>
    <cellStyle name="Normal 8 3 2 4 5 7" xfId="8276" xr:uid="{98B4F45D-FEAA-4E54-B3AD-B69DB6253D84}"/>
    <cellStyle name="Normal 8 3 2 4 6" xfId="504" xr:uid="{00000000-0005-0000-0000-0000990B0000}"/>
    <cellStyle name="Normal 8 3 2 4 6 2" xfId="2458" xr:uid="{00000000-0005-0000-0000-00009A0B0000}"/>
    <cellStyle name="Normal 8 3 2 4 6 2 2" xfId="6379" xr:uid="{FE214C58-CE22-4315-A1DE-9BD18C172419}"/>
    <cellStyle name="Normal 8 3 2 4 6 2 2 2" xfId="14239" xr:uid="{E6C929E5-F72F-4D71-86A4-85A4D36E7A2A}"/>
    <cellStyle name="Normal 8 3 2 4 6 2 3" xfId="10319" xr:uid="{7A38B66A-6243-40B8-BF1D-56AFE0C35C6B}"/>
    <cellStyle name="Normal 8 3 2 4 6 3" xfId="4425" xr:uid="{48907534-449B-4AEC-8C1A-A0D16E1B9E5B}"/>
    <cellStyle name="Normal 8 3 2 4 6 3 2" xfId="12285" xr:uid="{B8DFD66B-38B4-4B0F-B891-495B4F043E36}"/>
    <cellStyle name="Normal 8 3 2 4 6 4" xfId="8366" xr:uid="{E88480A2-090A-4A50-80E6-92AD467AA93F}"/>
    <cellStyle name="Normal 8 3 2 4 7" xfId="941" xr:uid="{00000000-0005-0000-0000-00009B0B0000}"/>
    <cellStyle name="Normal 8 3 2 4 7 2" xfId="2895" xr:uid="{00000000-0005-0000-0000-00009C0B0000}"/>
    <cellStyle name="Normal 8 3 2 4 7 2 2" xfId="6816" xr:uid="{50717C37-4932-4F9B-9842-3B3CBD6DB14E}"/>
    <cellStyle name="Normal 8 3 2 4 7 2 2 2" xfId="14676" xr:uid="{7B325B61-7A5C-46BE-A474-008100631886}"/>
    <cellStyle name="Normal 8 3 2 4 7 2 3" xfId="10756" xr:uid="{85DA7765-E180-4C93-B778-1E723868C64E}"/>
    <cellStyle name="Normal 8 3 2 4 7 3" xfId="4862" xr:uid="{F2E54835-88C0-4B6A-B944-6668B3EBD71C}"/>
    <cellStyle name="Normal 8 3 2 4 7 3 2" xfId="12722" xr:uid="{D34BF8D2-7C01-48B4-B4BF-95D44527AAB9}"/>
    <cellStyle name="Normal 8 3 2 4 7 4" xfId="8803" xr:uid="{3A678D6D-03ED-4CFB-8A37-32D2689EC797}"/>
    <cellStyle name="Normal 8 3 2 4 8" xfId="1368" xr:uid="{00000000-0005-0000-0000-00009D0B0000}"/>
    <cellStyle name="Normal 8 3 2 4 8 2" xfId="3322" xr:uid="{00000000-0005-0000-0000-00009E0B0000}"/>
    <cellStyle name="Normal 8 3 2 4 8 2 2" xfId="7243" xr:uid="{5C0C1D2D-24EF-4C27-A016-7F08485903C0}"/>
    <cellStyle name="Normal 8 3 2 4 8 2 2 2" xfId="15103" xr:uid="{7D5A657F-8561-4F67-917B-9CD6C62B0130}"/>
    <cellStyle name="Normal 8 3 2 4 8 2 3" xfId="11183" xr:uid="{26EF2076-983C-45A8-AC03-3752C4E9FF65}"/>
    <cellStyle name="Normal 8 3 2 4 8 3" xfId="5289" xr:uid="{58ED8087-3BE9-4C7C-BAE7-1C17D938F99A}"/>
    <cellStyle name="Normal 8 3 2 4 8 3 2" xfId="13149" xr:uid="{CC514825-AC81-42D4-ABEB-BF1F86217CA5}"/>
    <cellStyle name="Normal 8 3 2 4 8 4" xfId="9230" xr:uid="{374AD1DA-A8D2-419C-9FDE-8D2ADCD6CEAD}"/>
    <cellStyle name="Normal 8 3 2 4 9" xfId="2021" xr:uid="{00000000-0005-0000-0000-00009F0B0000}"/>
    <cellStyle name="Normal 8 3 2 4 9 2" xfId="5942" xr:uid="{AA57F5FE-F32B-43FB-BF94-B75686FCCCAB}"/>
    <cellStyle name="Normal 8 3 2 4 9 2 2" xfId="13802" xr:uid="{89D46576-9B02-4EBD-B5F8-2934043FC7B1}"/>
    <cellStyle name="Normal 8 3 2 4 9 3" xfId="9882" xr:uid="{446BDEF6-A8DA-47F2-975B-F5DD76D71059}"/>
    <cellStyle name="Normal 8 3 2 5" xfId="169" xr:uid="{00000000-0005-0000-0000-0000A00B0000}"/>
    <cellStyle name="Normal 8 3 2 5 2" xfId="621" xr:uid="{00000000-0005-0000-0000-0000A10B0000}"/>
    <cellStyle name="Normal 8 3 2 5 2 2" xfId="2575" xr:uid="{00000000-0005-0000-0000-0000A20B0000}"/>
    <cellStyle name="Normal 8 3 2 5 2 2 2" xfId="6496" xr:uid="{D3FF4A7B-B9E5-43ED-B04F-D2A91305FE66}"/>
    <cellStyle name="Normal 8 3 2 5 2 2 2 2" xfId="14356" xr:uid="{322277E6-88AE-407E-AD6A-7793B49FBBA1}"/>
    <cellStyle name="Normal 8 3 2 5 2 2 3" xfId="10436" xr:uid="{D7BB3FF2-150A-4145-B952-95F0C1ECB13D}"/>
    <cellStyle name="Normal 8 3 2 5 2 3" xfId="4542" xr:uid="{A13E2A5F-9BC0-4BB3-81DB-FCE0E287687E}"/>
    <cellStyle name="Normal 8 3 2 5 2 3 2" xfId="12402" xr:uid="{063C6F8C-BE81-4A24-89A5-AA608DDBEA4D}"/>
    <cellStyle name="Normal 8 3 2 5 2 4" xfId="8483" xr:uid="{CAA3CFEF-667E-4BA7-A021-AA4BA61A2FD4}"/>
    <cellStyle name="Normal 8 3 2 5 3" xfId="1058" xr:uid="{00000000-0005-0000-0000-0000A30B0000}"/>
    <cellStyle name="Normal 8 3 2 5 3 2" xfId="3012" xr:uid="{00000000-0005-0000-0000-0000A40B0000}"/>
    <cellStyle name="Normal 8 3 2 5 3 2 2" xfId="6933" xr:uid="{999D27C3-25F2-4619-8C4C-07722F03C2B9}"/>
    <cellStyle name="Normal 8 3 2 5 3 2 2 2" xfId="14793" xr:uid="{8F49ECC6-6585-4172-B909-230624890AE4}"/>
    <cellStyle name="Normal 8 3 2 5 3 2 3" xfId="10873" xr:uid="{33AFB462-422C-448C-B460-96A90D7BA100}"/>
    <cellStyle name="Normal 8 3 2 5 3 3" xfId="4979" xr:uid="{656C57A9-4FFC-46F2-B1A3-8D1C937892FC}"/>
    <cellStyle name="Normal 8 3 2 5 3 3 2" xfId="12839" xr:uid="{501D0710-D3AA-479F-989A-F847ED71E569}"/>
    <cellStyle name="Normal 8 3 2 5 3 4" xfId="8920" xr:uid="{6447189E-534D-4BEA-A83C-1459250C65BA}"/>
    <cellStyle name="Normal 8 3 2 5 4" xfId="1485" xr:uid="{00000000-0005-0000-0000-0000A50B0000}"/>
    <cellStyle name="Normal 8 3 2 5 4 2" xfId="3439" xr:uid="{00000000-0005-0000-0000-0000A60B0000}"/>
    <cellStyle name="Normal 8 3 2 5 4 2 2" xfId="7360" xr:uid="{DA47E0A1-0F80-41F6-8AB6-DBFB498670E3}"/>
    <cellStyle name="Normal 8 3 2 5 4 2 2 2" xfId="15220" xr:uid="{7FF2B54B-2B40-48F1-8BEE-974EC5546D8A}"/>
    <cellStyle name="Normal 8 3 2 5 4 2 3" xfId="11300" xr:uid="{0F9DE443-1E4C-44D4-9A35-1279AB401753}"/>
    <cellStyle name="Normal 8 3 2 5 4 3" xfId="5406" xr:uid="{80E5C2F3-A938-46FD-B59B-940C446D742F}"/>
    <cellStyle name="Normal 8 3 2 5 4 3 2" xfId="13266" xr:uid="{2CE89FB0-58F9-43B8-9E14-FE7F20D89BDC}"/>
    <cellStyle name="Normal 8 3 2 5 4 4" xfId="9347" xr:uid="{348DC845-DCFD-4BD0-8E5B-E099235A0AEA}"/>
    <cellStyle name="Normal 8 3 2 5 5" xfId="2138" xr:uid="{00000000-0005-0000-0000-0000A70B0000}"/>
    <cellStyle name="Normal 8 3 2 5 5 2" xfId="6059" xr:uid="{E2296873-EC90-4254-AD02-2A7B3AE70C5A}"/>
    <cellStyle name="Normal 8 3 2 5 5 2 2" xfId="13919" xr:uid="{CA38D5C9-A3C1-4821-943B-6DED663C045D}"/>
    <cellStyle name="Normal 8 3 2 5 5 3" xfId="9999" xr:uid="{EFF25F8A-115B-47FB-9E65-CF73EC9854C4}"/>
    <cellStyle name="Normal 8 3 2 5 6" xfId="4105" xr:uid="{6C1187C0-C91C-4D9F-A660-4E0D64AB54C1}"/>
    <cellStyle name="Normal 8 3 2 5 6 2" xfId="11965" xr:uid="{D536FDB4-8E2D-48E9-ABC8-DA83F230A98C}"/>
    <cellStyle name="Normal 8 3 2 5 7" xfId="8043" xr:uid="{B057BE59-20DA-46E0-A013-F675E362A364}"/>
    <cellStyle name="Normal 8 3 2 6" xfId="91" xr:uid="{00000000-0005-0000-0000-0000A80B0000}"/>
    <cellStyle name="Normal 8 3 2 6 2" xfId="543" xr:uid="{00000000-0005-0000-0000-0000A90B0000}"/>
    <cellStyle name="Normal 8 3 2 6 2 2" xfId="2497" xr:uid="{00000000-0005-0000-0000-0000AA0B0000}"/>
    <cellStyle name="Normal 8 3 2 6 2 2 2" xfId="6418" xr:uid="{245E0559-D79B-4C41-A406-2334A5E7EA1B}"/>
    <cellStyle name="Normal 8 3 2 6 2 2 2 2" xfId="14278" xr:uid="{AEE970DE-E221-43B1-927E-9B32B1542EA3}"/>
    <cellStyle name="Normal 8 3 2 6 2 2 3" xfId="10358" xr:uid="{42ED119F-B6F0-4BB4-85E6-914711509896}"/>
    <cellStyle name="Normal 8 3 2 6 2 3" xfId="4464" xr:uid="{373E284D-D521-43B7-864E-38D5BB602DE5}"/>
    <cellStyle name="Normal 8 3 2 6 2 3 2" xfId="12324" xr:uid="{588FA0E5-C00E-4336-A297-7E18C17687A1}"/>
    <cellStyle name="Normal 8 3 2 6 2 4" xfId="8405" xr:uid="{30607679-A5B8-456A-A529-4945E8F21E23}"/>
    <cellStyle name="Normal 8 3 2 6 3" xfId="980" xr:uid="{00000000-0005-0000-0000-0000AB0B0000}"/>
    <cellStyle name="Normal 8 3 2 6 3 2" xfId="2934" xr:uid="{00000000-0005-0000-0000-0000AC0B0000}"/>
    <cellStyle name="Normal 8 3 2 6 3 2 2" xfId="6855" xr:uid="{04F498E3-F9D5-4728-9F54-7C79C30837CB}"/>
    <cellStyle name="Normal 8 3 2 6 3 2 2 2" xfId="14715" xr:uid="{03F60C6C-D13C-4459-A4DB-04DDF29B1999}"/>
    <cellStyle name="Normal 8 3 2 6 3 2 3" xfId="10795" xr:uid="{54C22475-F43C-422B-8C22-8C8C6DB0F8FD}"/>
    <cellStyle name="Normal 8 3 2 6 3 3" xfId="4901" xr:uid="{AC5CA52C-2600-495A-8664-16202141B618}"/>
    <cellStyle name="Normal 8 3 2 6 3 3 2" xfId="12761" xr:uid="{CA7E487C-3F1E-485D-AEA3-6ED5ABAF5634}"/>
    <cellStyle name="Normal 8 3 2 6 3 4" xfId="8842" xr:uid="{C1A3DC99-0FE8-4DEC-BDD2-126A13F8D85B}"/>
    <cellStyle name="Normal 8 3 2 6 4" xfId="1407" xr:uid="{00000000-0005-0000-0000-0000AD0B0000}"/>
    <cellStyle name="Normal 8 3 2 6 4 2" xfId="3361" xr:uid="{00000000-0005-0000-0000-0000AE0B0000}"/>
    <cellStyle name="Normal 8 3 2 6 4 2 2" xfId="7282" xr:uid="{C8B6B676-2370-4666-8B1F-25491712FBF3}"/>
    <cellStyle name="Normal 8 3 2 6 4 2 2 2" xfId="15142" xr:uid="{463701A5-9690-4D51-9EA8-8B858B41A43F}"/>
    <cellStyle name="Normal 8 3 2 6 4 2 3" xfId="11222" xr:uid="{8B5D196D-3799-4936-A133-1CA519A3D2A8}"/>
    <cellStyle name="Normal 8 3 2 6 4 3" xfId="5328" xr:uid="{1C6CD861-B857-4C11-86BE-C095D75C3772}"/>
    <cellStyle name="Normal 8 3 2 6 4 3 2" xfId="13188" xr:uid="{F3E96B93-A4DB-4A98-AA40-216A684D529B}"/>
    <cellStyle name="Normal 8 3 2 6 4 4" xfId="9269" xr:uid="{DC12674E-CA16-4D70-B5BB-0F5600602551}"/>
    <cellStyle name="Normal 8 3 2 6 5" xfId="2060" xr:uid="{00000000-0005-0000-0000-0000AF0B0000}"/>
    <cellStyle name="Normal 8 3 2 6 5 2" xfId="5981" xr:uid="{649F2534-6F06-427E-82B9-EFABA28191C0}"/>
    <cellStyle name="Normal 8 3 2 6 5 2 2" xfId="13841" xr:uid="{5A29C93D-30CE-4F59-96AD-BD202D259FB6}"/>
    <cellStyle name="Normal 8 3 2 6 5 3" xfId="9921" xr:uid="{1AAAF00C-DE0C-49F5-987C-0312188C1F24}"/>
    <cellStyle name="Normal 8 3 2 6 6" xfId="4027" xr:uid="{F7347A35-42D3-4C39-8CE6-30465EC88994}"/>
    <cellStyle name="Normal 8 3 2 6 6 2" xfId="11887" xr:uid="{5A9C8DB5-A11F-4346-B4D3-1CFC72E5298E}"/>
    <cellStyle name="Normal 8 3 2 6 7" xfId="7965" xr:uid="{67CAADAE-602B-4876-9A96-BEF8B614E0F8}"/>
    <cellStyle name="Normal 8 3 2 7" xfId="267" xr:uid="{00000000-0005-0000-0000-0000B00B0000}"/>
    <cellStyle name="Normal 8 3 2 7 2" xfId="719" xr:uid="{00000000-0005-0000-0000-0000B10B0000}"/>
    <cellStyle name="Normal 8 3 2 7 2 2" xfId="2673" xr:uid="{00000000-0005-0000-0000-0000B20B0000}"/>
    <cellStyle name="Normal 8 3 2 7 2 2 2" xfId="6594" xr:uid="{0C584E90-204A-44EB-99D6-3BB263F80DB9}"/>
    <cellStyle name="Normal 8 3 2 7 2 2 2 2" xfId="14454" xr:uid="{7E814993-F5EC-4169-9DCD-5CB24AF99261}"/>
    <cellStyle name="Normal 8 3 2 7 2 2 3" xfId="10534" xr:uid="{761B1760-4752-4FFC-9053-894DED08A38E}"/>
    <cellStyle name="Normal 8 3 2 7 2 3" xfId="4640" xr:uid="{79F4827F-3BE6-4FD8-9F89-1049197ABC6E}"/>
    <cellStyle name="Normal 8 3 2 7 2 3 2" xfId="12500" xr:uid="{2380636A-61DA-42A5-ACE0-EAE3757EEFC9}"/>
    <cellStyle name="Normal 8 3 2 7 2 4" xfId="8581" xr:uid="{5B864ED2-6C35-43B0-A097-12D0C3504C4C}"/>
    <cellStyle name="Normal 8 3 2 7 3" xfId="1155" xr:uid="{00000000-0005-0000-0000-0000B30B0000}"/>
    <cellStyle name="Normal 8 3 2 7 3 2" xfId="3109" xr:uid="{00000000-0005-0000-0000-0000B40B0000}"/>
    <cellStyle name="Normal 8 3 2 7 3 2 2" xfId="7030" xr:uid="{35F650F6-337F-48B0-A309-BE32B3DF36EC}"/>
    <cellStyle name="Normal 8 3 2 7 3 2 2 2" xfId="14890" xr:uid="{4A6164B5-44DD-4C42-A1C6-DCBD460A77FB}"/>
    <cellStyle name="Normal 8 3 2 7 3 2 3" xfId="10970" xr:uid="{F10A26C5-071B-4A37-8F06-B9AD27D6A54F}"/>
    <cellStyle name="Normal 8 3 2 7 3 3" xfId="5076" xr:uid="{B1BDC4A0-F2DC-4A60-B53C-4CA489CC18AC}"/>
    <cellStyle name="Normal 8 3 2 7 3 3 2" xfId="12936" xr:uid="{66BBC247-9EE9-4030-9A21-15B051983E5B}"/>
    <cellStyle name="Normal 8 3 2 7 3 4" xfId="9017" xr:uid="{7320E403-D732-4711-B9B7-5FC3ED4793F4}"/>
    <cellStyle name="Normal 8 3 2 7 4" xfId="1576" xr:uid="{00000000-0005-0000-0000-0000B50B0000}"/>
    <cellStyle name="Normal 8 3 2 7 4 2" xfId="3530" xr:uid="{00000000-0005-0000-0000-0000B60B0000}"/>
    <cellStyle name="Normal 8 3 2 7 4 2 2" xfId="7451" xr:uid="{3F80C70C-8917-43D4-8B79-D7C16D1A5721}"/>
    <cellStyle name="Normal 8 3 2 7 4 2 2 2" xfId="15311" xr:uid="{454EB4C5-9FA0-4625-A95B-B2D1448A409B}"/>
    <cellStyle name="Normal 8 3 2 7 4 2 3" xfId="11391" xr:uid="{305BA42C-17EA-4801-960A-96EB246EC706}"/>
    <cellStyle name="Normal 8 3 2 7 4 3" xfId="5497" xr:uid="{DACDF8A7-8494-47F7-9385-A4D7815948DD}"/>
    <cellStyle name="Normal 8 3 2 7 4 3 2" xfId="13357" xr:uid="{4484C9A6-0DA6-447D-8BAA-4A2A3A20206A}"/>
    <cellStyle name="Normal 8 3 2 7 4 4" xfId="9438" xr:uid="{849FBE75-94CA-4267-8FDA-FCC4968AAD90}"/>
    <cellStyle name="Normal 8 3 2 7 5" xfId="2230" xr:uid="{00000000-0005-0000-0000-0000B70B0000}"/>
    <cellStyle name="Normal 8 3 2 7 5 2" xfId="6151" xr:uid="{4A55E3EA-1044-4F7A-9685-B2362D6E68C9}"/>
    <cellStyle name="Normal 8 3 2 7 5 2 2" xfId="14011" xr:uid="{0261522E-4F25-49B5-912D-FD539078ED74}"/>
    <cellStyle name="Normal 8 3 2 7 5 3" xfId="10091" xr:uid="{BD3D4448-9105-4A57-B75B-0A059AD65D11}"/>
    <cellStyle name="Normal 8 3 2 7 6" xfId="4197" xr:uid="{AE01540D-8F42-4513-914C-D56FFE9D1FFE}"/>
    <cellStyle name="Normal 8 3 2 7 6 2" xfId="12057" xr:uid="{9E64104F-B127-4182-B6BB-F2DE157EEC4C}"/>
    <cellStyle name="Normal 8 3 2 7 7" xfId="8136" xr:uid="{17F31978-074E-4E01-BC94-B72711D5D478}"/>
    <cellStyle name="Normal 8 3 2 8" xfId="367" xr:uid="{00000000-0005-0000-0000-0000B80B0000}"/>
    <cellStyle name="Normal 8 3 2 8 2" xfId="818" xr:uid="{00000000-0005-0000-0000-0000B90B0000}"/>
    <cellStyle name="Normal 8 3 2 8 2 2" xfId="2772" xr:uid="{00000000-0005-0000-0000-0000BA0B0000}"/>
    <cellStyle name="Normal 8 3 2 8 2 2 2" xfId="6693" xr:uid="{5CC57A2D-A9BF-4306-A8FD-84C3DB326E64}"/>
    <cellStyle name="Normal 8 3 2 8 2 2 2 2" xfId="14553" xr:uid="{28B20E12-0FAF-4D82-BAF4-83EFCD389257}"/>
    <cellStyle name="Normal 8 3 2 8 2 2 3" xfId="10633" xr:uid="{307FAA67-20EF-486A-9F5A-754D87409D47}"/>
    <cellStyle name="Normal 8 3 2 8 2 3" xfId="4739" xr:uid="{72FAC52D-0CD9-4009-BFC8-A33ECBDC603C}"/>
    <cellStyle name="Normal 8 3 2 8 2 3 2" xfId="12599" xr:uid="{7CEA62AC-6E49-4599-BB76-7519FF5CE817}"/>
    <cellStyle name="Normal 8 3 2 8 2 4" xfId="8680" xr:uid="{2CA3BE70-8CFE-433A-A272-C475F640EBD3}"/>
    <cellStyle name="Normal 8 3 2 8 3" xfId="1250" xr:uid="{00000000-0005-0000-0000-0000BB0B0000}"/>
    <cellStyle name="Normal 8 3 2 8 3 2" xfId="3204" xr:uid="{00000000-0005-0000-0000-0000BC0B0000}"/>
    <cellStyle name="Normal 8 3 2 8 3 2 2" xfId="7125" xr:uid="{4B1CAF2E-C7A7-4185-9F25-6913231BD7A3}"/>
    <cellStyle name="Normal 8 3 2 8 3 2 2 2" xfId="14985" xr:uid="{EFF165D3-5817-4B5E-8E82-1FA829BD4608}"/>
    <cellStyle name="Normal 8 3 2 8 3 2 3" xfId="11065" xr:uid="{988795C3-FDD9-4A1E-AB3C-2EAA569C5104}"/>
    <cellStyle name="Normal 8 3 2 8 3 3" xfId="5171" xr:uid="{F86EF4BA-28A0-42A5-910C-CFAA34A190FD}"/>
    <cellStyle name="Normal 8 3 2 8 3 3 2" xfId="13031" xr:uid="{B509FA2B-A0D1-438D-B6EC-C551EF7872B6}"/>
    <cellStyle name="Normal 8 3 2 8 3 4" xfId="9112" xr:uid="{703535F7-4837-49D6-B912-0E059CFC7FC2}"/>
    <cellStyle name="Normal 8 3 2 8 4" xfId="1668" xr:uid="{00000000-0005-0000-0000-0000BD0B0000}"/>
    <cellStyle name="Normal 8 3 2 8 4 2" xfId="3622" xr:uid="{00000000-0005-0000-0000-0000BE0B0000}"/>
    <cellStyle name="Normal 8 3 2 8 4 2 2" xfId="7543" xr:uid="{0A1E4D0A-71C0-404B-8373-8D3341587874}"/>
    <cellStyle name="Normal 8 3 2 8 4 2 2 2" xfId="15403" xr:uid="{53368B75-FAD5-40DA-B4C0-8F8E59F4CE8C}"/>
    <cellStyle name="Normal 8 3 2 8 4 2 3" xfId="11483" xr:uid="{D24B730F-4059-451A-B241-CB21A92786C9}"/>
    <cellStyle name="Normal 8 3 2 8 4 3" xfId="5589" xr:uid="{35FECC83-F5CE-46D0-9468-8EBCF409C864}"/>
    <cellStyle name="Normal 8 3 2 8 4 3 2" xfId="13449" xr:uid="{6F51BBAB-0169-4777-B7DF-E3A45D26B811}"/>
    <cellStyle name="Normal 8 3 2 8 4 4" xfId="9530" xr:uid="{7083C040-A955-4CDE-8995-00D2470AC956}"/>
    <cellStyle name="Normal 8 3 2 8 5" xfId="2322" xr:uid="{00000000-0005-0000-0000-0000BF0B0000}"/>
    <cellStyle name="Normal 8 3 2 8 5 2" xfId="6243" xr:uid="{7F9A38CB-ACE6-47C2-A33B-013DE0CE4393}"/>
    <cellStyle name="Normal 8 3 2 8 5 2 2" xfId="14103" xr:uid="{0D23E540-520A-4CAE-B0FF-E0855BEAB925}"/>
    <cellStyle name="Normal 8 3 2 8 5 3" xfId="10183" xr:uid="{B933F37E-415F-41B1-8C0E-FFBDF7646723}"/>
    <cellStyle name="Normal 8 3 2 8 6" xfId="4289" xr:uid="{2615127A-4651-437D-B779-6BE8601CCAD8}"/>
    <cellStyle name="Normal 8 3 2 8 6 2" xfId="12149" xr:uid="{8A4F0EEC-9AD1-4563-AEE1-1186E6C0CFDC}"/>
    <cellStyle name="Normal 8 3 2 8 7" xfId="8230" xr:uid="{64A352C4-CD2D-432E-8347-108CD1BF174C}"/>
    <cellStyle name="Normal 8 3 2 9" xfId="462" xr:uid="{00000000-0005-0000-0000-0000C00B0000}"/>
    <cellStyle name="Normal 8 3 2 9 2" xfId="2416" xr:uid="{00000000-0005-0000-0000-0000C10B0000}"/>
    <cellStyle name="Normal 8 3 2 9 2 2" xfId="6337" xr:uid="{534B7ED1-BC28-40F7-81F6-2AF3EE3C58B1}"/>
    <cellStyle name="Normal 8 3 2 9 2 2 2" xfId="14197" xr:uid="{2CE13EEC-D706-4FD9-BD64-8B755CD5C6CB}"/>
    <cellStyle name="Normal 8 3 2 9 2 3" xfId="10277" xr:uid="{EA5FFAF5-4334-409B-A639-6C323942B625}"/>
    <cellStyle name="Normal 8 3 2 9 3" xfId="4383" xr:uid="{B70D1619-CC2B-430A-A71E-BCF7948E0103}"/>
    <cellStyle name="Normal 8 3 2 9 3 2" xfId="12243" xr:uid="{6F077F4F-735C-4E74-97A8-0BFF9DF17A10}"/>
    <cellStyle name="Normal 8 3 2 9 4" xfId="8324" xr:uid="{1C40C2BE-CC41-4F90-A4E5-24E968A2E1AC}"/>
    <cellStyle name="Normal 8 3 3" xfId="69" xr:uid="{00000000-0005-0000-0000-0000C20B0000}"/>
    <cellStyle name="Normal 8 3 3 10" xfId="4005" xr:uid="{9E651E95-5064-48DB-8784-EC610D7A30C2}"/>
    <cellStyle name="Normal 8 3 3 10 2" xfId="11865" xr:uid="{F38A15D7-0D2C-4A64-850A-CA5522FAB3B8}"/>
    <cellStyle name="Normal 8 3 3 11" xfId="7943" xr:uid="{745192AF-572D-4449-9AD9-D586D5D447B5}"/>
    <cellStyle name="Normal 8 3 3 2" xfId="225" xr:uid="{00000000-0005-0000-0000-0000C30B0000}"/>
    <cellStyle name="Normal 8 3 3 2 2" xfId="677" xr:uid="{00000000-0005-0000-0000-0000C40B0000}"/>
    <cellStyle name="Normal 8 3 3 2 2 2" xfId="2631" xr:uid="{00000000-0005-0000-0000-0000C50B0000}"/>
    <cellStyle name="Normal 8 3 3 2 2 2 2" xfId="6552" xr:uid="{80897D9E-7812-40B5-B324-20774AF5CD6D}"/>
    <cellStyle name="Normal 8 3 3 2 2 2 2 2" xfId="14412" xr:uid="{CA5D510E-E68F-4CAC-95DE-38BBCA189FB6}"/>
    <cellStyle name="Normal 8 3 3 2 2 2 3" xfId="10492" xr:uid="{C3B16A4E-DF9F-463D-9422-113FC502B02D}"/>
    <cellStyle name="Normal 8 3 3 2 2 3" xfId="4598" xr:uid="{FEB86896-8238-43AF-BBC0-47E74925705A}"/>
    <cellStyle name="Normal 8 3 3 2 2 3 2" xfId="12458" xr:uid="{23FD9953-B592-41B3-9E15-2D11DAF4FBC3}"/>
    <cellStyle name="Normal 8 3 3 2 2 4" xfId="8539" xr:uid="{9899876E-6B56-4965-9B48-091AD9AAFC35}"/>
    <cellStyle name="Normal 8 3 3 2 3" xfId="1114" xr:uid="{00000000-0005-0000-0000-0000C60B0000}"/>
    <cellStyle name="Normal 8 3 3 2 3 2" xfId="3068" xr:uid="{00000000-0005-0000-0000-0000C70B0000}"/>
    <cellStyle name="Normal 8 3 3 2 3 2 2" xfId="6989" xr:uid="{D7067956-B0C9-4346-A068-5BF1CE643635}"/>
    <cellStyle name="Normal 8 3 3 2 3 2 2 2" xfId="14849" xr:uid="{69920285-BB13-40EB-BD5D-747CB40A5807}"/>
    <cellStyle name="Normal 8 3 3 2 3 2 3" xfId="10929" xr:uid="{C3A84B57-CF19-401C-B45F-D133A64B190A}"/>
    <cellStyle name="Normal 8 3 3 2 3 3" xfId="5035" xr:uid="{56915193-2460-4DEB-A5AB-207072DE4302}"/>
    <cellStyle name="Normal 8 3 3 2 3 3 2" xfId="12895" xr:uid="{77516633-81A2-428A-934B-0B474CD8434C}"/>
    <cellStyle name="Normal 8 3 3 2 3 4" xfId="8976" xr:uid="{7C153C20-4396-4B0C-B6B4-CB871A53EB41}"/>
    <cellStyle name="Normal 8 3 3 2 4" xfId="1541" xr:uid="{00000000-0005-0000-0000-0000C80B0000}"/>
    <cellStyle name="Normal 8 3 3 2 4 2" xfId="3495" xr:uid="{00000000-0005-0000-0000-0000C90B0000}"/>
    <cellStyle name="Normal 8 3 3 2 4 2 2" xfId="7416" xr:uid="{3245E44B-B296-48D7-9A0A-93545F9C4F9F}"/>
    <cellStyle name="Normal 8 3 3 2 4 2 2 2" xfId="15276" xr:uid="{C0C42786-C159-4ABC-9794-CA5F621A234B}"/>
    <cellStyle name="Normal 8 3 3 2 4 2 3" xfId="11356" xr:uid="{C9E53B28-0A36-4149-B7C7-D9808E2F245B}"/>
    <cellStyle name="Normal 8 3 3 2 4 3" xfId="5462" xr:uid="{07AB9BA1-7496-43EE-99F9-6619FA77E37D}"/>
    <cellStyle name="Normal 8 3 3 2 4 3 2" xfId="13322" xr:uid="{BE75572E-38E8-4C5F-B58C-5EEF74856B52}"/>
    <cellStyle name="Normal 8 3 3 2 4 4" xfId="9403" xr:uid="{583F59E0-65F7-41C3-8C58-3B53ACFC0E72}"/>
    <cellStyle name="Normal 8 3 3 2 5" xfId="2194" xr:uid="{00000000-0005-0000-0000-0000CA0B0000}"/>
    <cellStyle name="Normal 8 3 3 2 5 2" xfId="6115" xr:uid="{827E63E2-D526-4D4E-AF10-869A50A7E983}"/>
    <cellStyle name="Normal 8 3 3 2 5 2 2" xfId="13975" xr:uid="{83A4C930-D668-42A0-8445-FCF6016BFBDC}"/>
    <cellStyle name="Normal 8 3 3 2 5 3" xfId="10055" xr:uid="{B0489135-872B-4D8C-9DE5-7C35A30F38E3}"/>
    <cellStyle name="Normal 8 3 3 2 6" xfId="4161" xr:uid="{09891771-D89C-43F2-9AF2-4ED02AA89A7F}"/>
    <cellStyle name="Normal 8 3 3 2 6 2" xfId="12021" xr:uid="{50FD8ECD-BC10-46C0-9595-E6E1D8290B49}"/>
    <cellStyle name="Normal 8 3 3 2 7" xfId="8099" xr:uid="{A96DF79D-87BC-4117-8DCA-6F159E881889}"/>
    <cellStyle name="Normal 8 3 3 3" xfId="147" xr:uid="{00000000-0005-0000-0000-0000CB0B0000}"/>
    <cellStyle name="Normal 8 3 3 3 2" xfId="599" xr:uid="{00000000-0005-0000-0000-0000CC0B0000}"/>
    <cellStyle name="Normal 8 3 3 3 2 2" xfId="2553" xr:uid="{00000000-0005-0000-0000-0000CD0B0000}"/>
    <cellStyle name="Normal 8 3 3 3 2 2 2" xfId="6474" xr:uid="{1EBD90E2-1BA8-420D-BA79-EA9DA06BA01D}"/>
    <cellStyle name="Normal 8 3 3 3 2 2 2 2" xfId="14334" xr:uid="{EF791E40-F620-4FD6-8322-3CE24956E698}"/>
    <cellStyle name="Normal 8 3 3 3 2 2 3" xfId="10414" xr:uid="{7FAF1A52-9696-4253-8208-7114F3238F80}"/>
    <cellStyle name="Normal 8 3 3 3 2 3" xfId="4520" xr:uid="{DA90B921-A08E-47D5-8773-653B3FB5687D}"/>
    <cellStyle name="Normal 8 3 3 3 2 3 2" xfId="12380" xr:uid="{1DF9830B-4E3C-4993-8259-CAF24A24FFDC}"/>
    <cellStyle name="Normal 8 3 3 3 2 4" xfId="8461" xr:uid="{86868A7C-858A-4BA6-AE48-A3CC64906674}"/>
    <cellStyle name="Normal 8 3 3 3 3" xfId="1036" xr:uid="{00000000-0005-0000-0000-0000CE0B0000}"/>
    <cellStyle name="Normal 8 3 3 3 3 2" xfId="2990" xr:uid="{00000000-0005-0000-0000-0000CF0B0000}"/>
    <cellStyle name="Normal 8 3 3 3 3 2 2" xfId="6911" xr:uid="{B0210BD4-331D-43C7-A3E1-723FABC73F37}"/>
    <cellStyle name="Normal 8 3 3 3 3 2 2 2" xfId="14771" xr:uid="{0337B8E4-7747-47F8-B6B5-6CC146FA6703}"/>
    <cellStyle name="Normal 8 3 3 3 3 2 3" xfId="10851" xr:uid="{6F24CAA2-7646-43C8-9B19-7298F9C4EF92}"/>
    <cellStyle name="Normal 8 3 3 3 3 3" xfId="4957" xr:uid="{92B4C009-0CAB-4992-8D32-73405B2D5C46}"/>
    <cellStyle name="Normal 8 3 3 3 3 3 2" xfId="12817" xr:uid="{796028C2-880B-4286-9598-A58171C1C950}"/>
    <cellStyle name="Normal 8 3 3 3 3 4" xfId="8898" xr:uid="{8E5AC4EE-8871-4A9E-8611-044822987A5E}"/>
    <cellStyle name="Normal 8 3 3 3 4" xfId="1463" xr:uid="{00000000-0005-0000-0000-0000D00B0000}"/>
    <cellStyle name="Normal 8 3 3 3 4 2" xfId="3417" xr:uid="{00000000-0005-0000-0000-0000D10B0000}"/>
    <cellStyle name="Normal 8 3 3 3 4 2 2" xfId="7338" xr:uid="{454B2716-3093-452B-9740-208A5AED8640}"/>
    <cellStyle name="Normal 8 3 3 3 4 2 2 2" xfId="15198" xr:uid="{7F727D6D-94CA-45C8-97F0-DAC4157FFF94}"/>
    <cellStyle name="Normal 8 3 3 3 4 2 3" xfId="11278" xr:uid="{BBF2C106-A72B-426F-B0DA-377C1BC44EF0}"/>
    <cellStyle name="Normal 8 3 3 3 4 3" xfId="5384" xr:uid="{A6BF649F-2F9F-4EA7-A304-6C631A7515B4}"/>
    <cellStyle name="Normal 8 3 3 3 4 3 2" xfId="13244" xr:uid="{3817DEE4-F1E4-4D18-86FA-745BE3747E31}"/>
    <cellStyle name="Normal 8 3 3 3 4 4" xfId="9325" xr:uid="{20EF48C8-1B7E-4A16-B2E0-5B212F47BFCF}"/>
    <cellStyle name="Normal 8 3 3 3 5" xfId="2116" xr:uid="{00000000-0005-0000-0000-0000D20B0000}"/>
    <cellStyle name="Normal 8 3 3 3 5 2" xfId="6037" xr:uid="{877F6A0F-3E50-4144-8E94-1A0C42CC76E2}"/>
    <cellStyle name="Normal 8 3 3 3 5 2 2" xfId="13897" xr:uid="{CAF26AE1-C64E-4D33-AA42-7287D3040E67}"/>
    <cellStyle name="Normal 8 3 3 3 5 3" xfId="9977" xr:uid="{26148F92-9BD5-48F8-9248-170AE7342FAB}"/>
    <cellStyle name="Normal 8 3 3 3 6" xfId="4083" xr:uid="{9467EC10-59BA-4707-9037-56FAD4A412B6}"/>
    <cellStyle name="Normal 8 3 3 3 6 2" xfId="11943" xr:uid="{E77CE416-6C2F-44B0-B4E8-8D1E9F985365}"/>
    <cellStyle name="Normal 8 3 3 3 7" xfId="8021" xr:uid="{0D1EABD0-DE28-47AC-BAEA-5EB91096F950}"/>
    <cellStyle name="Normal 8 3 3 4" xfId="332" xr:uid="{00000000-0005-0000-0000-0000D30B0000}"/>
    <cellStyle name="Normal 8 3 3 4 2" xfId="784" xr:uid="{00000000-0005-0000-0000-0000D40B0000}"/>
    <cellStyle name="Normal 8 3 3 4 2 2" xfId="2738" xr:uid="{00000000-0005-0000-0000-0000D50B0000}"/>
    <cellStyle name="Normal 8 3 3 4 2 2 2" xfId="6659" xr:uid="{A6FC2D90-C4EE-4543-8B70-46FAAC7B9D04}"/>
    <cellStyle name="Normal 8 3 3 4 2 2 2 2" xfId="14519" xr:uid="{AD965A68-DFA0-44B8-8FE0-523FE832C643}"/>
    <cellStyle name="Normal 8 3 3 4 2 2 3" xfId="10599" xr:uid="{D0DD6BFB-A604-40CE-B613-8E3E1022DC42}"/>
    <cellStyle name="Normal 8 3 3 4 2 3" xfId="4705" xr:uid="{A0488D29-C794-4621-A7D2-C812ABA53D3A}"/>
    <cellStyle name="Normal 8 3 3 4 2 3 2" xfId="12565" xr:uid="{37E66109-A963-4D6A-9FD2-2D86ED24F3DD}"/>
    <cellStyle name="Normal 8 3 3 4 2 4" xfId="8646" xr:uid="{5715BFF1-794B-42AF-A35A-F62D968FF916}"/>
    <cellStyle name="Normal 8 3 3 4 3" xfId="1218" xr:uid="{00000000-0005-0000-0000-0000D60B0000}"/>
    <cellStyle name="Normal 8 3 3 4 3 2" xfId="3172" xr:uid="{00000000-0005-0000-0000-0000D70B0000}"/>
    <cellStyle name="Normal 8 3 3 4 3 2 2" xfId="7093" xr:uid="{EE6AE73A-CED9-4EBA-8D86-7A8C5694840F}"/>
    <cellStyle name="Normal 8 3 3 4 3 2 2 2" xfId="14953" xr:uid="{AB9D02FD-F048-4348-82A4-6D6076C9A4CA}"/>
    <cellStyle name="Normal 8 3 3 4 3 2 3" xfId="11033" xr:uid="{CD2EE687-CFBA-45C7-91D1-C72C85642DED}"/>
    <cellStyle name="Normal 8 3 3 4 3 3" xfId="5139" xr:uid="{068D5446-DFA7-4445-A4B1-401FEBEC44E3}"/>
    <cellStyle name="Normal 8 3 3 4 3 3 2" xfId="12999" xr:uid="{426B94FF-EE75-4106-9A68-2BA2E798CF00}"/>
    <cellStyle name="Normal 8 3 3 4 3 4" xfId="9080" xr:uid="{AE1D2156-DB9F-4855-9EE9-1F27BD13741D}"/>
    <cellStyle name="Normal 8 3 3 4 4" xfId="1638" xr:uid="{00000000-0005-0000-0000-0000D80B0000}"/>
    <cellStyle name="Normal 8 3 3 4 4 2" xfId="3592" xr:uid="{00000000-0005-0000-0000-0000D90B0000}"/>
    <cellStyle name="Normal 8 3 3 4 4 2 2" xfId="7513" xr:uid="{FDC99598-E6B2-4175-AF06-BA43145F29A0}"/>
    <cellStyle name="Normal 8 3 3 4 4 2 2 2" xfId="15373" xr:uid="{87392B9E-8A5A-46C5-BF2F-756A2926FE76}"/>
    <cellStyle name="Normal 8 3 3 4 4 2 3" xfId="11453" xr:uid="{2A2854D0-38E7-4A5F-962D-8E0AB665CF16}"/>
    <cellStyle name="Normal 8 3 3 4 4 3" xfId="5559" xr:uid="{3CD8E8A2-153A-46E4-98A8-3F8839C2FBA1}"/>
    <cellStyle name="Normal 8 3 3 4 4 3 2" xfId="13419" xr:uid="{A36D6765-6765-45E6-8563-296CF9311A11}"/>
    <cellStyle name="Normal 8 3 3 4 4 4" xfId="9500" xr:uid="{517AD6B8-A7C3-4DD0-9F02-A128B6A142FA}"/>
    <cellStyle name="Normal 8 3 3 4 5" xfId="2292" xr:uid="{00000000-0005-0000-0000-0000DA0B0000}"/>
    <cellStyle name="Normal 8 3 3 4 5 2" xfId="6213" xr:uid="{26FE153D-BF1D-42A1-B30F-97990DBE05CF}"/>
    <cellStyle name="Normal 8 3 3 4 5 2 2" xfId="14073" xr:uid="{A6D6EEB9-1CF5-4006-8FE4-960B8189F14C}"/>
    <cellStyle name="Normal 8 3 3 4 5 3" xfId="10153" xr:uid="{A10C6D75-29D0-476D-9227-7DF8E406D73B}"/>
    <cellStyle name="Normal 8 3 3 4 6" xfId="4259" xr:uid="{7527652E-F583-4BFA-B6F2-115F1E28F4EC}"/>
    <cellStyle name="Normal 8 3 3 4 6 2" xfId="12119" xr:uid="{AF5FBA82-956B-4DC7-A90A-6426AC409E08}"/>
    <cellStyle name="Normal 8 3 3 4 7" xfId="8198" xr:uid="{A6D74985-5FEC-4FD5-B624-B04E846545FA}"/>
    <cellStyle name="Normal 8 3 3 5" xfId="429" xr:uid="{00000000-0005-0000-0000-0000DB0B0000}"/>
    <cellStyle name="Normal 8 3 3 5 2" xfId="880" xr:uid="{00000000-0005-0000-0000-0000DC0B0000}"/>
    <cellStyle name="Normal 8 3 3 5 2 2" xfId="2834" xr:uid="{00000000-0005-0000-0000-0000DD0B0000}"/>
    <cellStyle name="Normal 8 3 3 5 2 2 2" xfId="6755" xr:uid="{7C29B33E-DDF1-4EE2-906E-02250238ABCA}"/>
    <cellStyle name="Normal 8 3 3 5 2 2 2 2" xfId="14615" xr:uid="{E9475320-44C4-4950-A48C-F2EF00E63789}"/>
    <cellStyle name="Normal 8 3 3 5 2 2 3" xfId="10695" xr:uid="{598D2A63-3F8F-419C-ACE2-A1ABAAA4130C}"/>
    <cellStyle name="Normal 8 3 3 5 2 3" xfId="4801" xr:uid="{4C4B8069-E43D-406E-A887-F9115E8B062D}"/>
    <cellStyle name="Normal 8 3 3 5 2 3 2" xfId="12661" xr:uid="{8FB2367E-CF28-4092-935C-99FA976C794B}"/>
    <cellStyle name="Normal 8 3 3 5 2 4" xfId="8742" xr:uid="{A5AE1D8A-429D-4F59-A4BA-A53CF2A9E089}"/>
    <cellStyle name="Normal 8 3 3 5 3" xfId="1312" xr:uid="{00000000-0005-0000-0000-0000DE0B0000}"/>
    <cellStyle name="Normal 8 3 3 5 3 2" xfId="3266" xr:uid="{00000000-0005-0000-0000-0000DF0B0000}"/>
    <cellStyle name="Normal 8 3 3 5 3 2 2" xfId="7187" xr:uid="{716DD6E9-4749-48B0-A38D-1CA861751B4A}"/>
    <cellStyle name="Normal 8 3 3 5 3 2 2 2" xfId="15047" xr:uid="{17E3293A-F378-45E1-A551-F5CF07A9679E}"/>
    <cellStyle name="Normal 8 3 3 5 3 2 3" xfId="11127" xr:uid="{7B37980A-7DFE-41F9-B998-FEDF0E6B6282}"/>
    <cellStyle name="Normal 8 3 3 5 3 3" xfId="5233" xr:uid="{C5B38C4F-590E-4742-A8A0-189C231216B7}"/>
    <cellStyle name="Normal 8 3 3 5 3 3 2" xfId="13093" xr:uid="{1592C831-E612-4DCC-83ED-3C63C10FA8F0}"/>
    <cellStyle name="Normal 8 3 3 5 3 4" xfId="9174" xr:uid="{B1F66367-5AA1-40E0-BD0F-F62B130D0439}"/>
    <cellStyle name="Normal 8 3 3 5 4" xfId="1730" xr:uid="{00000000-0005-0000-0000-0000E00B0000}"/>
    <cellStyle name="Normal 8 3 3 5 4 2" xfId="3684" xr:uid="{00000000-0005-0000-0000-0000E10B0000}"/>
    <cellStyle name="Normal 8 3 3 5 4 2 2" xfId="7605" xr:uid="{277805DC-462F-4E28-AEAA-E972C74B3154}"/>
    <cellStyle name="Normal 8 3 3 5 4 2 2 2" xfId="15465" xr:uid="{65E32284-11A9-40A9-8AE6-D5D546DF66EB}"/>
    <cellStyle name="Normal 8 3 3 5 4 2 3" xfId="11545" xr:uid="{688B0C07-5ED6-40A1-BCE7-19742A70D62A}"/>
    <cellStyle name="Normal 8 3 3 5 4 3" xfId="5651" xr:uid="{E8932A37-B3E7-48C9-BF87-942F76C16C82}"/>
    <cellStyle name="Normal 8 3 3 5 4 3 2" xfId="13511" xr:uid="{A11DFA3C-2683-4978-986F-9BB90CA48E7F}"/>
    <cellStyle name="Normal 8 3 3 5 4 4" xfId="9592" xr:uid="{DAC93AD0-311B-4CA3-A599-A083857B7049}"/>
    <cellStyle name="Normal 8 3 3 5 5" xfId="2384" xr:uid="{00000000-0005-0000-0000-0000E20B0000}"/>
    <cellStyle name="Normal 8 3 3 5 5 2" xfId="6305" xr:uid="{6E530E04-A878-412A-9548-2B54A44AB763}"/>
    <cellStyle name="Normal 8 3 3 5 5 2 2" xfId="14165" xr:uid="{ED4E0250-AEE9-4C05-9955-729B1467BC18}"/>
    <cellStyle name="Normal 8 3 3 5 5 3" xfId="10245" xr:uid="{03756F80-F2A1-41CD-BC00-71EB911B1674}"/>
    <cellStyle name="Normal 8 3 3 5 6" xfId="4351" xr:uid="{F8CA59A7-42D6-424E-A5FC-101EA15B5AFD}"/>
    <cellStyle name="Normal 8 3 3 5 6 2" xfId="12211" xr:uid="{189FEB36-F41C-4163-B28D-99878B45A4D7}"/>
    <cellStyle name="Normal 8 3 3 5 7" xfId="8292" xr:uid="{F7ADA8DA-9D68-4C91-ABFB-E71DD4C04B86}"/>
    <cellStyle name="Normal 8 3 3 6" xfId="521" xr:uid="{00000000-0005-0000-0000-0000E30B0000}"/>
    <cellStyle name="Normal 8 3 3 6 2" xfId="2475" xr:uid="{00000000-0005-0000-0000-0000E40B0000}"/>
    <cellStyle name="Normal 8 3 3 6 2 2" xfId="6396" xr:uid="{6321F86E-766A-4011-BB11-B0718382C7A1}"/>
    <cellStyle name="Normal 8 3 3 6 2 2 2" xfId="14256" xr:uid="{65000952-6B0D-4AE9-A22B-A58618F14C8C}"/>
    <cellStyle name="Normal 8 3 3 6 2 3" xfId="10336" xr:uid="{041940F2-5A2A-4955-BEBD-31BD1C6260FF}"/>
    <cellStyle name="Normal 8 3 3 6 3" xfId="4442" xr:uid="{3158D72A-FBA0-4F84-B3C2-39437EBCF4DA}"/>
    <cellStyle name="Normal 8 3 3 6 3 2" xfId="12302" xr:uid="{BE7262F8-D73F-478B-B207-726F2DADCEA7}"/>
    <cellStyle name="Normal 8 3 3 6 4" xfId="8383" xr:uid="{4040D0E1-0EB0-4BB3-87F1-1237161EB836}"/>
    <cellStyle name="Normal 8 3 3 7" xfId="958" xr:uid="{00000000-0005-0000-0000-0000E50B0000}"/>
    <cellStyle name="Normal 8 3 3 7 2" xfId="2912" xr:uid="{00000000-0005-0000-0000-0000E60B0000}"/>
    <cellStyle name="Normal 8 3 3 7 2 2" xfId="6833" xr:uid="{DF37E7A3-CFDA-4E0B-A78D-58D8F24C8207}"/>
    <cellStyle name="Normal 8 3 3 7 2 2 2" xfId="14693" xr:uid="{21FF913E-FE90-4C7F-8152-9CF5889D65EF}"/>
    <cellStyle name="Normal 8 3 3 7 2 3" xfId="10773" xr:uid="{3682B03B-4EF8-4059-B32E-2933515071CB}"/>
    <cellStyle name="Normal 8 3 3 7 3" xfId="4879" xr:uid="{A332A3E0-C8CC-4739-9634-94BA28540DAF}"/>
    <cellStyle name="Normal 8 3 3 7 3 2" xfId="12739" xr:uid="{70235249-831E-4DEE-96B1-C72CCC1C728A}"/>
    <cellStyle name="Normal 8 3 3 7 4" xfId="8820" xr:uid="{D1DEE746-7DF7-4D30-81C9-3B3CEAE0636C}"/>
    <cellStyle name="Normal 8 3 3 8" xfId="1385" xr:uid="{00000000-0005-0000-0000-0000E70B0000}"/>
    <cellStyle name="Normal 8 3 3 8 2" xfId="3339" xr:uid="{00000000-0005-0000-0000-0000E80B0000}"/>
    <cellStyle name="Normal 8 3 3 8 2 2" xfId="7260" xr:uid="{19EF2041-7DCA-47C3-84F6-3F47F8CD5F1E}"/>
    <cellStyle name="Normal 8 3 3 8 2 2 2" xfId="15120" xr:uid="{4D685A41-0E7E-423F-9A01-28D9F03E5552}"/>
    <cellStyle name="Normal 8 3 3 8 2 3" xfId="11200" xr:uid="{014FE6DF-8181-4F2E-86B9-A6AF89CB80A8}"/>
    <cellStyle name="Normal 8 3 3 8 3" xfId="5306" xr:uid="{36E025F4-E9B9-4952-A87A-EA4F028E9D56}"/>
    <cellStyle name="Normal 8 3 3 8 3 2" xfId="13166" xr:uid="{0858F86F-F70E-4DD3-BEA4-011A6A45130F}"/>
    <cellStyle name="Normal 8 3 3 8 4" xfId="9247" xr:uid="{7C2EB46F-0343-44A1-BD64-6CA592DA1982}"/>
    <cellStyle name="Normal 8 3 3 9" xfId="2038" xr:uid="{00000000-0005-0000-0000-0000E90B0000}"/>
    <cellStyle name="Normal 8 3 3 9 2" xfId="5959" xr:uid="{DBDEE092-E2D2-42E4-B825-E72581607802}"/>
    <cellStyle name="Normal 8 3 3 9 2 2" xfId="13819" xr:uid="{6FE5DB91-9C4D-47F0-9C3D-5C79F3A3A0E5}"/>
    <cellStyle name="Normal 8 3 3 9 3" xfId="9899" xr:uid="{BC59917E-4395-4330-97F5-EE74FC560FBE}"/>
    <cellStyle name="Normal 8 3 4" xfId="186" xr:uid="{00000000-0005-0000-0000-0000EA0B0000}"/>
    <cellStyle name="Normal 8 3 4 2" xfId="638" xr:uid="{00000000-0005-0000-0000-0000EB0B0000}"/>
    <cellStyle name="Normal 8 3 4 2 2" xfId="2592" xr:uid="{00000000-0005-0000-0000-0000EC0B0000}"/>
    <cellStyle name="Normal 8 3 4 2 2 2" xfId="6513" xr:uid="{FF071061-B186-458F-9BB2-2FB17C025A6D}"/>
    <cellStyle name="Normal 8 3 4 2 2 2 2" xfId="14373" xr:uid="{C11BB932-DEBB-4F9F-B199-86287C02C47A}"/>
    <cellStyle name="Normal 8 3 4 2 2 3" xfId="10453" xr:uid="{A093771D-7B9B-426E-9123-F0A8E8099AB7}"/>
    <cellStyle name="Normal 8 3 4 2 3" xfId="4559" xr:uid="{949EBB8F-855C-408C-9D1B-BE3F81811E2D}"/>
    <cellStyle name="Normal 8 3 4 2 3 2" xfId="12419" xr:uid="{120245F2-7F7B-4F68-9CF6-8E2761177686}"/>
    <cellStyle name="Normal 8 3 4 2 4" xfId="8500" xr:uid="{A807D594-5381-4508-8E2E-568944E8CE32}"/>
    <cellStyle name="Normal 8 3 4 3" xfId="1075" xr:uid="{00000000-0005-0000-0000-0000ED0B0000}"/>
    <cellStyle name="Normal 8 3 4 3 2" xfId="3029" xr:uid="{00000000-0005-0000-0000-0000EE0B0000}"/>
    <cellStyle name="Normal 8 3 4 3 2 2" xfId="6950" xr:uid="{0DB619F9-854C-480F-B7B7-3658F92213F7}"/>
    <cellStyle name="Normal 8 3 4 3 2 2 2" xfId="14810" xr:uid="{CD2782E6-79E9-4BE6-A30B-C69D9977F403}"/>
    <cellStyle name="Normal 8 3 4 3 2 3" xfId="10890" xr:uid="{7727AE79-E487-4B6A-B438-8122B5B962C7}"/>
    <cellStyle name="Normal 8 3 4 3 3" xfId="4996" xr:uid="{3A16CF05-133B-4537-98C8-9AF70097BDE4}"/>
    <cellStyle name="Normal 8 3 4 3 3 2" xfId="12856" xr:uid="{15529BA8-C14D-48ED-B709-0FAA03176373}"/>
    <cellStyle name="Normal 8 3 4 3 4" xfId="8937" xr:uid="{5FD56849-DE19-473C-8700-7565685AEEA5}"/>
    <cellStyle name="Normal 8 3 4 4" xfId="1502" xr:uid="{00000000-0005-0000-0000-0000EF0B0000}"/>
    <cellStyle name="Normal 8 3 4 4 2" xfId="3456" xr:uid="{00000000-0005-0000-0000-0000F00B0000}"/>
    <cellStyle name="Normal 8 3 4 4 2 2" xfId="7377" xr:uid="{83579D8E-FE14-48AC-80E0-0B1ACEE58489}"/>
    <cellStyle name="Normal 8 3 4 4 2 2 2" xfId="15237" xr:uid="{0F87995F-BFEC-4B75-B6B4-B01BE0296208}"/>
    <cellStyle name="Normal 8 3 4 4 2 3" xfId="11317" xr:uid="{2D16544C-0830-4BB4-988A-4395B7714608}"/>
    <cellStyle name="Normal 8 3 4 4 3" xfId="5423" xr:uid="{10E53DE9-4F41-4239-A40F-A23C5F12E374}"/>
    <cellStyle name="Normal 8 3 4 4 3 2" xfId="13283" xr:uid="{3B7C905F-F3E8-4BFE-8AAC-5150894B1318}"/>
    <cellStyle name="Normal 8 3 4 4 4" xfId="9364" xr:uid="{3AF7E792-0147-4731-8860-486B085EEBEF}"/>
    <cellStyle name="Normal 8 3 4 5" xfId="2155" xr:uid="{00000000-0005-0000-0000-0000F10B0000}"/>
    <cellStyle name="Normal 8 3 4 5 2" xfId="6076" xr:uid="{1466911D-8B12-48D4-ACD5-DDBFF0CB24E3}"/>
    <cellStyle name="Normal 8 3 4 5 2 2" xfId="13936" xr:uid="{4B8046C3-E863-463C-84D6-1B95FF174B88}"/>
    <cellStyle name="Normal 8 3 4 5 3" xfId="10016" xr:uid="{81CCF7B2-EDE3-40AB-B598-94539BAF6CC9}"/>
    <cellStyle name="Normal 8 3 4 6" xfId="4122" xr:uid="{DED64FC8-8371-4F01-AE63-51B68AF50E7D}"/>
    <cellStyle name="Normal 8 3 4 6 2" xfId="11982" xr:uid="{0B7EEC7A-6BC0-4921-913E-47DF5DBE75DD}"/>
    <cellStyle name="Normal 8 3 4 7" xfId="8060" xr:uid="{7831964D-70B3-4E4F-9A3B-E91E9C0880B4}"/>
    <cellStyle name="Normal 8 3 5" xfId="108" xr:uid="{00000000-0005-0000-0000-0000F20B0000}"/>
    <cellStyle name="Normal 8 3 5 2" xfId="560" xr:uid="{00000000-0005-0000-0000-0000F30B0000}"/>
    <cellStyle name="Normal 8 3 5 2 2" xfId="2514" xr:uid="{00000000-0005-0000-0000-0000F40B0000}"/>
    <cellStyle name="Normal 8 3 5 2 2 2" xfId="6435" xr:uid="{CCC29898-CC1F-491B-88D3-338F55A59A4B}"/>
    <cellStyle name="Normal 8 3 5 2 2 2 2" xfId="14295" xr:uid="{21B4990C-304C-4E46-AF83-074B55DFF26A}"/>
    <cellStyle name="Normal 8 3 5 2 2 3" xfId="10375" xr:uid="{014E88F3-91B3-45CF-B25A-EBACC00BA615}"/>
    <cellStyle name="Normal 8 3 5 2 3" xfId="4481" xr:uid="{FE4B5C93-77D8-497C-BCCD-4209066A0140}"/>
    <cellStyle name="Normal 8 3 5 2 3 2" xfId="12341" xr:uid="{BAA31030-CE81-4A76-8BE6-71C12697BD5F}"/>
    <cellStyle name="Normal 8 3 5 2 4" xfId="8422" xr:uid="{77440D3E-B684-476D-B606-F898A8CF18DA}"/>
    <cellStyle name="Normal 8 3 5 3" xfId="997" xr:uid="{00000000-0005-0000-0000-0000F50B0000}"/>
    <cellStyle name="Normal 8 3 5 3 2" xfId="2951" xr:uid="{00000000-0005-0000-0000-0000F60B0000}"/>
    <cellStyle name="Normal 8 3 5 3 2 2" xfId="6872" xr:uid="{32E10646-F595-406A-A7BE-686672D98967}"/>
    <cellStyle name="Normal 8 3 5 3 2 2 2" xfId="14732" xr:uid="{F3D3F3CC-3356-4777-9D11-6B8B22C71743}"/>
    <cellStyle name="Normal 8 3 5 3 2 3" xfId="10812" xr:uid="{6E0A4A52-04DE-4CDB-9AF7-82E3C95D8B1E}"/>
    <cellStyle name="Normal 8 3 5 3 3" xfId="4918" xr:uid="{08869092-37B4-4F68-BB83-15C8940880C4}"/>
    <cellStyle name="Normal 8 3 5 3 3 2" xfId="12778" xr:uid="{51841BEB-254A-433F-AD0C-C1D162E85D05}"/>
    <cellStyle name="Normal 8 3 5 3 4" xfId="8859" xr:uid="{F906B0D1-D2FE-4C0F-80E0-A3E48A4D357C}"/>
    <cellStyle name="Normal 8 3 5 4" xfId="1424" xr:uid="{00000000-0005-0000-0000-0000F70B0000}"/>
    <cellStyle name="Normal 8 3 5 4 2" xfId="3378" xr:uid="{00000000-0005-0000-0000-0000F80B0000}"/>
    <cellStyle name="Normal 8 3 5 4 2 2" xfId="7299" xr:uid="{C0861F7F-79B4-4968-9D9E-8F054E6A12A3}"/>
    <cellStyle name="Normal 8 3 5 4 2 2 2" xfId="15159" xr:uid="{2980D02E-C837-489C-A99E-CE0DC51D9083}"/>
    <cellStyle name="Normal 8 3 5 4 2 3" xfId="11239" xr:uid="{F40BF550-1909-407D-A718-1AAB99BE92C6}"/>
    <cellStyle name="Normal 8 3 5 4 3" xfId="5345" xr:uid="{82FB2DA5-D998-4A52-9345-69DA8E694248}"/>
    <cellStyle name="Normal 8 3 5 4 3 2" xfId="13205" xr:uid="{BF96F96E-2897-47B1-A4DD-870C976763AD}"/>
    <cellStyle name="Normal 8 3 5 4 4" xfId="9286" xr:uid="{64F776A9-1925-4EC0-BF81-4B350EB0DE05}"/>
    <cellStyle name="Normal 8 3 5 5" xfId="2077" xr:uid="{00000000-0005-0000-0000-0000F90B0000}"/>
    <cellStyle name="Normal 8 3 5 5 2" xfId="5998" xr:uid="{A5A77DB0-5EAB-4429-B39A-B694C1B15866}"/>
    <cellStyle name="Normal 8 3 5 5 2 2" xfId="13858" xr:uid="{9CA30920-3C11-485D-B6C8-68FD641B32C3}"/>
    <cellStyle name="Normal 8 3 5 5 3" xfId="9938" xr:uid="{8FE81B34-D257-43C0-9B73-370BE9EC6CFA}"/>
    <cellStyle name="Normal 8 3 5 6" xfId="4044" xr:uid="{6C4A97B3-11B4-4B2B-9F0A-E0B85B54E1F6}"/>
    <cellStyle name="Normal 8 3 5 6 2" xfId="11904" xr:uid="{B8272905-6A98-4739-B982-4ECFD56BA4F8}"/>
    <cellStyle name="Normal 8 3 5 7" xfId="7982" xr:uid="{F41B8EE1-1786-44C7-BAFC-BA51797B0279}"/>
    <cellStyle name="Normal 8 3 6" xfId="285" xr:uid="{00000000-0005-0000-0000-0000FA0B0000}"/>
    <cellStyle name="Normal 8 3 6 2" xfId="737" xr:uid="{00000000-0005-0000-0000-0000FB0B0000}"/>
    <cellStyle name="Normal 8 3 6 2 2" xfId="2691" xr:uid="{00000000-0005-0000-0000-0000FC0B0000}"/>
    <cellStyle name="Normal 8 3 6 2 2 2" xfId="6612" xr:uid="{208950EA-F317-4BFD-94BD-78CD4FDD3E68}"/>
    <cellStyle name="Normal 8 3 6 2 2 2 2" xfId="14472" xr:uid="{7BEF9CDC-02EE-4EED-A282-B81ECFDC6320}"/>
    <cellStyle name="Normal 8 3 6 2 2 3" xfId="10552" xr:uid="{295644E8-50A7-45ED-BD0C-4BD516ACF71A}"/>
    <cellStyle name="Normal 8 3 6 2 3" xfId="4658" xr:uid="{3C0BE458-0BFC-4118-A136-3D7F7FE21A4A}"/>
    <cellStyle name="Normal 8 3 6 2 3 2" xfId="12518" xr:uid="{C24A5BE5-D386-475F-90B4-D7C321E3B36C}"/>
    <cellStyle name="Normal 8 3 6 2 4" xfId="8599" xr:uid="{C4324C47-E8C0-4181-85A9-353D6D1AB3D0}"/>
    <cellStyle name="Normal 8 3 6 3" xfId="1173" xr:uid="{00000000-0005-0000-0000-0000FD0B0000}"/>
    <cellStyle name="Normal 8 3 6 3 2" xfId="3127" xr:uid="{00000000-0005-0000-0000-0000FE0B0000}"/>
    <cellStyle name="Normal 8 3 6 3 2 2" xfId="7048" xr:uid="{995A74E3-F5F4-4AF2-B516-C2A7B602A650}"/>
    <cellStyle name="Normal 8 3 6 3 2 2 2" xfId="14908" xr:uid="{B373832D-3103-4D87-9A06-345F0375485A}"/>
    <cellStyle name="Normal 8 3 6 3 2 3" xfId="10988" xr:uid="{52C336C0-44DD-4396-87E7-E6D0004EBB98}"/>
    <cellStyle name="Normal 8 3 6 3 3" xfId="5094" xr:uid="{CF3B77FC-AF76-499B-AA6D-6BF9720E3EE1}"/>
    <cellStyle name="Normal 8 3 6 3 3 2" xfId="12954" xr:uid="{D708BB1F-B3AA-4270-8663-AB9E0E62194C}"/>
    <cellStyle name="Normal 8 3 6 3 4" xfId="9035" xr:uid="{56566B87-AF99-4950-A31C-90D5E765BC08}"/>
    <cellStyle name="Normal 8 3 6 4" xfId="1593" xr:uid="{00000000-0005-0000-0000-0000FF0B0000}"/>
    <cellStyle name="Normal 8 3 6 4 2" xfId="3547" xr:uid="{00000000-0005-0000-0000-0000000C0000}"/>
    <cellStyle name="Normal 8 3 6 4 2 2" xfId="7468" xr:uid="{DB8690A9-37D1-4801-A00A-E36097ECA0D6}"/>
    <cellStyle name="Normal 8 3 6 4 2 2 2" xfId="15328" xr:uid="{2B785CA1-7B43-4E85-BB45-91FD5B531D17}"/>
    <cellStyle name="Normal 8 3 6 4 2 3" xfId="11408" xr:uid="{C87032AA-E2ED-46FA-A6D2-01AEB61014A4}"/>
    <cellStyle name="Normal 8 3 6 4 3" xfId="5514" xr:uid="{B8DC0369-A085-42FF-A66D-B576833E4080}"/>
    <cellStyle name="Normal 8 3 6 4 3 2" xfId="13374" xr:uid="{0BDB8C3C-E09F-440E-A158-2B95FB6DD53B}"/>
    <cellStyle name="Normal 8 3 6 4 4" xfId="9455" xr:uid="{8EF44450-4DBD-4E44-A217-F1E426A4AD37}"/>
    <cellStyle name="Normal 8 3 6 5" xfId="2247" xr:uid="{00000000-0005-0000-0000-0000010C0000}"/>
    <cellStyle name="Normal 8 3 6 5 2" xfId="6168" xr:uid="{3A6A686C-2755-4E42-92CC-D9855D1AA11B}"/>
    <cellStyle name="Normal 8 3 6 5 2 2" xfId="14028" xr:uid="{8A54F331-4369-42A3-8E9B-148D073C6115}"/>
    <cellStyle name="Normal 8 3 6 5 3" xfId="10108" xr:uid="{EAE9456F-1C8E-486F-8A10-4EAD5AF0190D}"/>
    <cellStyle name="Normal 8 3 6 6" xfId="4214" xr:uid="{A40C6C52-F4E2-4388-9C3C-72C92E8385F3}"/>
    <cellStyle name="Normal 8 3 6 6 2" xfId="12074" xr:uid="{13CC267D-917D-4876-A713-ED5D5F6662A0}"/>
    <cellStyle name="Normal 8 3 6 7" xfId="8153" xr:uid="{E374900C-8000-4F60-BE94-2AC09F1F9255}"/>
    <cellStyle name="Normal 8 3 7" xfId="384" xr:uid="{00000000-0005-0000-0000-0000020C0000}"/>
    <cellStyle name="Normal 8 3 7 2" xfId="835" xr:uid="{00000000-0005-0000-0000-0000030C0000}"/>
    <cellStyle name="Normal 8 3 7 2 2" xfId="2789" xr:uid="{00000000-0005-0000-0000-0000040C0000}"/>
    <cellStyle name="Normal 8 3 7 2 2 2" xfId="6710" xr:uid="{5DB1A4B5-8CD6-41B0-A7CE-A3B31F501F44}"/>
    <cellStyle name="Normal 8 3 7 2 2 2 2" xfId="14570" xr:uid="{6E1C9002-2461-40F8-A3CC-531FAB766A00}"/>
    <cellStyle name="Normal 8 3 7 2 2 3" xfId="10650" xr:uid="{0DE05DAB-C077-4288-B7C5-B4E77FFD666E}"/>
    <cellStyle name="Normal 8 3 7 2 3" xfId="4756" xr:uid="{1F05EC64-0551-47ED-A466-65A1E3871462}"/>
    <cellStyle name="Normal 8 3 7 2 3 2" xfId="12616" xr:uid="{A9FD9666-D990-4943-B664-F88ED44AABF1}"/>
    <cellStyle name="Normal 8 3 7 2 4" xfId="8697" xr:uid="{DC124968-6B49-4939-9010-0EA4145148A8}"/>
    <cellStyle name="Normal 8 3 7 3" xfId="1267" xr:uid="{00000000-0005-0000-0000-0000050C0000}"/>
    <cellStyle name="Normal 8 3 7 3 2" xfId="3221" xr:uid="{00000000-0005-0000-0000-0000060C0000}"/>
    <cellStyle name="Normal 8 3 7 3 2 2" xfId="7142" xr:uid="{7DD41575-D12B-40B5-8203-C3AFA6D93B76}"/>
    <cellStyle name="Normal 8 3 7 3 2 2 2" xfId="15002" xr:uid="{046700E7-0742-4AAC-BEDC-94A2B6103199}"/>
    <cellStyle name="Normal 8 3 7 3 2 3" xfId="11082" xr:uid="{CE488121-358C-41CA-92A2-238F9C01FADB}"/>
    <cellStyle name="Normal 8 3 7 3 3" xfId="5188" xr:uid="{A83D7810-3732-4A18-945F-B1C7700E0661}"/>
    <cellStyle name="Normal 8 3 7 3 3 2" xfId="13048" xr:uid="{E971ED7D-D459-420A-9685-D67BCAFE2D37}"/>
    <cellStyle name="Normal 8 3 7 3 4" xfId="9129" xr:uid="{D2C58202-3EF4-49C0-A215-4A80AC6AB494}"/>
    <cellStyle name="Normal 8 3 7 4" xfId="1685" xr:uid="{00000000-0005-0000-0000-0000070C0000}"/>
    <cellStyle name="Normal 8 3 7 4 2" xfId="3639" xr:uid="{00000000-0005-0000-0000-0000080C0000}"/>
    <cellStyle name="Normal 8 3 7 4 2 2" xfId="7560" xr:uid="{0A5844BA-C64F-41AC-BFFA-782A5D96CFCF}"/>
    <cellStyle name="Normal 8 3 7 4 2 2 2" xfId="15420" xr:uid="{C64C7B4C-1AF5-4AD6-90B5-FE6BDBEE9598}"/>
    <cellStyle name="Normal 8 3 7 4 2 3" xfId="11500" xr:uid="{272BD059-2F57-4A0F-A6D0-233F852E88BE}"/>
    <cellStyle name="Normal 8 3 7 4 3" xfId="5606" xr:uid="{5F8B5FF7-53F5-43CB-883A-1F905574CDB4}"/>
    <cellStyle name="Normal 8 3 7 4 3 2" xfId="13466" xr:uid="{9840D8CE-0AB4-4093-964D-947C30AD6F74}"/>
    <cellStyle name="Normal 8 3 7 4 4" xfId="9547" xr:uid="{C9F311AE-0FB2-49A0-8570-2A05D3DDBFE6}"/>
    <cellStyle name="Normal 8 3 7 5" xfId="2339" xr:uid="{00000000-0005-0000-0000-0000090C0000}"/>
    <cellStyle name="Normal 8 3 7 5 2" xfId="6260" xr:uid="{302A71C9-6F5A-4F8C-A865-81388C7549C3}"/>
    <cellStyle name="Normal 8 3 7 5 2 2" xfId="14120" xr:uid="{AC3317AB-015B-4EC1-917E-5170904BA412}"/>
    <cellStyle name="Normal 8 3 7 5 3" xfId="10200" xr:uid="{1D22CFA5-3E1A-4A2A-B0F3-9B804D41EE83}"/>
    <cellStyle name="Normal 8 3 7 6" xfId="4306" xr:uid="{64FA57CC-3235-4284-8BA8-36D83B3B758E}"/>
    <cellStyle name="Normal 8 3 7 6 2" xfId="12166" xr:uid="{9E264A7B-0A91-45B7-95E6-017D782D39D9}"/>
    <cellStyle name="Normal 8 3 7 7" xfId="8247" xr:uid="{FF546EEA-E08E-45D4-80B1-E0F7918EDCA4}"/>
    <cellStyle name="Normal 8 3 8" xfId="481" xr:uid="{00000000-0005-0000-0000-00000A0C0000}"/>
    <cellStyle name="Normal 8 3 8 2" xfId="2435" xr:uid="{00000000-0005-0000-0000-00000B0C0000}"/>
    <cellStyle name="Normal 8 3 8 2 2" xfId="6356" xr:uid="{657B9190-2E1D-4733-AAE4-6B980B576475}"/>
    <cellStyle name="Normal 8 3 8 2 2 2" xfId="14216" xr:uid="{1D5F349C-EBA1-4CED-8935-74B90F76982E}"/>
    <cellStyle name="Normal 8 3 8 2 3" xfId="10296" xr:uid="{9BA7D8C9-82FC-4B61-AD4E-39F4E28CD59D}"/>
    <cellStyle name="Normal 8 3 8 3" xfId="4402" xr:uid="{22A8CD82-776A-468D-95ED-B28B07D7E0A3}"/>
    <cellStyle name="Normal 8 3 8 3 2" xfId="12262" xr:uid="{B0959D38-FEE1-4F1B-A6FD-A34A051BFBEC}"/>
    <cellStyle name="Normal 8 3 8 4" xfId="8343" xr:uid="{815581CD-79BB-49DF-95F0-0EFA614D22D4}"/>
    <cellStyle name="Normal 8 3 9" xfId="917" xr:uid="{00000000-0005-0000-0000-00000C0C0000}"/>
    <cellStyle name="Normal 8 3 9 2" xfId="2871" xr:uid="{00000000-0005-0000-0000-00000D0C0000}"/>
    <cellStyle name="Normal 8 3 9 2 2" xfId="6792" xr:uid="{0C632F43-D1DC-4091-817C-E46DF645E638}"/>
    <cellStyle name="Normal 8 3 9 2 2 2" xfId="14652" xr:uid="{64B1B51E-89F2-42A3-A296-D6D53FF0F93C}"/>
    <cellStyle name="Normal 8 3 9 2 3" xfId="10732" xr:uid="{0BF05BA0-0EF5-40DC-95B4-FEC535D182E7}"/>
    <cellStyle name="Normal 8 3 9 3" xfId="4838" xr:uid="{D76E441E-04E0-4C43-AAC0-5D36D57591B4}"/>
    <cellStyle name="Normal 8 3 9 3 2" xfId="12698" xr:uid="{1CE7F672-B739-4664-9F70-B53434B04C81}"/>
    <cellStyle name="Normal 8 3 9 4" xfId="8779" xr:uid="{80DE08E6-29DA-4772-A44F-47CB3F5695F7}"/>
    <cellStyle name="Normal 8 4" xfId="47" xr:uid="{00000000-0005-0000-0000-00000E0C0000}"/>
    <cellStyle name="Normal 8 4 10" xfId="3983" xr:uid="{A984E78D-E2B6-412C-ABD4-1D5F8E149B23}"/>
    <cellStyle name="Normal 8 4 10 2" xfId="11843" xr:uid="{8B3EBAA1-C6C8-4C5C-80C2-EACCDDF32703}"/>
    <cellStyle name="Normal 8 4 11" xfId="7921" xr:uid="{6B3DD194-E0EF-4E4A-8176-898A837A6F66}"/>
    <cellStyle name="Normal 8 4 2" xfId="203" xr:uid="{00000000-0005-0000-0000-00000F0C0000}"/>
    <cellStyle name="Normal 8 4 2 2" xfId="655" xr:uid="{00000000-0005-0000-0000-0000100C0000}"/>
    <cellStyle name="Normal 8 4 2 2 2" xfId="2609" xr:uid="{00000000-0005-0000-0000-0000110C0000}"/>
    <cellStyle name="Normal 8 4 2 2 2 2" xfId="6530" xr:uid="{66D46E9C-99C7-48DB-B0DF-5BA2155AC274}"/>
    <cellStyle name="Normal 8 4 2 2 2 2 2" xfId="14390" xr:uid="{9DCBB293-3014-4D6A-8141-0408F8551CF8}"/>
    <cellStyle name="Normal 8 4 2 2 2 3" xfId="10470" xr:uid="{BB4EF1F0-20A2-475C-B8FC-3F3868EDFF9C}"/>
    <cellStyle name="Normal 8 4 2 2 3" xfId="4576" xr:uid="{9CC385F6-A95B-40E1-A68A-C9D57E4E62DB}"/>
    <cellStyle name="Normal 8 4 2 2 3 2" xfId="12436" xr:uid="{BC715D81-E197-492A-B1CF-FC1EEEC80F3F}"/>
    <cellStyle name="Normal 8 4 2 2 4" xfId="8517" xr:uid="{F2E8BBB7-2FCF-43D4-A48A-79CE61169E25}"/>
    <cellStyle name="Normal 8 4 2 3" xfId="1092" xr:uid="{00000000-0005-0000-0000-0000120C0000}"/>
    <cellStyle name="Normal 8 4 2 3 2" xfId="3046" xr:uid="{00000000-0005-0000-0000-0000130C0000}"/>
    <cellStyle name="Normal 8 4 2 3 2 2" xfId="6967" xr:uid="{06D94304-4B87-4FE5-BD52-F1D6F50598C9}"/>
    <cellStyle name="Normal 8 4 2 3 2 2 2" xfId="14827" xr:uid="{D33427DA-6B88-4342-96DB-2E3D18FEAEA9}"/>
    <cellStyle name="Normal 8 4 2 3 2 3" xfId="10907" xr:uid="{E48E1AC2-46A2-4172-8EF8-422510BE0B1A}"/>
    <cellStyle name="Normal 8 4 2 3 3" xfId="5013" xr:uid="{4072E701-7780-4FD8-9CFB-2E92EC38DB4F}"/>
    <cellStyle name="Normal 8 4 2 3 3 2" xfId="12873" xr:uid="{307757A4-3EFA-4655-86B3-6DDA620C31D0}"/>
    <cellStyle name="Normal 8 4 2 3 4" xfId="8954" xr:uid="{55EC34E2-3768-43E5-BBFB-F3A0693E6C92}"/>
    <cellStyle name="Normal 8 4 2 4" xfId="1519" xr:uid="{00000000-0005-0000-0000-0000140C0000}"/>
    <cellStyle name="Normal 8 4 2 4 2" xfId="3473" xr:uid="{00000000-0005-0000-0000-0000150C0000}"/>
    <cellStyle name="Normal 8 4 2 4 2 2" xfId="7394" xr:uid="{83C1DB3A-ED08-4028-932E-6652AD132991}"/>
    <cellStyle name="Normal 8 4 2 4 2 2 2" xfId="15254" xr:uid="{77C06D31-4752-4C79-9655-3C723AA02DBE}"/>
    <cellStyle name="Normal 8 4 2 4 2 3" xfId="11334" xr:uid="{163933F1-1B29-4E96-AA94-E9FF13C98131}"/>
    <cellStyle name="Normal 8 4 2 4 3" xfId="5440" xr:uid="{473B2F34-D75C-449F-96B6-DD899C37ECE8}"/>
    <cellStyle name="Normal 8 4 2 4 3 2" xfId="13300" xr:uid="{69B0D4F1-C4BB-4B7B-867C-13A2627FDFC8}"/>
    <cellStyle name="Normal 8 4 2 4 4" xfId="9381" xr:uid="{DE5028F7-3E8F-4FDB-8107-3F3D32F2F30A}"/>
    <cellStyle name="Normal 8 4 2 5" xfId="2172" xr:uid="{00000000-0005-0000-0000-0000160C0000}"/>
    <cellStyle name="Normal 8 4 2 5 2" xfId="6093" xr:uid="{A6A90552-C8F2-48EA-B594-25AC88A3842F}"/>
    <cellStyle name="Normal 8 4 2 5 2 2" xfId="13953" xr:uid="{70FCE274-C1FD-4394-8D4E-EB53EE575A19}"/>
    <cellStyle name="Normal 8 4 2 5 3" xfId="10033" xr:uid="{1E85B73F-3741-40C0-B79D-03F78E6C62D0}"/>
    <cellStyle name="Normal 8 4 2 6" xfId="4139" xr:uid="{FFB324D8-7D56-4E86-BD2B-2AE2385DC8B0}"/>
    <cellStyle name="Normal 8 4 2 6 2" xfId="11999" xr:uid="{1139E2F9-E41B-4963-8FCD-76099ACBD711}"/>
    <cellStyle name="Normal 8 4 2 7" xfId="8077" xr:uid="{FF452F46-CB2C-4764-8169-68249BD84BFC}"/>
    <cellStyle name="Normal 8 4 3" xfId="125" xr:uid="{00000000-0005-0000-0000-0000170C0000}"/>
    <cellStyle name="Normal 8 4 3 2" xfId="577" xr:uid="{00000000-0005-0000-0000-0000180C0000}"/>
    <cellStyle name="Normal 8 4 3 2 2" xfId="2531" xr:uid="{00000000-0005-0000-0000-0000190C0000}"/>
    <cellStyle name="Normal 8 4 3 2 2 2" xfId="6452" xr:uid="{A5E19E3E-C30B-49DF-A433-3C7E2E6790BD}"/>
    <cellStyle name="Normal 8 4 3 2 2 2 2" xfId="14312" xr:uid="{6D20FEDE-2093-458C-8FDF-29EF9EA25296}"/>
    <cellStyle name="Normal 8 4 3 2 2 3" xfId="10392" xr:uid="{63E4F692-C49D-4952-9C75-F3924EEE39FC}"/>
    <cellStyle name="Normal 8 4 3 2 3" xfId="4498" xr:uid="{859C9F1D-D2F8-4E54-BE5A-776B2A07AFB4}"/>
    <cellStyle name="Normal 8 4 3 2 3 2" xfId="12358" xr:uid="{52BFD1AA-394C-401B-B264-D17A9078BE4F}"/>
    <cellStyle name="Normal 8 4 3 2 4" xfId="8439" xr:uid="{616B10F5-7250-494A-A297-E2F90180D917}"/>
    <cellStyle name="Normal 8 4 3 3" xfId="1014" xr:uid="{00000000-0005-0000-0000-00001A0C0000}"/>
    <cellStyle name="Normal 8 4 3 3 2" xfId="2968" xr:uid="{00000000-0005-0000-0000-00001B0C0000}"/>
    <cellStyle name="Normal 8 4 3 3 2 2" xfId="6889" xr:uid="{E2D917EB-0DFD-469A-A4AF-CDF5B4038CE8}"/>
    <cellStyle name="Normal 8 4 3 3 2 2 2" xfId="14749" xr:uid="{5A46D82E-A7A4-49E2-9FF3-DF19EB54FCE5}"/>
    <cellStyle name="Normal 8 4 3 3 2 3" xfId="10829" xr:uid="{410B83F5-1099-468E-B85D-C8853713FE7F}"/>
    <cellStyle name="Normal 8 4 3 3 3" xfId="4935" xr:uid="{68A89536-0786-453A-BB9E-7610323E0376}"/>
    <cellStyle name="Normal 8 4 3 3 3 2" xfId="12795" xr:uid="{EACD7BF7-1ACF-4391-A3AD-77F6D5FF459C}"/>
    <cellStyle name="Normal 8 4 3 3 4" xfId="8876" xr:uid="{C1DB64AD-A0B5-49A4-A299-449287EBC34A}"/>
    <cellStyle name="Normal 8 4 3 4" xfId="1441" xr:uid="{00000000-0005-0000-0000-00001C0C0000}"/>
    <cellStyle name="Normal 8 4 3 4 2" xfId="3395" xr:uid="{00000000-0005-0000-0000-00001D0C0000}"/>
    <cellStyle name="Normal 8 4 3 4 2 2" xfId="7316" xr:uid="{F4F9FE02-8F1C-4376-A22B-3282A62AE7B4}"/>
    <cellStyle name="Normal 8 4 3 4 2 2 2" xfId="15176" xr:uid="{DF3D5962-D4CB-4564-A7EE-6B8F11C38373}"/>
    <cellStyle name="Normal 8 4 3 4 2 3" xfId="11256" xr:uid="{E447C5A5-0D45-48CE-A29F-0728A136C895}"/>
    <cellStyle name="Normal 8 4 3 4 3" xfId="5362" xr:uid="{46D506D1-CA9C-48AD-B299-814AC4796BF8}"/>
    <cellStyle name="Normal 8 4 3 4 3 2" xfId="13222" xr:uid="{3B508522-5912-4FBF-89D7-C38A7761086B}"/>
    <cellStyle name="Normal 8 4 3 4 4" xfId="9303" xr:uid="{A7B85B14-CEFF-4CE4-A811-E66123C2F858}"/>
    <cellStyle name="Normal 8 4 3 5" xfId="2094" xr:uid="{00000000-0005-0000-0000-00001E0C0000}"/>
    <cellStyle name="Normal 8 4 3 5 2" xfId="6015" xr:uid="{7E7A5559-6FBE-4D97-98C8-703D4E876E96}"/>
    <cellStyle name="Normal 8 4 3 5 2 2" xfId="13875" xr:uid="{B2B9842E-3D6E-487D-9207-CC7AE925269B}"/>
    <cellStyle name="Normal 8 4 3 5 3" xfId="9955" xr:uid="{43CA77C3-A4D0-4AA7-96B3-154131D909B3}"/>
    <cellStyle name="Normal 8 4 3 6" xfId="4061" xr:uid="{E7A31CF0-7F39-4D36-BFF2-42B708DD51A2}"/>
    <cellStyle name="Normal 8 4 3 6 2" xfId="11921" xr:uid="{3CF7B206-759A-4256-AF79-A8887443856B}"/>
    <cellStyle name="Normal 8 4 3 7" xfId="7999" xr:uid="{A8C25631-1D3A-45BB-96D4-A9124CB9A39E}"/>
    <cellStyle name="Normal 8 4 4" xfId="310" xr:uid="{00000000-0005-0000-0000-00001F0C0000}"/>
    <cellStyle name="Normal 8 4 4 2" xfId="762" xr:uid="{00000000-0005-0000-0000-0000200C0000}"/>
    <cellStyle name="Normal 8 4 4 2 2" xfId="2716" xr:uid="{00000000-0005-0000-0000-0000210C0000}"/>
    <cellStyle name="Normal 8 4 4 2 2 2" xfId="6637" xr:uid="{6F9AC053-7E7E-4288-AD09-A53227505DF0}"/>
    <cellStyle name="Normal 8 4 4 2 2 2 2" xfId="14497" xr:uid="{8F728A95-72F6-4CA0-981A-C166A52B9A54}"/>
    <cellStyle name="Normal 8 4 4 2 2 3" xfId="10577" xr:uid="{40433408-804B-48BC-A8EC-2335CE500F9A}"/>
    <cellStyle name="Normal 8 4 4 2 3" xfId="4683" xr:uid="{191B16A8-F4F9-4D79-B4DB-2A8E7B593DF7}"/>
    <cellStyle name="Normal 8 4 4 2 3 2" xfId="12543" xr:uid="{9C295802-2E41-49BE-A9E6-FC40B256403B}"/>
    <cellStyle name="Normal 8 4 4 2 4" xfId="8624" xr:uid="{5137F414-1492-4CE5-8820-DED56C253DF5}"/>
    <cellStyle name="Normal 8 4 4 3" xfId="1197" xr:uid="{00000000-0005-0000-0000-0000220C0000}"/>
    <cellStyle name="Normal 8 4 4 3 2" xfId="3151" xr:uid="{00000000-0005-0000-0000-0000230C0000}"/>
    <cellStyle name="Normal 8 4 4 3 2 2" xfId="7072" xr:uid="{32CB136B-1CB7-4DED-9704-F406FB57411A}"/>
    <cellStyle name="Normal 8 4 4 3 2 2 2" xfId="14932" xr:uid="{A2EABF35-0E8C-4329-84C7-95698EA62774}"/>
    <cellStyle name="Normal 8 4 4 3 2 3" xfId="11012" xr:uid="{80ED0FFB-E480-44C1-A9CD-D777BAD88CCD}"/>
    <cellStyle name="Normal 8 4 4 3 3" xfId="5118" xr:uid="{13779298-6DE7-440C-8DF6-F55D31C995DD}"/>
    <cellStyle name="Normal 8 4 4 3 3 2" xfId="12978" xr:uid="{48F0D7C2-1E9D-46E6-9610-5544B9EB68E0}"/>
    <cellStyle name="Normal 8 4 4 3 4" xfId="9059" xr:uid="{75C2B7A2-80C3-4912-8E55-4AF92DAC90BC}"/>
    <cellStyle name="Normal 8 4 4 4" xfId="1617" xr:uid="{00000000-0005-0000-0000-0000240C0000}"/>
    <cellStyle name="Normal 8 4 4 4 2" xfId="3571" xr:uid="{00000000-0005-0000-0000-0000250C0000}"/>
    <cellStyle name="Normal 8 4 4 4 2 2" xfId="7492" xr:uid="{E060F7E4-C434-4A7D-9E64-1565B86C4921}"/>
    <cellStyle name="Normal 8 4 4 4 2 2 2" xfId="15352" xr:uid="{70D77BDE-26F3-47D5-8F98-671BE37F8ED3}"/>
    <cellStyle name="Normal 8 4 4 4 2 3" xfId="11432" xr:uid="{FB2AAA8F-F771-47C3-8F29-5BF9BEAD2AF8}"/>
    <cellStyle name="Normal 8 4 4 4 3" xfId="5538" xr:uid="{54E03FBD-1D32-4D7E-BB5F-A29550588C28}"/>
    <cellStyle name="Normal 8 4 4 4 3 2" xfId="13398" xr:uid="{11DCD7A9-FDBA-4EE5-896A-28FB02165EBD}"/>
    <cellStyle name="Normal 8 4 4 4 4" xfId="9479" xr:uid="{64D09527-A9C2-49E6-A56A-24C4619C8215}"/>
    <cellStyle name="Normal 8 4 4 5" xfId="2271" xr:uid="{00000000-0005-0000-0000-0000260C0000}"/>
    <cellStyle name="Normal 8 4 4 5 2" xfId="6192" xr:uid="{55C87FED-0735-43E4-ADCD-34C45F2E2DE2}"/>
    <cellStyle name="Normal 8 4 4 5 2 2" xfId="14052" xr:uid="{F0D52C84-EBF8-49F9-8AD4-5543F2BC6E47}"/>
    <cellStyle name="Normal 8 4 4 5 3" xfId="10132" xr:uid="{8417FDEF-3FB5-4EE2-9C93-1D037036CBFA}"/>
    <cellStyle name="Normal 8 4 4 6" xfId="4238" xr:uid="{4A92D45E-151F-4F55-B59C-8490216000E8}"/>
    <cellStyle name="Normal 8 4 4 6 2" xfId="12098" xr:uid="{898FE402-566B-4663-B2CC-B4558DC8D297}"/>
    <cellStyle name="Normal 8 4 4 7" xfId="8177" xr:uid="{A3E609BC-E790-494A-933A-A7169BCD618B}"/>
    <cellStyle name="Normal 8 4 5" xfId="408" xr:uid="{00000000-0005-0000-0000-0000270C0000}"/>
    <cellStyle name="Normal 8 4 5 2" xfId="859" xr:uid="{00000000-0005-0000-0000-0000280C0000}"/>
    <cellStyle name="Normal 8 4 5 2 2" xfId="2813" xr:uid="{00000000-0005-0000-0000-0000290C0000}"/>
    <cellStyle name="Normal 8 4 5 2 2 2" xfId="6734" xr:uid="{9EDDD863-7439-420E-8D5D-A1DE0A6291EE}"/>
    <cellStyle name="Normal 8 4 5 2 2 2 2" xfId="14594" xr:uid="{991C468B-E69A-4FED-AA22-1146D6F3168C}"/>
    <cellStyle name="Normal 8 4 5 2 2 3" xfId="10674" xr:uid="{80A74D56-DEF6-45F5-A3F0-A41C17BF16B2}"/>
    <cellStyle name="Normal 8 4 5 2 3" xfId="4780" xr:uid="{89056017-DDFA-4D5E-91F7-46538FAEBF68}"/>
    <cellStyle name="Normal 8 4 5 2 3 2" xfId="12640" xr:uid="{9A3470AB-0B2E-42FE-AEFB-ACC76D5A287A}"/>
    <cellStyle name="Normal 8 4 5 2 4" xfId="8721" xr:uid="{BDED5635-081A-420B-B5D1-3CFE8C35AED0}"/>
    <cellStyle name="Normal 8 4 5 3" xfId="1291" xr:uid="{00000000-0005-0000-0000-00002A0C0000}"/>
    <cellStyle name="Normal 8 4 5 3 2" xfId="3245" xr:uid="{00000000-0005-0000-0000-00002B0C0000}"/>
    <cellStyle name="Normal 8 4 5 3 2 2" xfId="7166" xr:uid="{B3DB019D-8FBD-4A27-B1D2-A9D86B8E5F4F}"/>
    <cellStyle name="Normal 8 4 5 3 2 2 2" xfId="15026" xr:uid="{62B099BB-A9A5-40AA-B882-C896879D3793}"/>
    <cellStyle name="Normal 8 4 5 3 2 3" xfId="11106" xr:uid="{4AE9DFAC-9BFD-4C2A-A8FC-46B68DF9F70C}"/>
    <cellStyle name="Normal 8 4 5 3 3" xfId="5212" xr:uid="{664D9FEB-459C-409A-8C4D-06FB79C0BDFE}"/>
    <cellStyle name="Normal 8 4 5 3 3 2" xfId="13072" xr:uid="{468B8401-707A-4176-A148-B33A7331FE31}"/>
    <cellStyle name="Normal 8 4 5 3 4" xfId="9153" xr:uid="{D7AD43F9-4011-49BE-AD98-DAAF3D5F5679}"/>
    <cellStyle name="Normal 8 4 5 4" xfId="1709" xr:uid="{00000000-0005-0000-0000-00002C0C0000}"/>
    <cellStyle name="Normal 8 4 5 4 2" xfId="3663" xr:uid="{00000000-0005-0000-0000-00002D0C0000}"/>
    <cellStyle name="Normal 8 4 5 4 2 2" xfId="7584" xr:uid="{53BA9979-56E7-48F1-A042-1DF87901B1C4}"/>
    <cellStyle name="Normal 8 4 5 4 2 2 2" xfId="15444" xr:uid="{C17D413F-0B22-4768-956C-81D114839276}"/>
    <cellStyle name="Normal 8 4 5 4 2 3" xfId="11524" xr:uid="{22CDE783-D6C3-4715-ABDF-58BBA914D41C}"/>
    <cellStyle name="Normal 8 4 5 4 3" xfId="5630" xr:uid="{E49E83A2-C5D4-4D09-899E-AE73177CC720}"/>
    <cellStyle name="Normal 8 4 5 4 3 2" xfId="13490" xr:uid="{5C4E5A30-A244-40A9-965F-93D5FD00507A}"/>
    <cellStyle name="Normal 8 4 5 4 4" xfId="9571" xr:uid="{6DB6C0AA-C968-470F-94D0-B09543F9F8BB}"/>
    <cellStyle name="Normal 8 4 5 5" xfId="2363" xr:uid="{00000000-0005-0000-0000-00002E0C0000}"/>
    <cellStyle name="Normal 8 4 5 5 2" xfId="6284" xr:uid="{8BBBEF52-0369-4265-9918-1DD306FD0A8D}"/>
    <cellStyle name="Normal 8 4 5 5 2 2" xfId="14144" xr:uid="{E4B16BDB-DA2C-43BC-B89C-60D3D3A7F158}"/>
    <cellStyle name="Normal 8 4 5 5 3" xfId="10224" xr:uid="{0D2AA30B-7D70-491E-B855-655E9741EB5F}"/>
    <cellStyle name="Normal 8 4 5 6" xfId="4330" xr:uid="{B6F7A9CB-F1D3-4FE3-B4B5-F775FCD46F26}"/>
    <cellStyle name="Normal 8 4 5 6 2" xfId="12190" xr:uid="{C2D596FD-5768-47F2-A3BC-C2C4BEC4DAEF}"/>
    <cellStyle name="Normal 8 4 5 7" xfId="8271" xr:uid="{EF4C8783-F097-4707-9197-2D2FFE532184}"/>
    <cellStyle name="Normal 8 4 6" xfId="499" xr:uid="{00000000-0005-0000-0000-00002F0C0000}"/>
    <cellStyle name="Normal 8 4 6 2" xfId="2453" xr:uid="{00000000-0005-0000-0000-0000300C0000}"/>
    <cellStyle name="Normal 8 4 6 2 2" xfId="6374" xr:uid="{B4E428C4-8FDC-4BC5-982A-BB77636448D7}"/>
    <cellStyle name="Normal 8 4 6 2 2 2" xfId="14234" xr:uid="{4C898B94-B64C-4A19-804C-FC1502ABEBCE}"/>
    <cellStyle name="Normal 8 4 6 2 3" xfId="10314" xr:uid="{27EF673B-2202-4F9A-86A9-90595A07977C}"/>
    <cellStyle name="Normal 8 4 6 3" xfId="4420" xr:uid="{16CDEBCE-1349-4FC9-AB43-FD198E355EBE}"/>
    <cellStyle name="Normal 8 4 6 3 2" xfId="12280" xr:uid="{F0913963-D00A-450D-8E9C-970A0CD7C7FA}"/>
    <cellStyle name="Normal 8 4 6 4" xfId="8361" xr:uid="{228BFE31-B96D-4A2B-9AB9-5B5ADB783E7F}"/>
    <cellStyle name="Normal 8 4 7" xfId="936" xr:uid="{00000000-0005-0000-0000-0000310C0000}"/>
    <cellStyle name="Normal 8 4 7 2" xfId="2890" xr:uid="{00000000-0005-0000-0000-0000320C0000}"/>
    <cellStyle name="Normal 8 4 7 2 2" xfId="6811" xr:uid="{19F9590A-99AD-462E-99C0-AC7C5CF11449}"/>
    <cellStyle name="Normal 8 4 7 2 2 2" xfId="14671" xr:uid="{A4343591-B41D-4CB7-84DD-95F08B8548FD}"/>
    <cellStyle name="Normal 8 4 7 2 3" xfId="10751" xr:uid="{794D3F91-0831-4921-BA4B-F78FE79A8A6C}"/>
    <cellStyle name="Normal 8 4 7 3" xfId="4857" xr:uid="{133CBEDF-62B8-494A-8034-096E0DC0AEC0}"/>
    <cellStyle name="Normal 8 4 7 3 2" xfId="12717" xr:uid="{5BB1F837-D9A9-4CEF-9D7B-B404663EE8EC}"/>
    <cellStyle name="Normal 8 4 7 4" xfId="8798" xr:uid="{C65B7970-CDB4-4B0E-9CD8-91DFCBCF5D7C}"/>
    <cellStyle name="Normal 8 4 8" xfId="1363" xr:uid="{00000000-0005-0000-0000-0000330C0000}"/>
    <cellStyle name="Normal 8 4 8 2" xfId="3317" xr:uid="{00000000-0005-0000-0000-0000340C0000}"/>
    <cellStyle name="Normal 8 4 8 2 2" xfId="7238" xr:uid="{89AF35D4-0E72-4B34-A00D-EDB78A9A2409}"/>
    <cellStyle name="Normal 8 4 8 2 2 2" xfId="15098" xr:uid="{CE3E8AB2-BFDC-456D-AE2B-5DD403AFC2F3}"/>
    <cellStyle name="Normal 8 4 8 2 3" xfId="11178" xr:uid="{E54DE0E0-1C78-4DC5-B562-43224AFFE26C}"/>
    <cellStyle name="Normal 8 4 8 3" xfId="5284" xr:uid="{43F81B96-0341-438C-9A0C-225A25FF9A56}"/>
    <cellStyle name="Normal 8 4 8 3 2" xfId="13144" xr:uid="{FE7C3614-7E75-43FE-BAD5-252140594F52}"/>
    <cellStyle name="Normal 8 4 8 4" xfId="9225" xr:uid="{8DABDF3D-37C2-4D5B-A9D2-A5BD121AD486}"/>
    <cellStyle name="Normal 8 4 9" xfId="2016" xr:uid="{00000000-0005-0000-0000-0000350C0000}"/>
    <cellStyle name="Normal 8 4 9 2" xfId="5937" xr:uid="{824F3223-9369-49E8-AABA-BE3ECC62F9FA}"/>
    <cellStyle name="Normal 8 4 9 2 2" xfId="13797" xr:uid="{30B64327-589E-4523-B954-EA910BF3DE2A}"/>
    <cellStyle name="Normal 8 4 9 3" xfId="9877" xr:uid="{C3F6A2FE-4BE6-48BE-808D-A0788AEA75F8}"/>
    <cellStyle name="Normal 8 5" xfId="5" xr:uid="{00000000-0005-0000-0000-0000360C0000}"/>
    <cellStyle name="Normal 8 5 10" xfId="696" xr:uid="{00000000-0005-0000-0000-0000370C0000}"/>
    <cellStyle name="Normal 8 5 10 2" xfId="2650" xr:uid="{00000000-0005-0000-0000-0000380C0000}"/>
    <cellStyle name="Normal 8 5 10 2 2" xfId="6571" xr:uid="{C0B03BDA-2184-4A05-82A9-406133F2862D}"/>
    <cellStyle name="Normal 8 5 10 2 2 2" xfId="14431" xr:uid="{D6F0150B-F0EA-4D51-9FEE-7EDEC858A686}"/>
    <cellStyle name="Normal 8 5 10 2 3" xfId="10511" xr:uid="{E6FD5FA4-2548-41D7-AC32-481E40A82AA0}"/>
    <cellStyle name="Normal 8 5 10 3" xfId="4617" xr:uid="{9AC8F158-D144-46AB-89E4-F2420F6C2A4D}"/>
    <cellStyle name="Normal 8 5 10 3 2" xfId="12477" xr:uid="{6B26051B-417A-4F49-BDED-EBDB686A75ED}"/>
    <cellStyle name="Normal 8 5 10 4" xfId="8558" xr:uid="{14AC547E-E134-4BFB-B3AE-12AFFB77D6FE}"/>
    <cellStyle name="Normal 8 5 11" xfId="1133" xr:uid="{00000000-0005-0000-0000-0000390C0000}"/>
    <cellStyle name="Normal 8 5 11 2" xfId="3087" xr:uid="{00000000-0005-0000-0000-00003A0C0000}"/>
    <cellStyle name="Normal 8 5 11 2 2" xfId="7008" xr:uid="{B855E3C4-740E-4E93-B76F-E6391090967B}"/>
    <cellStyle name="Normal 8 5 11 2 2 2" xfId="14868" xr:uid="{CFE7B0AA-20DA-40F1-B4B7-B2B5A12B2C71}"/>
    <cellStyle name="Normal 8 5 11 2 3" xfId="10948" xr:uid="{18CCBF87-8E2F-4EB8-8E44-E526D088DD2A}"/>
    <cellStyle name="Normal 8 5 11 3" xfId="5054" xr:uid="{3CD327D4-0EE2-4E75-9EC3-50D49C3755CD}"/>
    <cellStyle name="Normal 8 5 11 3 2" xfId="12914" xr:uid="{FD16F65F-621F-4B78-BBEF-B8EE64AD3E94}"/>
    <cellStyle name="Normal 8 5 11 4" xfId="8995" xr:uid="{32296081-FF8A-4C1B-81EE-9D08B255C1D3}"/>
    <cellStyle name="Normal 8 5 12" xfId="1979" xr:uid="{00000000-0005-0000-0000-00003B0C0000}"/>
    <cellStyle name="Normal 8 5 12 2" xfId="5900" xr:uid="{C689842E-44F9-4458-BF2F-663F955166BD}"/>
    <cellStyle name="Normal 8 5 12 2 2" xfId="13760" xr:uid="{FC1E0C63-9E1C-44A8-B6A6-5285D63D4DE1}"/>
    <cellStyle name="Normal 8 5 12 3" xfId="9840" xr:uid="{09DA00D1-26E6-4F84-B50B-C7EDC88A9796}"/>
    <cellStyle name="Normal 8 5 13" xfId="3945" xr:uid="{C4425144-A7BF-4339-A422-FFD791C0F73B}"/>
    <cellStyle name="Normal 8 5 13 2" xfId="11805" xr:uid="{306B419D-FF27-4E65-8AF2-29557E8D1266}"/>
    <cellStyle name="Normal 8 5 14" xfId="7882" xr:uid="{DB5CAFA0-8B5C-4535-B115-B7051689994B}"/>
    <cellStyle name="Normal 8 5 2" xfId="19" xr:uid="{00000000-0005-0000-0000-00003C0C0000}"/>
    <cellStyle name="Normal 8 5 2 10" xfId="1990" xr:uid="{00000000-0005-0000-0000-00003D0C0000}"/>
    <cellStyle name="Normal 8 5 2 10 2" xfId="5911" xr:uid="{8B222249-EB4D-4C05-B7DD-362FD4A653F4}"/>
    <cellStyle name="Normal 8 5 2 10 2 2" xfId="13771" xr:uid="{4762C048-829B-4ABC-9231-A9E205E06668}"/>
    <cellStyle name="Normal 8 5 2 10 3" xfId="9851" xr:uid="{51A0A947-75F2-4BBC-ABA9-844F06EC690F}"/>
    <cellStyle name="Normal 8 5 2 11" xfId="3957" xr:uid="{A407B294-A8B6-4759-88E0-AE1E448CD1BC}"/>
    <cellStyle name="Normal 8 5 2 11 2" xfId="11817" xr:uid="{6D8B6563-F7BE-4FA4-8D42-B43FC9903B91}"/>
    <cellStyle name="Normal 8 5 2 12" xfId="7894" xr:uid="{FFC7FF88-4C02-4A91-9A11-0DAD26D9028B}"/>
    <cellStyle name="Normal 8 5 2 2" xfId="61" xr:uid="{00000000-0005-0000-0000-00003E0C0000}"/>
    <cellStyle name="Normal 8 5 2 2 10" xfId="3997" xr:uid="{15D5D4ED-B0CE-43E2-BD1A-BF93B43605A5}"/>
    <cellStyle name="Normal 8 5 2 2 10 2" xfId="11857" xr:uid="{185300F4-E708-40E2-AF1B-7D5F8238A72C}"/>
    <cellStyle name="Normal 8 5 2 2 11" xfId="7935" xr:uid="{C47562D6-C2CD-46B1-9866-9F6156C68DC6}"/>
    <cellStyle name="Normal 8 5 2 2 2" xfId="217" xr:uid="{00000000-0005-0000-0000-00003F0C0000}"/>
    <cellStyle name="Normal 8 5 2 2 2 2" xfId="669" xr:uid="{00000000-0005-0000-0000-0000400C0000}"/>
    <cellStyle name="Normal 8 5 2 2 2 2 2" xfId="2623" xr:uid="{00000000-0005-0000-0000-0000410C0000}"/>
    <cellStyle name="Normal 8 5 2 2 2 2 2 2" xfId="6544" xr:uid="{1850B107-99E2-4E23-9BDC-E7EC3DBB83C8}"/>
    <cellStyle name="Normal 8 5 2 2 2 2 2 2 2" xfId="14404" xr:uid="{4E9AA36F-2DED-4907-8279-12E7A17E6268}"/>
    <cellStyle name="Normal 8 5 2 2 2 2 2 3" xfId="10484" xr:uid="{5EC3FE37-E613-435F-8156-64437154AFA9}"/>
    <cellStyle name="Normal 8 5 2 2 2 2 3" xfId="4590" xr:uid="{58EFC078-64FC-444E-96DB-4EFAE6870D44}"/>
    <cellStyle name="Normal 8 5 2 2 2 2 3 2" xfId="12450" xr:uid="{9A70B5ED-972B-47A5-AF1A-944FD7CA3EB6}"/>
    <cellStyle name="Normal 8 5 2 2 2 2 4" xfId="8531" xr:uid="{A59583D2-E687-486D-8727-F3F80FFB4873}"/>
    <cellStyle name="Normal 8 5 2 2 2 3" xfId="1106" xr:uid="{00000000-0005-0000-0000-0000420C0000}"/>
    <cellStyle name="Normal 8 5 2 2 2 3 2" xfId="3060" xr:uid="{00000000-0005-0000-0000-0000430C0000}"/>
    <cellStyle name="Normal 8 5 2 2 2 3 2 2" xfId="6981" xr:uid="{35F4CBCA-DC31-4484-B1F3-773056BAF06D}"/>
    <cellStyle name="Normal 8 5 2 2 2 3 2 2 2" xfId="14841" xr:uid="{8E1CF463-2D37-4962-886D-34355C1C7079}"/>
    <cellStyle name="Normal 8 5 2 2 2 3 2 3" xfId="10921" xr:uid="{DE05238D-9983-468A-BBAB-45EB4C6B9B14}"/>
    <cellStyle name="Normal 8 5 2 2 2 3 3" xfId="5027" xr:uid="{1E3867D9-AFA0-4B7B-BAD2-EFCADDA0532D}"/>
    <cellStyle name="Normal 8 5 2 2 2 3 3 2" xfId="12887" xr:uid="{A2050A7E-74C3-4690-B089-903171EC1291}"/>
    <cellStyle name="Normal 8 5 2 2 2 3 4" xfId="8968" xr:uid="{5190266C-7CD1-4189-A9F0-1F20FF48CCED}"/>
    <cellStyle name="Normal 8 5 2 2 2 4" xfId="1533" xr:uid="{00000000-0005-0000-0000-0000440C0000}"/>
    <cellStyle name="Normal 8 5 2 2 2 4 2" xfId="3487" xr:uid="{00000000-0005-0000-0000-0000450C0000}"/>
    <cellStyle name="Normal 8 5 2 2 2 4 2 2" xfId="7408" xr:uid="{A692ADCA-E069-40C5-BF6E-79320BBD4046}"/>
    <cellStyle name="Normal 8 5 2 2 2 4 2 2 2" xfId="15268" xr:uid="{80B3D74C-A348-4AAD-BA69-B231AD1CA096}"/>
    <cellStyle name="Normal 8 5 2 2 2 4 2 3" xfId="11348" xr:uid="{EA0E8F02-019F-4567-83E1-C7EAC35694B4}"/>
    <cellStyle name="Normal 8 5 2 2 2 4 3" xfId="5454" xr:uid="{FA9CFE04-21CE-4F10-9E16-7E8438765CB7}"/>
    <cellStyle name="Normal 8 5 2 2 2 4 3 2" xfId="13314" xr:uid="{25479F74-06D8-4B71-8B7D-28ADA1203818}"/>
    <cellStyle name="Normal 8 5 2 2 2 4 4" xfId="9395" xr:uid="{9B058DFD-9FF3-4982-92FD-65DC001CC465}"/>
    <cellStyle name="Normal 8 5 2 2 2 5" xfId="2186" xr:uid="{00000000-0005-0000-0000-0000460C0000}"/>
    <cellStyle name="Normal 8 5 2 2 2 5 2" xfId="6107" xr:uid="{A44500FA-8F18-4F6A-BCA4-BE9C78591609}"/>
    <cellStyle name="Normal 8 5 2 2 2 5 2 2" xfId="13967" xr:uid="{1DBF32B0-3F13-48FC-8ED8-2C5D16D16DF3}"/>
    <cellStyle name="Normal 8 5 2 2 2 5 3" xfId="10047" xr:uid="{04165BE2-3A8F-4D81-A757-0453DBEE6F11}"/>
    <cellStyle name="Normal 8 5 2 2 2 6" xfId="4153" xr:uid="{40A8F85C-DD05-4468-9080-C86524DE1869}"/>
    <cellStyle name="Normal 8 5 2 2 2 6 2" xfId="12013" xr:uid="{25D4B77E-BC69-4079-BA98-FC98F3735BB3}"/>
    <cellStyle name="Normal 8 5 2 2 2 7" xfId="8091" xr:uid="{53C0B0D8-E798-4A0B-BE70-D22666D6D168}"/>
    <cellStyle name="Normal 8 5 2 2 3" xfId="139" xr:uid="{00000000-0005-0000-0000-0000470C0000}"/>
    <cellStyle name="Normal 8 5 2 2 3 2" xfId="591" xr:uid="{00000000-0005-0000-0000-0000480C0000}"/>
    <cellStyle name="Normal 8 5 2 2 3 2 2" xfId="2545" xr:uid="{00000000-0005-0000-0000-0000490C0000}"/>
    <cellStyle name="Normal 8 5 2 2 3 2 2 2" xfId="6466" xr:uid="{3E876B82-4CBF-4647-9D61-2B8CB4E135FA}"/>
    <cellStyle name="Normal 8 5 2 2 3 2 2 2 2" xfId="14326" xr:uid="{5E4E20E4-A51B-4936-85A2-0D482B0F6B01}"/>
    <cellStyle name="Normal 8 5 2 2 3 2 2 3" xfId="10406" xr:uid="{FCD213E0-D5E1-432E-8CDA-9B652C0AC155}"/>
    <cellStyle name="Normal 8 5 2 2 3 2 3" xfId="4512" xr:uid="{5326DB85-63C8-4DA1-A2C2-945EC72127B2}"/>
    <cellStyle name="Normal 8 5 2 2 3 2 3 2" xfId="12372" xr:uid="{885ABCD2-083F-4B8F-B881-8B780471E6E1}"/>
    <cellStyle name="Normal 8 5 2 2 3 2 4" xfId="8453" xr:uid="{EF199507-6779-4DB8-927C-E8EC783CDF6A}"/>
    <cellStyle name="Normal 8 5 2 2 3 3" xfId="1028" xr:uid="{00000000-0005-0000-0000-00004A0C0000}"/>
    <cellStyle name="Normal 8 5 2 2 3 3 2" xfId="2982" xr:uid="{00000000-0005-0000-0000-00004B0C0000}"/>
    <cellStyle name="Normal 8 5 2 2 3 3 2 2" xfId="6903" xr:uid="{A4D6D876-C422-44FD-9FEA-FFA64AA7EF09}"/>
    <cellStyle name="Normal 8 5 2 2 3 3 2 2 2" xfId="14763" xr:uid="{9D701E65-8FE8-4DAD-988C-70E2522FF7E6}"/>
    <cellStyle name="Normal 8 5 2 2 3 3 2 3" xfId="10843" xr:uid="{C7AC2F8E-BB4D-4A30-BDDC-B9516DCD8BAE}"/>
    <cellStyle name="Normal 8 5 2 2 3 3 3" xfId="4949" xr:uid="{3CE8B811-B591-4795-8CB9-E83A76DE2F37}"/>
    <cellStyle name="Normal 8 5 2 2 3 3 3 2" xfId="12809" xr:uid="{B17E118B-4945-4B77-8F47-757071DD78A4}"/>
    <cellStyle name="Normal 8 5 2 2 3 3 4" xfId="8890" xr:uid="{D1AE3740-4CBC-4649-99BE-06A50CE166E0}"/>
    <cellStyle name="Normal 8 5 2 2 3 4" xfId="1455" xr:uid="{00000000-0005-0000-0000-00004C0C0000}"/>
    <cellStyle name="Normal 8 5 2 2 3 4 2" xfId="3409" xr:uid="{00000000-0005-0000-0000-00004D0C0000}"/>
    <cellStyle name="Normal 8 5 2 2 3 4 2 2" xfId="7330" xr:uid="{C2B14108-3792-434C-A611-8B885E39F751}"/>
    <cellStyle name="Normal 8 5 2 2 3 4 2 2 2" xfId="15190" xr:uid="{F83CFA69-420A-4E63-9595-980423D2655C}"/>
    <cellStyle name="Normal 8 5 2 2 3 4 2 3" xfId="11270" xr:uid="{5232B002-DAA2-44A0-ACD9-2E4957EF65E5}"/>
    <cellStyle name="Normal 8 5 2 2 3 4 3" xfId="5376" xr:uid="{EE56A4F9-954C-4DEF-B8C7-7F3363815C46}"/>
    <cellStyle name="Normal 8 5 2 2 3 4 3 2" xfId="13236" xr:uid="{A07B3A5E-F9A8-4E06-B666-7292DA50F541}"/>
    <cellStyle name="Normal 8 5 2 2 3 4 4" xfId="9317" xr:uid="{FC299AB9-45BE-40B3-B040-BDD3F9F2FD53}"/>
    <cellStyle name="Normal 8 5 2 2 3 5" xfId="2108" xr:uid="{00000000-0005-0000-0000-00004E0C0000}"/>
    <cellStyle name="Normal 8 5 2 2 3 5 2" xfId="6029" xr:uid="{0DEE6755-3885-46AB-AACE-75DCE3282803}"/>
    <cellStyle name="Normal 8 5 2 2 3 5 2 2" xfId="13889" xr:uid="{4E98E46C-1FA4-446E-91EF-4B5CFE9755F7}"/>
    <cellStyle name="Normal 8 5 2 2 3 5 3" xfId="9969" xr:uid="{DADC1D20-A8AA-4B65-B3AC-AA2C9D4BFB6D}"/>
    <cellStyle name="Normal 8 5 2 2 3 6" xfId="4075" xr:uid="{E38376AC-5445-4693-8D91-09058B86421F}"/>
    <cellStyle name="Normal 8 5 2 2 3 6 2" xfId="11935" xr:uid="{1282F5FC-7990-48DD-8F40-F44702235E45}"/>
    <cellStyle name="Normal 8 5 2 2 3 7" xfId="8013" xr:uid="{076059CD-9307-4A4F-901C-517EA3E83DA0}"/>
    <cellStyle name="Normal 8 5 2 2 4" xfId="323" xr:uid="{00000000-0005-0000-0000-00004F0C0000}"/>
    <cellStyle name="Normal 8 5 2 2 4 2" xfId="775" xr:uid="{00000000-0005-0000-0000-0000500C0000}"/>
    <cellStyle name="Normal 8 5 2 2 4 2 2" xfId="2729" xr:uid="{00000000-0005-0000-0000-0000510C0000}"/>
    <cellStyle name="Normal 8 5 2 2 4 2 2 2" xfId="6650" xr:uid="{C19ECF2E-0963-4378-BC4A-996E1B0D04E1}"/>
    <cellStyle name="Normal 8 5 2 2 4 2 2 2 2" xfId="14510" xr:uid="{27597E3F-E751-4480-8D8C-7CA3513E3062}"/>
    <cellStyle name="Normal 8 5 2 2 4 2 2 3" xfId="10590" xr:uid="{47019546-F266-4C00-A5AB-50779678C1B3}"/>
    <cellStyle name="Normal 8 5 2 2 4 2 3" xfId="4696" xr:uid="{0A841A57-E7B8-4CA0-AA51-FD4E1DBF4056}"/>
    <cellStyle name="Normal 8 5 2 2 4 2 3 2" xfId="12556" xr:uid="{6AC47C5F-1EFF-4C24-9FD4-E794DB383051}"/>
    <cellStyle name="Normal 8 5 2 2 4 2 4" xfId="8637" xr:uid="{566BBFC4-A0BE-4DE6-979E-D2BD2A7B4227}"/>
    <cellStyle name="Normal 8 5 2 2 4 3" xfId="1210" xr:uid="{00000000-0005-0000-0000-0000520C0000}"/>
    <cellStyle name="Normal 8 5 2 2 4 3 2" xfId="3164" xr:uid="{00000000-0005-0000-0000-0000530C0000}"/>
    <cellStyle name="Normal 8 5 2 2 4 3 2 2" xfId="7085" xr:uid="{3ACBE8B8-D533-498F-80DF-4D4DC7593DAC}"/>
    <cellStyle name="Normal 8 5 2 2 4 3 2 2 2" xfId="14945" xr:uid="{C6716A8E-0E20-4C37-BC31-081B6AC013EA}"/>
    <cellStyle name="Normal 8 5 2 2 4 3 2 3" xfId="11025" xr:uid="{023B0F25-05AE-47D2-8599-B48E0A62B66A}"/>
    <cellStyle name="Normal 8 5 2 2 4 3 3" xfId="5131" xr:uid="{3A533AEC-AE1B-4DC8-A2F9-552E223A7606}"/>
    <cellStyle name="Normal 8 5 2 2 4 3 3 2" xfId="12991" xr:uid="{84792A20-AE90-4A90-9886-A1FA009D2DB7}"/>
    <cellStyle name="Normal 8 5 2 2 4 3 4" xfId="9072" xr:uid="{7A66C169-2099-4975-AB10-31548888B995}"/>
    <cellStyle name="Normal 8 5 2 2 4 4" xfId="1630" xr:uid="{00000000-0005-0000-0000-0000540C0000}"/>
    <cellStyle name="Normal 8 5 2 2 4 4 2" xfId="3584" xr:uid="{00000000-0005-0000-0000-0000550C0000}"/>
    <cellStyle name="Normal 8 5 2 2 4 4 2 2" xfId="7505" xr:uid="{45295E2F-D5A3-469F-8716-AC7700219669}"/>
    <cellStyle name="Normal 8 5 2 2 4 4 2 2 2" xfId="15365" xr:uid="{C1EC17A6-5D42-4EDF-A36A-6D7BF4BC945C}"/>
    <cellStyle name="Normal 8 5 2 2 4 4 2 3" xfId="11445" xr:uid="{95A4B487-FFD7-433B-A57D-A60646A84B6F}"/>
    <cellStyle name="Normal 8 5 2 2 4 4 3" xfId="5551" xr:uid="{122214A8-869E-4D84-8271-5D4C3C63E2B7}"/>
    <cellStyle name="Normal 8 5 2 2 4 4 3 2" xfId="13411" xr:uid="{EEC9ADBE-CAB1-486D-B4E1-61F1D481FAC5}"/>
    <cellStyle name="Normal 8 5 2 2 4 4 4" xfId="9492" xr:uid="{2D613227-6B5A-4555-BCF7-C03F29EC984B}"/>
    <cellStyle name="Normal 8 5 2 2 4 5" xfId="2284" xr:uid="{00000000-0005-0000-0000-0000560C0000}"/>
    <cellStyle name="Normal 8 5 2 2 4 5 2" xfId="6205" xr:uid="{054F3411-7200-4E28-A698-C11F849D4BD0}"/>
    <cellStyle name="Normal 8 5 2 2 4 5 2 2" xfId="14065" xr:uid="{49DB76AB-A9A9-4CD3-B0AA-F2592C21AD5D}"/>
    <cellStyle name="Normal 8 5 2 2 4 5 3" xfId="10145" xr:uid="{80EBC474-B59A-4612-9AEC-E1BFF096C7E5}"/>
    <cellStyle name="Normal 8 5 2 2 4 6" xfId="4251" xr:uid="{A155377F-ED78-4AA4-BEC4-3D61E46B4C10}"/>
    <cellStyle name="Normal 8 5 2 2 4 6 2" xfId="12111" xr:uid="{25AC204D-2346-493E-ADC0-B154D05FFCFF}"/>
    <cellStyle name="Normal 8 5 2 2 4 7" xfId="8190" xr:uid="{79DF225D-150A-4A7F-9006-9044FE43598B}"/>
    <cellStyle name="Normal 8 5 2 2 5" xfId="421" xr:uid="{00000000-0005-0000-0000-0000570C0000}"/>
    <cellStyle name="Normal 8 5 2 2 5 2" xfId="872" xr:uid="{00000000-0005-0000-0000-0000580C0000}"/>
    <cellStyle name="Normal 8 5 2 2 5 2 2" xfId="2826" xr:uid="{00000000-0005-0000-0000-0000590C0000}"/>
    <cellStyle name="Normal 8 5 2 2 5 2 2 2" xfId="6747" xr:uid="{5CE6655F-905D-4E39-9E12-A99E05E91090}"/>
    <cellStyle name="Normal 8 5 2 2 5 2 2 2 2" xfId="14607" xr:uid="{77CB1ABF-D71D-4259-8154-ED582B341096}"/>
    <cellStyle name="Normal 8 5 2 2 5 2 2 3" xfId="10687" xr:uid="{ED2174D5-E1E0-417C-A4A3-15A8165EAD28}"/>
    <cellStyle name="Normal 8 5 2 2 5 2 3" xfId="4793" xr:uid="{CB5270CE-DA55-46B4-B661-8434028B81F3}"/>
    <cellStyle name="Normal 8 5 2 2 5 2 3 2" xfId="12653" xr:uid="{FEE54637-CB3F-4EA6-9E80-1873D779A536}"/>
    <cellStyle name="Normal 8 5 2 2 5 2 4" xfId="8734" xr:uid="{1789F2EE-E247-4206-B7E2-2ED6499AB695}"/>
    <cellStyle name="Normal 8 5 2 2 5 3" xfId="1304" xr:uid="{00000000-0005-0000-0000-00005A0C0000}"/>
    <cellStyle name="Normal 8 5 2 2 5 3 2" xfId="3258" xr:uid="{00000000-0005-0000-0000-00005B0C0000}"/>
    <cellStyle name="Normal 8 5 2 2 5 3 2 2" xfId="7179" xr:uid="{E353ABD9-198A-447C-98BE-9A3F23A00678}"/>
    <cellStyle name="Normal 8 5 2 2 5 3 2 2 2" xfId="15039" xr:uid="{50C8A099-0B2E-4E24-A9A0-17249B4EC9E0}"/>
    <cellStyle name="Normal 8 5 2 2 5 3 2 3" xfId="11119" xr:uid="{952BC4A0-C392-4AB4-9FA3-5C01EB740CB4}"/>
    <cellStyle name="Normal 8 5 2 2 5 3 3" xfId="5225" xr:uid="{A3CC9347-C068-498E-B9CF-F26BFD72824E}"/>
    <cellStyle name="Normal 8 5 2 2 5 3 3 2" xfId="13085" xr:uid="{96CB0566-4175-4A00-8973-F1A8BD9B73A1}"/>
    <cellStyle name="Normal 8 5 2 2 5 3 4" xfId="9166" xr:uid="{CAE9EDD2-4CEE-4F2D-A58C-31F01989C68E}"/>
    <cellStyle name="Normal 8 5 2 2 5 4" xfId="1722" xr:uid="{00000000-0005-0000-0000-00005C0C0000}"/>
    <cellStyle name="Normal 8 5 2 2 5 4 2" xfId="3676" xr:uid="{00000000-0005-0000-0000-00005D0C0000}"/>
    <cellStyle name="Normal 8 5 2 2 5 4 2 2" xfId="7597" xr:uid="{7E65F04D-F9D2-4158-845F-E6C83E1E11AF}"/>
    <cellStyle name="Normal 8 5 2 2 5 4 2 2 2" xfId="15457" xr:uid="{37ABE73E-11FD-4E74-B2CA-3EAC6AEC5E27}"/>
    <cellStyle name="Normal 8 5 2 2 5 4 2 3" xfId="11537" xr:uid="{FD163936-A8EC-454A-9AFD-61389FE81A1A}"/>
    <cellStyle name="Normal 8 5 2 2 5 4 3" xfId="5643" xr:uid="{59098F69-159C-4B22-A48C-7F7396FD5B33}"/>
    <cellStyle name="Normal 8 5 2 2 5 4 3 2" xfId="13503" xr:uid="{BD6015B6-F7D6-4275-89E2-1FB00646F200}"/>
    <cellStyle name="Normal 8 5 2 2 5 4 4" xfId="9584" xr:uid="{3117070C-44CE-4701-978E-9BEB23D61417}"/>
    <cellStyle name="Normal 8 5 2 2 5 5" xfId="2376" xr:uid="{00000000-0005-0000-0000-00005E0C0000}"/>
    <cellStyle name="Normal 8 5 2 2 5 5 2" xfId="6297" xr:uid="{A7B7A192-6FF2-4EB9-98D0-9DB39B9188F5}"/>
    <cellStyle name="Normal 8 5 2 2 5 5 2 2" xfId="14157" xr:uid="{3149FFA5-B666-4B12-92AB-E7D81436A8D7}"/>
    <cellStyle name="Normal 8 5 2 2 5 5 3" xfId="10237" xr:uid="{08B9213E-5257-4871-BECD-928F1C1B0C03}"/>
    <cellStyle name="Normal 8 5 2 2 5 6" xfId="4343" xr:uid="{9881872A-CB9A-4DC4-826F-B87E477D00FD}"/>
    <cellStyle name="Normal 8 5 2 2 5 6 2" xfId="12203" xr:uid="{DD0FAE7D-EB1B-4D26-869E-643773C59EF9}"/>
    <cellStyle name="Normal 8 5 2 2 5 7" xfId="8284" xr:uid="{1F42DD3D-759D-4AEE-9CEA-FC408FB5DADB}"/>
    <cellStyle name="Normal 8 5 2 2 6" xfId="513" xr:uid="{00000000-0005-0000-0000-00005F0C0000}"/>
    <cellStyle name="Normal 8 5 2 2 6 2" xfId="2467" xr:uid="{00000000-0005-0000-0000-0000600C0000}"/>
    <cellStyle name="Normal 8 5 2 2 6 2 2" xfId="6388" xr:uid="{5440D617-1E45-42C0-A3BB-1C237B98A787}"/>
    <cellStyle name="Normal 8 5 2 2 6 2 2 2" xfId="14248" xr:uid="{6EFEACA3-4ABD-4DC8-B001-8A62E09EA577}"/>
    <cellStyle name="Normal 8 5 2 2 6 2 3" xfId="10328" xr:uid="{4B715756-5A60-4286-959A-DF582505245D}"/>
    <cellStyle name="Normal 8 5 2 2 6 3" xfId="4434" xr:uid="{B8EF9AF2-E105-4345-9EF0-482E4B98DE45}"/>
    <cellStyle name="Normal 8 5 2 2 6 3 2" xfId="12294" xr:uid="{ACBD4B18-6B36-4066-AC71-A1F130396F75}"/>
    <cellStyle name="Normal 8 5 2 2 6 4" xfId="8375" xr:uid="{E80DB247-7CFC-42FA-96BE-19E7D373024A}"/>
    <cellStyle name="Normal 8 5 2 2 7" xfId="950" xr:uid="{00000000-0005-0000-0000-0000610C0000}"/>
    <cellStyle name="Normal 8 5 2 2 7 2" xfId="2904" xr:uid="{00000000-0005-0000-0000-0000620C0000}"/>
    <cellStyle name="Normal 8 5 2 2 7 2 2" xfId="6825" xr:uid="{2C98D4D4-D173-40E8-9301-C8A2D0DB1ACF}"/>
    <cellStyle name="Normal 8 5 2 2 7 2 2 2" xfId="14685" xr:uid="{2D63DBC2-DC24-4D24-BCC7-BA46ACC4ECCC}"/>
    <cellStyle name="Normal 8 5 2 2 7 2 3" xfId="10765" xr:uid="{703C33D8-B3A4-47F6-A574-661CAF18C637}"/>
    <cellStyle name="Normal 8 5 2 2 7 3" xfId="4871" xr:uid="{C75BE3CC-61CC-4C5E-9498-23853E4B32C8}"/>
    <cellStyle name="Normal 8 5 2 2 7 3 2" xfId="12731" xr:uid="{9E2B22BC-62F8-4736-84A1-495DD513D0C0}"/>
    <cellStyle name="Normal 8 5 2 2 7 4" xfId="8812" xr:uid="{5E801943-AD70-42D2-94C0-CB1F00E80AA7}"/>
    <cellStyle name="Normal 8 5 2 2 8" xfId="1377" xr:uid="{00000000-0005-0000-0000-0000630C0000}"/>
    <cellStyle name="Normal 8 5 2 2 8 2" xfId="3331" xr:uid="{00000000-0005-0000-0000-0000640C0000}"/>
    <cellStyle name="Normal 8 5 2 2 8 2 2" xfId="7252" xr:uid="{2689FDD5-19C7-4EDA-8E57-C6ECB1417AA3}"/>
    <cellStyle name="Normal 8 5 2 2 8 2 2 2" xfId="15112" xr:uid="{505791DA-A83E-47A6-9F23-6ABC081339D2}"/>
    <cellStyle name="Normal 8 5 2 2 8 2 3" xfId="11192" xr:uid="{EE42BDC4-9300-4E5D-B494-016998267141}"/>
    <cellStyle name="Normal 8 5 2 2 8 3" xfId="5298" xr:uid="{0F29FE5B-FEF4-4A32-8860-2BABE36D6C50}"/>
    <cellStyle name="Normal 8 5 2 2 8 3 2" xfId="13158" xr:uid="{E092E134-76DD-4A3D-9B99-39E06FDD4B52}"/>
    <cellStyle name="Normal 8 5 2 2 8 4" xfId="9239" xr:uid="{4384B3F0-DE66-4DAD-AC14-9BCA658C4216}"/>
    <cellStyle name="Normal 8 5 2 2 9" xfId="2030" xr:uid="{00000000-0005-0000-0000-0000650C0000}"/>
    <cellStyle name="Normal 8 5 2 2 9 2" xfId="5951" xr:uid="{6D65985E-2CFF-4AD8-AD2C-4EC4F83AA0C0}"/>
    <cellStyle name="Normal 8 5 2 2 9 2 2" xfId="13811" xr:uid="{7270EC2F-39D9-4793-9B8E-808424A2D987}"/>
    <cellStyle name="Normal 8 5 2 2 9 3" xfId="9891" xr:uid="{D6E8F258-2E60-4044-B759-5556B1B57E2C}"/>
    <cellStyle name="Normal 8 5 2 3" xfId="178" xr:uid="{00000000-0005-0000-0000-0000660C0000}"/>
    <cellStyle name="Normal 8 5 2 3 2" xfId="630" xr:uid="{00000000-0005-0000-0000-0000670C0000}"/>
    <cellStyle name="Normal 8 5 2 3 2 2" xfId="2584" xr:uid="{00000000-0005-0000-0000-0000680C0000}"/>
    <cellStyle name="Normal 8 5 2 3 2 2 2" xfId="6505" xr:uid="{3D55ADC8-9CF4-4336-8692-6B425AE5551F}"/>
    <cellStyle name="Normal 8 5 2 3 2 2 2 2" xfId="14365" xr:uid="{A995B156-A32F-4024-8430-36B13256CEEE}"/>
    <cellStyle name="Normal 8 5 2 3 2 2 3" xfId="10445" xr:uid="{7F414B05-1313-4B7F-90B4-A51D911357C0}"/>
    <cellStyle name="Normal 8 5 2 3 2 3" xfId="4551" xr:uid="{FCE22410-D12E-4718-A0B8-1B3065791E15}"/>
    <cellStyle name="Normal 8 5 2 3 2 3 2" xfId="12411" xr:uid="{2B9A2A27-37CB-4B09-AD55-44392C43DCFD}"/>
    <cellStyle name="Normal 8 5 2 3 2 4" xfId="8492" xr:uid="{5DFF26FD-6827-448C-B25D-50B47D8181F9}"/>
    <cellStyle name="Normal 8 5 2 3 3" xfId="1067" xr:uid="{00000000-0005-0000-0000-0000690C0000}"/>
    <cellStyle name="Normal 8 5 2 3 3 2" xfId="3021" xr:uid="{00000000-0005-0000-0000-00006A0C0000}"/>
    <cellStyle name="Normal 8 5 2 3 3 2 2" xfId="6942" xr:uid="{7A19B9F8-3F3A-45FB-873F-FF2EADD0AF4A}"/>
    <cellStyle name="Normal 8 5 2 3 3 2 2 2" xfId="14802" xr:uid="{34E944AA-95B5-43AD-8AAE-17CB33832B02}"/>
    <cellStyle name="Normal 8 5 2 3 3 2 3" xfId="10882" xr:uid="{E1953D63-F325-4416-ABBA-D214811C1012}"/>
    <cellStyle name="Normal 8 5 2 3 3 3" xfId="4988" xr:uid="{661F35DA-BE93-47FF-ACBE-CA2940A985D5}"/>
    <cellStyle name="Normal 8 5 2 3 3 3 2" xfId="12848" xr:uid="{58D6BFE5-079C-44E0-80C4-5CF80B49A8CF}"/>
    <cellStyle name="Normal 8 5 2 3 3 4" xfId="8929" xr:uid="{FAD285A4-AA74-4E52-B9EA-EB0B95BE0151}"/>
    <cellStyle name="Normal 8 5 2 3 4" xfId="1494" xr:uid="{00000000-0005-0000-0000-00006B0C0000}"/>
    <cellStyle name="Normal 8 5 2 3 4 2" xfId="3448" xr:uid="{00000000-0005-0000-0000-00006C0C0000}"/>
    <cellStyle name="Normal 8 5 2 3 4 2 2" xfId="7369" xr:uid="{5BCCAE9C-3A43-41B8-A2C8-A8CDA18DA50F}"/>
    <cellStyle name="Normal 8 5 2 3 4 2 2 2" xfId="15229" xr:uid="{D1515FD4-77D0-4CFC-90F5-EF5A0FA2FD0F}"/>
    <cellStyle name="Normal 8 5 2 3 4 2 3" xfId="11309" xr:uid="{90582ACD-B1D4-4E4A-90E2-05E20ABB5D1C}"/>
    <cellStyle name="Normal 8 5 2 3 4 3" xfId="5415" xr:uid="{1109F1B5-9B09-4432-8E34-A6C025CA9E55}"/>
    <cellStyle name="Normal 8 5 2 3 4 3 2" xfId="13275" xr:uid="{175CA967-E4C6-42D6-B236-881C338AABE9}"/>
    <cellStyle name="Normal 8 5 2 3 4 4" xfId="9356" xr:uid="{113B87A1-A177-4EEF-AEEA-C14CD8E16B92}"/>
    <cellStyle name="Normal 8 5 2 3 5" xfId="2147" xr:uid="{00000000-0005-0000-0000-00006D0C0000}"/>
    <cellStyle name="Normal 8 5 2 3 5 2" xfId="6068" xr:uid="{FA415662-C868-4374-8F07-2A5432F00B3A}"/>
    <cellStyle name="Normal 8 5 2 3 5 2 2" xfId="13928" xr:uid="{C13C57FF-994C-4068-B3A4-15DC8FC7230A}"/>
    <cellStyle name="Normal 8 5 2 3 5 3" xfId="10008" xr:uid="{7AE9A203-E4D3-49BA-9CBE-3CF42D062F2C}"/>
    <cellStyle name="Normal 8 5 2 3 6" xfId="4114" xr:uid="{D8466BCB-34DD-4FC1-B2C1-A023D09726A1}"/>
    <cellStyle name="Normal 8 5 2 3 6 2" xfId="11974" xr:uid="{80BE0227-A2B3-4716-866E-33B5B04766BB}"/>
    <cellStyle name="Normal 8 5 2 3 7" xfId="8052" xr:uid="{401C7982-1FA1-4F7C-AD89-29304E8CB5C2}"/>
    <cellStyle name="Normal 8 5 2 4" xfId="100" xr:uid="{00000000-0005-0000-0000-00006E0C0000}"/>
    <cellStyle name="Normal 8 5 2 4 2" xfId="552" xr:uid="{00000000-0005-0000-0000-00006F0C0000}"/>
    <cellStyle name="Normal 8 5 2 4 2 2" xfId="2506" xr:uid="{00000000-0005-0000-0000-0000700C0000}"/>
    <cellStyle name="Normal 8 5 2 4 2 2 2" xfId="6427" xr:uid="{5E4FFFE7-F449-4FE5-BB6B-57B55DBBC28B}"/>
    <cellStyle name="Normal 8 5 2 4 2 2 2 2" xfId="14287" xr:uid="{A6591DB2-1CE7-4F90-AF7A-AAD9CDA8894D}"/>
    <cellStyle name="Normal 8 5 2 4 2 2 3" xfId="10367" xr:uid="{DECC49EB-A6F1-42DE-B3E3-1ED5F0DCB625}"/>
    <cellStyle name="Normal 8 5 2 4 2 3" xfId="4473" xr:uid="{F9656687-F62F-4B1A-9A42-132E786B979F}"/>
    <cellStyle name="Normal 8 5 2 4 2 3 2" xfId="12333" xr:uid="{0DCCE674-AD92-4B9D-8DD6-494A5594B67B}"/>
    <cellStyle name="Normal 8 5 2 4 2 4" xfId="8414" xr:uid="{635912DA-D1AC-46DF-9D68-0D369A74C09D}"/>
    <cellStyle name="Normal 8 5 2 4 3" xfId="989" xr:uid="{00000000-0005-0000-0000-0000710C0000}"/>
    <cellStyle name="Normal 8 5 2 4 3 2" xfId="2943" xr:uid="{00000000-0005-0000-0000-0000720C0000}"/>
    <cellStyle name="Normal 8 5 2 4 3 2 2" xfId="6864" xr:uid="{C18BD9EB-1211-4F01-8639-8DFD43EB50A3}"/>
    <cellStyle name="Normal 8 5 2 4 3 2 2 2" xfId="14724" xr:uid="{52076553-5C1C-4CC0-A579-479401F9DE23}"/>
    <cellStyle name="Normal 8 5 2 4 3 2 3" xfId="10804" xr:uid="{7C52CA76-AA50-4C94-96AB-24ECDEC4A08C}"/>
    <cellStyle name="Normal 8 5 2 4 3 3" xfId="4910" xr:uid="{B85AD24C-7FA0-45F8-9302-517FDD5ED9BA}"/>
    <cellStyle name="Normal 8 5 2 4 3 3 2" xfId="12770" xr:uid="{B7D248D3-A0B5-4367-9403-1AC02171E181}"/>
    <cellStyle name="Normal 8 5 2 4 3 4" xfId="8851" xr:uid="{D870B026-032C-46F1-BFF8-25CAA538C238}"/>
    <cellStyle name="Normal 8 5 2 4 4" xfId="1416" xr:uid="{00000000-0005-0000-0000-0000730C0000}"/>
    <cellStyle name="Normal 8 5 2 4 4 2" xfId="3370" xr:uid="{00000000-0005-0000-0000-0000740C0000}"/>
    <cellStyle name="Normal 8 5 2 4 4 2 2" xfId="7291" xr:uid="{ABDEA840-063C-412B-9508-4264A13711FD}"/>
    <cellStyle name="Normal 8 5 2 4 4 2 2 2" xfId="15151" xr:uid="{A83B33BB-84D9-4021-8A3B-5F0987DF3216}"/>
    <cellStyle name="Normal 8 5 2 4 4 2 3" xfId="11231" xr:uid="{DD51A537-9F36-4411-9C89-B25F9F9F7C64}"/>
    <cellStyle name="Normal 8 5 2 4 4 3" xfId="5337" xr:uid="{D43D7134-8613-412F-B710-1E9B06303273}"/>
    <cellStyle name="Normal 8 5 2 4 4 3 2" xfId="13197" xr:uid="{6AB5674D-A064-4DE8-9E4E-7D7EE253C52B}"/>
    <cellStyle name="Normal 8 5 2 4 4 4" xfId="9278" xr:uid="{137B3B03-10D2-4761-849E-C38382915F49}"/>
    <cellStyle name="Normal 8 5 2 4 5" xfId="2069" xr:uid="{00000000-0005-0000-0000-0000750C0000}"/>
    <cellStyle name="Normal 8 5 2 4 5 2" xfId="5990" xr:uid="{BDE5E96D-8B77-4BB9-8653-DCA0F9B9AD6D}"/>
    <cellStyle name="Normal 8 5 2 4 5 2 2" xfId="13850" xr:uid="{04B1C286-5F8D-4292-9D37-EF24F52EEE0F}"/>
    <cellStyle name="Normal 8 5 2 4 5 3" xfId="9930" xr:uid="{DC6680C5-2210-4E44-B65D-8A6B586B0204}"/>
    <cellStyle name="Normal 8 5 2 4 6" xfId="4036" xr:uid="{4A28CD3F-590C-4FC3-9D97-3D56F44A6C7E}"/>
    <cellStyle name="Normal 8 5 2 4 6 2" xfId="11896" xr:uid="{8E33CA12-EFB3-49E2-ABD8-8903D2E0CFF4}"/>
    <cellStyle name="Normal 8 5 2 4 7" xfId="7974" xr:uid="{893CB9C5-6E37-4257-B393-3DCB2BD6ABBF}"/>
    <cellStyle name="Normal 8 5 2 5" xfId="276" xr:uid="{00000000-0005-0000-0000-0000760C0000}"/>
    <cellStyle name="Normal 8 5 2 5 2" xfId="728" xr:uid="{00000000-0005-0000-0000-0000770C0000}"/>
    <cellStyle name="Normal 8 5 2 5 2 2" xfId="2682" xr:uid="{00000000-0005-0000-0000-0000780C0000}"/>
    <cellStyle name="Normal 8 5 2 5 2 2 2" xfId="6603" xr:uid="{64A96948-63FF-49C4-B9B2-4FFC7B477AFD}"/>
    <cellStyle name="Normal 8 5 2 5 2 2 2 2" xfId="14463" xr:uid="{52B13617-789F-4A14-AA79-9A67CFBF53A9}"/>
    <cellStyle name="Normal 8 5 2 5 2 2 3" xfId="10543" xr:uid="{27BBA3C8-B687-47E3-8CFB-7EF18A22DFC2}"/>
    <cellStyle name="Normal 8 5 2 5 2 3" xfId="4649" xr:uid="{2FBE7EA6-B8BB-4DB7-A70B-C482416C15C0}"/>
    <cellStyle name="Normal 8 5 2 5 2 3 2" xfId="12509" xr:uid="{F4615537-4EFC-4769-BD46-94027B2939E0}"/>
    <cellStyle name="Normal 8 5 2 5 2 4" xfId="8590" xr:uid="{F8258715-6345-4859-9FC9-0C20C3CA0D92}"/>
    <cellStyle name="Normal 8 5 2 5 3" xfId="1164" xr:uid="{00000000-0005-0000-0000-0000790C0000}"/>
    <cellStyle name="Normal 8 5 2 5 3 2" xfId="3118" xr:uid="{00000000-0005-0000-0000-00007A0C0000}"/>
    <cellStyle name="Normal 8 5 2 5 3 2 2" xfId="7039" xr:uid="{DD879439-EF1C-4B7B-8E0D-72672B8A2872}"/>
    <cellStyle name="Normal 8 5 2 5 3 2 2 2" xfId="14899" xr:uid="{D0ABD2C5-1E9A-48EC-82C7-55F6884A5253}"/>
    <cellStyle name="Normal 8 5 2 5 3 2 3" xfId="10979" xr:uid="{4277E5C4-AE81-42EF-B03F-865458700DC2}"/>
    <cellStyle name="Normal 8 5 2 5 3 3" xfId="5085" xr:uid="{499E8331-62B1-4C57-8D48-3BADFA285FB3}"/>
    <cellStyle name="Normal 8 5 2 5 3 3 2" xfId="12945" xr:uid="{A33ADDBE-F848-4C68-BB5B-9E9C6F7EB31F}"/>
    <cellStyle name="Normal 8 5 2 5 3 4" xfId="9026" xr:uid="{31858D82-72C4-4D2A-B07C-9F3EF0A26823}"/>
    <cellStyle name="Normal 8 5 2 5 4" xfId="1585" xr:uid="{00000000-0005-0000-0000-00007B0C0000}"/>
    <cellStyle name="Normal 8 5 2 5 4 2" xfId="3539" xr:uid="{00000000-0005-0000-0000-00007C0C0000}"/>
    <cellStyle name="Normal 8 5 2 5 4 2 2" xfId="7460" xr:uid="{F467D274-772B-4A44-9B5C-2BEA30CF2D3F}"/>
    <cellStyle name="Normal 8 5 2 5 4 2 2 2" xfId="15320" xr:uid="{1E3E464A-3573-4D01-A714-4822B4C06882}"/>
    <cellStyle name="Normal 8 5 2 5 4 2 3" xfId="11400" xr:uid="{BCA82F13-7C7D-4CBC-9BB6-5532A24894E4}"/>
    <cellStyle name="Normal 8 5 2 5 4 3" xfId="5506" xr:uid="{A149E7D0-D7F0-4DB3-B5C2-47AEFAF4DF72}"/>
    <cellStyle name="Normal 8 5 2 5 4 3 2" xfId="13366" xr:uid="{3F77BE77-9E3A-41DC-8488-1FF8A59EFAD6}"/>
    <cellStyle name="Normal 8 5 2 5 4 4" xfId="9447" xr:uid="{5B712BEC-A3EE-45E4-A75A-A2F0C297800A}"/>
    <cellStyle name="Normal 8 5 2 5 5" xfId="2239" xr:uid="{00000000-0005-0000-0000-00007D0C0000}"/>
    <cellStyle name="Normal 8 5 2 5 5 2" xfId="6160" xr:uid="{2A2468A7-57FE-4BAF-8395-3D95D2293447}"/>
    <cellStyle name="Normal 8 5 2 5 5 2 2" xfId="14020" xr:uid="{FF6F40A9-1A46-4C17-8920-8CACA8298FBA}"/>
    <cellStyle name="Normal 8 5 2 5 5 3" xfId="10100" xr:uid="{A9568120-7915-497C-A435-BB6A1C3FAC8B}"/>
    <cellStyle name="Normal 8 5 2 5 6" xfId="4206" xr:uid="{9E37D8E3-5E60-4A67-915B-8D9059C0B436}"/>
    <cellStyle name="Normal 8 5 2 5 6 2" xfId="12066" xr:uid="{E2DEF1DF-2220-480A-B486-3756626DC729}"/>
    <cellStyle name="Normal 8 5 2 5 7" xfId="8145" xr:uid="{0E09E607-0A22-45E6-AEFF-BAA73DE36F50}"/>
    <cellStyle name="Normal 8 5 2 6" xfId="376" xr:uid="{00000000-0005-0000-0000-00007E0C0000}"/>
    <cellStyle name="Normal 8 5 2 6 2" xfId="827" xr:uid="{00000000-0005-0000-0000-00007F0C0000}"/>
    <cellStyle name="Normal 8 5 2 6 2 2" xfId="2781" xr:uid="{00000000-0005-0000-0000-0000800C0000}"/>
    <cellStyle name="Normal 8 5 2 6 2 2 2" xfId="6702" xr:uid="{FF3CCA1F-CDC4-4A59-AF89-8278082A5A14}"/>
    <cellStyle name="Normal 8 5 2 6 2 2 2 2" xfId="14562" xr:uid="{B29DB32E-E8EF-4FBA-8530-C6433C92FB16}"/>
    <cellStyle name="Normal 8 5 2 6 2 2 3" xfId="10642" xr:uid="{484F5D4C-A0B3-42E4-8015-ADEA37C27967}"/>
    <cellStyle name="Normal 8 5 2 6 2 3" xfId="4748" xr:uid="{497EA935-7F0C-4A3A-BEF2-8F3DEF39409E}"/>
    <cellStyle name="Normal 8 5 2 6 2 3 2" xfId="12608" xr:uid="{E5C77B93-E308-403C-B305-A6BC543B9B3E}"/>
    <cellStyle name="Normal 8 5 2 6 2 4" xfId="8689" xr:uid="{ED01F08C-EEA4-405E-BB9B-2E2D7F5A1B56}"/>
    <cellStyle name="Normal 8 5 2 6 3" xfId="1259" xr:uid="{00000000-0005-0000-0000-0000810C0000}"/>
    <cellStyle name="Normal 8 5 2 6 3 2" xfId="3213" xr:uid="{00000000-0005-0000-0000-0000820C0000}"/>
    <cellStyle name="Normal 8 5 2 6 3 2 2" xfId="7134" xr:uid="{7D0E8788-B361-4A04-B7C4-4CC679656482}"/>
    <cellStyle name="Normal 8 5 2 6 3 2 2 2" xfId="14994" xr:uid="{5DB10497-DCC4-4DB9-8665-F8950DB95778}"/>
    <cellStyle name="Normal 8 5 2 6 3 2 3" xfId="11074" xr:uid="{45CDEDAB-40D3-4817-97DF-0B508E98B2E0}"/>
    <cellStyle name="Normal 8 5 2 6 3 3" xfId="5180" xr:uid="{9C5E0124-30C2-42AB-92DA-EF626FC00148}"/>
    <cellStyle name="Normal 8 5 2 6 3 3 2" xfId="13040" xr:uid="{B77E571E-8339-4826-80BD-9BC81DB5D7F1}"/>
    <cellStyle name="Normal 8 5 2 6 3 4" xfId="9121" xr:uid="{4CF1CC66-4A71-4EA2-9F9F-285D5D083DC9}"/>
    <cellStyle name="Normal 8 5 2 6 4" xfId="1677" xr:uid="{00000000-0005-0000-0000-0000830C0000}"/>
    <cellStyle name="Normal 8 5 2 6 4 2" xfId="3631" xr:uid="{00000000-0005-0000-0000-0000840C0000}"/>
    <cellStyle name="Normal 8 5 2 6 4 2 2" xfId="7552" xr:uid="{0EF966CD-A6B8-456F-83FA-694D05BEEE23}"/>
    <cellStyle name="Normal 8 5 2 6 4 2 2 2" xfId="15412" xr:uid="{ACFCFE0E-55C7-4CF9-9E49-9CC9CD72B594}"/>
    <cellStyle name="Normal 8 5 2 6 4 2 3" xfId="11492" xr:uid="{E8BC1227-FDFC-42CB-9785-E1683559E6F0}"/>
    <cellStyle name="Normal 8 5 2 6 4 3" xfId="5598" xr:uid="{3BC877A5-1D2A-47E4-A0F0-B1EAF30FF274}"/>
    <cellStyle name="Normal 8 5 2 6 4 3 2" xfId="13458" xr:uid="{9B93A83A-09D7-46F8-A537-8D6FAEB2783C}"/>
    <cellStyle name="Normal 8 5 2 6 4 4" xfId="9539" xr:uid="{3C633D16-FF51-4FB4-BD85-28A0EA7C0E4C}"/>
    <cellStyle name="Normal 8 5 2 6 5" xfId="2331" xr:uid="{00000000-0005-0000-0000-0000850C0000}"/>
    <cellStyle name="Normal 8 5 2 6 5 2" xfId="6252" xr:uid="{FB0350BF-5E17-47C2-86BC-92AF620B040C}"/>
    <cellStyle name="Normal 8 5 2 6 5 2 2" xfId="14112" xr:uid="{E7B7CC4C-08E2-41CE-8850-D460A60A5D88}"/>
    <cellStyle name="Normal 8 5 2 6 5 3" xfId="10192" xr:uid="{5E21796D-A120-4202-A9B5-0FA7DB44B0D9}"/>
    <cellStyle name="Normal 8 5 2 6 6" xfId="4298" xr:uid="{6D001031-7AFE-4838-AF24-3FDBEF9B3414}"/>
    <cellStyle name="Normal 8 5 2 6 6 2" xfId="12158" xr:uid="{08E52E01-02C3-4899-BE27-8C05B6C9F77B}"/>
    <cellStyle name="Normal 8 5 2 6 7" xfId="8239" xr:uid="{1C0358D9-F1D5-48BA-A3C1-C5B36046D5BF}"/>
    <cellStyle name="Normal 8 5 2 7" xfId="473" xr:uid="{00000000-0005-0000-0000-0000860C0000}"/>
    <cellStyle name="Normal 8 5 2 7 2" xfId="2427" xr:uid="{00000000-0005-0000-0000-0000870C0000}"/>
    <cellStyle name="Normal 8 5 2 7 2 2" xfId="6348" xr:uid="{E508CB91-06EB-4182-9C4A-DC1891A1612A}"/>
    <cellStyle name="Normal 8 5 2 7 2 2 2" xfId="14208" xr:uid="{AE1237D5-DBB3-4012-803A-0358BD38326F}"/>
    <cellStyle name="Normal 8 5 2 7 2 3" xfId="10288" xr:uid="{6CE4B5A1-8837-48B1-94F8-FE2CCFCF702D}"/>
    <cellStyle name="Normal 8 5 2 7 3" xfId="4394" xr:uid="{A2CF7633-9DAF-448A-8F04-55BEF8256259}"/>
    <cellStyle name="Normal 8 5 2 7 3 2" xfId="12254" xr:uid="{C6ADE4E6-FBB8-4373-8AEE-37409DC980AD}"/>
    <cellStyle name="Normal 8 5 2 7 4" xfId="8335" xr:uid="{C2CE3DA9-F7F5-4A73-9145-C100976D6CE6}"/>
    <cellStyle name="Normal 8 5 2 8" xfId="909" xr:uid="{00000000-0005-0000-0000-0000880C0000}"/>
    <cellStyle name="Normal 8 5 2 8 2" xfId="2863" xr:uid="{00000000-0005-0000-0000-0000890C0000}"/>
    <cellStyle name="Normal 8 5 2 8 2 2" xfId="6784" xr:uid="{1118170A-AA58-44D9-BB41-46C264402AD7}"/>
    <cellStyle name="Normal 8 5 2 8 2 2 2" xfId="14644" xr:uid="{AB53F591-E46B-4809-888B-FD722D3218C4}"/>
    <cellStyle name="Normal 8 5 2 8 2 3" xfId="10724" xr:uid="{76B58F9D-1E65-4478-99E2-609F3E9D8B64}"/>
    <cellStyle name="Normal 8 5 2 8 3" xfId="4830" xr:uid="{1F68357F-D1ED-4DB3-AC68-D303B7CFB107}"/>
    <cellStyle name="Normal 8 5 2 8 3 2" xfId="12690" xr:uid="{DC4B5E2A-E6CE-45A9-987C-AD658D6F5846}"/>
    <cellStyle name="Normal 8 5 2 8 4" xfId="8771" xr:uid="{DC9A6632-E0A9-4A4E-8B5D-793AC0CCC2B3}"/>
    <cellStyle name="Normal 8 5 2 9" xfId="1338" xr:uid="{00000000-0005-0000-0000-00008A0C0000}"/>
    <cellStyle name="Normal 8 5 2 9 2" xfId="3292" xr:uid="{00000000-0005-0000-0000-00008B0C0000}"/>
    <cellStyle name="Normal 8 5 2 9 2 2" xfId="7213" xr:uid="{A9533477-0F00-4816-B525-1696BC98FD59}"/>
    <cellStyle name="Normal 8 5 2 9 2 2 2" xfId="15073" xr:uid="{77EFA4D1-0B44-4B9E-B140-9821F91BD1F1}"/>
    <cellStyle name="Normal 8 5 2 9 2 3" xfId="11153" xr:uid="{63526025-B0CD-4A57-ADB9-09B7A7C0119D}"/>
    <cellStyle name="Normal 8 5 2 9 3" xfId="5259" xr:uid="{A8D6EC8B-7090-496E-832A-DA2A3F583E5C}"/>
    <cellStyle name="Normal 8 5 2 9 3 2" xfId="13119" xr:uid="{3E3AFC6A-7401-42DA-A632-752AF03B71A6}"/>
    <cellStyle name="Normal 8 5 2 9 4" xfId="9200" xr:uid="{1AB60993-BEAF-4018-8DB5-D7DAC5CF77E7}"/>
    <cellStyle name="Normal 8 5 3" xfId="30" xr:uid="{00000000-0005-0000-0000-00008C0C0000}"/>
    <cellStyle name="Normal 8 5 3 10" xfId="2001" xr:uid="{00000000-0005-0000-0000-00008D0C0000}"/>
    <cellStyle name="Normal 8 5 3 10 2" xfId="5922" xr:uid="{B8FAED7D-B032-482E-9971-20EF834E293A}"/>
    <cellStyle name="Normal 8 5 3 10 2 2" xfId="13782" xr:uid="{70EDF410-DBBF-4F21-B477-BE3784BB58D8}"/>
    <cellStyle name="Normal 8 5 3 10 3" xfId="9862" xr:uid="{5AFF0245-BFEE-49B8-9D62-F096F96031CD}"/>
    <cellStyle name="Normal 8 5 3 11" xfId="3968" xr:uid="{2433C3A4-F8A6-40DB-B62C-5E8800637CAA}"/>
    <cellStyle name="Normal 8 5 3 11 2" xfId="11828" xr:uid="{24984C93-D2EE-470A-A14C-493B47C92395}"/>
    <cellStyle name="Normal 8 5 3 12" xfId="7905" xr:uid="{F8BF9ADF-2F77-4CFF-B2A4-76677EB1560D}"/>
    <cellStyle name="Normal 8 5 3 2" xfId="72" xr:uid="{00000000-0005-0000-0000-00008E0C0000}"/>
    <cellStyle name="Normal 8 5 3 2 10" xfId="4008" xr:uid="{ADD65867-5049-46E7-8EA4-6D70E34DA3B6}"/>
    <cellStyle name="Normal 8 5 3 2 10 2" xfId="11868" xr:uid="{629488B2-E65B-43F6-A769-9638D767907D}"/>
    <cellStyle name="Normal 8 5 3 2 11" xfId="7946" xr:uid="{F6C2EB2B-F890-4926-9F4D-E0BA1537EF33}"/>
    <cellStyle name="Normal 8 5 3 2 2" xfId="228" xr:uid="{00000000-0005-0000-0000-00008F0C0000}"/>
    <cellStyle name="Normal 8 5 3 2 2 2" xfId="680" xr:uid="{00000000-0005-0000-0000-0000900C0000}"/>
    <cellStyle name="Normal 8 5 3 2 2 2 2" xfId="2634" xr:uid="{00000000-0005-0000-0000-0000910C0000}"/>
    <cellStyle name="Normal 8 5 3 2 2 2 2 2" xfId="6555" xr:uid="{5A5B9173-DCE0-465C-963B-57A8A804523B}"/>
    <cellStyle name="Normal 8 5 3 2 2 2 2 2 2" xfId="14415" xr:uid="{D3AADF9A-D7CF-4849-87EE-ACB2BED12F27}"/>
    <cellStyle name="Normal 8 5 3 2 2 2 2 3" xfId="10495" xr:uid="{47F5A53B-DF41-4510-B48C-9725DEF8485F}"/>
    <cellStyle name="Normal 8 5 3 2 2 2 3" xfId="4601" xr:uid="{11762F9D-343F-4B9B-A923-7B656787851D}"/>
    <cellStyle name="Normal 8 5 3 2 2 2 3 2" xfId="12461" xr:uid="{9F44C36C-2782-4D1F-899D-4EC37FDA2673}"/>
    <cellStyle name="Normal 8 5 3 2 2 2 4" xfId="8542" xr:uid="{18901158-AA5F-458F-88CF-4D11FDDBF2C7}"/>
    <cellStyle name="Normal 8 5 3 2 2 3" xfId="1117" xr:uid="{00000000-0005-0000-0000-0000920C0000}"/>
    <cellStyle name="Normal 8 5 3 2 2 3 2" xfId="3071" xr:uid="{00000000-0005-0000-0000-0000930C0000}"/>
    <cellStyle name="Normal 8 5 3 2 2 3 2 2" xfId="6992" xr:uid="{498699A8-DB85-41F3-8F9C-DB3A4DE473E3}"/>
    <cellStyle name="Normal 8 5 3 2 2 3 2 2 2" xfId="14852" xr:uid="{D03DBA49-0A3A-4B3B-BFB5-F25B0434100D}"/>
    <cellStyle name="Normal 8 5 3 2 2 3 2 3" xfId="10932" xr:uid="{E134F0F0-7ED0-40D1-A3B5-CCC80740755D}"/>
    <cellStyle name="Normal 8 5 3 2 2 3 3" xfId="5038" xr:uid="{BBDB15A3-C999-4555-873D-F1230F5C696C}"/>
    <cellStyle name="Normal 8 5 3 2 2 3 3 2" xfId="12898" xr:uid="{06F7E3D7-831E-4C90-ABA8-2A0EBEA0EF1C}"/>
    <cellStyle name="Normal 8 5 3 2 2 3 4" xfId="8979" xr:uid="{D7139E04-D456-4FE7-B3F6-D2FB73731DCA}"/>
    <cellStyle name="Normal 8 5 3 2 2 4" xfId="1544" xr:uid="{00000000-0005-0000-0000-0000940C0000}"/>
    <cellStyle name="Normal 8 5 3 2 2 4 2" xfId="3498" xr:uid="{00000000-0005-0000-0000-0000950C0000}"/>
    <cellStyle name="Normal 8 5 3 2 2 4 2 2" xfId="7419" xr:uid="{2D639803-C732-4A6E-9308-7775894B2921}"/>
    <cellStyle name="Normal 8 5 3 2 2 4 2 2 2" xfId="15279" xr:uid="{844F6774-9B61-4157-86E1-3901AECA8C8E}"/>
    <cellStyle name="Normal 8 5 3 2 2 4 2 3" xfId="11359" xr:uid="{8CFF7596-6660-4E04-8091-8B8C385911A7}"/>
    <cellStyle name="Normal 8 5 3 2 2 4 3" xfId="5465" xr:uid="{EB318E29-D78F-4C35-A54C-A229EA35D58A}"/>
    <cellStyle name="Normal 8 5 3 2 2 4 3 2" xfId="13325" xr:uid="{E9C4BF3B-90A2-4406-9847-402ED61F1301}"/>
    <cellStyle name="Normal 8 5 3 2 2 4 4" xfId="9406" xr:uid="{5F1FBF00-DF85-4FEE-BCB1-B97C495C595F}"/>
    <cellStyle name="Normal 8 5 3 2 2 5" xfId="2197" xr:uid="{00000000-0005-0000-0000-0000960C0000}"/>
    <cellStyle name="Normal 8 5 3 2 2 5 2" xfId="6118" xr:uid="{AD097AAE-05E1-4AC7-8E27-A35C3BB7B9FC}"/>
    <cellStyle name="Normal 8 5 3 2 2 5 2 2" xfId="13978" xr:uid="{EDB5D92A-FFF4-44C7-BC3D-5836AD5D1C2F}"/>
    <cellStyle name="Normal 8 5 3 2 2 5 3" xfId="10058" xr:uid="{C354F784-34EE-42B8-A1CC-4C2D4CE7BADD}"/>
    <cellStyle name="Normal 8 5 3 2 2 6" xfId="4164" xr:uid="{4BF244A1-6FB6-4E3C-A067-9EED8EE62440}"/>
    <cellStyle name="Normal 8 5 3 2 2 6 2" xfId="12024" xr:uid="{B59CF007-5B24-4D2E-A333-C24A831CF7B9}"/>
    <cellStyle name="Normal 8 5 3 2 2 7" xfId="8102" xr:uid="{A926CF60-2DD2-4A4C-87A2-7881D653A45A}"/>
    <cellStyle name="Normal 8 5 3 2 3" xfId="150" xr:uid="{00000000-0005-0000-0000-0000970C0000}"/>
    <cellStyle name="Normal 8 5 3 2 3 2" xfId="602" xr:uid="{00000000-0005-0000-0000-0000980C0000}"/>
    <cellStyle name="Normal 8 5 3 2 3 2 2" xfId="2556" xr:uid="{00000000-0005-0000-0000-0000990C0000}"/>
    <cellStyle name="Normal 8 5 3 2 3 2 2 2" xfId="6477" xr:uid="{765F50C1-8731-492C-A47C-746E33125A11}"/>
    <cellStyle name="Normal 8 5 3 2 3 2 2 2 2" xfId="14337" xr:uid="{21BF9CD4-EA45-4889-878A-89874BFC6930}"/>
    <cellStyle name="Normal 8 5 3 2 3 2 2 3" xfId="10417" xr:uid="{EBB6C5B9-EC28-4470-AF28-F46BD0A599A6}"/>
    <cellStyle name="Normal 8 5 3 2 3 2 3" xfId="4523" xr:uid="{E6D328F8-D71F-403F-B013-957B785333DA}"/>
    <cellStyle name="Normal 8 5 3 2 3 2 3 2" xfId="12383" xr:uid="{1502F3E2-3B65-48F0-B52E-253EDCFDA5A0}"/>
    <cellStyle name="Normal 8 5 3 2 3 2 4" xfId="8464" xr:uid="{4C8B3365-A235-4D6E-B8E4-0B7CD30FB0BE}"/>
    <cellStyle name="Normal 8 5 3 2 3 3" xfId="1039" xr:uid="{00000000-0005-0000-0000-00009A0C0000}"/>
    <cellStyle name="Normal 8 5 3 2 3 3 2" xfId="2993" xr:uid="{00000000-0005-0000-0000-00009B0C0000}"/>
    <cellStyle name="Normal 8 5 3 2 3 3 2 2" xfId="6914" xr:uid="{7FD0881C-9B0D-4B47-AA39-0879197DEA90}"/>
    <cellStyle name="Normal 8 5 3 2 3 3 2 2 2" xfId="14774" xr:uid="{7FADAC6A-5287-47EC-AA62-96C85FE8C348}"/>
    <cellStyle name="Normal 8 5 3 2 3 3 2 3" xfId="10854" xr:uid="{3F596C66-E35D-4E32-B6EC-D57EF347A271}"/>
    <cellStyle name="Normal 8 5 3 2 3 3 3" xfId="4960" xr:uid="{FDDC5427-B8E4-4C4D-A361-0F0EF03EF583}"/>
    <cellStyle name="Normal 8 5 3 2 3 3 3 2" xfId="12820" xr:uid="{F8D03706-F8BA-456B-9BAC-8479818E8A67}"/>
    <cellStyle name="Normal 8 5 3 2 3 3 4" xfId="8901" xr:uid="{AC9216A2-CD80-4FCD-BF59-8E59F50D3BC6}"/>
    <cellStyle name="Normal 8 5 3 2 3 4" xfId="1466" xr:uid="{00000000-0005-0000-0000-00009C0C0000}"/>
    <cellStyle name="Normal 8 5 3 2 3 4 2" xfId="3420" xr:uid="{00000000-0005-0000-0000-00009D0C0000}"/>
    <cellStyle name="Normal 8 5 3 2 3 4 2 2" xfId="7341" xr:uid="{A46C15A7-DA56-4E0C-8705-5433373AC665}"/>
    <cellStyle name="Normal 8 5 3 2 3 4 2 2 2" xfId="15201" xr:uid="{B16ECAB6-E66A-4B74-9974-E0AED5E09C4F}"/>
    <cellStyle name="Normal 8 5 3 2 3 4 2 3" xfId="11281" xr:uid="{9C407B52-D1F3-4BE1-89E5-40FA8F275B87}"/>
    <cellStyle name="Normal 8 5 3 2 3 4 3" xfId="5387" xr:uid="{E45A035F-44B8-4927-82A3-7F0EAC0AF3D0}"/>
    <cellStyle name="Normal 8 5 3 2 3 4 3 2" xfId="13247" xr:uid="{73F76D9D-6728-4B44-921C-52314243D73C}"/>
    <cellStyle name="Normal 8 5 3 2 3 4 4" xfId="9328" xr:uid="{433A3534-BEF9-4BA3-AAE3-50956CD3A976}"/>
    <cellStyle name="Normal 8 5 3 2 3 5" xfId="2119" xr:uid="{00000000-0005-0000-0000-00009E0C0000}"/>
    <cellStyle name="Normal 8 5 3 2 3 5 2" xfId="6040" xr:uid="{1FC33D6B-EE1C-4EAC-B893-3FF9FC9F8212}"/>
    <cellStyle name="Normal 8 5 3 2 3 5 2 2" xfId="13900" xr:uid="{50ED0AAB-2ECA-4160-BE7D-D462B8CAE6B2}"/>
    <cellStyle name="Normal 8 5 3 2 3 5 3" xfId="9980" xr:uid="{75125CEA-7AE6-4779-B32F-515011A51CE0}"/>
    <cellStyle name="Normal 8 5 3 2 3 6" xfId="4086" xr:uid="{2CAAFB4C-2EE2-4CD1-8752-427D6F5F46BF}"/>
    <cellStyle name="Normal 8 5 3 2 3 6 2" xfId="11946" xr:uid="{39CE9A6F-061D-4C1E-9316-C6BBDFAD1BF1}"/>
    <cellStyle name="Normal 8 5 3 2 3 7" xfId="8024" xr:uid="{54543AD9-174E-48F2-8633-2D233E7F6433}"/>
    <cellStyle name="Normal 8 5 3 2 4" xfId="335" xr:uid="{00000000-0005-0000-0000-00009F0C0000}"/>
    <cellStyle name="Normal 8 5 3 2 4 2" xfId="787" xr:uid="{00000000-0005-0000-0000-0000A00C0000}"/>
    <cellStyle name="Normal 8 5 3 2 4 2 2" xfId="2741" xr:uid="{00000000-0005-0000-0000-0000A10C0000}"/>
    <cellStyle name="Normal 8 5 3 2 4 2 2 2" xfId="6662" xr:uid="{A196D773-C942-497D-AC1A-730C3B0AAF6D}"/>
    <cellStyle name="Normal 8 5 3 2 4 2 2 2 2" xfId="14522" xr:uid="{0E319783-0C3F-44C0-B6D2-4615DE5EC8DE}"/>
    <cellStyle name="Normal 8 5 3 2 4 2 2 3" xfId="10602" xr:uid="{AF765773-CB41-4196-9A1A-DFC1756EE6A2}"/>
    <cellStyle name="Normal 8 5 3 2 4 2 3" xfId="4708" xr:uid="{6E798FA6-8767-4DBD-AB67-9CAA12921C27}"/>
    <cellStyle name="Normal 8 5 3 2 4 2 3 2" xfId="12568" xr:uid="{1F2CCFD5-07AF-43C0-94AF-CEC637ADE5B4}"/>
    <cellStyle name="Normal 8 5 3 2 4 2 4" xfId="8649" xr:uid="{B9DF8D9B-5E60-43F0-B7F9-2973F1E27BF0}"/>
    <cellStyle name="Normal 8 5 3 2 4 3" xfId="1221" xr:uid="{00000000-0005-0000-0000-0000A20C0000}"/>
    <cellStyle name="Normal 8 5 3 2 4 3 2" xfId="3175" xr:uid="{00000000-0005-0000-0000-0000A30C0000}"/>
    <cellStyle name="Normal 8 5 3 2 4 3 2 2" xfId="7096" xr:uid="{3D200E00-9632-413F-BAB2-A55EC5854F40}"/>
    <cellStyle name="Normal 8 5 3 2 4 3 2 2 2" xfId="14956" xr:uid="{DA318866-16B2-406B-80FC-07C4ED07E37F}"/>
    <cellStyle name="Normal 8 5 3 2 4 3 2 3" xfId="11036" xr:uid="{59FCB491-3478-476B-8598-9107053376FE}"/>
    <cellStyle name="Normal 8 5 3 2 4 3 3" xfId="5142" xr:uid="{5302E5DB-21C0-4286-8FA2-236751379116}"/>
    <cellStyle name="Normal 8 5 3 2 4 3 3 2" xfId="13002" xr:uid="{60C738E7-E695-4090-B620-9C7CCCE291A7}"/>
    <cellStyle name="Normal 8 5 3 2 4 3 4" xfId="9083" xr:uid="{B8EEFB59-95D3-44D3-B195-BF9D6065E9C3}"/>
    <cellStyle name="Normal 8 5 3 2 4 4" xfId="1641" xr:uid="{00000000-0005-0000-0000-0000A40C0000}"/>
    <cellStyle name="Normal 8 5 3 2 4 4 2" xfId="3595" xr:uid="{00000000-0005-0000-0000-0000A50C0000}"/>
    <cellStyle name="Normal 8 5 3 2 4 4 2 2" xfId="7516" xr:uid="{80FFAE65-3010-4035-A3A7-07644B1ABB6A}"/>
    <cellStyle name="Normal 8 5 3 2 4 4 2 2 2" xfId="15376" xr:uid="{60D3F1B1-45E2-43DD-B574-DBFEEE0E03D7}"/>
    <cellStyle name="Normal 8 5 3 2 4 4 2 3" xfId="11456" xr:uid="{7BFF9C49-A154-4ADF-B380-7163409BAFF9}"/>
    <cellStyle name="Normal 8 5 3 2 4 4 3" xfId="5562" xr:uid="{D7B7D739-84BA-4755-8F4C-5467D86F44E7}"/>
    <cellStyle name="Normal 8 5 3 2 4 4 3 2" xfId="13422" xr:uid="{95F5219D-8D4B-4CCA-8238-1B1D7ABF2B15}"/>
    <cellStyle name="Normal 8 5 3 2 4 4 4" xfId="9503" xr:uid="{781B9B8A-D487-474E-AA52-C4BCF4608498}"/>
    <cellStyle name="Normal 8 5 3 2 4 5" xfId="2295" xr:uid="{00000000-0005-0000-0000-0000A60C0000}"/>
    <cellStyle name="Normal 8 5 3 2 4 5 2" xfId="6216" xr:uid="{81389EC6-67F3-4B4F-BD2E-2304449C4948}"/>
    <cellStyle name="Normal 8 5 3 2 4 5 2 2" xfId="14076" xr:uid="{5EC9A251-3419-47D9-BD8D-287ECED02399}"/>
    <cellStyle name="Normal 8 5 3 2 4 5 3" xfId="10156" xr:uid="{6B82E134-E0DC-4718-99AC-3FD60616841C}"/>
    <cellStyle name="Normal 8 5 3 2 4 6" xfId="4262" xr:uid="{C632C4E6-4E5F-4D0C-92CE-2F2CA6028DBE}"/>
    <cellStyle name="Normal 8 5 3 2 4 6 2" xfId="12122" xr:uid="{4CBB828D-D44F-4527-950C-2895E818A85D}"/>
    <cellStyle name="Normal 8 5 3 2 4 7" xfId="8201" xr:uid="{849DC471-160D-4E4F-9687-3CEDB54F1679}"/>
    <cellStyle name="Normal 8 5 3 2 5" xfId="432" xr:uid="{00000000-0005-0000-0000-0000A70C0000}"/>
    <cellStyle name="Normal 8 5 3 2 5 2" xfId="883" xr:uid="{00000000-0005-0000-0000-0000A80C0000}"/>
    <cellStyle name="Normal 8 5 3 2 5 2 2" xfId="2837" xr:uid="{00000000-0005-0000-0000-0000A90C0000}"/>
    <cellStyle name="Normal 8 5 3 2 5 2 2 2" xfId="6758" xr:uid="{5F95307E-D66E-4093-85D7-8779CD91AFF9}"/>
    <cellStyle name="Normal 8 5 3 2 5 2 2 2 2" xfId="14618" xr:uid="{98782B6C-5405-4DF1-9BA5-357AF4FD4D88}"/>
    <cellStyle name="Normal 8 5 3 2 5 2 2 3" xfId="10698" xr:uid="{231593C6-97BC-479A-A42F-6C148E8B5713}"/>
    <cellStyle name="Normal 8 5 3 2 5 2 3" xfId="4804" xr:uid="{E70DEED2-503A-4FDB-A970-D56E594FF38E}"/>
    <cellStyle name="Normal 8 5 3 2 5 2 3 2" xfId="12664" xr:uid="{FCACAF35-0630-441E-9819-CC5C507632DE}"/>
    <cellStyle name="Normal 8 5 3 2 5 2 4" xfId="8745" xr:uid="{09AAEF48-1423-494E-8ED5-F29F66F1621E}"/>
    <cellStyle name="Normal 8 5 3 2 5 3" xfId="1315" xr:uid="{00000000-0005-0000-0000-0000AA0C0000}"/>
    <cellStyle name="Normal 8 5 3 2 5 3 2" xfId="3269" xr:uid="{00000000-0005-0000-0000-0000AB0C0000}"/>
    <cellStyle name="Normal 8 5 3 2 5 3 2 2" xfId="7190" xr:uid="{CE3D8D61-2A04-4F8B-BFE2-D7B7CC2F208D}"/>
    <cellStyle name="Normal 8 5 3 2 5 3 2 2 2" xfId="15050" xr:uid="{88F0ADEE-0723-4F4D-80FC-E79B8C7EC96F}"/>
    <cellStyle name="Normal 8 5 3 2 5 3 2 3" xfId="11130" xr:uid="{922B4585-0753-46DE-ABD9-C6C9867FAD9D}"/>
    <cellStyle name="Normal 8 5 3 2 5 3 3" xfId="5236" xr:uid="{DB70BD9B-1809-469E-A10C-B4DBBF1B3FD0}"/>
    <cellStyle name="Normal 8 5 3 2 5 3 3 2" xfId="13096" xr:uid="{E21155F6-A751-407B-9886-E37627FCB4D0}"/>
    <cellStyle name="Normal 8 5 3 2 5 3 4" xfId="9177" xr:uid="{0A6F99BA-80F9-4801-85CD-233D68C7CACC}"/>
    <cellStyle name="Normal 8 5 3 2 5 4" xfId="1733" xr:uid="{00000000-0005-0000-0000-0000AC0C0000}"/>
    <cellStyle name="Normal 8 5 3 2 5 4 2" xfId="3687" xr:uid="{00000000-0005-0000-0000-0000AD0C0000}"/>
    <cellStyle name="Normal 8 5 3 2 5 4 2 2" xfId="7608" xr:uid="{66D72BA1-67EC-47C6-A9FD-E02FD374AC40}"/>
    <cellStyle name="Normal 8 5 3 2 5 4 2 2 2" xfId="15468" xr:uid="{867337B4-719B-4960-A16E-34F6F7410925}"/>
    <cellStyle name="Normal 8 5 3 2 5 4 2 3" xfId="11548" xr:uid="{63A7CDC0-BD48-4F18-AA29-E10096DA9C5D}"/>
    <cellStyle name="Normal 8 5 3 2 5 4 3" xfId="5654" xr:uid="{6A82F46F-44AC-42AB-979C-62A9BC251382}"/>
    <cellStyle name="Normal 8 5 3 2 5 4 3 2" xfId="13514" xr:uid="{B568A28C-6CA5-4086-AADD-22A449D2F6BB}"/>
    <cellStyle name="Normal 8 5 3 2 5 4 4" xfId="9595" xr:uid="{39A70BEE-C44B-4370-914C-3ACDD492A2AA}"/>
    <cellStyle name="Normal 8 5 3 2 5 5" xfId="2387" xr:uid="{00000000-0005-0000-0000-0000AE0C0000}"/>
    <cellStyle name="Normal 8 5 3 2 5 5 2" xfId="6308" xr:uid="{CB51EBC0-549C-42DC-B174-12E0F6C215E6}"/>
    <cellStyle name="Normal 8 5 3 2 5 5 2 2" xfId="14168" xr:uid="{CD042101-A825-4778-87B6-EE5735770976}"/>
    <cellStyle name="Normal 8 5 3 2 5 5 3" xfId="10248" xr:uid="{48FD067A-70BB-4953-9D36-609122DAE310}"/>
    <cellStyle name="Normal 8 5 3 2 5 6" xfId="4354" xr:uid="{F4420EFC-C9E3-45C5-BF90-6E100B33E13C}"/>
    <cellStyle name="Normal 8 5 3 2 5 6 2" xfId="12214" xr:uid="{DF045AF7-0749-4B58-B245-8F8C74747E56}"/>
    <cellStyle name="Normal 8 5 3 2 5 7" xfId="8295" xr:uid="{4BDBDEA3-0D8C-48F4-814B-EE57B34F95D8}"/>
    <cellStyle name="Normal 8 5 3 2 6" xfId="524" xr:uid="{00000000-0005-0000-0000-0000AF0C0000}"/>
    <cellStyle name="Normal 8 5 3 2 6 2" xfId="2478" xr:uid="{00000000-0005-0000-0000-0000B00C0000}"/>
    <cellStyle name="Normal 8 5 3 2 6 2 2" xfId="6399" xr:uid="{995A1964-18A8-4A9E-BB8E-1FED82783967}"/>
    <cellStyle name="Normal 8 5 3 2 6 2 2 2" xfId="14259" xr:uid="{D69ED61F-F3E1-42C9-8E8F-8FCB3E5EE1B7}"/>
    <cellStyle name="Normal 8 5 3 2 6 2 3" xfId="10339" xr:uid="{31C497DD-E94C-4C57-88B4-7D133993D455}"/>
    <cellStyle name="Normal 8 5 3 2 6 3" xfId="4445" xr:uid="{85CAD7AE-DA5B-4A47-A78F-99038D5560A9}"/>
    <cellStyle name="Normal 8 5 3 2 6 3 2" xfId="12305" xr:uid="{64083894-8103-4066-9402-41F248113ED7}"/>
    <cellStyle name="Normal 8 5 3 2 6 4" xfId="8386" xr:uid="{E3328503-C985-4CCA-B3C1-90F73E345B92}"/>
    <cellStyle name="Normal 8 5 3 2 7" xfId="961" xr:uid="{00000000-0005-0000-0000-0000B10C0000}"/>
    <cellStyle name="Normal 8 5 3 2 7 2" xfId="2915" xr:uid="{00000000-0005-0000-0000-0000B20C0000}"/>
    <cellStyle name="Normal 8 5 3 2 7 2 2" xfId="6836" xr:uid="{C4CF18BC-1B1F-476A-B088-EB491BAB57C6}"/>
    <cellStyle name="Normal 8 5 3 2 7 2 2 2" xfId="14696" xr:uid="{DAC054C6-EC56-4CEA-83C7-1A688933AB49}"/>
    <cellStyle name="Normal 8 5 3 2 7 2 3" xfId="10776" xr:uid="{EA603EB7-F2C9-4FA2-9D81-98B1205467B3}"/>
    <cellStyle name="Normal 8 5 3 2 7 3" xfId="4882" xr:uid="{C1FEC091-E586-45EC-834A-E699A9CA9768}"/>
    <cellStyle name="Normal 8 5 3 2 7 3 2" xfId="12742" xr:uid="{711AF4E5-E1B0-4A0D-99B5-96A3BE977494}"/>
    <cellStyle name="Normal 8 5 3 2 7 4" xfId="8823" xr:uid="{8F462D18-F57E-40FD-9D45-D605AC82FF0F}"/>
    <cellStyle name="Normal 8 5 3 2 8" xfId="1388" xr:uid="{00000000-0005-0000-0000-0000B30C0000}"/>
    <cellStyle name="Normal 8 5 3 2 8 2" xfId="3342" xr:uid="{00000000-0005-0000-0000-0000B40C0000}"/>
    <cellStyle name="Normal 8 5 3 2 8 2 2" xfId="7263" xr:uid="{517D0F50-310E-4848-9485-08DCC28D3E5E}"/>
    <cellStyle name="Normal 8 5 3 2 8 2 2 2" xfId="15123" xr:uid="{43CE555E-464E-4CF8-9F48-880875F2C490}"/>
    <cellStyle name="Normal 8 5 3 2 8 2 3" xfId="11203" xr:uid="{82D69147-BDD1-4EFF-BEE4-DCB383C4C23A}"/>
    <cellStyle name="Normal 8 5 3 2 8 3" xfId="5309" xr:uid="{0863B75C-B7CD-4AE6-BDD3-D14BE157D39C}"/>
    <cellStyle name="Normal 8 5 3 2 8 3 2" xfId="13169" xr:uid="{B7543536-16FF-431E-8651-2C309B7C12BF}"/>
    <cellStyle name="Normal 8 5 3 2 8 4" xfId="9250" xr:uid="{203D561A-25AE-4F9F-821B-FF52E2599400}"/>
    <cellStyle name="Normal 8 5 3 2 9" xfId="2041" xr:uid="{00000000-0005-0000-0000-0000B50C0000}"/>
    <cellStyle name="Normal 8 5 3 2 9 2" xfId="5962" xr:uid="{79D79398-56F6-4B5F-8EC8-E4864059D2DE}"/>
    <cellStyle name="Normal 8 5 3 2 9 2 2" xfId="13822" xr:uid="{264A244F-03A1-4DCF-A743-67686F19CE8A}"/>
    <cellStyle name="Normal 8 5 3 2 9 3" xfId="9902" xr:uid="{7032F4B0-CEB3-4E95-84A8-82FE8EC29EED}"/>
    <cellStyle name="Normal 8 5 3 3" xfId="189" xr:uid="{00000000-0005-0000-0000-0000B60C0000}"/>
    <cellStyle name="Normal 8 5 3 3 2" xfId="641" xr:uid="{00000000-0005-0000-0000-0000B70C0000}"/>
    <cellStyle name="Normal 8 5 3 3 2 2" xfId="2595" xr:uid="{00000000-0005-0000-0000-0000B80C0000}"/>
    <cellStyle name="Normal 8 5 3 3 2 2 2" xfId="6516" xr:uid="{D9798CEA-2FA8-494E-93E3-0E43F68F728C}"/>
    <cellStyle name="Normal 8 5 3 3 2 2 2 2" xfId="14376" xr:uid="{AA6D1954-5644-434F-A0AB-057DDBE6E986}"/>
    <cellStyle name="Normal 8 5 3 3 2 2 3" xfId="10456" xr:uid="{544684B8-92A4-4065-B97D-F0F2CB9A2D23}"/>
    <cellStyle name="Normal 8 5 3 3 2 3" xfId="4562" xr:uid="{612468AA-CD67-491A-BB81-A80B6CFA691E}"/>
    <cellStyle name="Normal 8 5 3 3 2 3 2" xfId="12422" xr:uid="{A7B4B722-CAAB-4982-8133-6943B0D43BB6}"/>
    <cellStyle name="Normal 8 5 3 3 2 4" xfId="8503" xr:uid="{4F66EE60-727E-4206-AD5B-F6EFB500E0BB}"/>
    <cellStyle name="Normal 8 5 3 3 3" xfId="1078" xr:uid="{00000000-0005-0000-0000-0000B90C0000}"/>
    <cellStyle name="Normal 8 5 3 3 3 2" xfId="3032" xr:uid="{00000000-0005-0000-0000-0000BA0C0000}"/>
    <cellStyle name="Normal 8 5 3 3 3 2 2" xfId="6953" xr:uid="{C0815814-F6E0-47A4-A43A-5E166DC17FCC}"/>
    <cellStyle name="Normal 8 5 3 3 3 2 2 2" xfId="14813" xr:uid="{78581E3F-2FD3-4796-A0C7-315C91AFBA21}"/>
    <cellStyle name="Normal 8 5 3 3 3 2 3" xfId="10893" xr:uid="{67D7D276-AEC4-4CF8-A690-494D597C7F57}"/>
    <cellStyle name="Normal 8 5 3 3 3 3" xfId="4999" xr:uid="{60E9AEE6-3D22-4F6F-8610-2306F7B9FDEE}"/>
    <cellStyle name="Normal 8 5 3 3 3 3 2" xfId="12859" xr:uid="{37BC22EC-7BE8-405B-9508-C6B2E9BDD545}"/>
    <cellStyle name="Normal 8 5 3 3 3 4" xfId="8940" xr:uid="{2EB0A48C-696F-46A2-8686-CB0063E9F53A}"/>
    <cellStyle name="Normal 8 5 3 3 4" xfId="1505" xr:uid="{00000000-0005-0000-0000-0000BB0C0000}"/>
    <cellStyle name="Normal 8 5 3 3 4 2" xfId="3459" xr:uid="{00000000-0005-0000-0000-0000BC0C0000}"/>
    <cellStyle name="Normal 8 5 3 3 4 2 2" xfId="7380" xr:uid="{B3B6DC99-D321-43CD-B972-E6D1DEDAB670}"/>
    <cellStyle name="Normal 8 5 3 3 4 2 2 2" xfId="15240" xr:uid="{DE450989-8604-40EA-AEBC-DC6D0DCBB732}"/>
    <cellStyle name="Normal 8 5 3 3 4 2 3" xfId="11320" xr:uid="{EB6DA19A-D1C6-4AB3-B8B6-2BB1214D1509}"/>
    <cellStyle name="Normal 8 5 3 3 4 3" xfId="5426" xr:uid="{5D5456CA-4A8A-4EDA-B02A-B41963949240}"/>
    <cellStyle name="Normal 8 5 3 3 4 3 2" xfId="13286" xr:uid="{20D900F4-2539-41EA-A4F4-2AE83909B9A6}"/>
    <cellStyle name="Normal 8 5 3 3 4 4" xfId="9367" xr:uid="{FCA5D654-726D-4352-B95C-D2A40E229A06}"/>
    <cellStyle name="Normal 8 5 3 3 5" xfId="2158" xr:uid="{00000000-0005-0000-0000-0000BD0C0000}"/>
    <cellStyle name="Normal 8 5 3 3 5 2" xfId="6079" xr:uid="{CBB94524-A4E3-43E0-99B8-D4068C21D9F7}"/>
    <cellStyle name="Normal 8 5 3 3 5 2 2" xfId="13939" xr:uid="{13680146-79E1-47BF-B17E-8F5105476440}"/>
    <cellStyle name="Normal 8 5 3 3 5 3" xfId="10019" xr:uid="{07F6AAF9-96AC-485F-ADDD-DB2B6BD5098A}"/>
    <cellStyle name="Normal 8 5 3 3 6" xfId="4125" xr:uid="{F603368D-BF02-47F9-9B05-65E29B855209}"/>
    <cellStyle name="Normal 8 5 3 3 6 2" xfId="11985" xr:uid="{35E95FBA-D1FA-4B48-8477-D45015901DC1}"/>
    <cellStyle name="Normal 8 5 3 3 7" xfId="8063" xr:uid="{1594FB83-8B31-4F11-B3AD-0F06134338B5}"/>
    <cellStyle name="Normal 8 5 3 4" xfId="111" xr:uid="{00000000-0005-0000-0000-0000BE0C0000}"/>
    <cellStyle name="Normal 8 5 3 4 2" xfId="563" xr:uid="{00000000-0005-0000-0000-0000BF0C0000}"/>
    <cellStyle name="Normal 8 5 3 4 2 2" xfId="2517" xr:uid="{00000000-0005-0000-0000-0000C00C0000}"/>
    <cellStyle name="Normal 8 5 3 4 2 2 2" xfId="6438" xr:uid="{48D93C72-C2EA-4C09-BB16-DCA7BA451F6D}"/>
    <cellStyle name="Normal 8 5 3 4 2 2 2 2" xfId="14298" xr:uid="{2A0022C0-D5F4-4ED8-A932-3E8404E2A7DB}"/>
    <cellStyle name="Normal 8 5 3 4 2 2 3" xfId="10378" xr:uid="{B357CF24-C787-4B27-A58C-D43D27934AE0}"/>
    <cellStyle name="Normal 8 5 3 4 2 3" xfId="4484" xr:uid="{B3B31DDF-0D6A-4909-915B-0CDDE46E7E2D}"/>
    <cellStyle name="Normal 8 5 3 4 2 3 2" xfId="12344" xr:uid="{13883303-908A-44C4-85F5-4C2D22899D5A}"/>
    <cellStyle name="Normal 8 5 3 4 2 4" xfId="8425" xr:uid="{4A953805-FA88-4A94-A534-92E5E24F0DE9}"/>
    <cellStyle name="Normal 8 5 3 4 3" xfId="1000" xr:uid="{00000000-0005-0000-0000-0000C10C0000}"/>
    <cellStyle name="Normal 8 5 3 4 3 2" xfId="2954" xr:uid="{00000000-0005-0000-0000-0000C20C0000}"/>
    <cellStyle name="Normal 8 5 3 4 3 2 2" xfId="6875" xr:uid="{985D7955-3E50-4941-8C77-AEA9D06190DD}"/>
    <cellStyle name="Normal 8 5 3 4 3 2 2 2" xfId="14735" xr:uid="{CB32717D-683C-44AB-82F8-F1C3F147ADDD}"/>
    <cellStyle name="Normal 8 5 3 4 3 2 3" xfId="10815" xr:uid="{1BEA7D4D-7188-4E89-B738-C300C0B960E5}"/>
    <cellStyle name="Normal 8 5 3 4 3 3" xfId="4921" xr:uid="{EEA74CDC-D275-4C66-BD0E-7B2A590FBAE6}"/>
    <cellStyle name="Normal 8 5 3 4 3 3 2" xfId="12781" xr:uid="{EDD7AD7C-D4FB-4CCB-9C44-B56D000FD1C8}"/>
    <cellStyle name="Normal 8 5 3 4 3 4" xfId="8862" xr:uid="{1F563B25-2357-4D81-866C-03A8425945F4}"/>
    <cellStyle name="Normal 8 5 3 4 4" xfId="1427" xr:uid="{00000000-0005-0000-0000-0000C30C0000}"/>
    <cellStyle name="Normal 8 5 3 4 4 2" xfId="3381" xr:uid="{00000000-0005-0000-0000-0000C40C0000}"/>
    <cellStyle name="Normal 8 5 3 4 4 2 2" xfId="7302" xr:uid="{7915C17B-A7E4-4328-AFFB-95811851DE9D}"/>
    <cellStyle name="Normal 8 5 3 4 4 2 2 2" xfId="15162" xr:uid="{5E3AC8AB-340C-4B0B-9BB6-08C7574FEDEB}"/>
    <cellStyle name="Normal 8 5 3 4 4 2 3" xfId="11242" xr:uid="{8ECEDE94-F1F8-4284-AED5-481A05F91283}"/>
    <cellStyle name="Normal 8 5 3 4 4 3" xfId="5348" xr:uid="{0CC6E4D4-DB62-43D3-A408-A3AF910EECA4}"/>
    <cellStyle name="Normal 8 5 3 4 4 3 2" xfId="13208" xr:uid="{A13C10D1-0EDA-4B98-B699-08CF0007CCA4}"/>
    <cellStyle name="Normal 8 5 3 4 4 4" xfId="9289" xr:uid="{5F865A6A-E01E-4784-9E71-506922A78959}"/>
    <cellStyle name="Normal 8 5 3 4 5" xfId="2080" xr:uid="{00000000-0005-0000-0000-0000C50C0000}"/>
    <cellStyle name="Normal 8 5 3 4 5 2" xfId="6001" xr:uid="{B5ABD95F-6649-40A1-8461-7C2D23E28509}"/>
    <cellStyle name="Normal 8 5 3 4 5 2 2" xfId="13861" xr:uid="{8B6389C7-F5F0-4FA0-BA31-8182232E793E}"/>
    <cellStyle name="Normal 8 5 3 4 5 3" xfId="9941" xr:uid="{681BBCB3-4F26-4E3C-9186-1B23B836FAA4}"/>
    <cellStyle name="Normal 8 5 3 4 6" xfId="4047" xr:uid="{CF492373-45A9-4D7E-9723-432FED80D4C0}"/>
    <cellStyle name="Normal 8 5 3 4 6 2" xfId="11907" xr:uid="{28AD9F67-8450-43BF-8A17-037C7FD5584B}"/>
    <cellStyle name="Normal 8 5 3 4 7" xfId="7985" xr:uid="{A041EA7D-BB36-48AF-B839-AF046EBA3525}"/>
    <cellStyle name="Normal 8 5 3 5" xfId="288" xr:uid="{00000000-0005-0000-0000-0000C60C0000}"/>
    <cellStyle name="Normal 8 5 3 5 2" xfId="740" xr:uid="{00000000-0005-0000-0000-0000C70C0000}"/>
    <cellStyle name="Normal 8 5 3 5 2 2" xfId="2694" xr:uid="{00000000-0005-0000-0000-0000C80C0000}"/>
    <cellStyle name="Normal 8 5 3 5 2 2 2" xfId="6615" xr:uid="{145E5A00-9D38-4559-AEB3-B962F2DDA3B3}"/>
    <cellStyle name="Normal 8 5 3 5 2 2 2 2" xfId="14475" xr:uid="{4B56C6DB-89FC-4200-88D7-A723FBE6ECBE}"/>
    <cellStyle name="Normal 8 5 3 5 2 2 3" xfId="10555" xr:uid="{8B1175EB-AEC8-4896-974D-388B12708276}"/>
    <cellStyle name="Normal 8 5 3 5 2 3" xfId="4661" xr:uid="{5F22D26A-6C9E-4981-B7CF-D432AAE176E0}"/>
    <cellStyle name="Normal 8 5 3 5 2 3 2" xfId="12521" xr:uid="{C61CF949-DCAE-40F7-ADA7-C2EE89DD2565}"/>
    <cellStyle name="Normal 8 5 3 5 2 4" xfId="8602" xr:uid="{EA22BBFA-860C-4E78-B378-5A9FB25B55FD}"/>
    <cellStyle name="Normal 8 5 3 5 3" xfId="1176" xr:uid="{00000000-0005-0000-0000-0000C90C0000}"/>
    <cellStyle name="Normal 8 5 3 5 3 2" xfId="3130" xr:uid="{00000000-0005-0000-0000-0000CA0C0000}"/>
    <cellStyle name="Normal 8 5 3 5 3 2 2" xfId="7051" xr:uid="{BF31B9A1-4639-408F-905A-8F4F3671F997}"/>
    <cellStyle name="Normal 8 5 3 5 3 2 2 2" xfId="14911" xr:uid="{0C63133F-BDEF-4426-8795-1264E07887FE}"/>
    <cellStyle name="Normal 8 5 3 5 3 2 3" xfId="10991" xr:uid="{04D652A5-EA69-49D7-B977-2BC82DA4FF9E}"/>
    <cellStyle name="Normal 8 5 3 5 3 3" xfId="5097" xr:uid="{F3F1EC5D-B572-48C9-A53B-05CD91538F7B}"/>
    <cellStyle name="Normal 8 5 3 5 3 3 2" xfId="12957" xr:uid="{945E91B9-FA2E-45D4-90CE-09D31A298CC0}"/>
    <cellStyle name="Normal 8 5 3 5 3 4" xfId="9038" xr:uid="{8C42F02E-5316-4D8E-9D56-67817347C183}"/>
    <cellStyle name="Normal 8 5 3 5 4" xfId="1596" xr:uid="{00000000-0005-0000-0000-0000CB0C0000}"/>
    <cellStyle name="Normal 8 5 3 5 4 2" xfId="3550" xr:uid="{00000000-0005-0000-0000-0000CC0C0000}"/>
    <cellStyle name="Normal 8 5 3 5 4 2 2" xfId="7471" xr:uid="{34852A79-45EB-46B4-9C14-9EEDC40235B5}"/>
    <cellStyle name="Normal 8 5 3 5 4 2 2 2" xfId="15331" xr:uid="{E3A65669-C847-46FF-A1A9-E919DB6AA32F}"/>
    <cellStyle name="Normal 8 5 3 5 4 2 3" xfId="11411" xr:uid="{65F251F7-F091-40BA-93BD-0A0F303DC07A}"/>
    <cellStyle name="Normal 8 5 3 5 4 3" xfId="5517" xr:uid="{2CE5959A-56A7-4A35-947F-C98AAABCCB87}"/>
    <cellStyle name="Normal 8 5 3 5 4 3 2" xfId="13377" xr:uid="{A7127214-61D9-4619-B216-18D03AEA2F0A}"/>
    <cellStyle name="Normal 8 5 3 5 4 4" xfId="9458" xr:uid="{5BF94F29-08B7-4CB3-ABE7-2C2BCAD6FD80}"/>
    <cellStyle name="Normal 8 5 3 5 5" xfId="2250" xr:uid="{00000000-0005-0000-0000-0000CD0C0000}"/>
    <cellStyle name="Normal 8 5 3 5 5 2" xfId="6171" xr:uid="{F9FAAC2B-9142-4A54-AABD-523D76E477E4}"/>
    <cellStyle name="Normal 8 5 3 5 5 2 2" xfId="14031" xr:uid="{5EDB9E76-A5D4-4AFF-8C23-FFA0D8227B3B}"/>
    <cellStyle name="Normal 8 5 3 5 5 3" xfId="10111" xr:uid="{B818D72C-186D-45A5-8A88-08D25B440734}"/>
    <cellStyle name="Normal 8 5 3 5 6" xfId="4217" xr:uid="{3A2E4D89-20B0-40DA-AE5C-E203CF938D92}"/>
    <cellStyle name="Normal 8 5 3 5 6 2" xfId="12077" xr:uid="{A2BABA42-D489-4C33-A355-DC71B45F27CE}"/>
    <cellStyle name="Normal 8 5 3 5 7" xfId="8156" xr:uid="{07908452-567B-4729-B1E1-8877FC07F9EA}"/>
    <cellStyle name="Normal 8 5 3 6" xfId="387" xr:uid="{00000000-0005-0000-0000-0000CE0C0000}"/>
    <cellStyle name="Normal 8 5 3 6 2" xfId="838" xr:uid="{00000000-0005-0000-0000-0000CF0C0000}"/>
    <cellStyle name="Normal 8 5 3 6 2 2" xfId="2792" xr:uid="{00000000-0005-0000-0000-0000D00C0000}"/>
    <cellStyle name="Normal 8 5 3 6 2 2 2" xfId="6713" xr:uid="{C98A0052-4721-42DF-919B-1FA41DB9A9F1}"/>
    <cellStyle name="Normal 8 5 3 6 2 2 2 2" xfId="14573" xr:uid="{C259B200-CCFD-47CA-9D01-38097DED24F5}"/>
    <cellStyle name="Normal 8 5 3 6 2 2 3" xfId="10653" xr:uid="{D96FD0DF-B19C-408F-8889-A050A9E2B6BE}"/>
    <cellStyle name="Normal 8 5 3 6 2 3" xfId="4759" xr:uid="{44376B0F-0129-4F92-85C6-10FABC583969}"/>
    <cellStyle name="Normal 8 5 3 6 2 3 2" xfId="12619" xr:uid="{CB07A5EB-F427-44EB-855F-663CD69A0F99}"/>
    <cellStyle name="Normal 8 5 3 6 2 4" xfId="8700" xr:uid="{081443BF-38F5-4C50-9328-F38E34C23A3E}"/>
    <cellStyle name="Normal 8 5 3 6 3" xfId="1270" xr:uid="{00000000-0005-0000-0000-0000D10C0000}"/>
    <cellStyle name="Normal 8 5 3 6 3 2" xfId="3224" xr:uid="{00000000-0005-0000-0000-0000D20C0000}"/>
    <cellStyle name="Normal 8 5 3 6 3 2 2" xfId="7145" xr:uid="{6317FD5F-ACA8-4F7B-94BA-735DD6E10CD3}"/>
    <cellStyle name="Normal 8 5 3 6 3 2 2 2" xfId="15005" xr:uid="{6F1D0E4A-123D-40EE-9EE1-60BD19EC3305}"/>
    <cellStyle name="Normal 8 5 3 6 3 2 3" xfId="11085" xr:uid="{99212928-61FB-4123-A45F-47DA1746CB29}"/>
    <cellStyle name="Normal 8 5 3 6 3 3" xfId="5191" xr:uid="{5E6EFEFD-911B-44D4-B394-D6C16DBF67F0}"/>
    <cellStyle name="Normal 8 5 3 6 3 3 2" xfId="13051" xr:uid="{F8743FBF-1045-4D15-AAA3-7FEB790B99B8}"/>
    <cellStyle name="Normal 8 5 3 6 3 4" xfId="9132" xr:uid="{75BC662D-0152-4702-B7CC-A7AA2F404ED7}"/>
    <cellStyle name="Normal 8 5 3 6 4" xfId="1688" xr:uid="{00000000-0005-0000-0000-0000D30C0000}"/>
    <cellStyle name="Normal 8 5 3 6 4 2" xfId="3642" xr:uid="{00000000-0005-0000-0000-0000D40C0000}"/>
    <cellStyle name="Normal 8 5 3 6 4 2 2" xfId="7563" xr:uid="{7EB27064-46AF-426E-B1A4-87E74539942E}"/>
    <cellStyle name="Normal 8 5 3 6 4 2 2 2" xfId="15423" xr:uid="{B752C829-9811-4E35-91C1-E1143516AE20}"/>
    <cellStyle name="Normal 8 5 3 6 4 2 3" xfId="11503" xr:uid="{25F3B4C7-EECC-4F07-8379-C4F5ED2A2B74}"/>
    <cellStyle name="Normal 8 5 3 6 4 3" xfId="5609" xr:uid="{FBF52069-B2DD-4F0D-9107-A25CBCAB25F9}"/>
    <cellStyle name="Normal 8 5 3 6 4 3 2" xfId="13469" xr:uid="{86CB36B7-73C7-4BE5-8A71-4110EB601FC0}"/>
    <cellStyle name="Normal 8 5 3 6 4 4" xfId="9550" xr:uid="{FCEFBB8D-E8CB-496A-8929-A2072FCDE428}"/>
    <cellStyle name="Normal 8 5 3 6 5" xfId="2342" xr:uid="{00000000-0005-0000-0000-0000D50C0000}"/>
    <cellStyle name="Normal 8 5 3 6 5 2" xfId="6263" xr:uid="{90B7DC3C-B19E-4595-A923-3E30ECFE040B}"/>
    <cellStyle name="Normal 8 5 3 6 5 2 2" xfId="14123" xr:uid="{9BBA9655-387D-49A0-830E-DE54FD3D6346}"/>
    <cellStyle name="Normal 8 5 3 6 5 3" xfId="10203" xr:uid="{AE20616A-F58E-4C88-9DF5-18452846A3B4}"/>
    <cellStyle name="Normal 8 5 3 6 6" xfId="4309" xr:uid="{325385F1-9FE8-4DE0-9986-F3F0C3AEBF95}"/>
    <cellStyle name="Normal 8 5 3 6 6 2" xfId="12169" xr:uid="{0040E4B4-EBF1-4C36-BFE5-A9CF2FFDFFC8}"/>
    <cellStyle name="Normal 8 5 3 6 7" xfId="8250" xr:uid="{B688852D-42E4-4205-A533-CF7C73A25F26}"/>
    <cellStyle name="Normal 8 5 3 7" xfId="484" xr:uid="{00000000-0005-0000-0000-0000D60C0000}"/>
    <cellStyle name="Normal 8 5 3 7 2" xfId="2438" xr:uid="{00000000-0005-0000-0000-0000D70C0000}"/>
    <cellStyle name="Normal 8 5 3 7 2 2" xfId="6359" xr:uid="{9CB068E4-9C80-45D4-BFF3-67F04E447567}"/>
    <cellStyle name="Normal 8 5 3 7 2 2 2" xfId="14219" xr:uid="{9D96FEA4-88B1-4146-AF3A-A7B69E8A6A21}"/>
    <cellStyle name="Normal 8 5 3 7 2 3" xfId="10299" xr:uid="{05F5FF96-9E50-4229-9B8B-77369004A072}"/>
    <cellStyle name="Normal 8 5 3 7 3" xfId="4405" xr:uid="{6CC7CF6F-D984-45DB-8AA1-CF4161C1796D}"/>
    <cellStyle name="Normal 8 5 3 7 3 2" xfId="12265" xr:uid="{0BC25CB4-8770-4528-A5CD-B57F0F39D696}"/>
    <cellStyle name="Normal 8 5 3 7 4" xfId="8346" xr:uid="{DE57C525-701A-42DF-9B3C-F7FBE156A40F}"/>
    <cellStyle name="Normal 8 5 3 8" xfId="920" xr:uid="{00000000-0005-0000-0000-0000D80C0000}"/>
    <cellStyle name="Normal 8 5 3 8 2" xfId="2874" xr:uid="{00000000-0005-0000-0000-0000D90C0000}"/>
    <cellStyle name="Normal 8 5 3 8 2 2" xfId="6795" xr:uid="{197A53C5-9FF2-4702-8120-198FC88E8953}"/>
    <cellStyle name="Normal 8 5 3 8 2 2 2" xfId="14655" xr:uid="{984ABC35-B415-4F35-8AE5-0A8CC9F7EFB3}"/>
    <cellStyle name="Normal 8 5 3 8 2 3" xfId="10735" xr:uid="{D3A53AE1-7CBF-467E-9A6B-F8C9E3265A48}"/>
    <cellStyle name="Normal 8 5 3 8 3" xfId="4841" xr:uid="{069FA9DF-9FCD-468A-A971-2DE38528F2B4}"/>
    <cellStyle name="Normal 8 5 3 8 3 2" xfId="12701" xr:uid="{AD84880C-76B2-47DA-B261-E1451A0D2D94}"/>
    <cellStyle name="Normal 8 5 3 8 4" xfId="8782" xr:uid="{CF7C826C-F0BE-46E6-8FFF-9E2902507EF9}"/>
    <cellStyle name="Normal 8 5 3 9" xfId="1349" xr:uid="{00000000-0005-0000-0000-0000DA0C0000}"/>
    <cellStyle name="Normal 8 5 3 9 2" xfId="3303" xr:uid="{00000000-0005-0000-0000-0000DB0C0000}"/>
    <cellStyle name="Normal 8 5 3 9 2 2" xfId="7224" xr:uid="{FFD3CC3A-F3C6-40C8-91AE-8E3BE15D16B0}"/>
    <cellStyle name="Normal 8 5 3 9 2 2 2" xfId="15084" xr:uid="{273197C6-2BFC-4D12-9D1A-9F5848E83A7C}"/>
    <cellStyle name="Normal 8 5 3 9 2 3" xfId="11164" xr:uid="{9EA60C05-5913-4279-A0DC-A978FF3B3C46}"/>
    <cellStyle name="Normal 8 5 3 9 3" xfId="5270" xr:uid="{3A8862AD-432D-4E8D-9B11-879D4A64CE08}"/>
    <cellStyle name="Normal 8 5 3 9 3 2" xfId="13130" xr:uid="{1275CAB7-595E-41C8-884C-C64AA2B8D1E2}"/>
    <cellStyle name="Normal 8 5 3 9 4" xfId="9211" xr:uid="{5FC2AD83-0607-4CE9-A982-79A1A6ADC4E0}"/>
    <cellStyle name="Normal 8 5 4" xfId="50" xr:uid="{00000000-0005-0000-0000-0000DC0C0000}"/>
    <cellStyle name="Normal 8 5 4 10" xfId="3986" xr:uid="{FBD4E5AC-AF1E-47A7-A4A7-E70B76328251}"/>
    <cellStyle name="Normal 8 5 4 10 2" xfId="11846" xr:uid="{D763699F-B152-4D30-96C0-C9EC3507945A}"/>
    <cellStyle name="Normal 8 5 4 11" xfId="7924" xr:uid="{D1FC0C4B-EB4F-42DC-A717-C0137E88BC62}"/>
    <cellStyle name="Normal 8 5 4 2" xfId="206" xr:uid="{00000000-0005-0000-0000-0000DD0C0000}"/>
    <cellStyle name="Normal 8 5 4 2 2" xfId="658" xr:uid="{00000000-0005-0000-0000-0000DE0C0000}"/>
    <cellStyle name="Normal 8 5 4 2 2 2" xfId="2612" xr:uid="{00000000-0005-0000-0000-0000DF0C0000}"/>
    <cellStyle name="Normal 8 5 4 2 2 2 2" xfId="6533" xr:uid="{986C912F-CEFE-4480-902B-E5F34893790F}"/>
    <cellStyle name="Normal 8 5 4 2 2 2 2 2" xfId="14393" xr:uid="{D7DFBB9D-CAF5-4EFB-B28B-AF31A5B052B1}"/>
    <cellStyle name="Normal 8 5 4 2 2 2 3" xfId="10473" xr:uid="{E09EDFB4-EDEB-432C-AD50-D8B5F7EA67E4}"/>
    <cellStyle name="Normal 8 5 4 2 2 3" xfId="4579" xr:uid="{1A106971-6CBC-45F9-B99F-E0203F91F610}"/>
    <cellStyle name="Normal 8 5 4 2 2 3 2" xfId="12439" xr:uid="{50D87ADB-E6F5-40FB-B4E4-ECF5EF2A6F00}"/>
    <cellStyle name="Normal 8 5 4 2 2 4" xfId="8520" xr:uid="{90B3B38E-3182-4260-87ED-C14EF0F06D20}"/>
    <cellStyle name="Normal 8 5 4 2 3" xfId="1095" xr:uid="{00000000-0005-0000-0000-0000E00C0000}"/>
    <cellStyle name="Normal 8 5 4 2 3 2" xfId="3049" xr:uid="{00000000-0005-0000-0000-0000E10C0000}"/>
    <cellStyle name="Normal 8 5 4 2 3 2 2" xfId="6970" xr:uid="{2A8E0528-F48B-4BF5-9040-C60104A37D5E}"/>
    <cellStyle name="Normal 8 5 4 2 3 2 2 2" xfId="14830" xr:uid="{FFB43681-7ED7-4B8A-AE0A-DC2961E15682}"/>
    <cellStyle name="Normal 8 5 4 2 3 2 3" xfId="10910" xr:uid="{32136239-6D08-4FC8-96E9-6AF445AA3F84}"/>
    <cellStyle name="Normal 8 5 4 2 3 3" xfId="5016" xr:uid="{CE617B53-8ACF-48C9-A543-E436C9385F26}"/>
    <cellStyle name="Normal 8 5 4 2 3 3 2" xfId="12876" xr:uid="{9C72CC86-034A-4ED0-A6B3-5F0B432D082C}"/>
    <cellStyle name="Normal 8 5 4 2 3 4" xfId="8957" xr:uid="{C7D8FE0C-C382-42DF-96BB-8DBE24CE63E7}"/>
    <cellStyle name="Normal 8 5 4 2 4" xfId="1522" xr:uid="{00000000-0005-0000-0000-0000E20C0000}"/>
    <cellStyle name="Normal 8 5 4 2 4 2" xfId="3476" xr:uid="{00000000-0005-0000-0000-0000E30C0000}"/>
    <cellStyle name="Normal 8 5 4 2 4 2 2" xfId="7397" xr:uid="{719249B6-5F4F-41B6-A273-4BA7165FB9CC}"/>
    <cellStyle name="Normal 8 5 4 2 4 2 2 2" xfId="15257" xr:uid="{D5235907-E320-4035-9F0B-DB538FF4E3C8}"/>
    <cellStyle name="Normal 8 5 4 2 4 2 3" xfId="11337" xr:uid="{A82831E5-49EB-4DDB-9D86-A63D27D0D2D0}"/>
    <cellStyle name="Normal 8 5 4 2 4 3" xfId="5443" xr:uid="{01C61242-2C8C-450B-948A-17D78C2AD598}"/>
    <cellStyle name="Normal 8 5 4 2 4 3 2" xfId="13303" xr:uid="{1DDF6B33-75A3-4D65-B6C6-3D5A54C9D2F9}"/>
    <cellStyle name="Normal 8 5 4 2 4 4" xfId="9384" xr:uid="{2EE397F9-5A11-44A1-8241-AF85D1AED380}"/>
    <cellStyle name="Normal 8 5 4 2 5" xfId="2175" xr:uid="{00000000-0005-0000-0000-0000E40C0000}"/>
    <cellStyle name="Normal 8 5 4 2 5 2" xfId="6096" xr:uid="{663A7366-0DDB-4D41-BA11-89936163BC38}"/>
    <cellStyle name="Normal 8 5 4 2 5 2 2" xfId="13956" xr:uid="{2FA73C4E-1276-44E1-A386-A313C4B176B9}"/>
    <cellStyle name="Normal 8 5 4 2 5 3" xfId="10036" xr:uid="{416A915E-3AD5-4E46-BBF2-9989C97ADD94}"/>
    <cellStyle name="Normal 8 5 4 2 6" xfId="4142" xr:uid="{F979BA50-F015-4F4A-BE8B-685E5320491E}"/>
    <cellStyle name="Normal 8 5 4 2 6 2" xfId="12002" xr:uid="{30CF7DC2-89DB-46E3-B1FB-3A1447C3B12D}"/>
    <cellStyle name="Normal 8 5 4 2 7" xfId="8080" xr:uid="{A441BE7C-0A2B-4F7F-A18F-49E5009972C2}"/>
    <cellStyle name="Normal 8 5 4 3" xfId="128" xr:uid="{00000000-0005-0000-0000-0000E50C0000}"/>
    <cellStyle name="Normal 8 5 4 3 2" xfId="580" xr:uid="{00000000-0005-0000-0000-0000E60C0000}"/>
    <cellStyle name="Normal 8 5 4 3 2 2" xfId="2534" xr:uid="{00000000-0005-0000-0000-0000E70C0000}"/>
    <cellStyle name="Normal 8 5 4 3 2 2 2" xfId="6455" xr:uid="{43157CA5-B01B-4C42-A928-6369613389DB}"/>
    <cellStyle name="Normal 8 5 4 3 2 2 2 2" xfId="14315" xr:uid="{FD5BF269-22BA-4B2C-9FCE-C4BB4DBA08F4}"/>
    <cellStyle name="Normal 8 5 4 3 2 2 3" xfId="10395" xr:uid="{AF2BA7DE-FBAA-406B-A2F7-A483584BF6C2}"/>
    <cellStyle name="Normal 8 5 4 3 2 3" xfId="4501" xr:uid="{2256B374-4614-417E-9574-75ACB46112C4}"/>
    <cellStyle name="Normal 8 5 4 3 2 3 2" xfId="12361" xr:uid="{A7C78EA8-DA97-4822-B631-3370B5DEE344}"/>
    <cellStyle name="Normal 8 5 4 3 2 4" xfId="8442" xr:uid="{13297E43-96E4-453E-9F67-620FDC4D38BF}"/>
    <cellStyle name="Normal 8 5 4 3 3" xfId="1017" xr:uid="{00000000-0005-0000-0000-0000E80C0000}"/>
    <cellStyle name="Normal 8 5 4 3 3 2" xfId="2971" xr:uid="{00000000-0005-0000-0000-0000E90C0000}"/>
    <cellStyle name="Normal 8 5 4 3 3 2 2" xfId="6892" xr:uid="{314D54C9-68A9-4DC3-A932-18723D77ACC0}"/>
    <cellStyle name="Normal 8 5 4 3 3 2 2 2" xfId="14752" xr:uid="{F58870BB-2BED-45C1-828A-4A373B3602C6}"/>
    <cellStyle name="Normal 8 5 4 3 3 2 3" xfId="10832" xr:uid="{B9D24A93-C76C-4DFF-9682-7BB3E784E0F2}"/>
    <cellStyle name="Normal 8 5 4 3 3 3" xfId="4938" xr:uid="{E653A3DA-40D6-4150-BECA-6428C6FD529B}"/>
    <cellStyle name="Normal 8 5 4 3 3 3 2" xfId="12798" xr:uid="{7BA3D684-301D-4286-9B19-2AC5B0FC428D}"/>
    <cellStyle name="Normal 8 5 4 3 3 4" xfId="8879" xr:uid="{32742EB5-5EBD-46F4-B61D-B44A1A62212B}"/>
    <cellStyle name="Normal 8 5 4 3 4" xfId="1444" xr:uid="{00000000-0005-0000-0000-0000EA0C0000}"/>
    <cellStyle name="Normal 8 5 4 3 4 2" xfId="3398" xr:uid="{00000000-0005-0000-0000-0000EB0C0000}"/>
    <cellStyle name="Normal 8 5 4 3 4 2 2" xfId="7319" xr:uid="{161FB9F7-D0C5-4B88-8EFD-41C8694ABACA}"/>
    <cellStyle name="Normal 8 5 4 3 4 2 2 2" xfId="15179" xr:uid="{3E80BEA4-1BBB-4ACA-A4B7-CB9A89B41DF5}"/>
    <cellStyle name="Normal 8 5 4 3 4 2 3" xfId="11259" xr:uid="{9B39DD5D-9775-4602-A1D6-E610AA34B60C}"/>
    <cellStyle name="Normal 8 5 4 3 4 3" xfId="5365" xr:uid="{60D36D36-448B-4D90-B35F-DF503DC5C7CF}"/>
    <cellStyle name="Normal 8 5 4 3 4 3 2" xfId="13225" xr:uid="{8A728462-C269-4DAB-A05A-D4B125094FCE}"/>
    <cellStyle name="Normal 8 5 4 3 4 4" xfId="9306" xr:uid="{CF8D3314-0C48-48C0-95F8-D9D8D840C55A}"/>
    <cellStyle name="Normal 8 5 4 3 5" xfId="2097" xr:uid="{00000000-0005-0000-0000-0000EC0C0000}"/>
    <cellStyle name="Normal 8 5 4 3 5 2" xfId="6018" xr:uid="{2F5DC092-7061-43FF-9083-10D3B3442BBA}"/>
    <cellStyle name="Normal 8 5 4 3 5 2 2" xfId="13878" xr:uid="{E7FBE3A2-AC8B-4E07-B49D-65274D032C44}"/>
    <cellStyle name="Normal 8 5 4 3 5 3" xfId="9958" xr:uid="{FFDFE1C0-33A9-4B5B-BF00-621B00FAA0BF}"/>
    <cellStyle name="Normal 8 5 4 3 6" xfId="4064" xr:uid="{5FE74141-68BC-4413-93BC-5EB0796CC14A}"/>
    <cellStyle name="Normal 8 5 4 3 6 2" xfId="11924" xr:uid="{7E07E96F-8CD8-40C1-A2EB-0FEA4630E1FC}"/>
    <cellStyle name="Normal 8 5 4 3 7" xfId="8002" xr:uid="{62ABD31E-9715-4721-A6B2-6E64C294333B}"/>
    <cellStyle name="Normal 8 5 4 4" xfId="313" xr:uid="{00000000-0005-0000-0000-0000ED0C0000}"/>
    <cellStyle name="Normal 8 5 4 4 2" xfId="765" xr:uid="{00000000-0005-0000-0000-0000EE0C0000}"/>
    <cellStyle name="Normal 8 5 4 4 2 2" xfId="2719" xr:uid="{00000000-0005-0000-0000-0000EF0C0000}"/>
    <cellStyle name="Normal 8 5 4 4 2 2 2" xfId="6640" xr:uid="{0F405760-1667-4CE4-A486-10F5D43D9ABB}"/>
    <cellStyle name="Normal 8 5 4 4 2 2 2 2" xfId="14500" xr:uid="{D0D08900-26A7-4FEA-B8DB-F165C479591A}"/>
    <cellStyle name="Normal 8 5 4 4 2 2 3" xfId="10580" xr:uid="{AAB77D86-86C6-454E-8DC8-0B52F1E0E678}"/>
    <cellStyle name="Normal 8 5 4 4 2 3" xfId="4686" xr:uid="{BE49045C-5FA5-434A-97B8-B9CBFC61681B}"/>
    <cellStyle name="Normal 8 5 4 4 2 3 2" xfId="12546" xr:uid="{A26BD057-7DED-4C3B-BC4E-399608D785AD}"/>
    <cellStyle name="Normal 8 5 4 4 2 4" xfId="8627" xr:uid="{584CB815-AB80-479F-9088-4A16B7EA9EF6}"/>
    <cellStyle name="Normal 8 5 4 4 3" xfId="1200" xr:uid="{00000000-0005-0000-0000-0000F00C0000}"/>
    <cellStyle name="Normal 8 5 4 4 3 2" xfId="3154" xr:uid="{00000000-0005-0000-0000-0000F10C0000}"/>
    <cellStyle name="Normal 8 5 4 4 3 2 2" xfId="7075" xr:uid="{C31448DC-E40E-4C39-9DF9-4361209B5B47}"/>
    <cellStyle name="Normal 8 5 4 4 3 2 2 2" xfId="14935" xr:uid="{C828BBA5-8B34-490D-B00C-E4A9B79CCCB6}"/>
    <cellStyle name="Normal 8 5 4 4 3 2 3" xfId="11015" xr:uid="{1622B656-FFB3-4322-B708-F522DE5604C7}"/>
    <cellStyle name="Normal 8 5 4 4 3 3" xfId="5121" xr:uid="{0FA05990-D095-4251-B55E-1A5B85BC2E6F}"/>
    <cellStyle name="Normal 8 5 4 4 3 3 2" xfId="12981" xr:uid="{89A59DF7-5AC9-4396-8F98-0A199108299B}"/>
    <cellStyle name="Normal 8 5 4 4 3 4" xfId="9062" xr:uid="{92F0F5D9-D837-45B2-9095-A5F5123D277E}"/>
    <cellStyle name="Normal 8 5 4 4 4" xfId="1620" xr:uid="{00000000-0005-0000-0000-0000F20C0000}"/>
    <cellStyle name="Normal 8 5 4 4 4 2" xfId="3574" xr:uid="{00000000-0005-0000-0000-0000F30C0000}"/>
    <cellStyle name="Normal 8 5 4 4 4 2 2" xfId="7495" xr:uid="{09A3BDB0-65B3-4302-A380-0D4E60BABCBA}"/>
    <cellStyle name="Normal 8 5 4 4 4 2 2 2" xfId="15355" xr:uid="{E6587BC0-DC5D-40F8-8FCE-56654D4A9A4B}"/>
    <cellStyle name="Normal 8 5 4 4 4 2 3" xfId="11435" xr:uid="{DEFF659D-1FB2-4AB5-87B6-F3CC30F81E16}"/>
    <cellStyle name="Normal 8 5 4 4 4 3" xfId="5541" xr:uid="{76E1E0C7-43DC-4B1C-A69B-98E3A93E63E2}"/>
    <cellStyle name="Normal 8 5 4 4 4 3 2" xfId="13401" xr:uid="{4F49D312-43EE-43B3-B321-C87B73C912DF}"/>
    <cellStyle name="Normal 8 5 4 4 4 4" xfId="9482" xr:uid="{BE5F7BC1-5707-4E89-876F-01D6ED7BEAE1}"/>
    <cellStyle name="Normal 8 5 4 4 5" xfId="2274" xr:uid="{00000000-0005-0000-0000-0000F40C0000}"/>
    <cellStyle name="Normal 8 5 4 4 5 2" xfId="6195" xr:uid="{ED6948BE-87C6-4332-99EA-CBF6C7E94181}"/>
    <cellStyle name="Normal 8 5 4 4 5 2 2" xfId="14055" xr:uid="{BDDCAEE0-B1D3-4BA7-8097-E766E1BD7CAD}"/>
    <cellStyle name="Normal 8 5 4 4 5 3" xfId="10135" xr:uid="{8C34AF21-F293-4229-8716-D3B54BD849AE}"/>
    <cellStyle name="Normal 8 5 4 4 6" xfId="4241" xr:uid="{4E7E8481-3A21-4B67-AE0F-6D31286840EB}"/>
    <cellStyle name="Normal 8 5 4 4 6 2" xfId="12101" xr:uid="{E4161290-99AF-4947-ADDD-98562BDC5FDA}"/>
    <cellStyle name="Normal 8 5 4 4 7" xfId="8180" xr:uid="{9390A159-7346-4C63-B16A-EA19B0387030}"/>
    <cellStyle name="Normal 8 5 4 5" xfId="411" xr:uid="{00000000-0005-0000-0000-0000F50C0000}"/>
    <cellStyle name="Normal 8 5 4 5 2" xfId="862" xr:uid="{00000000-0005-0000-0000-0000F60C0000}"/>
    <cellStyle name="Normal 8 5 4 5 2 2" xfId="2816" xr:uid="{00000000-0005-0000-0000-0000F70C0000}"/>
    <cellStyle name="Normal 8 5 4 5 2 2 2" xfId="6737" xr:uid="{39B9CCB0-9169-4708-A5DA-32C4DF3E0677}"/>
    <cellStyle name="Normal 8 5 4 5 2 2 2 2" xfId="14597" xr:uid="{641042E6-7118-4009-823E-EEC3B57B266C}"/>
    <cellStyle name="Normal 8 5 4 5 2 2 3" xfId="10677" xr:uid="{9D524947-A20D-4A50-AAD5-21EF609474F0}"/>
    <cellStyle name="Normal 8 5 4 5 2 3" xfId="4783" xr:uid="{33A21F98-458F-4B61-AA10-410913AE715D}"/>
    <cellStyle name="Normal 8 5 4 5 2 3 2" xfId="12643" xr:uid="{1C628B36-B4CE-4054-82C2-523BCFD152E3}"/>
    <cellStyle name="Normal 8 5 4 5 2 4" xfId="8724" xr:uid="{A7CE9D92-2A67-467A-9B20-C42267805F1F}"/>
    <cellStyle name="Normal 8 5 4 5 3" xfId="1294" xr:uid="{00000000-0005-0000-0000-0000F80C0000}"/>
    <cellStyle name="Normal 8 5 4 5 3 2" xfId="3248" xr:uid="{00000000-0005-0000-0000-0000F90C0000}"/>
    <cellStyle name="Normal 8 5 4 5 3 2 2" xfId="7169" xr:uid="{F185BB15-5278-4A2B-8489-6F814E84A052}"/>
    <cellStyle name="Normal 8 5 4 5 3 2 2 2" xfId="15029" xr:uid="{9892432F-656C-4B87-A44F-2C864402A5F3}"/>
    <cellStyle name="Normal 8 5 4 5 3 2 3" xfId="11109" xr:uid="{E1AE2F1C-312C-4BC7-9417-96BEF9192CF2}"/>
    <cellStyle name="Normal 8 5 4 5 3 3" xfId="5215" xr:uid="{B4D36F1F-90C1-41A5-8163-C7287AEDA2D8}"/>
    <cellStyle name="Normal 8 5 4 5 3 3 2" xfId="13075" xr:uid="{F4EEC137-A56C-4224-BED0-F0F55A8DDFA0}"/>
    <cellStyle name="Normal 8 5 4 5 3 4" xfId="9156" xr:uid="{2F2036AE-996C-4355-BA99-378AD8C75F0B}"/>
    <cellStyle name="Normal 8 5 4 5 4" xfId="1712" xr:uid="{00000000-0005-0000-0000-0000FA0C0000}"/>
    <cellStyle name="Normal 8 5 4 5 4 2" xfId="3666" xr:uid="{00000000-0005-0000-0000-0000FB0C0000}"/>
    <cellStyle name="Normal 8 5 4 5 4 2 2" xfId="7587" xr:uid="{D97D08B9-CDC6-42D0-A97D-80989AA541DF}"/>
    <cellStyle name="Normal 8 5 4 5 4 2 2 2" xfId="15447" xr:uid="{DF12B055-EB9F-4F8F-86CE-947CC6A717FA}"/>
    <cellStyle name="Normal 8 5 4 5 4 2 3" xfId="11527" xr:uid="{88CE2947-C0F5-4A2C-BA75-84810211C5AC}"/>
    <cellStyle name="Normal 8 5 4 5 4 3" xfId="5633" xr:uid="{6844E726-74A0-40D3-9776-F07B9E9F23F9}"/>
    <cellStyle name="Normal 8 5 4 5 4 3 2" xfId="13493" xr:uid="{B60AAA11-54CE-42F9-BE6E-D5D11B6016F0}"/>
    <cellStyle name="Normal 8 5 4 5 4 4" xfId="9574" xr:uid="{E2830F42-4C9B-47BB-ACD9-D1DE1A1C333D}"/>
    <cellStyle name="Normal 8 5 4 5 5" xfId="2366" xr:uid="{00000000-0005-0000-0000-0000FC0C0000}"/>
    <cellStyle name="Normal 8 5 4 5 5 2" xfId="6287" xr:uid="{41960B8E-FC19-4D0F-B670-E0D667100CDF}"/>
    <cellStyle name="Normal 8 5 4 5 5 2 2" xfId="14147" xr:uid="{26E9C5C5-B2AB-4801-AFCB-F2217BF8CF8B}"/>
    <cellStyle name="Normal 8 5 4 5 5 3" xfId="10227" xr:uid="{3116DB3B-AF30-4FC2-AB55-2F487312AC81}"/>
    <cellStyle name="Normal 8 5 4 5 6" xfId="4333" xr:uid="{41ECC7FE-7742-4297-BE3E-44F09D5F5DFC}"/>
    <cellStyle name="Normal 8 5 4 5 6 2" xfId="12193" xr:uid="{5A9BE714-17A9-408A-A76F-7AE5AB590A3F}"/>
    <cellStyle name="Normal 8 5 4 5 7" xfId="8274" xr:uid="{3BD46781-DF50-4751-A209-F7A9C4C8AE6E}"/>
    <cellStyle name="Normal 8 5 4 6" xfId="502" xr:uid="{00000000-0005-0000-0000-0000FD0C0000}"/>
    <cellStyle name="Normal 8 5 4 6 2" xfId="2456" xr:uid="{00000000-0005-0000-0000-0000FE0C0000}"/>
    <cellStyle name="Normal 8 5 4 6 2 2" xfId="6377" xr:uid="{D741D6DE-2639-4A85-B7BB-28DD67022251}"/>
    <cellStyle name="Normal 8 5 4 6 2 2 2" xfId="14237" xr:uid="{C473C562-5FE5-4483-9080-31E9597A3090}"/>
    <cellStyle name="Normal 8 5 4 6 2 3" xfId="10317" xr:uid="{CFFEF942-11D1-4C35-9182-574422927315}"/>
    <cellStyle name="Normal 8 5 4 6 3" xfId="4423" xr:uid="{612E3E2B-D583-4F01-B595-DE4F33128B03}"/>
    <cellStyle name="Normal 8 5 4 6 3 2" xfId="12283" xr:uid="{612B8DF7-2A4A-49A8-B3CE-6B5D17F5CA36}"/>
    <cellStyle name="Normal 8 5 4 6 4" xfId="8364" xr:uid="{593CB8D8-7653-43C7-B26C-B2C95BB5461D}"/>
    <cellStyle name="Normal 8 5 4 7" xfId="939" xr:uid="{00000000-0005-0000-0000-0000FF0C0000}"/>
    <cellStyle name="Normal 8 5 4 7 2" xfId="2893" xr:uid="{00000000-0005-0000-0000-0000000D0000}"/>
    <cellStyle name="Normal 8 5 4 7 2 2" xfId="6814" xr:uid="{5E0DE2BD-6BA8-4A7C-89D3-3CF1D368B62C}"/>
    <cellStyle name="Normal 8 5 4 7 2 2 2" xfId="14674" xr:uid="{96970B7A-5B4A-4F5D-B555-9FFE7B95BC6F}"/>
    <cellStyle name="Normal 8 5 4 7 2 3" xfId="10754" xr:uid="{D0050766-4A2F-4155-BF24-8077BA13057C}"/>
    <cellStyle name="Normal 8 5 4 7 3" xfId="4860" xr:uid="{A506F4F9-A6B1-4C25-8F41-044B8D9CC7C3}"/>
    <cellStyle name="Normal 8 5 4 7 3 2" xfId="12720" xr:uid="{C44445F8-970D-475A-A49F-4F6FB56DECFB}"/>
    <cellStyle name="Normal 8 5 4 7 4" xfId="8801" xr:uid="{63FBF018-ADD3-4BCC-9510-F1E34F934D19}"/>
    <cellStyle name="Normal 8 5 4 8" xfId="1366" xr:uid="{00000000-0005-0000-0000-0000010D0000}"/>
    <cellStyle name="Normal 8 5 4 8 2" xfId="3320" xr:uid="{00000000-0005-0000-0000-0000020D0000}"/>
    <cellStyle name="Normal 8 5 4 8 2 2" xfId="7241" xr:uid="{007D1EDD-2F19-420F-B1E2-E81BBC4C599C}"/>
    <cellStyle name="Normal 8 5 4 8 2 2 2" xfId="15101" xr:uid="{B0AFB85F-B322-44BC-A0CC-7F8A7D9244F4}"/>
    <cellStyle name="Normal 8 5 4 8 2 3" xfId="11181" xr:uid="{F2536E50-DACD-4459-87EE-2E599DCB9A89}"/>
    <cellStyle name="Normal 8 5 4 8 3" xfId="5287" xr:uid="{E7724A1F-887E-49D8-BEF8-D6BF29CF96EF}"/>
    <cellStyle name="Normal 8 5 4 8 3 2" xfId="13147" xr:uid="{80D0FD6F-3446-451D-9152-9E515186C9D0}"/>
    <cellStyle name="Normal 8 5 4 8 4" xfId="9228" xr:uid="{A5D4E723-174D-4C0E-879C-75CEDB00FF15}"/>
    <cellStyle name="Normal 8 5 4 9" xfId="2019" xr:uid="{00000000-0005-0000-0000-0000030D0000}"/>
    <cellStyle name="Normal 8 5 4 9 2" xfId="5940" xr:uid="{AE6338EA-AE20-4447-9793-DD4508CEC54A}"/>
    <cellStyle name="Normal 8 5 4 9 2 2" xfId="13800" xr:uid="{A01E2B65-F99A-4938-891E-621948CC2011}"/>
    <cellStyle name="Normal 8 5 4 9 3" xfId="9880" xr:uid="{F0904E5C-A891-4B37-9823-8B556C7DFDB1}"/>
    <cellStyle name="Normal 8 5 5" xfId="167" xr:uid="{00000000-0005-0000-0000-0000040D0000}"/>
    <cellStyle name="Normal 8 5 5 2" xfId="619" xr:uid="{00000000-0005-0000-0000-0000050D0000}"/>
    <cellStyle name="Normal 8 5 5 2 2" xfId="2573" xr:uid="{00000000-0005-0000-0000-0000060D0000}"/>
    <cellStyle name="Normal 8 5 5 2 2 2" xfId="6494" xr:uid="{9EDE9407-F043-41C3-B9FB-0139B4E26CCE}"/>
    <cellStyle name="Normal 8 5 5 2 2 2 2" xfId="14354" xr:uid="{016ABD17-7DE5-45DF-AF33-1133AB3D72CF}"/>
    <cellStyle name="Normal 8 5 5 2 2 3" xfId="10434" xr:uid="{D57B3A6D-76A9-4964-9373-4687F1438EC8}"/>
    <cellStyle name="Normal 8 5 5 2 3" xfId="4540" xr:uid="{A4A29D28-92F3-4070-A919-913978563614}"/>
    <cellStyle name="Normal 8 5 5 2 3 2" xfId="12400" xr:uid="{F91546F7-20DA-4494-B922-4CFE13F64CB7}"/>
    <cellStyle name="Normal 8 5 5 2 4" xfId="8481" xr:uid="{C079075F-27B7-4DDB-BB8B-DB32CE2567CD}"/>
    <cellStyle name="Normal 8 5 5 3" xfId="1056" xr:uid="{00000000-0005-0000-0000-0000070D0000}"/>
    <cellStyle name="Normal 8 5 5 3 2" xfId="3010" xr:uid="{00000000-0005-0000-0000-0000080D0000}"/>
    <cellStyle name="Normal 8 5 5 3 2 2" xfId="6931" xr:uid="{3343BFEF-4EBC-4058-95CE-D966C5416512}"/>
    <cellStyle name="Normal 8 5 5 3 2 2 2" xfId="14791" xr:uid="{3DF7ADC0-0FA2-4533-9F6C-76E399BD9FD6}"/>
    <cellStyle name="Normal 8 5 5 3 2 3" xfId="10871" xr:uid="{66156ADB-873E-458B-ADCB-20B0DC1B8A4B}"/>
    <cellStyle name="Normal 8 5 5 3 3" xfId="4977" xr:uid="{886C0EC7-D523-4F88-AF7A-338BDE6E2669}"/>
    <cellStyle name="Normal 8 5 5 3 3 2" xfId="12837" xr:uid="{2F76FAD6-48B6-4A75-871C-CD4F6C376AFD}"/>
    <cellStyle name="Normal 8 5 5 3 4" xfId="8918" xr:uid="{79CF6137-732C-4F7C-9C0C-A589E1D662FE}"/>
    <cellStyle name="Normal 8 5 5 4" xfId="1483" xr:uid="{00000000-0005-0000-0000-0000090D0000}"/>
    <cellStyle name="Normal 8 5 5 4 2" xfId="3437" xr:uid="{00000000-0005-0000-0000-00000A0D0000}"/>
    <cellStyle name="Normal 8 5 5 4 2 2" xfId="7358" xr:uid="{E2617DBA-501E-43D7-A41C-5F0371CBA276}"/>
    <cellStyle name="Normal 8 5 5 4 2 2 2" xfId="15218" xr:uid="{11A10B92-9E57-4334-9F7C-2631DE880C8D}"/>
    <cellStyle name="Normal 8 5 5 4 2 3" xfId="11298" xr:uid="{D4BE30E5-6E3B-42A0-BF2D-309088AC6C17}"/>
    <cellStyle name="Normal 8 5 5 4 3" xfId="5404" xr:uid="{689522A3-B27C-4670-9408-996750510679}"/>
    <cellStyle name="Normal 8 5 5 4 3 2" xfId="13264" xr:uid="{FF5F8436-6BBE-4788-939E-85B620E9A77B}"/>
    <cellStyle name="Normal 8 5 5 4 4" xfId="9345" xr:uid="{74B5C43B-6CBB-4D96-8E24-AF110C05459B}"/>
    <cellStyle name="Normal 8 5 5 5" xfId="2136" xr:uid="{00000000-0005-0000-0000-00000B0D0000}"/>
    <cellStyle name="Normal 8 5 5 5 2" xfId="6057" xr:uid="{B78C93E5-99B3-4A5E-941C-F844FA0050AE}"/>
    <cellStyle name="Normal 8 5 5 5 2 2" xfId="13917" xr:uid="{72A69D46-8B42-46E2-9145-33394FB412D5}"/>
    <cellStyle name="Normal 8 5 5 5 3" xfId="9997" xr:uid="{C073090F-6A3C-42C1-AAF5-45CCB2209E72}"/>
    <cellStyle name="Normal 8 5 5 6" xfId="4103" xr:uid="{5655BF06-3839-4C4A-AC23-AD9BB3DD3630}"/>
    <cellStyle name="Normal 8 5 5 6 2" xfId="11963" xr:uid="{FB4A1E37-0111-4FA5-9C57-7C2DB0F67B8E}"/>
    <cellStyle name="Normal 8 5 5 7" xfId="8041" xr:uid="{B7E5E2D4-17F6-4398-8C3C-12EB94F4B5DD}"/>
    <cellStyle name="Normal 8 5 6" xfId="89" xr:uid="{00000000-0005-0000-0000-00000C0D0000}"/>
    <cellStyle name="Normal 8 5 6 2" xfId="541" xr:uid="{00000000-0005-0000-0000-00000D0D0000}"/>
    <cellStyle name="Normal 8 5 6 2 2" xfId="2495" xr:uid="{00000000-0005-0000-0000-00000E0D0000}"/>
    <cellStyle name="Normal 8 5 6 2 2 2" xfId="6416" xr:uid="{7284C3E4-D867-45A5-8B77-7E9BF7B25026}"/>
    <cellStyle name="Normal 8 5 6 2 2 2 2" xfId="14276" xr:uid="{B863C08C-C42C-4A7C-BDC2-FC77CCCF4292}"/>
    <cellStyle name="Normal 8 5 6 2 2 3" xfId="10356" xr:uid="{2ECD3F2C-B5F3-4B70-8BDE-5221E11E0204}"/>
    <cellStyle name="Normal 8 5 6 2 3" xfId="4462" xr:uid="{5AA9E660-451D-46BE-943E-A8983AADCBEE}"/>
    <cellStyle name="Normal 8 5 6 2 3 2" xfId="12322" xr:uid="{4FFB8D93-BE6E-4CA3-BEB2-F58A11058AA2}"/>
    <cellStyle name="Normal 8 5 6 2 4" xfId="8403" xr:uid="{D12937AA-3C4F-4A71-A78B-3CB5BAF937B5}"/>
    <cellStyle name="Normal 8 5 6 3" xfId="978" xr:uid="{00000000-0005-0000-0000-00000F0D0000}"/>
    <cellStyle name="Normal 8 5 6 3 2" xfId="2932" xr:uid="{00000000-0005-0000-0000-0000100D0000}"/>
    <cellStyle name="Normal 8 5 6 3 2 2" xfId="6853" xr:uid="{8FF2ABC6-DC2C-4E1E-9868-1B9085CC31EA}"/>
    <cellStyle name="Normal 8 5 6 3 2 2 2" xfId="14713" xr:uid="{3DA17FE2-C0BA-436B-927B-37317CBB1F69}"/>
    <cellStyle name="Normal 8 5 6 3 2 3" xfId="10793" xr:uid="{526C04BF-B315-4949-A153-17CDFFCBFE97}"/>
    <cellStyle name="Normal 8 5 6 3 3" xfId="4899" xr:uid="{2ABA9231-7616-4999-910D-51CBA8AED9A6}"/>
    <cellStyle name="Normal 8 5 6 3 3 2" xfId="12759" xr:uid="{748EA383-9E4E-40EA-B149-A58D7C2DB23F}"/>
    <cellStyle name="Normal 8 5 6 3 4" xfId="8840" xr:uid="{ED59CE4D-8BDB-408B-AE4D-FB0006A2CA2C}"/>
    <cellStyle name="Normal 8 5 6 4" xfId="1405" xr:uid="{00000000-0005-0000-0000-0000110D0000}"/>
    <cellStyle name="Normal 8 5 6 4 2" xfId="3359" xr:uid="{00000000-0005-0000-0000-0000120D0000}"/>
    <cellStyle name="Normal 8 5 6 4 2 2" xfId="7280" xr:uid="{46DF6B8C-D210-4428-AAA0-AE9D33154DC6}"/>
    <cellStyle name="Normal 8 5 6 4 2 2 2" xfId="15140" xr:uid="{80A47144-FC17-45D9-839D-83A65752A4C0}"/>
    <cellStyle name="Normal 8 5 6 4 2 3" xfId="11220" xr:uid="{CAF69CD1-562E-4F74-BBC2-FD95B768D7A4}"/>
    <cellStyle name="Normal 8 5 6 4 3" xfId="5326" xr:uid="{334AD000-EFB4-4B8D-9A7B-C18DC335C46F}"/>
    <cellStyle name="Normal 8 5 6 4 3 2" xfId="13186" xr:uid="{D27FCAAB-3389-4F07-8DE6-C691F4144710}"/>
    <cellStyle name="Normal 8 5 6 4 4" xfId="9267" xr:uid="{60C89B3B-C1AE-4A5A-88C0-85311FF0FF79}"/>
    <cellStyle name="Normal 8 5 6 5" xfId="2058" xr:uid="{00000000-0005-0000-0000-0000130D0000}"/>
    <cellStyle name="Normal 8 5 6 5 2" xfId="5979" xr:uid="{1E2DDE7F-B36F-40D0-AACF-D74491602837}"/>
    <cellStyle name="Normal 8 5 6 5 2 2" xfId="13839" xr:uid="{DF5F2B8D-170F-4D13-BD3B-926E076E7419}"/>
    <cellStyle name="Normal 8 5 6 5 3" xfId="9919" xr:uid="{F8D5597D-7FE3-4DE8-B521-486270595839}"/>
    <cellStyle name="Normal 8 5 6 6" xfId="4025" xr:uid="{DB8753C4-CFD8-414B-8226-6230E5717421}"/>
    <cellStyle name="Normal 8 5 6 6 2" xfId="11885" xr:uid="{5BAE1570-2D04-417D-BF82-C6BB154621F7}"/>
    <cellStyle name="Normal 8 5 6 7" xfId="7963" xr:uid="{89D2D627-0738-499F-A90F-93F3B6EF1507}"/>
    <cellStyle name="Normal 8 5 7" xfId="265" xr:uid="{00000000-0005-0000-0000-0000140D0000}"/>
    <cellStyle name="Normal 8 5 7 2" xfId="717" xr:uid="{00000000-0005-0000-0000-0000150D0000}"/>
    <cellStyle name="Normal 8 5 7 2 2" xfId="2671" xr:uid="{00000000-0005-0000-0000-0000160D0000}"/>
    <cellStyle name="Normal 8 5 7 2 2 2" xfId="6592" xr:uid="{771AAAD0-9496-46B4-8AF6-6D0B623EC54F}"/>
    <cellStyle name="Normal 8 5 7 2 2 2 2" xfId="14452" xr:uid="{B17881BB-59A9-44CD-BC48-EE9D30972B0B}"/>
    <cellStyle name="Normal 8 5 7 2 2 3" xfId="10532" xr:uid="{9B1DEB88-0FC2-487E-8D6E-625A1FB83374}"/>
    <cellStyle name="Normal 8 5 7 2 3" xfId="4638" xr:uid="{579820A9-1C48-4BD8-BAAF-0D1D44784F6C}"/>
    <cellStyle name="Normal 8 5 7 2 3 2" xfId="12498" xr:uid="{72D1A8F2-1500-4F41-A0B2-2FA996F34427}"/>
    <cellStyle name="Normal 8 5 7 2 4" xfId="8579" xr:uid="{C46DE31B-04C0-44B7-BF29-D96B999A1683}"/>
    <cellStyle name="Normal 8 5 7 3" xfId="1153" xr:uid="{00000000-0005-0000-0000-0000170D0000}"/>
    <cellStyle name="Normal 8 5 7 3 2" xfId="3107" xr:uid="{00000000-0005-0000-0000-0000180D0000}"/>
    <cellStyle name="Normal 8 5 7 3 2 2" xfId="7028" xr:uid="{E64FBDCC-BB3E-4C35-8BFD-D1D370E7C75A}"/>
    <cellStyle name="Normal 8 5 7 3 2 2 2" xfId="14888" xr:uid="{76B7B3E2-5CEF-4F23-AD1E-A3B19616D643}"/>
    <cellStyle name="Normal 8 5 7 3 2 3" xfId="10968" xr:uid="{59379B5D-1606-4AA4-9131-1EAF6A01452A}"/>
    <cellStyle name="Normal 8 5 7 3 3" xfId="5074" xr:uid="{7FEF1558-3BF7-45B1-BCC7-A3073F3D2780}"/>
    <cellStyle name="Normal 8 5 7 3 3 2" xfId="12934" xr:uid="{A8B91131-DBA6-4334-B348-01C64DED9F7E}"/>
    <cellStyle name="Normal 8 5 7 3 4" xfId="9015" xr:uid="{6DAD8D69-74E5-4D31-A1BE-2E2EEEB75CD8}"/>
    <cellStyle name="Normal 8 5 7 4" xfId="1574" xr:uid="{00000000-0005-0000-0000-0000190D0000}"/>
    <cellStyle name="Normal 8 5 7 4 2" xfId="3528" xr:uid="{00000000-0005-0000-0000-00001A0D0000}"/>
    <cellStyle name="Normal 8 5 7 4 2 2" xfId="7449" xr:uid="{66A23DA4-B594-4D2B-87D6-B1D15A662BE6}"/>
    <cellStyle name="Normal 8 5 7 4 2 2 2" xfId="15309" xr:uid="{5D0B05A9-4066-426D-8DAD-3CAF59DBF390}"/>
    <cellStyle name="Normal 8 5 7 4 2 3" xfId="11389" xr:uid="{DA30D581-7502-4E54-9FD8-3265342B755D}"/>
    <cellStyle name="Normal 8 5 7 4 3" xfId="5495" xr:uid="{D7DDDECA-1261-4D77-B8AB-7104076CEC26}"/>
    <cellStyle name="Normal 8 5 7 4 3 2" xfId="13355" xr:uid="{C50CD207-DDC0-48B7-8E14-2A993B0F44DF}"/>
    <cellStyle name="Normal 8 5 7 4 4" xfId="9436" xr:uid="{E939F127-0135-4540-9EB0-9317079D3B2E}"/>
    <cellStyle name="Normal 8 5 7 5" xfId="2228" xr:uid="{00000000-0005-0000-0000-00001B0D0000}"/>
    <cellStyle name="Normal 8 5 7 5 2" xfId="6149" xr:uid="{A25A8833-EC32-4FC8-B4C7-D0B0BAC2A69E}"/>
    <cellStyle name="Normal 8 5 7 5 2 2" xfId="14009" xr:uid="{02250CF6-E7AE-4B09-B173-844414260A3D}"/>
    <cellStyle name="Normal 8 5 7 5 3" xfId="10089" xr:uid="{48729124-31CD-456E-B88C-5D9A460D87AD}"/>
    <cellStyle name="Normal 8 5 7 6" xfId="4195" xr:uid="{AA011EE3-7AA3-4A0B-98E1-56FC0FB3188D}"/>
    <cellStyle name="Normal 8 5 7 6 2" xfId="12055" xr:uid="{CA7C6B78-BC7D-4AA5-87B2-67955D87B700}"/>
    <cellStyle name="Normal 8 5 7 7" xfId="8134" xr:uid="{B6A630C4-309C-41DF-A264-6B8EDC76B50D}"/>
    <cellStyle name="Normal 8 5 8" xfId="365" xr:uid="{00000000-0005-0000-0000-00001C0D0000}"/>
    <cellStyle name="Normal 8 5 8 2" xfId="816" xr:uid="{00000000-0005-0000-0000-00001D0D0000}"/>
    <cellStyle name="Normal 8 5 8 2 2" xfId="2770" xr:uid="{00000000-0005-0000-0000-00001E0D0000}"/>
    <cellStyle name="Normal 8 5 8 2 2 2" xfId="6691" xr:uid="{5D922A7B-3C94-4DF1-A3C1-06432D0A566B}"/>
    <cellStyle name="Normal 8 5 8 2 2 2 2" xfId="14551" xr:uid="{673DC73E-503E-4BDB-94CE-6ADA1E13D8D0}"/>
    <cellStyle name="Normal 8 5 8 2 2 3" xfId="10631" xr:uid="{B7401439-F908-4DB1-96AB-65ACE70171A4}"/>
    <cellStyle name="Normal 8 5 8 2 3" xfId="4737" xr:uid="{1E96AE3E-5F9C-44D8-9F41-3C167EAA048D}"/>
    <cellStyle name="Normal 8 5 8 2 3 2" xfId="12597" xr:uid="{753C79E0-2F89-4833-87E8-6DFCBC74D8ED}"/>
    <cellStyle name="Normal 8 5 8 2 4" xfId="8678" xr:uid="{31B56049-B6DD-4D76-9240-417066AF6D1E}"/>
    <cellStyle name="Normal 8 5 8 3" xfId="1248" xr:uid="{00000000-0005-0000-0000-00001F0D0000}"/>
    <cellStyle name="Normal 8 5 8 3 2" xfId="3202" xr:uid="{00000000-0005-0000-0000-0000200D0000}"/>
    <cellStyle name="Normal 8 5 8 3 2 2" xfId="7123" xr:uid="{9DF04E1B-99FE-4565-B51F-5C117471CD16}"/>
    <cellStyle name="Normal 8 5 8 3 2 2 2" xfId="14983" xr:uid="{19E2914F-7043-4228-B33C-E3BF63E51470}"/>
    <cellStyle name="Normal 8 5 8 3 2 3" xfId="11063" xr:uid="{5D4AA5C9-3603-40E1-8C85-6EB5E952B229}"/>
    <cellStyle name="Normal 8 5 8 3 3" xfId="5169" xr:uid="{D9E9CFC5-FF84-49E6-8A21-7ED8BCEA0771}"/>
    <cellStyle name="Normal 8 5 8 3 3 2" xfId="13029" xr:uid="{160F3DC1-4506-4100-A725-42C4CBA84276}"/>
    <cellStyle name="Normal 8 5 8 3 4" xfId="9110" xr:uid="{E5F881A6-2086-4BF0-AC34-FE8F80A3817C}"/>
    <cellStyle name="Normal 8 5 8 4" xfId="1666" xr:uid="{00000000-0005-0000-0000-0000210D0000}"/>
    <cellStyle name="Normal 8 5 8 4 2" xfId="3620" xr:uid="{00000000-0005-0000-0000-0000220D0000}"/>
    <cellStyle name="Normal 8 5 8 4 2 2" xfId="7541" xr:uid="{B291E28D-E4BD-41F7-A7E8-3FF169297AD5}"/>
    <cellStyle name="Normal 8 5 8 4 2 2 2" xfId="15401" xr:uid="{7253E20C-4D76-45C4-8362-128045FAC7E4}"/>
    <cellStyle name="Normal 8 5 8 4 2 3" xfId="11481" xr:uid="{680A9A38-1E01-41B5-914E-C81BB23574AF}"/>
    <cellStyle name="Normal 8 5 8 4 3" xfId="5587" xr:uid="{465433B8-A419-4FD7-94E1-D9D1AC0001DB}"/>
    <cellStyle name="Normal 8 5 8 4 3 2" xfId="13447" xr:uid="{6C80CD38-05F6-4517-89FA-F690FDB0813E}"/>
    <cellStyle name="Normal 8 5 8 4 4" xfId="9528" xr:uid="{C3496D55-BB39-4787-ABAE-1FAC76BCAA40}"/>
    <cellStyle name="Normal 8 5 8 5" xfId="2320" xr:uid="{00000000-0005-0000-0000-0000230D0000}"/>
    <cellStyle name="Normal 8 5 8 5 2" xfId="6241" xr:uid="{09E1556D-E91E-41F6-A5CB-25604A50DA26}"/>
    <cellStyle name="Normal 8 5 8 5 2 2" xfId="14101" xr:uid="{FF6D0D84-D7C0-4604-8AD7-6BA0212B771F}"/>
    <cellStyle name="Normal 8 5 8 5 3" xfId="10181" xr:uid="{08B41AE2-C3AC-4A99-9CA9-EBEB0C992080}"/>
    <cellStyle name="Normal 8 5 8 6" xfId="4287" xr:uid="{5DFBCFEA-3C3A-447C-BB32-6CCF71AA2926}"/>
    <cellStyle name="Normal 8 5 8 6 2" xfId="12147" xr:uid="{930FDFE7-940A-41E8-8FEF-6B3077954C60}"/>
    <cellStyle name="Normal 8 5 8 7" xfId="8228" xr:uid="{BAC1C968-2B4F-4058-97AB-47F83FED6FF9}"/>
    <cellStyle name="Normal 8 5 9" xfId="460" xr:uid="{00000000-0005-0000-0000-0000240D0000}"/>
    <cellStyle name="Normal 8 5 9 2" xfId="2414" xr:uid="{00000000-0005-0000-0000-0000250D0000}"/>
    <cellStyle name="Normal 8 5 9 2 2" xfId="6335" xr:uid="{DE966FA8-F982-4A2C-B4ED-A1F4E6FAE08A}"/>
    <cellStyle name="Normal 8 5 9 2 2 2" xfId="14195" xr:uid="{8D39BAF4-BBFE-4AD3-9613-E4683676C8D1}"/>
    <cellStyle name="Normal 8 5 9 2 3" xfId="10275" xr:uid="{C17D141E-289D-4541-BA2D-DA8FCA87CF4D}"/>
    <cellStyle name="Normal 8 5 9 3" xfId="4381" xr:uid="{A893F426-C579-46EC-B4EF-DAB1C97A769D}"/>
    <cellStyle name="Normal 8 5 9 3 2" xfId="12241" xr:uid="{9218E784-C5AA-46E0-8D40-D84C19806DC3}"/>
    <cellStyle name="Normal 8 5 9 4" xfId="8322" xr:uid="{51BA4673-A28B-4580-958C-4CB4C141F738}"/>
    <cellStyle name="Normal 8 6" xfId="164" xr:uid="{00000000-0005-0000-0000-0000260D0000}"/>
    <cellStyle name="Normal 8 6 2" xfId="13" xr:uid="{00000000-0005-0000-0000-0000270D0000}"/>
    <cellStyle name="Normal 8 6 2 10" xfId="806" xr:uid="{00000000-0005-0000-0000-0000280D0000}"/>
    <cellStyle name="Normal 8 6 2 10 2" xfId="2760" xr:uid="{00000000-0005-0000-0000-0000290D0000}"/>
    <cellStyle name="Normal 8 6 2 10 2 2" xfId="6681" xr:uid="{28100A5A-0DCE-461F-B11C-936C26E3348A}"/>
    <cellStyle name="Normal 8 6 2 10 2 2 2" xfId="14541" xr:uid="{25EFE2C3-2A5A-40FC-B788-8A71EAC75790}"/>
    <cellStyle name="Normal 8 6 2 10 2 3" xfId="10621" xr:uid="{74365FAD-10A9-4235-8B9D-FF5B50F09AD1}"/>
    <cellStyle name="Normal 8 6 2 10 3" xfId="4727" xr:uid="{7E5A99F2-5E74-48A9-A0CA-5D502202D47E}"/>
    <cellStyle name="Normal 8 6 2 10 3 2" xfId="12587" xr:uid="{EF6EB1D9-14F1-45F2-B8B2-13C6CD9EE804}"/>
    <cellStyle name="Normal 8 6 2 10 4" xfId="8668" xr:uid="{23FABEA9-36CF-40A5-8A48-EF19A8486375}"/>
    <cellStyle name="Normal 8 6 2 11" xfId="1239" xr:uid="{00000000-0005-0000-0000-00002A0D0000}"/>
    <cellStyle name="Normal 8 6 2 11 2" xfId="3193" xr:uid="{00000000-0005-0000-0000-00002B0D0000}"/>
    <cellStyle name="Normal 8 6 2 11 2 2" xfId="7114" xr:uid="{EAE2789A-7534-4FA6-A921-90A1FFE0A53B}"/>
    <cellStyle name="Normal 8 6 2 11 2 2 2" xfId="14974" xr:uid="{F9A44CF4-F907-4425-A751-4249836EBC3F}"/>
    <cellStyle name="Normal 8 6 2 11 2 3" xfId="11054" xr:uid="{59287A0A-A6DF-4944-8A7D-48FFDBA2167A}"/>
    <cellStyle name="Normal 8 6 2 11 3" xfId="5160" xr:uid="{D71ACA17-988D-4123-835A-86313EBB546D}"/>
    <cellStyle name="Normal 8 6 2 11 3 2" xfId="13020" xr:uid="{C4D82772-AE2F-4995-B330-A9270BE3CC68}"/>
    <cellStyle name="Normal 8 6 2 11 4" xfId="9101" xr:uid="{4EBEE026-1C24-46A5-AFE5-DCD178EBE38E}"/>
    <cellStyle name="Normal 8 6 2 12" xfId="1984" xr:uid="{00000000-0005-0000-0000-00002C0D0000}"/>
    <cellStyle name="Normal 8 6 2 12 2" xfId="5905" xr:uid="{31543BB5-AD77-4ACA-8739-778F513C2133}"/>
    <cellStyle name="Normal 8 6 2 12 2 2" xfId="13765" xr:uid="{15AA2D9A-3CC1-4E5A-A997-3A1FFECDB3B3}"/>
    <cellStyle name="Normal 8 6 2 12 3" xfId="9845" xr:uid="{A5A14DF4-386A-45E2-8D5C-C087B6104CC5}"/>
    <cellStyle name="Normal 8 6 2 13" xfId="3951" xr:uid="{806C360D-5720-4D5C-B48F-97CAA213D01C}"/>
    <cellStyle name="Normal 8 6 2 13 2" xfId="11811" xr:uid="{7E6886F3-5022-4D53-8118-01AB8CE78BD1}"/>
    <cellStyle name="Normal 8 6 2 14" xfId="7888" xr:uid="{868A8EA2-082A-489E-8F45-9AE1B3922883}"/>
    <cellStyle name="Normal 8 6 2 2" xfId="24" xr:uid="{00000000-0005-0000-0000-00002D0D0000}"/>
    <cellStyle name="Normal 8 6 2 2 10" xfId="1995" xr:uid="{00000000-0005-0000-0000-00002E0D0000}"/>
    <cellStyle name="Normal 8 6 2 2 10 2" xfId="5916" xr:uid="{55206F13-2799-478F-9385-27ACDA07F82C}"/>
    <cellStyle name="Normal 8 6 2 2 10 2 2" xfId="13776" xr:uid="{D87EC9F2-748F-400C-9C8E-90C5EC29FF33}"/>
    <cellStyle name="Normal 8 6 2 2 10 3" xfId="9856" xr:uid="{CFB57837-37FB-40C7-ADF2-42C1BE086B53}"/>
    <cellStyle name="Normal 8 6 2 2 11" xfId="3962" xr:uid="{7767BCA3-0460-450D-9174-B41CE99AC8F7}"/>
    <cellStyle name="Normal 8 6 2 2 11 2" xfId="11822" xr:uid="{7C9A62BC-D07C-4776-A65B-735AD41FB84E}"/>
    <cellStyle name="Normal 8 6 2 2 12" xfId="7899" xr:uid="{2A2F7FAE-733B-4DA0-B9B7-DCDF4C3DF24F}"/>
    <cellStyle name="Normal 8 6 2 2 2" xfId="66" xr:uid="{00000000-0005-0000-0000-00002F0D0000}"/>
    <cellStyle name="Normal 8 6 2 2 2 10" xfId="4002" xr:uid="{9EE7E675-1273-430B-A85D-0D2591797843}"/>
    <cellStyle name="Normal 8 6 2 2 2 10 2" xfId="11862" xr:uid="{1DABAE4C-767B-4AD7-9ED9-9DB2D1358638}"/>
    <cellStyle name="Normal 8 6 2 2 2 11" xfId="7940" xr:uid="{04D61393-BB69-4E9C-ABD2-190FB0FCAE83}"/>
    <cellStyle name="Normal 8 6 2 2 2 2" xfId="222" xr:uid="{00000000-0005-0000-0000-0000300D0000}"/>
    <cellStyle name="Normal 8 6 2 2 2 2 2" xfId="674" xr:uid="{00000000-0005-0000-0000-0000310D0000}"/>
    <cellStyle name="Normal 8 6 2 2 2 2 2 2" xfId="2628" xr:uid="{00000000-0005-0000-0000-0000320D0000}"/>
    <cellStyle name="Normal 8 6 2 2 2 2 2 2 2" xfId="6549" xr:uid="{8927DBB2-345F-4297-8615-01B78A21C385}"/>
    <cellStyle name="Normal 8 6 2 2 2 2 2 2 2 2" xfId="14409" xr:uid="{45B9AC21-4D2C-4260-8311-DC5D3A94FEF1}"/>
    <cellStyle name="Normal 8 6 2 2 2 2 2 2 3" xfId="10489" xr:uid="{D530AB0B-D46F-44BF-8D12-DDA0F0DA13CB}"/>
    <cellStyle name="Normal 8 6 2 2 2 2 2 3" xfId="4595" xr:uid="{2A40499D-5949-4866-980C-3BB3A5C8A80C}"/>
    <cellStyle name="Normal 8 6 2 2 2 2 2 3 2" xfId="12455" xr:uid="{07EAAD61-1906-459F-935C-2B6C8F1C7B60}"/>
    <cellStyle name="Normal 8 6 2 2 2 2 2 4" xfId="8536" xr:uid="{41D48DA7-4604-4D4A-8BBF-9CDAF1A08FE3}"/>
    <cellStyle name="Normal 8 6 2 2 2 2 3" xfId="1111" xr:uid="{00000000-0005-0000-0000-0000330D0000}"/>
    <cellStyle name="Normal 8 6 2 2 2 2 3 2" xfId="3065" xr:uid="{00000000-0005-0000-0000-0000340D0000}"/>
    <cellStyle name="Normal 8 6 2 2 2 2 3 2 2" xfId="6986" xr:uid="{8DD3F72F-0B13-4CC7-959D-14C5F653796A}"/>
    <cellStyle name="Normal 8 6 2 2 2 2 3 2 2 2" xfId="14846" xr:uid="{77CAEDBA-4B69-40B8-959F-BCE908712872}"/>
    <cellStyle name="Normal 8 6 2 2 2 2 3 2 3" xfId="10926" xr:uid="{7619DF26-CC1D-494D-A6FE-303E8C3CB051}"/>
    <cellStyle name="Normal 8 6 2 2 2 2 3 3" xfId="5032" xr:uid="{0277D0A1-AE06-4D42-860E-28DAE080A6DC}"/>
    <cellStyle name="Normal 8 6 2 2 2 2 3 3 2" xfId="12892" xr:uid="{AE6D56D5-FAE1-4037-91A1-C617C92BB174}"/>
    <cellStyle name="Normal 8 6 2 2 2 2 3 4" xfId="8973" xr:uid="{0B87AD22-DF66-42D8-8517-A1413BAF1661}"/>
    <cellStyle name="Normal 8 6 2 2 2 2 4" xfId="1538" xr:uid="{00000000-0005-0000-0000-0000350D0000}"/>
    <cellStyle name="Normal 8 6 2 2 2 2 4 2" xfId="3492" xr:uid="{00000000-0005-0000-0000-0000360D0000}"/>
    <cellStyle name="Normal 8 6 2 2 2 2 4 2 2" xfId="7413" xr:uid="{4D775641-4779-4F6B-B954-EDEAAEB1AD97}"/>
    <cellStyle name="Normal 8 6 2 2 2 2 4 2 2 2" xfId="15273" xr:uid="{E167E58C-768B-4B3D-B27F-7C59A3D0A94F}"/>
    <cellStyle name="Normal 8 6 2 2 2 2 4 2 3" xfId="11353" xr:uid="{697ED831-4402-4C91-82C8-38B90824A703}"/>
    <cellStyle name="Normal 8 6 2 2 2 2 4 3" xfId="5459" xr:uid="{D7F18D85-5FEB-4216-8A81-ECCB159F0955}"/>
    <cellStyle name="Normal 8 6 2 2 2 2 4 3 2" xfId="13319" xr:uid="{01BD800E-313F-4AE8-AE63-9C79F055BE2B}"/>
    <cellStyle name="Normal 8 6 2 2 2 2 4 4" xfId="9400" xr:uid="{223544AD-FE74-4AF7-BA47-DB59623E061C}"/>
    <cellStyle name="Normal 8 6 2 2 2 2 5" xfId="2191" xr:uid="{00000000-0005-0000-0000-0000370D0000}"/>
    <cellStyle name="Normal 8 6 2 2 2 2 5 2" xfId="6112" xr:uid="{B255218C-B41B-4D27-BFEB-E1D5C3B04957}"/>
    <cellStyle name="Normal 8 6 2 2 2 2 5 2 2" xfId="13972" xr:uid="{6118BC92-EE4E-4A3F-A38D-D719A8776CFE}"/>
    <cellStyle name="Normal 8 6 2 2 2 2 5 3" xfId="10052" xr:uid="{098A145C-A058-4BBF-BE0F-72A71E1D522A}"/>
    <cellStyle name="Normal 8 6 2 2 2 2 6" xfId="4158" xr:uid="{E6F214FE-AEDA-4DA1-B523-D72253911F3E}"/>
    <cellStyle name="Normal 8 6 2 2 2 2 6 2" xfId="12018" xr:uid="{5A19B3A6-6A7A-4F50-868D-292AD88C251E}"/>
    <cellStyle name="Normal 8 6 2 2 2 2 7" xfId="8096" xr:uid="{E5125CAA-B982-407F-9548-D8AA6F01B899}"/>
    <cellStyle name="Normal 8 6 2 2 2 3" xfId="144" xr:uid="{00000000-0005-0000-0000-0000380D0000}"/>
    <cellStyle name="Normal 8 6 2 2 2 3 2" xfId="596" xr:uid="{00000000-0005-0000-0000-0000390D0000}"/>
    <cellStyle name="Normal 8 6 2 2 2 3 2 2" xfId="2550" xr:uid="{00000000-0005-0000-0000-00003A0D0000}"/>
    <cellStyle name="Normal 8 6 2 2 2 3 2 2 2" xfId="6471" xr:uid="{A7E7A3F9-F9C0-474A-BD3D-921C2E3D1610}"/>
    <cellStyle name="Normal 8 6 2 2 2 3 2 2 2 2" xfId="14331" xr:uid="{5EB20A09-EF1C-46E9-9E35-2B6482CA972F}"/>
    <cellStyle name="Normal 8 6 2 2 2 3 2 2 3" xfId="10411" xr:uid="{49C61742-F0C6-4B9C-8E74-7BED3B28C30A}"/>
    <cellStyle name="Normal 8 6 2 2 2 3 2 3" xfId="4517" xr:uid="{F51946C5-6BEE-4F09-99A1-E5728637C2A2}"/>
    <cellStyle name="Normal 8 6 2 2 2 3 2 3 2" xfId="12377" xr:uid="{6338B2F4-FF00-4F59-B098-BBC2A87B3D9B}"/>
    <cellStyle name="Normal 8 6 2 2 2 3 2 4" xfId="8458" xr:uid="{9EEA4C0B-A4A5-4C60-9DBB-AA4E2643CB85}"/>
    <cellStyle name="Normal 8 6 2 2 2 3 3" xfId="1033" xr:uid="{00000000-0005-0000-0000-00003B0D0000}"/>
    <cellStyle name="Normal 8 6 2 2 2 3 3 2" xfId="2987" xr:uid="{00000000-0005-0000-0000-00003C0D0000}"/>
    <cellStyle name="Normal 8 6 2 2 2 3 3 2 2" xfId="6908" xr:uid="{5FBCE9BD-D0DE-412F-B984-44E1F157DF63}"/>
    <cellStyle name="Normal 8 6 2 2 2 3 3 2 2 2" xfId="14768" xr:uid="{78C27E73-7B34-41CB-8AFA-1BFA8EB880E3}"/>
    <cellStyle name="Normal 8 6 2 2 2 3 3 2 3" xfId="10848" xr:uid="{0CBA617D-8D3A-47AB-81EF-E3E2289F1CF3}"/>
    <cellStyle name="Normal 8 6 2 2 2 3 3 3" xfId="4954" xr:uid="{9374C8BB-A863-436B-BB0D-9BEE581D9CF2}"/>
    <cellStyle name="Normal 8 6 2 2 2 3 3 3 2" xfId="12814" xr:uid="{BF33B654-0C85-49E5-8C83-7792A2403586}"/>
    <cellStyle name="Normal 8 6 2 2 2 3 3 4" xfId="8895" xr:uid="{6445B3B7-A6C7-40A7-A277-964999D41CC1}"/>
    <cellStyle name="Normal 8 6 2 2 2 3 4" xfId="1460" xr:uid="{00000000-0005-0000-0000-00003D0D0000}"/>
    <cellStyle name="Normal 8 6 2 2 2 3 4 2" xfId="3414" xr:uid="{00000000-0005-0000-0000-00003E0D0000}"/>
    <cellStyle name="Normal 8 6 2 2 2 3 4 2 2" xfId="7335" xr:uid="{47F5488E-AC42-4658-9915-796B6E01A191}"/>
    <cellStyle name="Normal 8 6 2 2 2 3 4 2 2 2" xfId="15195" xr:uid="{714D9D7E-3374-4972-8D7F-33283CAFBEA6}"/>
    <cellStyle name="Normal 8 6 2 2 2 3 4 2 3" xfId="11275" xr:uid="{CBA8F511-7285-44F6-8C35-8EAE00061748}"/>
    <cellStyle name="Normal 8 6 2 2 2 3 4 3" xfId="5381" xr:uid="{6A0456BF-FB85-4C40-9916-5F36D0D992D0}"/>
    <cellStyle name="Normal 8 6 2 2 2 3 4 3 2" xfId="13241" xr:uid="{8CFC694B-BDB0-4AF9-9D69-6EC32FDA493E}"/>
    <cellStyle name="Normal 8 6 2 2 2 3 4 4" xfId="9322" xr:uid="{D7E9274C-B1E5-43D3-AE71-610814FF3B38}"/>
    <cellStyle name="Normal 8 6 2 2 2 3 5" xfId="2113" xr:uid="{00000000-0005-0000-0000-00003F0D0000}"/>
    <cellStyle name="Normal 8 6 2 2 2 3 5 2" xfId="6034" xr:uid="{3C4AE69C-AC31-486E-AB99-E14C4D269D27}"/>
    <cellStyle name="Normal 8 6 2 2 2 3 5 2 2" xfId="13894" xr:uid="{A1F20856-4621-49BB-B5CC-07C302177813}"/>
    <cellStyle name="Normal 8 6 2 2 2 3 5 3" xfId="9974" xr:uid="{6E3FC84D-8D94-4CCB-B9FE-18D46A2D92DF}"/>
    <cellStyle name="Normal 8 6 2 2 2 3 6" xfId="4080" xr:uid="{4B7D4232-3B0D-4119-BFF1-9AE5BFA9BC38}"/>
    <cellStyle name="Normal 8 6 2 2 2 3 6 2" xfId="11940" xr:uid="{17B845C8-D682-4366-8E0E-7A03BED3218C}"/>
    <cellStyle name="Normal 8 6 2 2 2 3 7" xfId="8018" xr:uid="{C351F389-E7A0-4231-93AD-A9BE143AB888}"/>
    <cellStyle name="Normal 8 6 2 2 2 4" xfId="328" xr:uid="{00000000-0005-0000-0000-0000400D0000}"/>
    <cellStyle name="Normal 8 6 2 2 2 4 2" xfId="780" xr:uid="{00000000-0005-0000-0000-0000410D0000}"/>
    <cellStyle name="Normal 8 6 2 2 2 4 2 2" xfId="2734" xr:uid="{00000000-0005-0000-0000-0000420D0000}"/>
    <cellStyle name="Normal 8 6 2 2 2 4 2 2 2" xfId="6655" xr:uid="{6F31E645-426D-40E1-867C-394DCB43A508}"/>
    <cellStyle name="Normal 8 6 2 2 2 4 2 2 2 2" xfId="14515" xr:uid="{1646530B-F50A-4F6E-B6A5-4FE884BB4355}"/>
    <cellStyle name="Normal 8 6 2 2 2 4 2 2 3" xfId="10595" xr:uid="{5CE4C2EA-AF04-409F-A60A-A2D0C22B8415}"/>
    <cellStyle name="Normal 8 6 2 2 2 4 2 3" xfId="4701" xr:uid="{50330D00-8F83-4E66-928D-E9257C26814F}"/>
    <cellStyle name="Normal 8 6 2 2 2 4 2 3 2" xfId="12561" xr:uid="{AFFDD195-50D7-41EF-AFE8-4AA015E215BB}"/>
    <cellStyle name="Normal 8 6 2 2 2 4 2 4" xfId="8642" xr:uid="{0B7E0386-2C5D-435F-9906-6DF95E2BA7DD}"/>
    <cellStyle name="Normal 8 6 2 2 2 4 3" xfId="1215" xr:uid="{00000000-0005-0000-0000-0000430D0000}"/>
    <cellStyle name="Normal 8 6 2 2 2 4 3 2" xfId="3169" xr:uid="{00000000-0005-0000-0000-0000440D0000}"/>
    <cellStyle name="Normal 8 6 2 2 2 4 3 2 2" xfId="7090" xr:uid="{6E96A314-A8D8-4896-B646-DF38921AA25D}"/>
    <cellStyle name="Normal 8 6 2 2 2 4 3 2 2 2" xfId="14950" xr:uid="{C706832F-3522-488B-8BA4-9E82DB32C7C8}"/>
    <cellStyle name="Normal 8 6 2 2 2 4 3 2 3" xfId="11030" xr:uid="{311927AA-F37A-4DD4-9A08-72BA25AEC0A3}"/>
    <cellStyle name="Normal 8 6 2 2 2 4 3 3" xfId="5136" xr:uid="{755CDEF0-F07D-4A74-9EC1-814E12428DAF}"/>
    <cellStyle name="Normal 8 6 2 2 2 4 3 3 2" xfId="12996" xr:uid="{7CA98824-4290-4D3D-9CC4-125E1306511B}"/>
    <cellStyle name="Normal 8 6 2 2 2 4 3 4" xfId="9077" xr:uid="{73A9D870-61B5-41C0-BE46-08FC70250587}"/>
    <cellStyle name="Normal 8 6 2 2 2 4 4" xfId="1635" xr:uid="{00000000-0005-0000-0000-0000450D0000}"/>
    <cellStyle name="Normal 8 6 2 2 2 4 4 2" xfId="3589" xr:uid="{00000000-0005-0000-0000-0000460D0000}"/>
    <cellStyle name="Normal 8 6 2 2 2 4 4 2 2" xfId="7510" xr:uid="{F3B3383B-582A-466C-8F3C-77539E9814BC}"/>
    <cellStyle name="Normal 8 6 2 2 2 4 4 2 2 2" xfId="15370" xr:uid="{5016090A-1A6F-4DDB-A766-3BA2B0343FDE}"/>
    <cellStyle name="Normal 8 6 2 2 2 4 4 2 3" xfId="11450" xr:uid="{EE9A8A92-17DC-4C54-87D1-1E3F7557A024}"/>
    <cellStyle name="Normal 8 6 2 2 2 4 4 3" xfId="5556" xr:uid="{D23B3670-B54A-4A9D-B019-CDEF2506B807}"/>
    <cellStyle name="Normal 8 6 2 2 2 4 4 3 2" xfId="13416" xr:uid="{F04B61E5-47CC-4F73-9E01-CD54F3F7BDED}"/>
    <cellStyle name="Normal 8 6 2 2 2 4 4 4" xfId="9497" xr:uid="{2554F46E-3FCE-4AB9-99C2-0E74C54B9763}"/>
    <cellStyle name="Normal 8 6 2 2 2 4 5" xfId="2289" xr:uid="{00000000-0005-0000-0000-0000470D0000}"/>
    <cellStyle name="Normal 8 6 2 2 2 4 5 2" xfId="6210" xr:uid="{8996625F-75E4-46E2-A811-4C9E6C029D93}"/>
    <cellStyle name="Normal 8 6 2 2 2 4 5 2 2" xfId="14070" xr:uid="{19802AFE-C192-43B5-BD8E-BEAC726FF1B1}"/>
    <cellStyle name="Normal 8 6 2 2 2 4 5 3" xfId="10150" xr:uid="{E0233D21-BA9C-45D6-8D43-C48F91261949}"/>
    <cellStyle name="Normal 8 6 2 2 2 4 6" xfId="4256" xr:uid="{43CE39CB-EFF8-4791-8484-B9515AD8EAE5}"/>
    <cellStyle name="Normal 8 6 2 2 2 4 6 2" xfId="12116" xr:uid="{74D00688-C965-4861-AFB2-1DD4B712B02A}"/>
    <cellStyle name="Normal 8 6 2 2 2 4 7" xfId="8195" xr:uid="{A9AD6EB0-32D1-4A45-A211-4C9F093A1F1D}"/>
    <cellStyle name="Normal 8 6 2 2 2 5" xfId="426" xr:uid="{00000000-0005-0000-0000-0000480D0000}"/>
    <cellStyle name="Normal 8 6 2 2 2 5 2" xfId="877" xr:uid="{00000000-0005-0000-0000-0000490D0000}"/>
    <cellStyle name="Normal 8 6 2 2 2 5 2 2" xfId="2831" xr:uid="{00000000-0005-0000-0000-00004A0D0000}"/>
    <cellStyle name="Normal 8 6 2 2 2 5 2 2 2" xfId="6752" xr:uid="{7661B7EC-974A-4A52-8EF9-0003F69657D9}"/>
    <cellStyle name="Normal 8 6 2 2 2 5 2 2 2 2" xfId="14612" xr:uid="{B6FD732A-7F76-44D7-81FC-6E603EE24F76}"/>
    <cellStyle name="Normal 8 6 2 2 2 5 2 2 3" xfId="10692" xr:uid="{42428C46-7EC5-480E-BBB2-19514D150BE0}"/>
    <cellStyle name="Normal 8 6 2 2 2 5 2 3" xfId="4798" xr:uid="{7A95FC56-8FD1-4C70-86B9-FE1E3B5D4FFA}"/>
    <cellStyle name="Normal 8 6 2 2 2 5 2 3 2" xfId="12658" xr:uid="{D122C897-ED7C-4978-A9EF-83916ED51572}"/>
    <cellStyle name="Normal 8 6 2 2 2 5 2 4" xfId="8739" xr:uid="{5EB8F2E8-67C9-4F17-BAD7-780E11A2BAB9}"/>
    <cellStyle name="Normal 8 6 2 2 2 5 3" xfId="1309" xr:uid="{00000000-0005-0000-0000-00004B0D0000}"/>
    <cellStyle name="Normal 8 6 2 2 2 5 3 2" xfId="3263" xr:uid="{00000000-0005-0000-0000-00004C0D0000}"/>
    <cellStyle name="Normal 8 6 2 2 2 5 3 2 2" xfId="7184" xr:uid="{ABA9E43A-E25F-4B1C-B94A-FD28043F06B3}"/>
    <cellStyle name="Normal 8 6 2 2 2 5 3 2 2 2" xfId="15044" xr:uid="{B46FD56F-0EDC-4969-A4A6-F1637D27FD54}"/>
    <cellStyle name="Normal 8 6 2 2 2 5 3 2 3" xfId="11124" xr:uid="{044B47F0-05D8-4E3C-9BD9-7589780D67A4}"/>
    <cellStyle name="Normal 8 6 2 2 2 5 3 3" xfId="5230" xr:uid="{8036A847-678D-42B5-8845-20371F54BF29}"/>
    <cellStyle name="Normal 8 6 2 2 2 5 3 3 2" xfId="13090" xr:uid="{6B4163B7-96A9-4602-B44F-DD80B6AE2768}"/>
    <cellStyle name="Normal 8 6 2 2 2 5 3 4" xfId="9171" xr:uid="{EA081F3A-25A5-47B2-9751-C4DF72DF3FE7}"/>
    <cellStyle name="Normal 8 6 2 2 2 5 4" xfId="1727" xr:uid="{00000000-0005-0000-0000-00004D0D0000}"/>
    <cellStyle name="Normal 8 6 2 2 2 5 4 2" xfId="3681" xr:uid="{00000000-0005-0000-0000-00004E0D0000}"/>
    <cellStyle name="Normal 8 6 2 2 2 5 4 2 2" xfId="7602" xr:uid="{266F1211-0120-4A8C-85E3-5731E24DCE2C}"/>
    <cellStyle name="Normal 8 6 2 2 2 5 4 2 2 2" xfId="15462" xr:uid="{DADB2B68-BBF3-4B11-998D-8AD38D1E9F03}"/>
    <cellStyle name="Normal 8 6 2 2 2 5 4 2 3" xfId="11542" xr:uid="{4C7D399F-D4D0-45A2-BEBA-C0DA069AE06C}"/>
    <cellStyle name="Normal 8 6 2 2 2 5 4 3" xfId="5648" xr:uid="{EA71E049-E1CE-475B-8322-A2FB4B2C5D72}"/>
    <cellStyle name="Normal 8 6 2 2 2 5 4 3 2" xfId="13508" xr:uid="{2186398B-A4EB-4441-ADB5-848F8C67851E}"/>
    <cellStyle name="Normal 8 6 2 2 2 5 4 4" xfId="9589" xr:uid="{964CFB95-F5A3-4C00-91FB-E346580B412C}"/>
    <cellStyle name="Normal 8 6 2 2 2 5 5" xfId="2381" xr:uid="{00000000-0005-0000-0000-00004F0D0000}"/>
    <cellStyle name="Normal 8 6 2 2 2 5 5 2" xfId="6302" xr:uid="{32A301B3-E712-4C01-A4AE-36599AE4500F}"/>
    <cellStyle name="Normal 8 6 2 2 2 5 5 2 2" xfId="14162" xr:uid="{E9BAC2F0-ABFF-4462-8C3F-0152EB01680B}"/>
    <cellStyle name="Normal 8 6 2 2 2 5 5 3" xfId="10242" xr:uid="{02D781DF-CAA3-4049-83F4-8ACD424D832B}"/>
    <cellStyle name="Normal 8 6 2 2 2 5 6" xfId="4348" xr:uid="{1FF7FFC9-79D8-4CB8-8B48-006B667BB9FA}"/>
    <cellStyle name="Normal 8 6 2 2 2 5 6 2" xfId="12208" xr:uid="{99638028-DE48-458F-8AB5-6760B395F264}"/>
    <cellStyle name="Normal 8 6 2 2 2 5 7" xfId="8289" xr:uid="{F40522E8-64D8-4597-B45D-20F8E14B30CA}"/>
    <cellStyle name="Normal 8 6 2 2 2 6" xfId="518" xr:uid="{00000000-0005-0000-0000-0000500D0000}"/>
    <cellStyle name="Normal 8 6 2 2 2 6 2" xfId="2472" xr:uid="{00000000-0005-0000-0000-0000510D0000}"/>
    <cellStyle name="Normal 8 6 2 2 2 6 2 2" xfId="6393" xr:uid="{9D319961-D324-4157-AF84-40CE695AA3C3}"/>
    <cellStyle name="Normal 8 6 2 2 2 6 2 2 2" xfId="14253" xr:uid="{B33AA146-1DC9-42DC-8C04-38EB55FD241A}"/>
    <cellStyle name="Normal 8 6 2 2 2 6 2 3" xfId="10333" xr:uid="{9654E49A-F297-4D38-A9E1-F7177BE22241}"/>
    <cellStyle name="Normal 8 6 2 2 2 6 3" xfId="4439" xr:uid="{256FF095-C0F7-4B1B-ADBA-8D8897F3816B}"/>
    <cellStyle name="Normal 8 6 2 2 2 6 3 2" xfId="12299" xr:uid="{D2EF6053-A395-447E-BA46-742765151ED0}"/>
    <cellStyle name="Normal 8 6 2 2 2 6 4" xfId="8380" xr:uid="{DE43CAA8-E067-40DE-A37D-B094274640E9}"/>
    <cellStyle name="Normal 8 6 2 2 2 7" xfId="955" xr:uid="{00000000-0005-0000-0000-0000520D0000}"/>
    <cellStyle name="Normal 8 6 2 2 2 7 2" xfId="2909" xr:uid="{00000000-0005-0000-0000-0000530D0000}"/>
    <cellStyle name="Normal 8 6 2 2 2 7 2 2" xfId="6830" xr:uid="{1CCD557E-EB55-475B-BA2F-B5E9020A8AAC}"/>
    <cellStyle name="Normal 8 6 2 2 2 7 2 2 2" xfId="14690" xr:uid="{D62FEFA4-1D12-411A-96F3-9FEAC6F27422}"/>
    <cellStyle name="Normal 8 6 2 2 2 7 2 3" xfId="10770" xr:uid="{A072287B-CC19-445D-A62B-238600D32A3E}"/>
    <cellStyle name="Normal 8 6 2 2 2 7 3" xfId="4876" xr:uid="{7696BD1C-0F65-41E5-85B9-F8C18E5A231A}"/>
    <cellStyle name="Normal 8 6 2 2 2 7 3 2" xfId="12736" xr:uid="{4929D7C3-2C9F-4029-965F-65C39DACA3DC}"/>
    <cellStyle name="Normal 8 6 2 2 2 7 4" xfId="8817" xr:uid="{B9BA5F0D-8C0E-4DFB-B9AF-10DD5B140BF4}"/>
    <cellStyle name="Normal 8 6 2 2 2 8" xfId="1382" xr:uid="{00000000-0005-0000-0000-0000540D0000}"/>
    <cellStyle name="Normal 8 6 2 2 2 8 2" xfId="3336" xr:uid="{00000000-0005-0000-0000-0000550D0000}"/>
    <cellStyle name="Normal 8 6 2 2 2 8 2 2" xfId="7257" xr:uid="{D79B3F0B-8AF0-451A-8236-CA3376C47459}"/>
    <cellStyle name="Normal 8 6 2 2 2 8 2 2 2" xfId="15117" xr:uid="{5153F4A4-5247-42DC-8AF1-FED5F82FF6D1}"/>
    <cellStyle name="Normal 8 6 2 2 2 8 2 3" xfId="11197" xr:uid="{E62FD9EC-E4D8-472E-B0A2-A6E94EF190B6}"/>
    <cellStyle name="Normal 8 6 2 2 2 8 3" xfId="5303" xr:uid="{6412E23E-7BAD-4A2E-8422-E71356B10152}"/>
    <cellStyle name="Normal 8 6 2 2 2 8 3 2" xfId="13163" xr:uid="{EC194738-DD12-4223-A305-1887BD8EB239}"/>
    <cellStyle name="Normal 8 6 2 2 2 8 4" xfId="9244" xr:uid="{5AF7EC3B-C59A-4EDC-88E6-934B78413B71}"/>
    <cellStyle name="Normal 8 6 2 2 2 9" xfId="2035" xr:uid="{00000000-0005-0000-0000-0000560D0000}"/>
    <cellStyle name="Normal 8 6 2 2 2 9 2" xfId="5956" xr:uid="{467181FC-2FEF-4B5B-A369-F493238A9B87}"/>
    <cellStyle name="Normal 8 6 2 2 2 9 2 2" xfId="13816" xr:uid="{D04FC006-0F6E-41B6-B590-C85294A4E668}"/>
    <cellStyle name="Normal 8 6 2 2 2 9 3" xfId="9896" xr:uid="{875398C3-23D9-4E89-9D40-B0E2094CA5ED}"/>
    <cellStyle name="Normal 8 6 2 2 3" xfId="183" xr:uid="{00000000-0005-0000-0000-0000570D0000}"/>
    <cellStyle name="Normal 8 6 2 2 3 2" xfId="635" xr:uid="{00000000-0005-0000-0000-0000580D0000}"/>
    <cellStyle name="Normal 8 6 2 2 3 2 2" xfId="2589" xr:uid="{00000000-0005-0000-0000-0000590D0000}"/>
    <cellStyle name="Normal 8 6 2 2 3 2 2 2" xfId="6510" xr:uid="{5276160D-33E3-499B-9443-DAC341BEB837}"/>
    <cellStyle name="Normal 8 6 2 2 3 2 2 2 2" xfId="14370" xr:uid="{FE6D1784-486E-4C81-91DB-6EF3EAA24279}"/>
    <cellStyle name="Normal 8 6 2 2 3 2 2 3" xfId="10450" xr:uid="{B2802BFE-1579-4AED-9BC8-34B375247F34}"/>
    <cellStyle name="Normal 8 6 2 2 3 2 3" xfId="4556" xr:uid="{ED3DE423-4A7A-4482-8B28-539FE59B487F}"/>
    <cellStyle name="Normal 8 6 2 2 3 2 3 2" xfId="12416" xr:uid="{078B7036-8F37-492F-93B9-E8D48EC72807}"/>
    <cellStyle name="Normal 8 6 2 2 3 2 4" xfId="8497" xr:uid="{E507B58F-713C-45AB-9AC0-CCE43F0CF52C}"/>
    <cellStyle name="Normal 8 6 2 2 3 3" xfId="1072" xr:uid="{00000000-0005-0000-0000-00005A0D0000}"/>
    <cellStyle name="Normal 8 6 2 2 3 3 2" xfId="3026" xr:uid="{00000000-0005-0000-0000-00005B0D0000}"/>
    <cellStyle name="Normal 8 6 2 2 3 3 2 2" xfId="6947" xr:uid="{D4304D67-18EC-4E85-A866-6E83C356B9AF}"/>
    <cellStyle name="Normal 8 6 2 2 3 3 2 2 2" xfId="14807" xr:uid="{52249A0C-9A69-45E1-A871-8EE01D962900}"/>
    <cellStyle name="Normal 8 6 2 2 3 3 2 3" xfId="10887" xr:uid="{14B9E81F-15AA-40A7-8C47-841EC8541CA2}"/>
    <cellStyle name="Normal 8 6 2 2 3 3 3" xfId="4993" xr:uid="{5A1F7386-6099-4988-AE37-AE7BAB52B937}"/>
    <cellStyle name="Normal 8 6 2 2 3 3 3 2" xfId="12853" xr:uid="{BA5F5132-9055-409C-B904-314A9F6DAABD}"/>
    <cellStyle name="Normal 8 6 2 2 3 3 4" xfId="8934" xr:uid="{805C2D3C-A0A0-4AB9-AC62-7AB900379CF7}"/>
    <cellStyle name="Normal 8 6 2 2 3 4" xfId="1499" xr:uid="{00000000-0005-0000-0000-00005C0D0000}"/>
    <cellStyle name="Normal 8 6 2 2 3 4 2" xfId="3453" xr:uid="{00000000-0005-0000-0000-00005D0D0000}"/>
    <cellStyle name="Normal 8 6 2 2 3 4 2 2" xfId="7374" xr:uid="{6F4B04CD-CB74-4AC4-9282-27DB2605DF3B}"/>
    <cellStyle name="Normal 8 6 2 2 3 4 2 2 2" xfId="15234" xr:uid="{07BE866D-B7B6-4982-AF39-12026B9CEC32}"/>
    <cellStyle name="Normal 8 6 2 2 3 4 2 3" xfId="11314" xr:uid="{810DC7D3-775F-4B98-B05B-19631BC01353}"/>
    <cellStyle name="Normal 8 6 2 2 3 4 3" xfId="5420" xr:uid="{BA4A1129-E1B7-4A52-8168-B781BB7A6A54}"/>
    <cellStyle name="Normal 8 6 2 2 3 4 3 2" xfId="13280" xr:uid="{F9497E02-71DF-4CDB-AC45-8CA4103D1B98}"/>
    <cellStyle name="Normal 8 6 2 2 3 4 4" xfId="9361" xr:uid="{71E12C55-17B6-4288-A02C-171F05B8A8D3}"/>
    <cellStyle name="Normal 8 6 2 2 3 5" xfId="2152" xr:uid="{00000000-0005-0000-0000-00005E0D0000}"/>
    <cellStyle name="Normal 8 6 2 2 3 5 2" xfId="6073" xr:uid="{9793BF26-F2E8-4655-80DF-4700F7BF7579}"/>
    <cellStyle name="Normal 8 6 2 2 3 5 2 2" xfId="13933" xr:uid="{CCDADD36-3F24-487B-9001-A746E3E9F7DA}"/>
    <cellStyle name="Normal 8 6 2 2 3 5 3" xfId="10013" xr:uid="{677CB173-A7F5-48F5-919F-4BEB5176A79F}"/>
    <cellStyle name="Normal 8 6 2 2 3 6" xfId="4119" xr:uid="{80337EFF-2A29-405F-A5DB-E90F78F0FD4E}"/>
    <cellStyle name="Normal 8 6 2 2 3 6 2" xfId="11979" xr:uid="{EFCBA039-ADC2-42E8-B964-EFFF327BF06B}"/>
    <cellStyle name="Normal 8 6 2 2 3 7" xfId="8057" xr:uid="{7DA90C91-716C-445B-B8D6-604FE8ED5D11}"/>
    <cellStyle name="Normal 8 6 2 2 4" xfId="105" xr:uid="{00000000-0005-0000-0000-00005F0D0000}"/>
    <cellStyle name="Normal 8 6 2 2 4 2" xfId="557" xr:uid="{00000000-0005-0000-0000-0000600D0000}"/>
    <cellStyle name="Normal 8 6 2 2 4 2 2" xfId="2511" xr:uid="{00000000-0005-0000-0000-0000610D0000}"/>
    <cellStyle name="Normal 8 6 2 2 4 2 2 2" xfId="6432" xr:uid="{E6E3AE90-C7B4-447A-BF42-3E38A5FB5EBC}"/>
    <cellStyle name="Normal 8 6 2 2 4 2 2 2 2" xfId="14292" xr:uid="{F84008F6-8506-4A20-BF42-D739C89135E0}"/>
    <cellStyle name="Normal 8 6 2 2 4 2 2 3" xfId="10372" xr:uid="{2118C0C7-4342-46E8-9ECB-1BA4A30CD68A}"/>
    <cellStyle name="Normal 8 6 2 2 4 2 3" xfId="4478" xr:uid="{EBA28006-AEC7-416A-9BFF-0C9C4EF7F64E}"/>
    <cellStyle name="Normal 8 6 2 2 4 2 3 2" xfId="12338" xr:uid="{470A55AB-0919-4F37-A3E5-058D1D1A7548}"/>
    <cellStyle name="Normal 8 6 2 2 4 2 4" xfId="8419" xr:uid="{E2DC8039-8E33-49CB-BCD7-6E354AA45D6D}"/>
    <cellStyle name="Normal 8 6 2 2 4 3" xfId="994" xr:uid="{00000000-0005-0000-0000-0000620D0000}"/>
    <cellStyle name="Normal 8 6 2 2 4 3 2" xfId="2948" xr:uid="{00000000-0005-0000-0000-0000630D0000}"/>
    <cellStyle name="Normal 8 6 2 2 4 3 2 2" xfId="6869" xr:uid="{AA2FD83D-CD0E-44BB-8824-7895C35B3931}"/>
    <cellStyle name="Normal 8 6 2 2 4 3 2 2 2" xfId="14729" xr:uid="{DC65596F-FA9F-49B6-B776-033653F97751}"/>
    <cellStyle name="Normal 8 6 2 2 4 3 2 3" xfId="10809" xr:uid="{9A2FB559-B2FA-4C20-BFAE-65223E07A57A}"/>
    <cellStyle name="Normal 8 6 2 2 4 3 3" xfId="4915" xr:uid="{FBA5EDE8-E583-4025-9A88-F946F8101342}"/>
    <cellStyle name="Normal 8 6 2 2 4 3 3 2" xfId="12775" xr:uid="{8B380E31-9747-4B46-A7BF-A04E4D94C33D}"/>
    <cellStyle name="Normal 8 6 2 2 4 3 4" xfId="8856" xr:uid="{2B1FFCEC-F3A8-4DC7-B899-7184ECD9C618}"/>
    <cellStyle name="Normal 8 6 2 2 4 4" xfId="1421" xr:uid="{00000000-0005-0000-0000-0000640D0000}"/>
    <cellStyle name="Normal 8 6 2 2 4 4 2" xfId="3375" xr:uid="{00000000-0005-0000-0000-0000650D0000}"/>
    <cellStyle name="Normal 8 6 2 2 4 4 2 2" xfId="7296" xr:uid="{8FED43DF-51F9-4AF0-B90A-42A85E4CE32E}"/>
    <cellStyle name="Normal 8 6 2 2 4 4 2 2 2" xfId="15156" xr:uid="{1B7396C1-DBFA-4AEF-BC5C-9976B13ED2A8}"/>
    <cellStyle name="Normal 8 6 2 2 4 4 2 3" xfId="11236" xr:uid="{BEF9406C-075C-4463-98A8-8ED3DA524912}"/>
    <cellStyle name="Normal 8 6 2 2 4 4 3" xfId="5342" xr:uid="{DBB028D6-B961-4A1D-B575-92B769A149EC}"/>
    <cellStyle name="Normal 8 6 2 2 4 4 3 2" xfId="13202" xr:uid="{FB417853-CEBF-4473-BED2-C3B449D329D4}"/>
    <cellStyle name="Normal 8 6 2 2 4 4 4" xfId="9283" xr:uid="{AE9E30BA-84B6-4DD0-A59A-F1C5D72767E0}"/>
    <cellStyle name="Normal 8 6 2 2 4 5" xfId="2074" xr:uid="{00000000-0005-0000-0000-0000660D0000}"/>
    <cellStyle name="Normal 8 6 2 2 4 5 2" xfId="5995" xr:uid="{5A2BEBD0-EDAA-47C6-95FD-D8D70E31E5E9}"/>
    <cellStyle name="Normal 8 6 2 2 4 5 2 2" xfId="13855" xr:uid="{89D94C83-53CF-447E-BCD9-D5D24183B95F}"/>
    <cellStyle name="Normal 8 6 2 2 4 5 3" xfId="9935" xr:uid="{111F0413-5237-4D68-84BD-19FEE360E1F6}"/>
    <cellStyle name="Normal 8 6 2 2 4 6" xfId="4041" xr:uid="{BEAEA14B-F2BB-4D82-9EB2-3BE5CEDD2D57}"/>
    <cellStyle name="Normal 8 6 2 2 4 6 2" xfId="11901" xr:uid="{C40C8651-60AF-4A9E-AFC5-08C544195D53}"/>
    <cellStyle name="Normal 8 6 2 2 4 7" xfId="7979" xr:uid="{2A4A332B-1878-4F50-897C-61117502807D}"/>
    <cellStyle name="Normal 8 6 2 2 5" xfId="281" xr:uid="{00000000-0005-0000-0000-0000670D0000}"/>
    <cellStyle name="Normal 8 6 2 2 5 2" xfId="733" xr:uid="{00000000-0005-0000-0000-0000680D0000}"/>
    <cellStyle name="Normal 8 6 2 2 5 2 2" xfId="2687" xr:uid="{00000000-0005-0000-0000-0000690D0000}"/>
    <cellStyle name="Normal 8 6 2 2 5 2 2 2" xfId="6608" xr:uid="{1901D325-814C-4CBE-9613-432A1E7F92A0}"/>
    <cellStyle name="Normal 8 6 2 2 5 2 2 2 2" xfId="14468" xr:uid="{FBD3A049-6BB2-4A48-A446-333975132F2F}"/>
    <cellStyle name="Normal 8 6 2 2 5 2 2 3" xfId="10548" xr:uid="{E7CC0446-47AB-44D6-8769-BB9FA72F4521}"/>
    <cellStyle name="Normal 8 6 2 2 5 2 3" xfId="4654" xr:uid="{6140700D-92CA-4F33-B446-C6E332D06836}"/>
    <cellStyle name="Normal 8 6 2 2 5 2 3 2" xfId="12514" xr:uid="{319BA244-8C17-4488-B104-C3797207A802}"/>
    <cellStyle name="Normal 8 6 2 2 5 2 4" xfId="8595" xr:uid="{421FA1FE-485D-4451-BC60-A1B21D79D3DD}"/>
    <cellStyle name="Normal 8 6 2 2 5 3" xfId="1169" xr:uid="{00000000-0005-0000-0000-00006A0D0000}"/>
    <cellStyle name="Normal 8 6 2 2 5 3 2" xfId="3123" xr:uid="{00000000-0005-0000-0000-00006B0D0000}"/>
    <cellStyle name="Normal 8 6 2 2 5 3 2 2" xfId="7044" xr:uid="{56F22827-3C94-47D6-8A19-EBCE3EA45116}"/>
    <cellStyle name="Normal 8 6 2 2 5 3 2 2 2" xfId="14904" xr:uid="{449AA5B3-CBAF-4254-B388-9F53641255B4}"/>
    <cellStyle name="Normal 8 6 2 2 5 3 2 3" xfId="10984" xr:uid="{F65E31A1-6672-4E87-AD66-F4F989C1191A}"/>
    <cellStyle name="Normal 8 6 2 2 5 3 3" xfId="5090" xr:uid="{49564347-3887-44C6-AF13-AABC6C7383DC}"/>
    <cellStyle name="Normal 8 6 2 2 5 3 3 2" xfId="12950" xr:uid="{4ECFEBD4-2F74-4F39-91C1-9F8BDA35B447}"/>
    <cellStyle name="Normal 8 6 2 2 5 3 4" xfId="9031" xr:uid="{08DF4EDE-9A42-4979-B439-CD83C86E92AF}"/>
    <cellStyle name="Normal 8 6 2 2 5 4" xfId="1590" xr:uid="{00000000-0005-0000-0000-00006C0D0000}"/>
    <cellStyle name="Normal 8 6 2 2 5 4 2" xfId="3544" xr:uid="{00000000-0005-0000-0000-00006D0D0000}"/>
    <cellStyle name="Normal 8 6 2 2 5 4 2 2" xfId="7465" xr:uid="{ECD99E37-2D5D-43C1-A9A8-801CEF402A42}"/>
    <cellStyle name="Normal 8 6 2 2 5 4 2 2 2" xfId="15325" xr:uid="{D846C0A6-C813-4DE8-B397-60B89DD536C8}"/>
    <cellStyle name="Normal 8 6 2 2 5 4 2 3" xfId="11405" xr:uid="{7B319262-E361-4723-BB9F-A9A3C0C94A6A}"/>
    <cellStyle name="Normal 8 6 2 2 5 4 3" xfId="5511" xr:uid="{3C09AE67-E421-474E-A128-7276794C7C74}"/>
    <cellStyle name="Normal 8 6 2 2 5 4 3 2" xfId="13371" xr:uid="{6E505A91-9EEB-4F64-88FE-666FB6DBA79B}"/>
    <cellStyle name="Normal 8 6 2 2 5 4 4" xfId="9452" xr:uid="{C722056C-8AEB-40C3-847D-FF9EF5301C0F}"/>
    <cellStyle name="Normal 8 6 2 2 5 5" xfId="2244" xr:uid="{00000000-0005-0000-0000-00006E0D0000}"/>
    <cellStyle name="Normal 8 6 2 2 5 5 2" xfId="6165" xr:uid="{401CC14A-E637-425B-B3A5-627AA579422F}"/>
    <cellStyle name="Normal 8 6 2 2 5 5 2 2" xfId="14025" xr:uid="{B86846A9-4C91-4706-AA2C-781C8609F080}"/>
    <cellStyle name="Normal 8 6 2 2 5 5 3" xfId="10105" xr:uid="{F9C5B710-752F-4C63-A3AE-1CDD37C798E9}"/>
    <cellStyle name="Normal 8 6 2 2 5 6" xfId="4211" xr:uid="{892EB8F2-EA22-4FA5-B773-82DF831CD968}"/>
    <cellStyle name="Normal 8 6 2 2 5 6 2" xfId="12071" xr:uid="{BBAE27E6-C4E5-4ADA-AB6E-5ED3C3FB1275}"/>
    <cellStyle name="Normal 8 6 2 2 5 7" xfId="8150" xr:uid="{CFABBC67-AB3B-4649-9A9C-C709C9FB7A17}"/>
    <cellStyle name="Normal 8 6 2 2 6" xfId="381" xr:uid="{00000000-0005-0000-0000-00006F0D0000}"/>
    <cellStyle name="Normal 8 6 2 2 6 2" xfId="832" xr:uid="{00000000-0005-0000-0000-0000700D0000}"/>
    <cellStyle name="Normal 8 6 2 2 6 2 2" xfId="2786" xr:uid="{00000000-0005-0000-0000-0000710D0000}"/>
    <cellStyle name="Normal 8 6 2 2 6 2 2 2" xfId="6707" xr:uid="{67D1A374-B442-4703-9033-E76B5D3FAC3B}"/>
    <cellStyle name="Normal 8 6 2 2 6 2 2 2 2" xfId="14567" xr:uid="{149DE97B-E436-4777-AB62-E91B517F1432}"/>
    <cellStyle name="Normal 8 6 2 2 6 2 2 3" xfId="10647" xr:uid="{37D49906-3B01-434E-99C2-C494A6CDEF13}"/>
    <cellStyle name="Normal 8 6 2 2 6 2 3" xfId="4753" xr:uid="{830D9FB5-EE78-4550-B32E-22C28371ACD3}"/>
    <cellStyle name="Normal 8 6 2 2 6 2 3 2" xfId="12613" xr:uid="{782EF3C9-B7A9-496A-81D0-3001B0C63F89}"/>
    <cellStyle name="Normal 8 6 2 2 6 2 4" xfId="8694" xr:uid="{D6FE0D43-DBB3-4418-8BCE-4F83506A290B}"/>
    <cellStyle name="Normal 8 6 2 2 6 3" xfId="1264" xr:uid="{00000000-0005-0000-0000-0000720D0000}"/>
    <cellStyle name="Normal 8 6 2 2 6 3 2" xfId="3218" xr:uid="{00000000-0005-0000-0000-0000730D0000}"/>
    <cellStyle name="Normal 8 6 2 2 6 3 2 2" xfId="7139" xr:uid="{A36FCB4B-67AB-403E-925F-502CAF08B199}"/>
    <cellStyle name="Normal 8 6 2 2 6 3 2 2 2" xfId="14999" xr:uid="{E306DDB9-1402-4154-B30A-83DAEFC918A0}"/>
    <cellStyle name="Normal 8 6 2 2 6 3 2 3" xfId="11079" xr:uid="{C0747BA5-D28F-4D1A-8DF1-F0BB2612BA1E}"/>
    <cellStyle name="Normal 8 6 2 2 6 3 3" xfId="5185" xr:uid="{9716655A-BF33-4E18-A460-DD269DAE871D}"/>
    <cellStyle name="Normal 8 6 2 2 6 3 3 2" xfId="13045" xr:uid="{06CE9B6B-499B-4D97-9C49-2873382AD738}"/>
    <cellStyle name="Normal 8 6 2 2 6 3 4" xfId="9126" xr:uid="{9827EA4E-AEE6-42A3-AC0B-A42669F63318}"/>
    <cellStyle name="Normal 8 6 2 2 6 4" xfId="1682" xr:uid="{00000000-0005-0000-0000-0000740D0000}"/>
    <cellStyle name="Normal 8 6 2 2 6 4 2" xfId="3636" xr:uid="{00000000-0005-0000-0000-0000750D0000}"/>
    <cellStyle name="Normal 8 6 2 2 6 4 2 2" xfId="7557" xr:uid="{A4792065-9E2D-4FF9-A862-5B841A495516}"/>
    <cellStyle name="Normal 8 6 2 2 6 4 2 2 2" xfId="15417" xr:uid="{B6758909-81F0-4D38-9EFE-5D956EC59DE5}"/>
    <cellStyle name="Normal 8 6 2 2 6 4 2 3" xfId="11497" xr:uid="{FCFADF04-211F-435F-95B1-B41D6D01C26D}"/>
    <cellStyle name="Normal 8 6 2 2 6 4 3" xfId="5603" xr:uid="{25626F21-DDC7-4A3B-B424-7D94E7B846B2}"/>
    <cellStyle name="Normal 8 6 2 2 6 4 3 2" xfId="13463" xr:uid="{690F6498-7F02-4749-94A8-BE4E622989AF}"/>
    <cellStyle name="Normal 8 6 2 2 6 4 4" xfId="9544" xr:uid="{9BFDFAB7-BDB4-4D7F-9B2A-6A3F311FAC15}"/>
    <cellStyle name="Normal 8 6 2 2 6 5" xfId="2336" xr:uid="{00000000-0005-0000-0000-0000760D0000}"/>
    <cellStyle name="Normal 8 6 2 2 6 5 2" xfId="6257" xr:uid="{D293160E-1EB2-4454-AD18-A99664345EBE}"/>
    <cellStyle name="Normal 8 6 2 2 6 5 2 2" xfId="14117" xr:uid="{E15B77F8-45E9-4381-8287-CBFCFF3C7683}"/>
    <cellStyle name="Normal 8 6 2 2 6 5 3" xfId="10197" xr:uid="{BE9B25A8-229C-490E-BAD8-A0671BD80717}"/>
    <cellStyle name="Normal 8 6 2 2 6 6" xfId="4303" xr:uid="{B8B651B7-3280-4CE5-9809-0ACB95B719FD}"/>
    <cellStyle name="Normal 8 6 2 2 6 6 2" xfId="12163" xr:uid="{DCDBB6A9-C99D-4093-B81E-EB2160991127}"/>
    <cellStyle name="Normal 8 6 2 2 6 7" xfId="8244" xr:uid="{07A506AD-3AD0-4254-8F2C-835FC604704D}"/>
    <cellStyle name="Normal 8 6 2 2 7" xfId="478" xr:uid="{00000000-0005-0000-0000-0000770D0000}"/>
    <cellStyle name="Normal 8 6 2 2 7 2" xfId="2432" xr:uid="{00000000-0005-0000-0000-0000780D0000}"/>
    <cellStyle name="Normal 8 6 2 2 7 2 2" xfId="6353" xr:uid="{B6DA63D2-C621-47F6-AF59-4F21475DF81D}"/>
    <cellStyle name="Normal 8 6 2 2 7 2 2 2" xfId="14213" xr:uid="{4B8781C8-0ED2-4C79-9F44-7945731075F2}"/>
    <cellStyle name="Normal 8 6 2 2 7 2 3" xfId="10293" xr:uid="{D4728057-F212-429E-8009-04B72298E6AE}"/>
    <cellStyle name="Normal 8 6 2 2 7 3" xfId="4399" xr:uid="{E548CC8A-C72D-4865-9D6A-CCF616A74BD9}"/>
    <cellStyle name="Normal 8 6 2 2 7 3 2" xfId="12259" xr:uid="{5179A098-175E-4633-A2E5-314BB1E1D669}"/>
    <cellStyle name="Normal 8 6 2 2 7 4" xfId="8340" xr:uid="{555ADD81-E4F0-4FB6-B714-858B625BA8C9}"/>
    <cellStyle name="Normal 8 6 2 2 8" xfId="914" xr:uid="{00000000-0005-0000-0000-0000790D0000}"/>
    <cellStyle name="Normal 8 6 2 2 8 2" xfId="2868" xr:uid="{00000000-0005-0000-0000-00007A0D0000}"/>
    <cellStyle name="Normal 8 6 2 2 8 2 2" xfId="6789" xr:uid="{8A9767E9-7B86-4DAE-B578-80F2E315A918}"/>
    <cellStyle name="Normal 8 6 2 2 8 2 2 2" xfId="14649" xr:uid="{7FA0CA18-1C2A-41AF-83B9-5BD5D4999796}"/>
    <cellStyle name="Normal 8 6 2 2 8 2 3" xfId="10729" xr:uid="{DA7C0A7D-8791-402C-A8D9-F01F6CAC52A6}"/>
    <cellStyle name="Normal 8 6 2 2 8 3" xfId="4835" xr:uid="{DFDC604D-EF58-49B4-8861-297A6859A82D}"/>
    <cellStyle name="Normal 8 6 2 2 8 3 2" xfId="12695" xr:uid="{667996B1-6F2D-49B5-9A8C-DBDD6A5B56F3}"/>
    <cellStyle name="Normal 8 6 2 2 8 4" xfId="8776" xr:uid="{3B6A4705-6B66-4A2B-91E8-91190D19B66F}"/>
    <cellStyle name="Normal 8 6 2 2 9" xfId="1343" xr:uid="{00000000-0005-0000-0000-00007B0D0000}"/>
    <cellStyle name="Normal 8 6 2 2 9 2" xfId="3297" xr:uid="{00000000-0005-0000-0000-00007C0D0000}"/>
    <cellStyle name="Normal 8 6 2 2 9 2 2" xfId="7218" xr:uid="{35C13700-D8FA-4811-8754-963244269AB5}"/>
    <cellStyle name="Normal 8 6 2 2 9 2 2 2" xfId="15078" xr:uid="{B4B90F16-144A-4C15-8F23-1F214F25C19E}"/>
    <cellStyle name="Normal 8 6 2 2 9 2 3" xfId="11158" xr:uid="{5CA5FDBA-1671-451D-A129-A074DD5EAF6A}"/>
    <cellStyle name="Normal 8 6 2 2 9 3" xfId="5264" xr:uid="{1FB4D5CD-93B8-4F8E-95D8-97A882127BA1}"/>
    <cellStyle name="Normal 8 6 2 2 9 3 2" xfId="13124" xr:uid="{CED3A8E7-AC1C-4D8C-B9A6-50F53507C144}"/>
    <cellStyle name="Normal 8 6 2 2 9 4" xfId="9205" xr:uid="{A70019EB-2BC3-4B9F-A216-4A7DF0D1118E}"/>
    <cellStyle name="Normal 8 6 2 3" xfId="36" xr:uid="{00000000-0005-0000-0000-00007D0D0000}"/>
    <cellStyle name="Normal 8 6 2 3 10" xfId="2006" xr:uid="{00000000-0005-0000-0000-00007E0D0000}"/>
    <cellStyle name="Normal 8 6 2 3 10 2" xfId="5927" xr:uid="{BD6F1153-7C9D-4323-9749-641538110083}"/>
    <cellStyle name="Normal 8 6 2 3 10 2 2" xfId="13787" xr:uid="{364A7F9C-1155-4C69-BDE4-DA23BA8F3A96}"/>
    <cellStyle name="Normal 8 6 2 3 10 3" xfId="9867" xr:uid="{CFC4C9A5-F14B-4FA0-8463-EE17E0AAE552}"/>
    <cellStyle name="Normal 8 6 2 3 11" xfId="3973" xr:uid="{F95A2234-078A-43CE-8DBB-317E71754436}"/>
    <cellStyle name="Normal 8 6 2 3 11 2" xfId="11833" xr:uid="{97EB148E-8B28-4490-B398-966B6C0A90DA}"/>
    <cellStyle name="Normal 8 6 2 3 12" xfId="7911" xr:uid="{6079ABB0-8174-40A5-9962-17F9C9DC92E9}"/>
    <cellStyle name="Normal 8 6 2 3 2" xfId="77" xr:uid="{00000000-0005-0000-0000-00007F0D0000}"/>
    <cellStyle name="Normal 8 6 2 3 2 10" xfId="4013" xr:uid="{2CFC99D8-050E-4FFF-BA06-559FB57241F3}"/>
    <cellStyle name="Normal 8 6 2 3 2 10 2" xfId="11873" xr:uid="{2473D8E4-4091-4B26-B79B-F7F24BE68F2C}"/>
    <cellStyle name="Normal 8 6 2 3 2 11" xfId="7951" xr:uid="{5C210938-BDA8-42B6-B965-4CCD13714572}"/>
    <cellStyle name="Normal 8 6 2 3 2 2" xfId="233" xr:uid="{00000000-0005-0000-0000-0000800D0000}"/>
    <cellStyle name="Normal 8 6 2 3 2 2 2" xfId="685" xr:uid="{00000000-0005-0000-0000-0000810D0000}"/>
    <cellStyle name="Normal 8 6 2 3 2 2 2 2" xfId="2639" xr:uid="{00000000-0005-0000-0000-0000820D0000}"/>
    <cellStyle name="Normal 8 6 2 3 2 2 2 2 2" xfId="6560" xr:uid="{65AC6B58-21AE-4EC4-B017-9047C127F8B3}"/>
    <cellStyle name="Normal 8 6 2 3 2 2 2 2 2 2" xfId="14420" xr:uid="{96E7955D-4555-4812-82AC-9C6FEEBF2F31}"/>
    <cellStyle name="Normal 8 6 2 3 2 2 2 2 3" xfId="10500" xr:uid="{7D775895-CF16-424A-A4F2-C93ED257E568}"/>
    <cellStyle name="Normal 8 6 2 3 2 2 2 3" xfId="4606" xr:uid="{C29A78C1-E696-41C1-9357-EB345B16863D}"/>
    <cellStyle name="Normal 8 6 2 3 2 2 2 3 2" xfId="12466" xr:uid="{246B418D-85D7-4291-8BAB-27BBB0DE035F}"/>
    <cellStyle name="Normal 8 6 2 3 2 2 2 4" xfId="8547" xr:uid="{32E0C34D-D7F4-403B-A208-A54089A6035A}"/>
    <cellStyle name="Normal 8 6 2 3 2 2 3" xfId="1122" xr:uid="{00000000-0005-0000-0000-0000830D0000}"/>
    <cellStyle name="Normal 8 6 2 3 2 2 3 2" xfId="3076" xr:uid="{00000000-0005-0000-0000-0000840D0000}"/>
    <cellStyle name="Normal 8 6 2 3 2 2 3 2 2" xfId="6997" xr:uid="{88E122CD-894F-40F0-AEFF-1D5A9D120D62}"/>
    <cellStyle name="Normal 8 6 2 3 2 2 3 2 2 2" xfId="14857" xr:uid="{334112A1-9773-46E8-B5E3-E729811A41D3}"/>
    <cellStyle name="Normal 8 6 2 3 2 2 3 2 3" xfId="10937" xr:uid="{026F7C2F-AEA9-4B58-835E-C996A758295C}"/>
    <cellStyle name="Normal 8 6 2 3 2 2 3 3" xfId="5043" xr:uid="{7F6EC013-5ADD-41BB-92F0-3509621D1853}"/>
    <cellStyle name="Normal 8 6 2 3 2 2 3 3 2" xfId="12903" xr:uid="{CAAF79FD-F94F-4FB9-B94E-DB05BDE94048}"/>
    <cellStyle name="Normal 8 6 2 3 2 2 3 4" xfId="8984" xr:uid="{5C2862D0-CB1F-4296-B8AD-7944B39C616E}"/>
    <cellStyle name="Normal 8 6 2 3 2 2 4" xfId="1549" xr:uid="{00000000-0005-0000-0000-0000850D0000}"/>
    <cellStyle name="Normal 8 6 2 3 2 2 4 2" xfId="3503" xr:uid="{00000000-0005-0000-0000-0000860D0000}"/>
    <cellStyle name="Normal 8 6 2 3 2 2 4 2 2" xfId="7424" xr:uid="{CDF951E2-CF47-4D84-9038-443F51011CD6}"/>
    <cellStyle name="Normal 8 6 2 3 2 2 4 2 2 2" xfId="15284" xr:uid="{0BBAC8E1-CF32-4140-94B0-7421F915E724}"/>
    <cellStyle name="Normal 8 6 2 3 2 2 4 2 3" xfId="11364" xr:uid="{5E7B5CE0-8CF5-42D4-8EFD-4C13E6AA1553}"/>
    <cellStyle name="Normal 8 6 2 3 2 2 4 3" xfId="5470" xr:uid="{6ECB455C-6DBE-4F2A-861F-35CD7F7460F0}"/>
    <cellStyle name="Normal 8 6 2 3 2 2 4 3 2" xfId="13330" xr:uid="{A6157720-004C-483C-910A-5B7CFE99F7A5}"/>
    <cellStyle name="Normal 8 6 2 3 2 2 4 4" xfId="9411" xr:uid="{59112589-B900-4507-A8FC-08FDC2D1FA57}"/>
    <cellStyle name="Normal 8 6 2 3 2 2 5" xfId="2202" xr:uid="{00000000-0005-0000-0000-0000870D0000}"/>
    <cellStyle name="Normal 8 6 2 3 2 2 5 2" xfId="6123" xr:uid="{A97A7F1B-733B-4341-9A29-096B98BD4D8C}"/>
    <cellStyle name="Normal 8 6 2 3 2 2 5 2 2" xfId="13983" xr:uid="{5CA5C405-2677-49B9-8602-8C5C686F9AB5}"/>
    <cellStyle name="Normal 8 6 2 3 2 2 5 3" xfId="10063" xr:uid="{6A7071F2-59B2-41C3-8C9C-8651CE5063E5}"/>
    <cellStyle name="Normal 8 6 2 3 2 2 6" xfId="4169" xr:uid="{6838ACB3-11D5-4919-AFEB-FA5DB77CD5BE}"/>
    <cellStyle name="Normal 8 6 2 3 2 2 6 2" xfId="12029" xr:uid="{95777C96-FD33-4089-B1D7-A492A36A21FA}"/>
    <cellStyle name="Normal 8 6 2 3 2 2 7" xfId="8107" xr:uid="{C7E6077C-7BBE-4BD6-9228-1E8DC9316EFC}"/>
    <cellStyle name="Normal 8 6 2 3 2 3" xfId="155" xr:uid="{00000000-0005-0000-0000-0000880D0000}"/>
    <cellStyle name="Normal 8 6 2 3 2 3 2" xfId="607" xr:uid="{00000000-0005-0000-0000-0000890D0000}"/>
    <cellStyle name="Normal 8 6 2 3 2 3 2 2" xfId="2561" xr:uid="{00000000-0005-0000-0000-00008A0D0000}"/>
    <cellStyle name="Normal 8 6 2 3 2 3 2 2 2" xfId="6482" xr:uid="{CD0BC626-995D-477F-B281-CFD4F0AA328C}"/>
    <cellStyle name="Normal 8 6 2 3 2 3 2 2 2 2" xfId="14342" xr:uid="{D26F6B34-7695-4040-8577-41DCC5501177}"/>
    <cellStyle name="Normal 8 6 2 3 2 3 2 2 3" xfId="10422" xr:uid="{D6355D92-F871-4217-A05A-8CF60D971176}"/>
    <cellStyle name="Normal 8 6 2 3 2 3 2 3" xfId="4528" xr:uid="{B6D2BA3F-AD8A-4EC3-A8D3-0B5D8D7BC9A6}"/>
    <cellStyle name="Normal 8 6 2 3 2 3 2 3 2" xfId="12388" xr:uid="{0866EFCD-4D75-4614-950A-4E8C05C32F99}"/>
    <cellStyle name="Normal 8 6 2 3 2 3 2 4" xfId="8469" xr:uid="{2698AC70-9BEC-4518-988F-44F4F510D6C8}"/>
    <cellStyle name="Normal 8 6 2 3 2 3 3" xfId="1044" xr:uid="{00000000-0005-0000-0000-00008B0D0000}"/>
    <cellStyle name="Normal 8 6 2 3 2 3 3 2" xfId="2998" xr:uid="{00000000-0005-0000-0000-00008C0D0000}"/>
    <cellStyle name="Normal 8 6 2 3 2 3 3 2 2" xfId="6919" xr:uid="{122F3470-1430-4D90-8886-1CEF2E782837}"/>
    <cellStyle name="Normal 8 6 2 3 2 3 3 2 2 2" xfId="14779" xr:uid="{735CA0E1-D023-4AA2-A70F-9A6C031F6444}"/>
    <cellStyle name="Normal 8 6 2 3 2 3 3 2 3" xfId="10859" xr:uid="{54492BC1-1223-443B-941E-DE1916410241}"/>
    <cellStyle name="Normal 8 6 2 3 2 3 3 3" xfId="4965" xr:uid="{5A2FA23E-7AF2-40FD-8FC8-019DB4DFF345}"/>
    <cellStyle name="Normal 8 6 2 3 2 3 3 3 2" xfId="12825" xr:uid="{3C01F9D9-16F4-40A5-83A9-F61D4EAE0FDC}"/>
    <cellStyle name="Normal 8 6 2 3 2 3 3 4" xfId="8906" xr:uid="{987BAC79-397B-4CC8-9E0B-DB790A878583}"/>
    <cellStyle name="Normal 8 6 2 3 2 3 4" xfId="1471" xr:uid="{00000000-0005-0000-0000-00008D0D0000}"/>
    <cellStyle name="Normal 8 6 2 3 2 3 4 2" xfId="3425" xr:uid="{00000000-0005-0000-0000-00008E0D0000}"/>
    <cellStyle name="Normal 8 6 2 3 2 3 4 2 2" xfId="7346" xr:uid="{17B646DC-8D2A-43E9-A353-394E698B53E0}"/>
    <cellStyle name="Normal 8 6 2 3 2 3 4 2 2 2" xfId="15206" xr:uid="{B373F177-8FF7-4BD0-983B-0146B093F80C}"/>
    <cellStyle name="Normal 8 6 2 3 2 3 4 2 3" xfId="11286" xr:uid="{6A1540FE-6230-4C67-AB53-B590C90BBB7A}"/>
    <cellStyle name="Normal 8 6 2 3 2 3 4 3" xfId="5392" xr:uid="{51CB7179-44E4-4BBC-9478-CE8A8F482E51}"/>
    <cellStyle name="Normal 8 6 2 3 2 3 4 3 2" xfId="13252" xr:uid="{57C86A99-C220-4D84-A350-927BB90E7D9C}"/>
    <cellStyle name="Normal 8 6 2 3 2 3 4 4" xfId="9333" xr:uid="{109727F9-EF81-42F7-A650-8E5078CFEE92}"/>
    <cellStyle name="Normal 8 6 2 3 2 3 5" xfId="2124" xr:uid="{00000000-0005-0000-0000-00008F0D0000}"/>
    <cellStyle name="Normal 8 6 2 3 2 3 5 2" xfId="6045" xr:uid="{DDBCCE2E-8813-423D-B2A9-4EED345499E1}"/>
    <cellStyle name="Normal 8 6 2 3 2 3 5 2 2" xfId="13905" xr:uid="{F0AA1DE7-2A73-4899-98FD-29232C23FCEE}"/>
    <cellStyle name="Normal 8 6 2 3 2 3 5 3" xfId="9985" xr:uid="{EE36D922-3A36-4466-BDA4-F3CD31B010DF}"/>
    <cellStyle name="Normal 8 6 2 3 2 3 6" xfId="4091" xr:uid="{B81A5870-F971-41A1-9C0A-A3A4B820A8CE}"/>
    <cellStyle name="Normal 8 6 2 3 2 3 6 2" xfId="11951" xr:uid="{60BA3C85-1C11-4F7E-B2BF-27CAAF06BCF7}"/>
    <cellStyle name="Normal 8 6 2 3 2 3 7" xfId="8029" xr:uid="{CA523543-CBA3-4989-9046-AE63C55A6F5C}"/>
    <cellStyle name="Normal 8 6 2 3 2 4" xfId="340" xr:uid="{00000000-0005-0000-0000-0000900D0000}"/>
    <cellStyle name="Normal 8 6 2 3 2 4 2" xfId="792" xr:uid="{00000000-0005-0000-0000-0000910D0000}"/>
    <cellStyle name="Normal 8 6 2 3 2 4 2 2" xfId="2746" xr:uid="{00000000-0005-0000-0000-0000920D0000}"/>
    <cellStyle name="Normal 8 6 2 3 2 4 2 2 2" xfId="6667" xr:uid="{C70F355E-A3AB-42FD-B344-041F344A386E}"/>
    <cellStyle name="Normal 8 6 2 3 2 4 2 2 2 2" xfId="14527" xr:uid="{5C4572CC-0E3A-438B-9F44-D927F2517910}"/>
    <cellStyle name="Normal 8 6 2 3 2 4 2 2 3" xfId="10607" xr:uid="{7C50BC37-7D4D-44BF-8916-CDF7A47858B3}"/>
    <cellStyle name="Normal 8 6 2 3 2 4 2 3" xfId="4713" xr:uid="{50EEDFAF-57BE-4CB2-80D8-53F529E13191}"/>
    <cellStyle name="Normal 8 6 2 3 2 4 2 3 2" xfId="12573" xr:uid="{6DA4424D-EF76-4B29-9395-0E75A8B1206F}"/>
    <cellStyle name="Normal 8 6 2 3 2 4 2 4" xfId="8654" xr:uid="{D7461AA8-F436-41B7-8CD8-92C74DBC4162}"/>
    <cellStyle name="Normal 8 6 2 3 2 4 3" xfId="1226" xr:uid="{00000000-0005-0000-0000-0000930D0000}"/>
    <cellStyle name="Normal 8 6 2 3 2 4 3 2" xfId="3180" xr:uid="{00000000-0005-0000-0000-0000940D0000}"/>
    <cellStyle name="Normal 8 6 2 3 2 4 3 2 2" xfId="7101" xr:uid="{AAA9D98C-35F5-436A-9552-85B882B7333B}"/>
    <cellStyle name="Normal 8 6 2 3 2 4 3 2 2 2" xfId="14961" xr:uid="{72F7760C-AD4D-4DC4-859E-63ADF28262BE}"/>
    <cellStyle name="Normal 8 6 2 3 2 4 3 2 3" xfId="11041" xr:uid="{43052C21-EF20-4FD7-9044-1652590C9667}"/>
    <cellStyle name="Normal 8 6 2 3 2 4 3 3" xfId="5147" xr:uid="{AF01A119-0367-4E05-9B9F-789A1BC9F1C9}"/>
    <cellStyle name="Normal 8 6 2 3 2 4 3 3 2" xfId="13007" xr:uid="{D0C0F63A-1237-4897-BE32-9810AE24A859}"/>
    <cellStyle name="Normal 8 6 2 3 2 4 3 4" xfId="9088" xr:uid="{67329172-B057-4BC7-90B5-EC507B88E6F6}"/>
    <cellStyle name="Normal 8 6 2 3 2 4 4" xfId="1646" xr:uid="{00000000-0005-0000-0000-0000950D0000}"/>
    <cellStyle name="Normal 8 6 2 3 2 4 4 2" xfId="3600" xr:uid="{00000000-0005-0000-0000-0000960D0000}"/>
    <cellStyle name="Normal 8 6 2 3 2 4 4 2 2" xfId="7521" xr:uid="{3E9062D4-A722-4EF1-9E00-E8508913B7C8}"/>
    <cellStyle name="Normal 8 6 2 3 2 4 4 2 2 2" xfId="15381" xr:uid="{3AE0B30D-B4DF-4D53-A749-22F2DCC3E68A}"/>
    <cellStyle name="Normal 8 6 2 3 2 4 4 2 3" xfId="11461" xr:uid="{98272514-4E51-40BB-9A7D-7B3D1515561C}"/>
    <cellStyle name="Normal 8 6 2 3 2 4 4 3" xfId="5567" xr:uid="{6D19FF09-6BF9-40A7-8925-EC55A449C670}"/>
    <cellStyle name="Normal 8 6 2 3 2 4 4 3 2" xfId="13427" xr:uid="{186BA922-3EE6-4920-B7DA-80D5F5134912}"/>
    <cellStyle name="Normal 8 6 2 3 2 4 4 4" xfId="9508" xr:uid="{97F4A411-9814-4250-9A19-24BA3F991644}"/>
    <cellStyle name="Normal 8 6 2 3 2 4 5" xfId="2300" xr:uid="{00000000-0005-0000-0000-0000970D0000}"/>
    <cellStyle name="Normal 8 6 2 3 2 4 5 2" xfId="6221" xr:uid="{A6064C2C-64FB-4DBC-B67E-2D25EEC5787B}"/>
    <cellStyle name="Normal 8 6 2 3 2 4 5 2 2" xfId="14081" xr:uid="{2E04998F-17B1-4E09-BC55-E4597AF63CE4}"/>
    <cellStyle name="Normal 8 6 2 3 2 4 5 3" xfId="10161" xr:uid="{C8B4C4FB-EAB7-490F-8019-B8F3EAAE9F74}"/>
    <cellStyle name="Normal 8 6 2 3 2 4 6" xfId="4267" xr:uid="{1E6E4693-6AAF-435E-872B-966DE58DF408}"/>
    <cellStyle name="Normal 8 6 2 3 2 4 6 2" xfId="12127" xr:uid="{8895C2AF-3116-4725-87AD-D77C27200447}"/>
    <cellStyle name="Normal 8 6 2 3 2 4 7" xfId="8206" xr:uid="{58FE5C13-FCD8-416D-827F-387524524161}"/>
    <cellStyle name="Normal 8 6 2 3 2 5" xfId="437" xr:uid="{00000000-0005-0000-0000-0000980D0000}"/>
    <cellStyle name="Normal 8 6 2 3 2 5 2" xfId="888" xr:uid="{00000000-0005-0000-0000-0000990D0000}"/>
    <cellStyle name="Normal 8 6 2 3 2 5 2 2" xfId="2842" xr:uid="{00000000-0005-0000-0000-00009A0D0000}"/>
    <cellStyle name="Normal 8 6 2 3 2 5 2 2 2" xfId="6763" xr:uid="{6FB2CE63-B704-46FD-8F61-8FA9E4560713}"/>
    <cellStyle name="Normal 8 6 2 3 2 5 2 2 2 2" xfId="14623" xr:uid="{A84821FB-7CB6-483E-A67E-891AB8932495}"/>
    <cellStyle name="Normal 8 6 2 3 2 5 2 2 3" xfId="10703" xr:uid="{07025674-E087-49A8-8BBE-8F029D577C53}"/>
    <cellStyle name="Normal 8 6 2 3 2 5 2 3" xfId="4809" xr:uid="{5D87C40A-3CE2-43C0-BC33-2816FF149234}"/>
    <cellStyle name="Normal 8 6 2 3 2 5 2 3 2" xfId="12669" xr:uid="{3CA6C7BD-68B0-4266-ADD0-0C9185ACBA32}"/>
    <cellStyle name="Normal 8 6 2 3 2 5 2 4" xfId="8750" xr:uid="{39286761-0481-4F54-A924-0B0F3BABD1A4}"/>
    <cellStyle name="Normal 8 6 2 3 2 5 3" xfId="1320" xr:uid="{00000000-0005-0000-0000-00009B0D0000}"/>
    <cellStyle name="Normal 8 6 2 3 2 5 3 2" xfId="3274" xr:uid="{00000000-0005-0000-0000-00009C0D0000}"/>
    <cellStyle name="Normal 8 6 2 3 2 5 3 2 2" xfId="7195" xr:uid="{31364A34-AE42-4AA2-AF3D-9BE632661182}"/>
    <cellStyle name="Normal 8 6 2 3 2 5 3 2 2 2" xfId="15055" xr:uid="{C770802D-7618-4CDD-A3AE-63F3C7DF3861}"/>
    <cellStyle name="Normal 8 6 2 3 2 5 3 2 3" xfId="11135" xr:uid="{B7C2AF7A-9C55-4E61-8542-65B109F3FFC4}"/>
    <cellStyle name="Normal 8 6 2 3 2 5 3 3" xfId="5241" xr:uid="{AC822201-BC84-4D86-991E-DC9128A86C52}"/>
    <cellStyle name="Normal 8 6 2 3 2 5 3 3 2" xfId="13101" xr:uid="{25DB996F-3D22-43EA-9C38-BD82065530D8}"/>
    <cellStyle name="Normal 8 6 2 3 2 5 3 4" xfId="9182" xr:uid="{C6C24F54-C420-43F0-BAB7-4C37550C69CB}"/>
    <cellStyle name="Normal 8 6 2 3 2 5 4" xfId="1738" xr:uid="{00000000-0005-0000-0000-00009D0D0000}"/>
    <cellStyle name="Normal 8 6 2 3 2 5 4 2" xfId="3692" xr:uid="{00000000-0005-0000-0000-00009E0D0000}"/>
    <cellStyle name="Normal 8 6 2 3 2 5 4 2 2" xfId="7613" xr:uid="{FB49D4BC-FC81-4F85-87F8-5408D0112C01}"/>
    <cellStyle name="Normal 8 6 2 3 2 5 4 2 2 2" xfId="15473" xr:uid="{F477664C-D974-42D7-B653-87FDDAF85A6B}"/>
    <cellStyle name="Normal 8 6 2 3 2 5 4 2 3" xfId="11553" xr:uid="{A226586B-5E57-4C5C-A30C-7B4EC7ADA07C}"/>
    <cellStyle name="Normal 8 6 2 3 2 5 4 3" xfId="5659" xr:uid="{6BE087DC-3FA8-4ABA-8F57-A23ADA01D8BE}"/>
    <cellStyle name="Normal 8 6 2 3 2 5 4 3 2" xfId="13519" xr:uid="{1E14A879-EA62-4B8A-8EA9-5C2D1BB55740}"/>
    <cellStyle name="Normal 8 6 2 3 2 5 4 4" xfId="9600" xr:uid="{44671CA5-E256-43D9-A64B-045167C48453}"/>
    <cellStyle name="Normal 8 6 2 3 2 5 5" xfId="2392" xr:uid="{00000000-0005-0000-0000-00009F0D0000}"/>
    <cellStyle name="Normal 8 6 2 3 2 5 5 2" xfId="6313" xr:uid="{CA661D59-1CB3-4094-93B3-B2187AF4166E}"/>
    <cellStyle name="Normal 8 6 2 3 2 5 5 2 2" xfId="14173" xr:uid="{C45B4BB8-A275-47FC-B5B4-9410BCDAF284}"/>
    <cellStyle name="Normal 8 6 2 3 2 5 5 3" xfId="10253" xr:uid="{87580CF2-0AB2-4FDD-91EE-4082AACFD768}"/>
    <cellStyle name="Normal 8 6 2 3 2 5 6" xfId="4359" xr:uid="{88150A2D-9C7F-4A76-A4F9-0BFE8447EB51}"/>
    <cellStyle name="Normal 8 6 2 3 2 5 6 2" xfId="12219" xr:uid="{12A851C9-AD67-4A1B-9EA6-D19E56E4A4F4}"/>
    <cellStyle name="Normal 8 6 2 3 2 5 7" xfId="8300" xr:uid="{B27F11AC-1A7C-42FA-8A00-CF77CF3D7E97}"/>
    <cellStyle name="Normal 8 6 2 3 2 6" xfId="529" xr:uid="{00000000-0005-0000-0000-0000A00D0000}"/>
    <cellStyle name="Normal 8 6 2 3 2 6 2" xfId="2483" xr:uid="{00000000-0005-0000-0000-0000A10D0000}"/>
    <cellStyle name="Normal 8 6 2 3 2 6 2 2" xfId="6404" xr:uid="{162351A4-1FC5-4EC0-B4F1-09E76A724E8C}"/>
    <cellStyle name="Normal 8 6 2 3 2 6 2 2 2" xfId="14264" xr:uid="{6BE5BBAD-C20E-4EAB-A883-922963DCCD85}"/>
    <cellStyle name="Normal 8 6 2 3 2 6 2 3" xfId="10344" xr:uid="{8C95C5E6-D820-4039-95F8-93EF4CADFAD5}"/>
    <cellStyle name="Normal 8 6 2 3 2 6 3" xfId="4450" xr:uid="{431D0054-D1D8-48EC-9F3B-768E5F8F706F}"/>
    <cellStyle name="Normal 8 6 2 3 2 6 3 2" xfId="12310" xr:uid="{08BFB9C5-D97B-453D-A5AA-1AB80D3605BF}"/>
    <cellStyle name="Normal 8 6 2 3 2 6 4" xfId="8391" xr:uid="{0F355C03-3B61-4C95-9731-20F21A3A46F5}"/>
    <cellStyle name="Normal 8 6 2 3 2 7" xfId="966" xr:uid="{00000000-0005-0000-0000-0000A20D0000}"/>
    <cellStyle name="Normal 8 6 2 3 2 7 2" xfId="2920" xr:uid="{00000000-0005-0000-0000-0000A30D0000}"/>
    <cellStyle name="Normal 8 6 2 3 2 7 2 2" xfId="6841" xr:uid="{003B2CF7-95B4-40A5-B718-DA4AB4109950}"/>
    <cellStyle name="Normal 8 6 2 3 2 7 2 2 2" xfId="14701" xr:uid="{5DCB4868-1A3A-4942-8FF6-2A4CF4CE9D10}"/>
    <cellStyle name="Normal 8 6 2 3 2 7 2 3" xfId="10781" xr:uid="{A7E38F34-1840-4134-B6D0-DAC6D7855DC8}"/>
    <cellStyle name="Normal 8 6 2 3 2 7 3" xfId="4887" xr:uid="{D47FB08B-F4AF-4FE6-B0BD-AAB4CF2BEB26}"/>
    <cellStyle name="Normal 8 6 2 3 2 7 3 2" xfId="12747" xr:uid="{E419CEEB-6527-41DA-91E7-E54BF70D1145}"/>
    <cellStyle name="Normal 8 6 2 3 2 7 4" xfId="8828" xr:uid="{67181D8A-5DCB-45CD-AF7B-78F84B55FD75}"/>
    <cellStyle name="Normal 8 6 2 3 2 8" xfId="1393" xr:uid="{00000000-0005-0000-0000-0000A40D0000}"/>
    <cellStyle name="Normal 8 6 2 3 2 8 2" xfId="3347" xr:uid="{00000000-0005-0000-0000-0000A50D0000}"/>
    <cellStyle name="Normal 8 6 2 3 2 8 2 2" xfId="7268" xr:uid="{4F0EBE33-AAE5-4DF3-A7A4-09A83E8E79EE}"/>
    <cellStyle name="Normal 8 6 2 3 2 8 2 2 2" xfId="15128" xr:uid="{72E44E5C-9BE0-464A-950B-D3E6DF1173D0}"/>
    <cellStyle name="Normal 8 6 2 3 2 8 2 3" xfId="11208" xr:uid="{2467B173-9BED-440E-AC1C-D2291994BF10}"/>
    <cellStyle name="Normal 8 6 2 3 2 8 3" xfId="5314" xr:uid="{E3882624-F8F6-42B1-9C39-689DDCEB74B5}"/>
    <cellStyle name="Normal 8 6 2 3 2 8 3 2" xfId="13174" xr:uid="{38398428-F526-456F-BA23-A68522CF91FC}"/>
    <cellStyle name="Normal 8 6 2 3 2 8 4" xfId="9255" xr:uid="{66651CB6-2E96-41DE-A338-2AC220263AB4}"/>
    <cellStyle name="Normal 8 6 2 3 2 9" xfId="2046" xr:uid="{00000000-0005-0000-0000-0000A60D0000}"/>
    <cellStyle name="Normal 8 6 2 3 2 9 2" xfId="5967" xr:uid="{6B3BDF4C-575B-4D63-8203-4FB9967832A7}"/>
    <cellStyle name="Normal 8 6 2 3 2 9 2 2" xfId="13827" xr:uid="{06B96D91-B401-4418-8A68-AC263540F7AB}"/>
    <cellStyle name="Normal 8 6 2 3 2 9 3" xfId="9907" xr:uid="{C8D50E54-B422-4FDC-B855-DC99C73C2ADF}"/>
    <cellStyle name="Normal 8 6 2 3 3" xfId="194" xr:uid="{00000000-0005-0000-0000-0000A70D0000}"/>
    <cellStyle name="Normal 8 6 2 3 3 2" xfId="646" xr:uid="{00000000-0005-0000-0000-0000A80D0000}"/>
    <cellStyle name="Normal 8 6 2 3 3 2 2" xfId="2600" xr:uid="{00000000-0005-0000-0000-0000A90D0000}"/>
    <cellStyle name="Normal 8 6 2 3 3 2 2 2" xfId="6521" xr:uid="{47A07ECD-4ACC-4628-9AB2-38067C6383BA}"/>
    <cellStyle name="Normal 8 6 2 3 3 2 2 2 2" xfId="14381" xr:uid="{EE806A09-945D-436E-B582-90789397B813}"/>
    <cellStyle name="Normal 8 6 2 3 3 2 2 3" xfId="10461" xr:uid="{429799A0-35D6-4BFB-99B7-BC9EEDF7F169}"/>
    <cellStyle name="Normal 8 6 2 3 3 2 3" xfId="4567" xr:uid="{9D595959-769B-4B22-92D5-84D8EC8AA654}"/>
    <cellStyle name="Normal 8 6 2 3 3 2 3 2" xfId="12427" xr:uid="{E7B9A1E0-96B5-4220-AEF8-A597CB9684E6}"/>
    <cellStyle name="Normal 8 6 2 3 3 2 4" xfId="8508" xr:uid="{42E665FE-D76B-45A9-A7E9-9A17FB570253}"/>
    <cellStyle name="Normal 8 6 2 3 3 3" xfId="1083" xr:uid="{00000000-0005-0000-0000-0000AA0D0000}"/>
    <cellStyle name="Normal 8 6 2 3 3 3 2" xfId="3037" xr:uid="{00000000-0005-0000-0000-0000AB0D0000}"/>
    <cellStyle name="Normal 8 6 2 3 3 3 2 2" xfId="6958" xr:uid="{929C6D0B-7E5E-4130-B323-FADC1C7F2DBF}"/>
    <cellStyle name="Normal 8 6 2 3 3 3 2 2 2" xfId="14818" xr:uid="{7E84CE6C-01F6-46AC-BFDE-5FE6E5608981}"/>
    <cellStyle name="Normal 8 6 2 3 3 3 2 3" xfId="10898" xr:uid="{BF1F9238-8DE7-4989-BAC7-51BFADA82B7D}"/>
    <cellStyle name="Normal 8 6 2 3 3 3 3" xfId="5004" xr:uid="{F4579C83-C889-49AA-8301-DF60390CB8CC}"/>
    <cellStyle name="Normal 8 6 2 3 3 3 3 2" xfId="12864" xr:uid="{3ADB6F8C-E2DA-4680-BDC0-2C71C6295086}"/>
    <cellStyle name="Normal 8 6 2 3 3 3 4" xfId="8945" xr:uid="{1B6DE9B2-3206-4D94-9854-0B751528AB04}"/>
    <cellStyle name="Normal 8 6 2 3 3 4" xfId="1510" xr:uid="{00000000-0005-0000-0000-0000AC0D0000}"/>
    <cellStyle name="Normal 8 6 2 3 3 4 2" xfId="3464" xr:uid="{00000000-0005-0000-0000-0000AD0D0000}"/>
    <cellStyle name="Normal 8 6 2 3 3 4 2 2" xfId="7385" xr:uid="{684DC324-F7F9-4698-B545-3F3849990219}"/>
    <cellStyle name="Normal 8 6 2 3 3 4 2 2 2" xfId="15245" xr:uid="{BFEF020D-7B5E-4FC6-9C61-C42D03BC0F0A}"/>
    <cellStyle name="Normal 8 6 2 3 3 4 2 3" xfId="11325" xr:uid="{C9EABF2E-249E-4013-8669-F33323D549D4}"/>
    <cellStyle name="Normal 8 6 2 3 3 4 3" xfId="5431" xr:uid="{9391B986-B2A0-44C5-9BB0-80D36AC36D0E}"/>
    <cellStyle name="Normal 8 6 2 3 3 4 3 2" xfId="13291" xr:uid="{48298C31-E312-4DA1-B2F8-849DD72CD4A0}"/>
    <cellStyle name="Normal 8 6 2 3 3 4 4" xfId="9372" xr:uid="{653E60B6-D690-46D3-9BAF-1A18A63C13FB}"/>
    <cellStyle name="Normal 8 6 2 3 3 5" xfId="2163" xr:uid="{00000000-0005-0000-0000-0000AE0D0000}"/>
    <cellStyle name="Normal 8 6 2 3 3 5 2" xfId="6084" xr:uid="{8ABAD4C9-0F14-42F4-99E6-5F7871131FA0}"/>
    <cellStyle name="Normal 8 6 2 3 3 5 2 2" xfId="13944" xr:uid="{90C05B9B-355D-4BDA-A9F0-F45F71525C6E}"/>
    <cellStyle name="Normal 8 6 2 3 3 5 3" xfId="10024" xr:uid="{51DD63F4-975C-4BEB-811E-88861D429B2C}"/>
    <cellStyle name="Normal 8 6 2 3 3 6" xfId="4130" xr:uid="{C07878B2-07D2-493F-8C1F-39F4682D0AC9}"/>
    <cellStyle name="Normal 8 6 2 3 3 6 2" xfId="11990" xr:uid="{228E22A1-5CF5-4BEB-9961-1511C60BADBA}"/>
    <cellStyle name="Normal 8 6 2 3 3 7" xfId="8068" xr:uid="{CAF3ABE5-E9E5-4D01-9784-BAC5EBA433D9}"/>
    <cellStyle name="Normal 8 6 2 3 4" xfId="116" xr:uid="{00000000-0005-0000-0000-0000AF0D0000}"/>
    <cellStyle name="Normal 8 6 2 3 4 2" xfId="568" xr:uid="{00000000-0005-0000-0000-0000B00D0000}"/>
    <cellStyle name="Normal 8 6 2 3 4 2 2" xfId="2522" xr:uid="{00000000-0005-0000-0000-0000B10D0000}"/>
    <cellStyle name="Normal 8 6 2 3 4 2 2 2" xfId="6443" xr:uid="{49BA29B0-365A-4F20-B40E-2F46580F1373}"/>
    <cellStyle name="Normal 8 6 2 3 4 2 2 2 2" xfId="14303" xr:uid="{5807877D-C274-4115-B9A5-EC8574386132}"/>
    <cellStyle name="Normal 8 6 2 3 4 2 2 3" xfId="10383" xr:uid="{8151E294-224D-4771-BB03-3FD66AD17EFA}"/>
    <cellStyle name="Normal 8 6 2 3 4 2 3" xfId="4489" xr:uid="{39F2ACC1-C350-4136-9C10-FC3F5BE77CFB}"/>
    <cellStyle name="Normal 8 6 2 3 4 2 3 2" xfId="12349" xr:uid="{603DB7AD-B0EE-424C-9240-DE38DA9A499E}"/>
    <cellStyle name="Normal 8 6 2 3 4 2 4" xfId="8430" xr:uid="{C12DD578-3E0B-41F8-97AE-4123D0101C6D}"/>
    <cellStyle name="Normal 8 6 2 3 4 3" xfId="1005" xr:uid="{00000000-0005-0000-0000-0000B20D0000}"/>
    <cellStyle name="Normal 8 6 2 3 4 3 2" xfId="2959" xr:uid="{00000000-0005-0000-0000-0000B30D0000}"/>
    <cellStyle name="Normal 8 6 2 3 4 3 2 2" xfId="6880" xr:uid="{763FBA86-D1D1-409F-B8DA-463EA30F8945}"/>
    <cellStyle name="Normal 8 6 2 3 4 3 2 2 2" xfId="14740" xr:uid="{CC9BF8A0-184F-4EC2-A4C7-81391C2CAFDA}"/>
    <cellStyle name="Normal 8 6 2 3 4 3 2 3" xfId="10820" xr:uid="{CEB327FF-210B-41F7-AF27-C4DF3B564D33}"/>
    <cellStyle name="Normal 8 6 2 3 4 3 3" xfId="4926" xr:uid="{A2130F23-0E06-46CA-91C7-5E38485CD758}"/>
    <cellStyle name="Normal 8 6 2 3 4 3 3 2" xfId="12786" xr:uid="{20E26226-EDAD-40D8-8FE3-996EA2140693}"/>
    <cellStyle name="Normal 8 6 2 3 4 3 4" xfId="8867" xr:uid="{15F41801-9990-4C81-91F6-CD672BC4E676}"/>
    <cellStyle name="Normal 8 6 2 3 4 4" xfId="1432" xr:uid="{00000000-0005-0000-0000-0000B40D0000}"/>
    <cellStyle name="Normal 8 6 2 3 4 4 2" xfId="3386" xr:uid="{00000000-0005-0000-0000-0000B50D0000}"/>
    <cellStyle name="Normal 8 6 2 3 4 4 2 2" xfId="7307" xr:uid="{B3F45BFF-7ECC-40C0-837C-ED0F989D4AD4}"/>
    <cellStyle name="Normal 8 6 2 3 4 4 2 2 2" xfId="15167" xr:uid="{69486208-3B57-4F81-A84D-48FEE5E8705E}"/>
    <cellStyle name="Normal 8 6 2 3 4 4 2 3" xfId="11247" xr:uid="{683A52C7-9155-46D4-B2DD-CFF361E34A62}"/>
    <cellStyle name="Normal 8 6 2 3 4 4 3" xfId="5353" xr:uid="{172025CD-D296-4094-A835-E11C3428C9F0}"/>
    <cellStyle name="Normal 8 6 2 3 4 4 3 2" xfId="13213" xr:uid="{0572B226-E4B9-47BE-9768-C63325E2D598}"/>
    <cellStyle name="Normal 8 6 2 3 4 4 4" xfId="9294" xr:uid="{1CF887A5-8B6B-4C0E-9D6D-8B09B5B900A0}"/>
    <cellStyle name="Normal 8 6 2 3 4 5" xfId="2085" xr:uid="{00000000-0005-0000-0000-0000B60D0000}"/>
    <cellStyle name="Normal 8 6 2 3 4 5 2" xfId="6006" xr:uid="{D3742074-410A-440B-A43C-C605B888EC7F}"/>
    <cellStyle name="Normal 8 6 2 3 4 5 2 2" xfId="13866" xr:uid="{9FFF16D9-FFAF-4C15-8D0F-BA4348A511D7}"/>
    <cellStyle name="Normal 8 6 2 3 4 5 3" xfId="9946" xr:uid="{4C6615EB-FDF7-46A2-85E1-BD9884EB6977}"/>
    <cellStyle name="Normal 8 6 2 3 4 6" xfId="4052" xr:uid="{2605400D-04D7-4285-8C2D-9B9AA39F3195}"/>
    <cellStyle name="Normal 8 6 2 3 4 6 2" xfId="11912" xr:uid="{6C5C519D-B1BC-4530-A91A-0E442E232AAC}"/>
    <cellStyle name="Normal 8 6 2 3 4 7" xfId="7990" xr:uid="{6FBCB2D2-8FBA-408B-9F7F-F3088A043E77}"/>
    <cellStyle name="Normal 8 6 2 3 5" xfId="293" xr:uid="{00000000-0005-0000-0000-0000B70D0000}"/>
    <cellStyle name="Normal 8 6 2 3 5 2" xfId="745" xr:uid="{00000000-0005-0000-0000-0000B80D0000}"/>
    <cellStyle name="Normal 8 6 2 3 5 2 2" xfId="2699" xr:uid="{00000000-0005-0000-0000-0000B90D0000}"/>
    <cellStyle name="Normal 8 6 2 3 5 2 2 2" xfId="6620" xr:uid="{C9425E85-191D-49D6-9D35-868C6435431A}"/>
    <cellStyle name="Normal 8 6 2 3 5 2 2 2 2" xfId="14480" xr:uid="{B0125DB2-A6CE-4656-9E53-905D997F2446}"/>
    <cellStyle name="Normal 8 6 2 3 5 2 2 3" xfId="10560" xr:uid="{88AFD918-626D-4DFF-9F6C-DEEBB72B865A}"/>
    <cellStyle name="Normal 8 6 2 3 5 2 3" xfId="4666" xr:uid="{A5B6D68B-C443-4845-B558-0236D5C21CCA}"/>
    <cellStyle name="Normal 8 6 2 3 5 2 3 2" xfId="12526" xr:uid="{DE550C94-A98D-4443-BE73-8FA170CBA70F}"/>
    <cellStyle name="Normal 8 6 2 3 5 2 4" xfId="8607" xr:uid="{8CAFA2C5-8CCC-473B-92B8-B090318BE68B}"/>
    <cellStyle name="Normal 8 6 2 3 5 3" xfId="1181" xr:uid="{00000000-0005-0000-0000-0000BA0D0000}"/>
    <cellStyle name="Normal 8 6 2 3 5 3 2" xfId="3135" xr:uid="{00000000-0005-0000-0000-0000BB0D0000}"/>
    <cellStyle name="Normal 8 6 2 3 5 3 2 2" xfId="7056" xr:uid="{73201A0F-1720-4F20-82A2-B37D90063094}"/>
    <cellStyle name="Normal 8 6 2 3 5 3 2 2 2" xfId="14916" xr:uid="{71FB1CE3-6A5E-448A-AB96-4BA6DF5E71E1}"/>
    <cellStyle name="Normal 8 6 2 3 5 3 2 3" xfId="10996" xr:uid="{A183489E-AAFC-43B9-82FF-2BE46D41B005}"/>
    <cellStyle name="Normal 8 6 2 3 5 3 3" xfId="5102" xr:uid="{C6E0E368-AF8B-4045-B950-18A60D2A528C}"/>
    <cellStyle name="Normal 8 6 2 3 5 3 3 2" xfId="12962" xr:uid="{353160D9-4C06-484E-9606-E13A168D32E5}"/>
    <cellStyle name="Normal 8 6 2 3 5 3 4" xfId="9043" xr:uid="{39853849-4D64-4F1E-8698-1950D947B687}"/>
    <cellStyle name="Normal 8 6 2 3 5 4" xfId="1601" xr:uid="{00000000-0005-0000-0000-0000BC0D0000}"/>
    <cellStyle name="Normal 8 6 2 3 5 4 2" xfId="3555" xr:uid="{00000000-0005-0000-0000-0000BD0D0000}"/>
    <cellStyle name="Normal 8 6 2 3 5 4 2 2" xfId="7476" xr:uid="{5B803118-C777-4FB2-8BEB-644AF16ECD86}"/>
    <cellStyle name="Normal 8 6 2 3 5 4 2 2 2" xfId="15336" xr:uid="{9C2776C0-9C11-40BD-A014-C0244B82A301}"/>
    <cellStyle name="Normal 8 6 2 3 5 4 2 3" xfId="11416" xr:uid="{C3957B78-ECDB-4C36-8B15-52897F24CA00}"/>
    <cellStyle name="Normal 8 6 2 3 5 4 3" xfId="5522" xr:uid="{294DCE27-4B43-4B59-A804-039C1655797D}"/>
    <cellStyle name="Normal 8 6 2 3 5 4 3 2" xfId="13382" xr:uid="{BCA4BDC8-DAB2-4769-800E-FF6F8FE9FDE7}"/>
    <cellStyle name="Normal 8 6 2 3 5 4 4" xfId="9463" xr:uid="{AF09B220-F541-43C8-B82A-DA8FF0B32838}"/>
    <cellStyle name="Normal 8 6 2 3 5 5" xfId="2255" xr:uid="{00000000-0005-0000-0000-0000BE0D0000}"/>
    <cellStyle name="Normal 8 6 2 3 5 5 2" xfId="6176" xr:uid="{B7468CC7-9242-4E91-8AF9-28902C21FB96}"/>
    <cellStyle name="Normal 8 6 2 3 5 5 2 2" xfId="14036" xr:uid="{59AC8F28-57F9-4E57-A686-D35D2A3F9172}"/>
    <cellStyle name="Normal 8 6 2 3 5 5 3" xfId="10116" xr:uid="{159E9A71-B5E7-4E8E-9617-9DC448453CD8}"/>
    <cellStyle name="Normal 8 6 2 3 5 6" xfId="4222" xr:uid="{1C5D4A05-0289-434C-A4D6-C761866C7984}"/>
    <cellStyle name="Normal 8 6 2 3 5 6 2" xfId="12082" xr:uid="{ACF2E95F-B95E-4757-AA75-B05B490605F7}"/>
    <cellStyle name="Normal 8 6 2 3 5 7" xfId="8161" xr:uid="{B6B5D7AE-7C0E-449B-A849-10536D9AF547}"/>
    <cellStyle name="Normal 8 6 2 3 6" xfId="392" xr:uid="{00000000-0005-0000-0000-0000BF0D0000}"/>
    <cellStyle name="Normal 8 6 2 3 6 2" xfId="843" xr:uid="{00000000-0005-0000-0000-0000C00D0000}"/>
    <cellStyle name="Normal 8 6 2 3 6 2 2" xfId="2797" xr:uid="{00000000-0005-0000-0000-0000C10D0000}"/>
    <cellStyle name="Normal 8 6 2 3 6 2 2 2" xfId="6718" xr:uid="{5AFD4D5D-DEDF-4B0F-926B-A99B1769E92E}"/>
    <cellStyle name="Normal 8 6 2 3 6 2 2 2 2" xfId="14578" xr:uid="{DFD53EA4-876B-4EC4-AF2E-91311A24C4EA}"/>
    <cellStyle name="Normal 8 6 2 3 6 2 2 3" xfId="10658" xr:uid="{E2C4AE05-23A6-4CA4-BC68-C3AA2BBEE892}"/>
    <cellStyle name="Normal 8 6 2 3 6 2 3" xfId="4764" xr:uid="{ABAE3C54-FF9D-436A-8F5E-B66C47B064C0}"/>
    <cellStyle name="Normal 8 6 2 3 6 2 3 2" xfId="12624" xr:uid="{395708F6-05BF-4404-BDD6-30B76FA96F01}"/>
    <cellStyle name="Normal 8 6 2 3 6 2 4" xfId="8705" xr:uid="{AD7E9867-DCE2-40D7-80B1-E0CDF4BE9B8B}"/>
    <cellStyle name="Normal 8 6 2 3 6 3" xfId="1275" xr:uid="{00000000-0005-0000-0000-0000C20D0000}"/>
    <cellStyle name="Normal 8 6 2 3 6 3 2" xfId="3229" xr:uid="{00000000-0005-0000-0000-0000C30D0000}"/>
    <cellStyle name="Normal 8 6 2 3 6 3 2 2" xfId="7150" xr:uid="{AB13BACE-574B-4DA0-AC11-3170B5E026C7}"/>
    <cellStyle name="Normal 8 6 2 3 6 3 2 2 2" xfId="15010" xr:uid="{0460F794-A802-4E5C-AB5C-1FFB3B54E57C}"/>
    <cellStyle name="Normal 8 6 2 3 6 3 2 3" xfId="11090" xr:uid="{D8E83205-4DA4-4018-9184-856C8D81D104}"/>
    <cellStyle name="Normal 8 6 2 3 6 3 3" xfId="5196" xr:uid="{020068EB-1736-49DE-9D62-FFF02815434B}"/>
    <cellStyle name="Normal 8 6 2 3 6 3 3 2" xfId="13056" xr:uid="{4F6FB890-2738-482D-85FA-BF8EF995F5F1}"/>
    <cellStyle name="Normal 8 6 2 3 6 3 4" xfId="9137" xr:uid="{8827B9B5-E04F-46DD-834D-8B46A0E92F76}"/>
    <cellStyle name="Normal 8 6 2 3 6 4" xfId="1693" xr:uid="{00000000-0005-0000-0000-0000C40D0000}"/>
    <cellStyle name="Normal 8 6 2 3 6 4 2" xfId="3647" xr:uid="{00000000-0005-0000-0000-0000C50D0000}"/>
    <cellStyle name="Normal 8 6 2 3 6 4 2 2" xfId="7568" xr:uid="{87BAC4CD-7FD7-4D67-8E92-EC848AA95B6D}"/>
    <cellStyle name="Normal 8 6 2 3 6 4 2 2 2" xfId="15428" xr:uid="{6FB8D223-8063-4631-8E93-080A21520470}"/>
    <cellStyle name="Normal 8 6 2 3 6 4 2 3" xfId="11508" xr:uid="{DA5DEC10-3407-4052-835D-082776DA4193}"/>
    <cellStyle name="Normal 8 6 2 3 6 4 3" xfId="5614" xr:uid="{2E669FDC-1FDC-4C41-9DFD-475368FE50CC}"/>
    <cellStyle name="Normal 8 6 2 3 6 4 3 2" xfId="13474" xr:uid="{1C413F1C-8B3A-4096-B76C-49E525E1E2F6}"/>
    <cellStyle name="Normal 8 6 2 3 6 4 4" xfId="9555" xr:uid="{1B720BAA-D93D-478B-8767-BBD946689E2A}"/>
    <cellStyle name="Normal 8 6 2 3 6 5" xfId="2347" xr:uid="{00000000-0005-0000-0000-0000C60D0000}"/>
    <cellStyle name="Normal 8 6 2 3 6 5 2" xfId="6268" xr:uid="{C3D1647A-DB5C-4CEA-9BA6-3B5BF5F9AFF6}"/>
    <cellStyle name="Normal 8 6 2 3 6 5 2 2" xfId="14128" xr:uid="{DE4A79AF-7DBD-43B2-BD61-7A51FEC4B34A}"/>
    <cellStyle name="Normal 8 6 2 3 6 5 3" xfId="10208" xr:uid="{6B6826E0-82F6-4C6E-B212-03189F3C5995}"/>
    <cellStyle name="Normal 8 6 2 3 6 6" xfId="4314" xr:uid="{DA79A414-7542-4EDD-BD98-7F76B0F11BD4}"/>
    <cellStyle name="Normal 8 6 2 3 6 6 2" xfId="12174" xr:uid="{8665AB5D-9A31-4379-9298-619C0EFE7E97}"/>
    <cellStyle name="Normal 8 6 2 3 6 7" xfId="8255" xr:uid="{0FD38993-C27A-40DD-A736-5F4BCE63C077}"/>
    <cellStyle name="Normal 8 6 2 3 7" xfId="490" xr:uid="{00000000-0005-0000-0000-0000C70D0000}"/>
    <cellStyle name="Normal 8 6 2 3 7 2" xfId="2444" xr:uid="{00000000-0005-0000-0000-0000C80D0000}"/>
    <cellStyle name="Normal 8 6 2 3 7 2 2" xfId="6365" xr:uid="{401BDFB5-483F-4296-B317-CEAE581A0135}"/>
    <cellStyle name="Normal 8 6 2 3 7 2 2 2" xfId="14225" xr:uid="{A8487E8F-3789-43E3-A6D4-36F974D48CF6}"/>
    <cellStyle name="Normal 8 6 2 3 7 2 3" xfId="10305" xr:uid="{C24C36FA-3227-4A08-8FF5-88E8914FDEFE}"/>
    <cellStyle name="Normal 8 6 2 3 7 3" xfId="4411" xr:uid="{127675F3-57D9-49D5-B815-A7941D46609D}"/>
    <cellStyle name="Normal 8 6 2 3 7 3 2" xfId="12271" xr:uid="{13014312-FACD-44BD-9C62-4D3EA5E8B7AE}"/>
    <cellStyle name="Normal 8 6 2 3 7 4" xfId="8352" xr:uid="{07FF515B-CFDE-47A2-841C-8EEE6E11E33E}"/>
    <cellStyle name="Normal 8 6 2 3 8" xfId="926" xr:uid="{00000000-0005-0000-0000-0000C90D0000}"/>
    <cellStyle name="Normal 8 6 2 3 8 2" xfId="2880" xr:uid="{00000000-0005-0000-0000-0000CA0D0000}"/>
    <cellStyle name="Normal 8 6 2 3 8 2 2" xfId="6801" xr:uid="{2359D4AF-9A97-4581-AB5E-A317B5AE1A98}"/>
    <cellStyle name="Normal 8 6 2 3 8 2 2 2" xfId="14661" xr:uid="{2CBCC8D9-086C-4F72-AC55-5BB3D217D3B5}"/>
    <cellStyle name="Normal 8 6 2 3 8 2 3" xfId="10741" xr:uid="{CF87AAE7-4098-442B-BCE8-E906629C7BE0}"/>
    <cellStyle name="Normal 8 6 2 3 8 3" xfId="4847" xr:uid="{13094329-00E7-4D17-B75E-45BE63722A61}"/>
    <cellStyle name="Normal 8 6 2 3 8 3 2" xfId="12707" xr:uid="{5612D32C-EBFE-4F4B-8A7E-8368670EB169}"/>
    <cellStyle name="Normal 8 6 2 3 8 4" xfId="8788" xr:uid="{001AEA47-F4CF-4172-9AFB-81E783A01C32}"/>
    <cellStyle name="Normal 8 6 2 3 9" xfId="1354" xr:uid="{00000000-0005-0000-0000-0000CB0D0000}"/>
    <cellStyle name="Normal 8 6 2 3 9 2" xfId="3308" xr:uid="{00000000-0005-0000-0000-0000CC0D0000}"/>
    <cellStyle name="Normal 8 6 2 3 9 2 2" xfId="7229" xr:uid="{ECF1DB80-ED9E-45C8-AC99-597FC4EA6B92}"/>
    <cellStyle name="Normal 8 6 2 3 9 2 2 2" xfId="15089" xr:uid="{BFB03626-1412-4FB6-A01D-79451701D271}"/>
    <cellStyle name="Normal 8 6 2 3 9 2 3" xfId="11169" xr:uid="{582A2DC7-7ED3-429F-B9F8-F9CCB52CBCF9}"/>
    <cellStyle name="Normal 8 6 2 3 9 3" xfId="5275" xr:uid="{2087C1F7-CD6F-49B7-8F45-37F495F0D9A5}"/>
    <cellStyle name="Normal 8 6 2 3 9 3 2" xfId="13135" xr:uid="{0B0527F0-4937-47D1-BAE1-5DB1CB945721}"/>
    <cellStyle name="Normal 8 6 2 3 9 4" xfId="9216" xr:uid="{5E4ACE0C-B139-424C-9E1C-FE5286C9D8F4}"/>
    <cellStyle name="Normal 8 6 2 4" xfId="55" xr:uid="{00000000-0005-0000-0000-0000CD0D0000}"/>
    <cellStyle name="Normal 8 6 2 4 10" xfId="3991" xr:uid="{65C7A05B-C7A8-4EF9-8D56-723A38A47F26}"/>
    <cellStyle name="Normal 8 6 2 4 10 2" xfId="11851" xr:uid="{F4732E9E-5E07-4305-B707-542AB05B9106}"/>
    <cellStyle name="Normal 8 6 2 4 11" xfId="7929" xr:uid="{A9CDB926-EBC9-4C23-9CFB-8776E7408D38}"/>
    <cellStyle name="Normal 8 6 2 4 2" xfId="211" xr:uid="{00000000-0005-0000-0000-0000CE0D0000}"/>
    <cellStyle name="Normal 8 6 2 4 2 2" xfId="663" xr:uid="{00000000-0005-0000-0000-0000CF0D0000}"/>
    <cellStyle name="Normal 8 6 2 4 2 2 2" xfId="2617" xr:uid="{00000000-0005-0000-0000-0000D00D0000}"/>
    <cellStyle name="Normal 8 6 2 4 2 2 2 2" xfId="6538" xr:uid="{D1237029-2CC6-437F-9429-D170F6F6C567}"/>
    <cellStyle name="Normal 8 6 2 4 2 2 2 2 2" xfId="14398" xr:uid="{319BED68-851F-47B4-BA8C-F6BF08F5A526}"/>
    <cellStyle name="Normal 8 6 2 4 2 2 2 3" xfId="10478" xr:uid="{B4E2FBD1-106E-42C7-8BC5-F751697EA209}"/>
    <cellStyle name="Normal 8 6 2 4 2 2 3" xfId="4584" xr:uid="{34E88A58-74DE-4DFE-91C6-572DA7BDD605}"/>
    <cellStyle name="Normal 8 6 2 4 2 2 3 2" xfId="12444" xr:uid="{32C5EF51-6461-40B4-9B97-59EE7D43A557}"/>
    <cellStyle name="Normal 8 6 2 4 2 2 4" xfId="8525" xr:uid="{299BD8A0-760E-456A-AF4B-C1CAEFE4606E}"/>
    <cellStyle name="Normal 8 6 2 4 2 3" xfId="1100" xr:uid="{00000000-0005-0000-0000-0000D10D0000}"/>
    <cellStyle name="Normal 8 6 2 4 2 3 2" xfId="3054" xr:uid="{00000000-0005-0000-0000-0000D20D0000}"/>
    <cellStyle name="Normal 8 6 2 4 2 3 2 2" xfId="6975" xr:uid="{67F9D4FF-2920-4095-A746-3CDDFEFC6DCD}"/>
    <cellStyle name="Normal 8 6 2 4 2 3 2 2 2" xfId="14835" xr:uid="{87CA8F78-BB90-4220-A61C-0A47F3DDCFAF}"/>
    <cellStyle name="Normal 8 6 2 4 2 3 2 3" xfId="10915" xr:uid="{81F10256-378B-435A-AAF7-944C1CE3DFCC}"/>
    <cellStyle name="Normal 8 6 2 4 2 3 3" xfId="5021" xr:uid="{6D103D83-4DE3-4E8C-B9C9-838CE8A83EA7}"/>
    <cellStyle name="Normal 8 6 2 4 2 3 3 2" xfId="12881" xr:uid="{28FDBE76-DE79-4AB9-95BD-513A72F29940}"/>
    <cellStyle name="Normal 8 6 2 4 2 3 4" xfId="8962" xr:uid="{833F0008-A69F-4836-BE32-A5E2F6A6CC4A}"/>
    <cellStyle name="Normal 8 6 2 4 2 4" xfId="1527" xr:uid="{00000000-0005-0000-0000-0000D30D0000}"/>
    <cellStyle name="Normal 8 6 2 4 2 4 2" xfId="3481" xr:uid="{00000000-0005-0000-0000-0000D40D0000}"/>
    <cellStyle name="Normal 8 6 2 4 2 4 2 2" xfId="7402" xr:uid="{DE862A99-D989-407F-892A-08F465F64E15}"/>
    <cellStyle name="Normal 8 6 2 4 2 4 2 2 2" xfId="15262" xr:uid="{B4B58D92-34A7-4E1C-BDA7-EDF2841202F2}"/>
    <cellStyle name="Normal 8 6 2 4 2 4 2 3" xfId="11342" xr:uid="{8BC21F20-5269-4107-9B8E-7AC397FB07C0}"/>
    <cellStyle name="Normal 8 6 2 4 2 4 3" xfId="5448" xr:uid="{935F03D9-D125-4D00-86EA-46B52E4ABFB1}"/>
    <cellStyle name="Normal 8 6 2 4 2 4 3 2" xfId="13308" xr:uid="{B1170B78-A785-41A1-ABE0-E19884DBE9E3}"/>
    <cellStyle name="Normal 8 6 2 4 2 4 4" xfId="9389" xr:uid="{ACF4362D-81D0-47DB-9EE4-DB186901D916}"/>
    <cellStyle name="Normal 8 6 2 4 2 5" xfId="2180" xr:uid="{00000000-0005-0000-0000-0000D50D0000}"/>
    <cellStyle name="Normal 8 6 2 4 2 5 2" xfId="6101" xr:uid="{99A0300A-E87A-448C-B90A-1ACB450A0610}"/>
    <cellStyle name="Normal 8 6 2 4 2 5 2 2" xfId="13961" xr:uid="{66E814E1-37DB-47FC-BDFD-09E888B2E8A9}"/>
    <cellStyle name="Normal 8 6 2 4 2 5 3" xfId="10041" xr:uid="{671915CA-495E-4CF1-A0D8-59D64ECCFDFA}"/>
    <cellStyle name="Normal 8 6 2 4 2 6" xfId="4147" xr:uid="{8F8E86E5-710F-4895-A4FC-B488775F6C76}"/>
    <cellStyle name="Normal 8 6 2 4 2 6 2" xfId="12007" xr:uid="{0405A25B-F5B0-4010-882E-42CADA75D647}"/>
    <cellStyle name="Normal 8 6 2 4 2 7" xfId="8085" xr:uid="{76D0BDBC-20CC-4873-9E30-5C14AF7A4216}"/>
    <cellStyle name="Normal 8 6 2 4 3" xfId="133" xr:uid="{00000000-0005-0000-0000-0000D60D0000}"/>
    <cellStyle name="Normal 8 6 2 4 3 2" xfId="585" xr:uid="{00000000-0005-0000-0000-0000D70D0000}"/>
    <cellStyle name="Normal 8 6 2 4 3 2 2" xfId="2539" xr:uid="{00000000-0005-0000-0000-0000D80D0000}"/>
    <cellStyle name="Normal 8 6 2 4 3 2 2 2" xfId="6460" xr:uid="{BD1556AF-6887-4D06-97CB-519AE2BB3579}"/>
    <cellStyle name="Normal 8 6 2 4 3 2 2 2 2" xfId="14320" xr:uid="{52DB2716-9249-4AA6-BC49-D769797BA7FD}"/>
    <cellStyle name="Normal 8 6 2 4 3 2 2 3" xfId="10400" xr:uid="{4EFE4320-A2BF-4BCA-BB60-D03627CC4286}"/>
    <cellStyle name="Normal 8 6 2 4 3 2 3" xfId="4506" xr:uid="{23FA3815-28A7-4090-A8A2-197E1F246FA0}"/>
    <cellStyle name="Normal 8 6 2 4 3 2 3 2" xfId="12366" xr:uid="{549C4C44-D354-446C-8998-3613DB3E72AB}"/>
    <cellStyle name="Normal 8 6 2 4 3 2 4" xfId="8447" xr:uid="{4347A57F-8F34-4D91-8931-685C295EFA55}"/>
    <cellStyle name="Normal 8 6 2 4 3 3" xfId="1022" xr:uid="{00000000-0005-0000-0000-0000D90D0000}"/>
    <cellStyle name="Normal 8 6 2 4 3 3 2" xfId="2976" xr:uid="{00000000-0005-0000-0000-0000DA0D0000}"/>
    <cellStyle name="Normal 8 6 2 4 3 3 2 2" xfId="6897" xr:uid="{DD6756CB-4F9D-471B-8F21-F1655954AE61}"/>
    <cellStyle name="Normal 8 6 2 4 3 3 2 2 2" xfId="14757" xr:uid="{D558BEEC-2DB8-462E-BD8F-6EC7D61DA950}"/>
    <cellStyle name="Normal 8 6 2 4 3 3 2 3" xfId="10837" xr:uid="{20F72B09-14A7-44E3-B9FE-214E528F2773}"/>
    <cellStyle name="Normal 8 6 2 4 3 3 3" xfId="4943" xr:uid="{8C145426-625A-4A09-8628-B33C2D2EE0E6}"/>
    <cellStyle name="Normal 8 6 2 4 3 3 3 2" xfId="12803" xr:uid="{051CFB18-D85D-440D-B03E-469F09471AEE}"/>
    <cellStyle name="Normal 8 6 2 4 3 3 4" xfId="8884" xr:uid="{2D93E649-060C-4EC6-B698-5108B73C465C}"/>
    <cellStyle name="Normal 8 6 2 4 3 4" xfId="1449" xr:uid="{00000000-0005-0000-0000-0000DB0D0000}"/>
    <cellStyle name="Normal 8 6 2 4 3 4 2" xfId="3403" xr:uid="{00000000-0005-0000-0000-0000DC0D0000}"/>
    <cellStyle name="Normal 8 6 2 4 3 4 2 2" xfId="7324" xr:uid="{561201DD-0255-4109-A091-CF63E4415606}"/>
    <cellStyle name="Normal 8 6 2 4 3 4 2 2 2" xfId="15184" xr:uid="{808B3B58-EE5A-49A6-AA1D-8FC8A8297EE4}"/>
    <cellStyle name="Normal 8 6 2 4 3 4 2 3" xfId="11264" xr:uid="{7E7F6EA6-983D-46DB-8CE6-1A2BFE1AC2A6}"/>
    <cellStyle name="Normal 8 6 2 4 3 4 3" xfId="5370" xr:uid="{A737D745-1FAD-4DA1-AEE6-940FCD470233}"/>
    <cellStyle name="Normal 8 6 2 4 3 4 3 2" xfId="13230" xr:uid="{50FB5E3C-B70A-4E34-B5F5-666AF92BE491}"/>
    <cellStyle name="Normal 8 6 2 4 3 4 4" xfId="9311" xr:uid="{C8972950-1836-473A-9E12-C37D9C97114B}"/>
    <cellStyle name="Normal 8 6 2 4 3 5" xfId="2102" xr:uid="{00000000-0005-0000-0000-0000DD0D0000}"/>
    <cellStyle name="Normal 8 6 2 4 3 5 2" xfId="6023" xr:uid="{B9CE88E9-2AEB-4781-BC7E-96FDEFDBD300}"/>
    <cellStyle name="Normal 8 6 2 4 3 5 2 2" xfId="13883" xr:uid="{610ECA1F-CE0D-4EFC-BB57-479B7D3165E9}"/>
    <cellStyle name="Normal 8 6 2 4 3 5 3" xfId="9963" xr:uid="{449D5F86-9596-4D87-AB9C-11E2A184C584}"/>
    <cellStyle name="Normal 8 6 2 4 3 6" xfId="4069" xr:uid="{9FE40A16-A8A4-4B96-B6EF-C724C36D3928}"/>
    <cellStyle name="Normal 8 6 2 4 3 6 2" xfId="11929" xr:uid="{AC36F1EB-E224-42B3-9C83-C79A3209444E}"/>
    <cellStyle name="Normal 8 6 2 4 3 7" xfId="8007" xr:uid="{D6C45C5E-4D80-41C4-9CC0-0355E788616B}"/>
    <cellStyle name="Normal 8 6 2 4 4" xfId="317" xr:uid="{00000000-0005-0000-0000-0000DE0D0000}"/>
    <cellStyle name="Normal 8 6 2 4 4 2" xfId="769" xr:uid="{00000000-0005-0000-0000-0000DF0D0000}"/>
    <cellStyle name="Normal 8 6 2 4 4 2 2" xfId="2723" xr:uid="{00000000-0005-0000-0000-0000E00D0000}"/>
    <cellStyle name="Normal 8 6 2 4 4 2 2 2" xfId="6644" xr:uid="{489FC598-7F3C-4EAF-B640-27BD121FEBD8}"/>
    <cellStyle name="Normal 8 6 2 4 4 2 2 2 2" xfId="14504" xr:uid="{592C4A42-5C64-472D-BCA4-B5568EFB7069}"/>
    <cellStyle name="Normal 8 6 2 4 4 2 2 3" xfId="10584" xr:uid="{55434A33-0EA7-4C36-ACEB-7C951DDCC0C3}"/>
    <cellStyle name="Normal 8 6 2 4 4 2 3" xfId="4690" xr:uid="{7936AAF5-8D9E-4B65-94B6-5B0FB8EA56F2}"/>
    <cellStyle name="Normal 8 6 2 4 4 2 3 2" xfId="12550" xr:uid="{6A7717E8-A989-4EAF-B32C-3B4E3263F8ED}"/>
    <cellStyle name="Normal 8 6 2 4 4 2 4" xfId="8631" xr:uid="{6143E8C9-5B6D-4B9A-84F4-2FAF209E4855}"/>
    <cellStyle name="Normal 8 6 2 4 4 3" xfId="1204" xr:uid="{00000000-0005-0000-0000-0000E10D0000}"/>
    <cellStyle name="Normal 8 6 2 4 4 3 2" xfId="3158" xr:uid="{00000000-0005-0000-0000-0000E20D0000}"/>
    <cellStyle name="Normal 8 6 2 4 4 3 2 2" xfId="7079" xr:uid="{1352A7E9-FB68-42E3-91AE-BFFCBF5782A1}"/>
    <cellStyle name="Normal 8 6 2 4 4 3 2 2 2" xfId="14939" xr:uid="{EED1AAC0-C1D8-4CEC-AF66-F1A35B15C0D1}"/>
    <cellStyle name="Normal 8 6 2 4 4 3 2 3" xfId="11019" xr:uid="{427841A1-601C-4AE6-876C-314E9EA2B1DF}"/>
    <cellStyle name="Normal 8 6 2 4 4 3 3" xfId="5125" xr:uid="{B2081BC2-D18C-4876-A9D6-72761A666143}"/>
    <cellStyle name="Normal 8 6 2 4 4 3 3 2" xfId="12985" xr:uid="{70C91AE3-7A6B-4629-9FDB-E3E5865E6506}"/>
    <cellStyle name="Normal 8 6 2 4 4 3 4" xfId="9066" xr:uid="{B1C068E3-7B03-4426-A600-090B30207DA7}"/>
    <cellStyle name="Normal 8 6 2 4 4 4" xfId="1624" xr:uid="{00000000-0005-0000-0000-0000E30D0000}"/>
    <cellStyle name="Normal 8 6 2 4 4 4 2" xfId="3578" xr:uid="{00000000-0005-0000-0000-0000E40D0000}"/>
    <cellStyle name="Normal 8 6 2 4 4 4 2 2" xfId="7499" xr:uid="{21450CBE-2DBF-47E6-9277-035639E2CE3B}"/>
    <cellStyle name="Normal 8 6 2 4 4 4 2 2 2" xfId="15359" xr:uid="{CB0CBCD5-4A0D-4215-A3C6-C1E3B1ABFDA7}"/>
    <cellStyle name="Normal 8 6 2 4 4 4 2 3" xfId="11439" xr:uid="{A1E14C99-0B4F-4640-BADE-52665B6183C2}"/>
    <cellStyle name="Normal 8 6 2 4 4 4 3" xfId="5545" xr:uid="{25B7FEA1-C80C-4844-9BF4-E38F95938B6E}"/>
    <cellStyle name="Normal 8 6 2 4 4 4 3 2" xfId="13405" xr:uid="{0CA4E97E-4119-4BA5-BAF2-A18A9C7F2C2B}"/>
    <cellStyle name="Normal 8 6 2 4 4 4 4" xfId="9486" xr:uid="{1A9417F8-A257-45C5-969B-80483046D270}"/>
    <cellStyle name="Normal 8 6 2 4 4 5" xfId="2278" xr:uid="{00000000-0005-0000-0000-0000E50D0000}"/>
    <cellStyle name="Normal 8 6 2 4 4 5 2" xfId="6199" xr:uid="{BDF1A25B-3499-4375-939B-3E474C30B8F8}"/>
    <cellStyle name="Normal 8 6 2 4 4 5 2 2" xfId="14059" xr:uid="{D5F81CB0-D029-4D58-A7C8-F9C68D3C8EE6}"/>
    <cellStyle name="Normal 8 6 2 4 4 5 3" xfId="10139" xr:uid="{9C025097-8C2B-4265-B70B-79801AC7FE90}"/>
    <cellStyle name="Normal 8 6 2 4 4 6" xfId="4245" xr:uid="{ABA42B14-41C1-4AE9-A11F-6AEB363653A6}"/>
    <cellStyle name="Normal 8 6 2 4 4 6 2" xfId="12105" xr:uid="{4DD82C77-5488-4510-B8F1-506770389B46}"/>
    <cellStyle name="Normal 8 6 2 4 4 7" xfId="8184" xr:uid="{23EB5082-9564-4301-A7E9-D3F2598E7752}"/>
    <cellStyle name="Normal 8 6 2 4 5" xfId="415" xr:uid="{00000000-0005-0000-0000-0000E60D0000}"/>
    <cellStyle name="Normal 8 6 2 4 5 2" xfId="866" xr:uid="{00000000-0005-0000-0000-0000E70D0000}"/>
    <cellStyle name="Normal 8 6 2 4 5 2 2" xfId="2820" xr:uid="{00000000-0005-0000-0000-0000E80D0000}"/>
    <cellStyle name="Normal 8 6 2 4 5 2 2 2" xfId="6741" xr:uid="{542253EA-AB5F-4E51-9D3D-84A7DE03EAF7}"/>
    <cellStyle name="Normal 8 6 2 4 5 2 2 2 2" xfId="14601" xr:uid="{6452428E-9B72-48EF-878F-899AC2687209}"/>
    <cellStyle name="Normal 8 6 2 4 5 2 2 3" xfId="10681" xr:uid="{4FF78016-0BA9-4EB6-A952-66D0A9602515}"/>
    <cellStyle name="Normal 8 6 2 4 5 2 3" xfId="4787" xr:uid="{C3D3ED7F-472F-400D-9F2F-6DC2FB0D5729}"/>
    <cellStyle name="Normal 8 6 2 4 5 2 3 2" xfId="12647" xr:uid="{E883ECDA-CDDB-4C07-808C-D5716B5B7400}"/>
    <cellStyle name="Normal 8 6 2 4 5 2 4" xfId="8728" xr:uid="{834C8278-7BB3-4105-8D7C-F900AAF547B0}"/>
    <cellStyle name="Normal 8 6 2 4 5 3" xfId="1298" xr:uid="{00000000-0005-0000-0000-0000E90D0000}"/>
    <cellStyle name="Normal 8 6 2 4 5 3 2" xfId="3252" xr:uid="{00000000-0005-0000-0000-0000EA0D0000}"/>
    <cellStyle name="Normal 8 6 2 4 5 3 2 2" xfId="7173" xr:uid="{D4D400DC-F755-4409-87E6-E0E58910D0D8}"/>
    <cellStyle name="Normal 8 6 2 4 5 3 2 2 2" xfId="15033" xr:uid="{D9587AA0-9D2D-4F29-AFDC-CC1212420507}"/>
    <cellStyle name="Normal 8 6 2 4 5 3 2 3" xfId="11113" xr:uid="{C79EB924-EA79-49F9-B4DC-35F0900B1C94}"/>
    <cellStyle name="Normal 8 6 2 4 5 3 3" xfId="5219" xr:uid="{5A90918D-D5FA-4D4F-A08F-E2D2EBA957A7}"/>
    <cellStyle name="Normal 8 6 2 4 5 3 3 2" xfId="13079" xr:uid="{83B71F38-CA44-4012-89FB-6A2C2D801133}"/>
    <cellStyle name="Normal 8 6 2 4 5 3 4" xfId="9160" xr:uid="{AE28BD45-85FC-4BF4-A995-0506729DBFC8}"/>
    <cellStyle name="Normal 8 6 2 4 5 4" xfId="1716" xr:uid="{00000000-0005-0000-0000-0000EB0D0000}"/>
    <cellStyle name="Normal 8 6 2 4 5 4 2" xfId="3670" xr:uid="{00000000-0005-0000-0000-0000EC0D0000}"/>
    <cellStyle name="Normal 8 6 2 4 5 4 2 2" xfId="7591" xr:uid="{8ACC3495-50FE-452C-AEE3-F80CD3BBE984}"/>
    <cellStyle name="Normal 8 6 2 4 5 4 2 2 2" xfId="15451" xr:uid="{DE7D6485-FD38-4A5B-8BA1-33DD6A031ECE}"/>
    <cellStyle name="Normal 8 6 2 4 5 4 2 3" xfId="11531" xr:uid="{FA0DA02C-D3EB-474B-997F-4B0F6289FF26}"/>
    <cellStyle name="Normal 8 6 2 4 5 4 3" xfId="5637" xr:uid="{172A7C4F-CEB5-49F9-A362-4930E5BC8E53}"/>
    <cellStyle name="Normal 8 6 2 4 5 4 3 2" xfId="13497" xr:uid="{09C61FD5-7EF4-4306-ADE4-AD8BD84C5456}"/>
    <cellStyle name="Normal 8 6 2 4 5 4 4" xfId="9578" xr:uid="{A1A57C41-B740-4059-B701-888349F0F6D7}"/>
    <cellStyle name="Normal 8 6 2 4 5 5" xfId="2370" xr:uid="{00000000-0005-0000-0000-0000ED0D0000}"/>
    <cellStyle name="Normal 8 6 2 4 5 5 2" xfId="6291" xr:uid="{9C0D1FA9-E86C-4049-B079-1A69B16F4845}"/>
    <cellStyle name="Normal 8 6 2 4 5 5 2 2" xfId="14151" xr:uid="{D9BA928A-2038-4528-8DF4-AEAAF4E95AF0}"/>
    <cellStyle name="Normal 8 6 2 4 5 5 3" xfId="10231" xr:uid="{1929C16D-C2B1-495D-8378-75AFA9191A16}"/>
    <cellStyle name="Normal 8 6 2 4 5 6" xfId="4337" xr:uid="{53349270-9767-4EAC-9373-6436EB7ABF07}"/>
    <cellStyle name="Normal 8 6 2 4 5 6 2" xfId="12197" xr:uid="{52F6D778-63FF-4F69-B81C-AEB33704C11E}"/>
    <cellStyle name="Normal 8 6 2 4 5 7" xfId="8278" xr:uid="{83102A0E-8054-45C2-9732-B8E9C14A29D0}"/>
    <cellStyle name="Normal 8 6 2 4 6" xfId="507" xr:uid="{00000000-0005-0000-0000-0000EE0D0000}"/>
    <cellStyle name="Normal 8 6 2 4 6 2" xfId="2461" xr:uid="{00000000-0005-0000-0000-0000EF0D0000}"/>
    <cellStyle name="Normal 8 6 2 4 6 2 2" xfId="6382" xr:uid="{1EB06112-ABEF-4120-A86D-65DB5D160039}"/>
    <cellStyle name="Normal 8 6 2 4 6 2 2 2" xfId="14242" xr:uid="{4D3BEFB4-87BE-4635-B21F-D6E1F5722589}"/>
    <cellStyle name="Normal 8 6 2 4 6 2 3" xfId="10322" xr:uid="{0940D1C0-9189-4625-AC13-34186B5E068F}"/>
    <cellStyle name="Normal 8 6 2 4 6 3" xfId="4428" xr:uid="{C2FF0FEE-665F-41F4-A048-23197A89B4E0}"/>
    <cellStyle name="Normal 8 6 2 4 6 3 2" xfId="12288" xr:uid="{421ED9FA-38CE-43AC-BF21-6F7ADA903BAA}"/>
    <cellStyle name="Normal 8 6 2 4 6 4" xfId="8369" xr:uid="{79F4550D-82E1-44C9-9C70-24FF9E646237}"/>
    <cellStyle name="Normal 8 6 2 4 7" xfId="944" xr:uid="{00000000-0005-0000-0000-0000F00D0000}"/>
    <cellStyle name="Normal 8 6 2 4 7 2" xfId="2898" xr:uid="{00000000-0005-0000-0000-0000F10D0000}"/>
    <cellStyle name="Normal 8 6 2 4 7 2 2" xfId="6819" xr:uid="{0467AA7F-C52F-4A24-AE1D-EE6870ED80E5}"/>
    <cellStyle name="Normal 8 6 2 4 7 2 2 2" xfId="14679" xr:uid="{331E9EDA-20BB-435C-8EF6-F5B87FF230E3}"/>
    <cellStyle name="Normal 8 6 2 4 7 2 3" xfId="10759" xr:uid="{49C93499-2496-4056-AA03-7EA827B50073}"/>
    <cellStyle name="Normal 8 6 2 4 7 3" xfId="4865" xr:uid="{566CDA97-FDE0-4EBE-9501-78435C0CD5C5}"/>
    <cellStyle name="Normal 8 6 2 4 7 3 2" xfId="12725" xr:uid="{08E9D397-2106-4CBA-88C8-7E7B71506507}"/>
    <cellStyle name="Normal 8 6 2 4 7 4" xfId="8806" xr:uid="{35CCF4BD-0CCC-4E22-9BD3-0D4BC75DDE80}"/>
    <cellStyle name="Normal 8 6 2 4 8" xfId="1371" xr:uid="{00000000-0005-0000-0000-0000F20D0000}"/>
    <cellStyle name="Normal 8 6 2 4 8 2" xfId="3325" xr:uid="{00000000-0005-0000-0000-0000F30D0000}"/>
    <cellStyle name="Normal 8 6 2 4 8 2 2" xfId="7246" xr:uid="{63BD2D45-475A-420B-95E2-63E04ADF0DF6}"/>
    <cellStyle name="Normal 8 6 2 4 8 2 2 2" xfId="15106" xr:uid="{13C4A754-D3E3-40D3-9E50-AF668C061A18}"/>
    <cellStyle name="Normal 8 6 2 4 8 2 3" xfId="11186" xr:uid="{DABEC9E1-CBB8-4939-9479-9D07B6AE2359}"/>
    <cellStyle name="Normal 8 6 2 4 8 3" xfId="5292" xr:uid="{1A8FA8B0-854D-4B54-8885-0E82E614B977}"/>
    <cellStyle name="Normal 8 6 2 4 8 3 2" xfId="13152" xr:uid="{113B0AEA-4EC5-44FC-A14F-E99E370D7B80}"/>
    <cellStyle name="Normal 8 6 2 4 8 4" xfId="9233" xr:uid="{61192F88-A5EE-4A16-9B98-79226242F221}"/>
    <cellStyle name="Normal 8 6 2 4 9" xfId="2024" xr:uid="{00000000-0005-0000-0000-0000F40D0000}"/>
    <cellStyle name="Normal 8 6 2 4 9 2" xfId="5945" xr:uid="{14689477-B577-4A1F-85C0-7D7010800FE5}"/>
    <cellStyle name="Normal 8 6 2 4 9 2 2" xfId="13805" xr:uid="{1FDDE331-2B1B-4C31-A5C7-31C384C6F7FD}"/>
    <cellStyle name="Normal 8 6 2 4 9 3" xfId="9885" xr:uid="{91ABCC06-1E2E-42C1-A71C-BB6BFE572595}"/>
    <cellStyle name="Normal 8 6 2 5" xfId="172" xr:uid="{00000000-0005-0000-0000-0000F50D0000}"/>
    <cellStyle name="Normal 8 6 2 5 2" xfId="624" xr:uid="{00000000-0005-0000-0000-0000F60D0000}"/>
    <cellStyle name="Normal 8 6 2 5 2 2" xfId="2578" xr:uid="{00000000-0005-0000-0000-0000F70D0000}"/>
    <cellStyle name="Normal 8 6 2 5 2 2 2" xfId="6499" xr:uid="{2FCE58A7-7261-4D0B-8956-8AFDF8AB039D}"/>
    <cellStyle name="Normal 8 6 2 5 2 2 2 2" xfId="14359" xr:uid="{EF915CF6-14BC-4794-A7F4-C7DA822EBE02}"/>
    <cellStyle name="Normal 8 6 2 5 2 2 3" xfId="10439" xr:uid="{C63B0A0B-9B68-45A7-8767-BF9F367D7428}"/>
    <cellStyle name="Normal 8 6 2 5 2 3" xfId="4545" xr:uid="{A2E68808-E9E4-42F3-9037-5CA97C230D87}"/>
    <cellStyle name="Normal 8 6 2 5 2 3 2" xfId="12405" xr:uid="{52E5BBBF-D919-4E8A-9081-7B62E5338D43}"/>
    <cellStyle name="Normal 8 6 2 5 2 4" xfId="8486" xr:uid="{AD4D4B0A-3D6D-47BC-9E58-742D84F326B0}"/>
    <cellStyle name="Normal 8 6 2 5 3" xfId="1061" xr:uid="{00000000-0005-0000-0000-0000F80D0000}"/>
    <cellStyle name="Normal 8 6 2 5 3 2" xfId="3015" xr:uid="{00000000-0005-0000-0000-0000F90D0000}"/>
    <cellStyle name="Normal 8 6 2 5 3 2 2" xfId="6936" xr:uid="{A1C7D94C-EB51-4B25-B9FF-9D59C2B6B972}"/>
    <cellStyle name="Normal 8 6 2 5 3 2 2 2" xfId="14796" xr:uid="{2B79EA33-BD63-4B5C-A98C-AE6CB45DC250}"/>
    <cellStyle name="Normal 8 6 2 5 3 2 3" xfId="10876" xr:uid="{02A1209E-B494-4742-8646-404CE29396A9}"/>
    <cellStyle name="Normal 8 6 2 5 3 3" xfId="4982" xr:uid="{DE9E7B31-5131-4CB8-ACF0-C4C3EF3965F7}"/>
    <cellStyle name="Normal 8 6 2 5 3 3 2" xfId="12842" xr:uid="{BB8CAB78-7304-4106-9A3B-6D5BA8A54FCA}"/>
    <cellStyle name="Normal 8 6 2 5 3 4" xfId="8923" xr:uid="{4E00DBED-4B89-4843-8014-A1E5B037BA22}"/>
    <cellStyle name="Normal 8 6 2 5 4" xfId="1488" xr:uid="{00000000-0005-0000-0000-0000FA0D0000}"/>
    <cellStyle name="Normal 8 6 2 5 4 2" xfId="3442" xr:uid="{00000000-0005-0000-0000-0000FB0D0000}"/>
    <cellStyle name="Normal 8 6 2 5 4 2 2" xfId="7363" xr:uid="{52A216F9-C97C-4C49-B329-EE53FBD25A6D}"/>
    <cellStyle name="Normal 8 6 2 5 4 2 2 2" xfId="15223" xr:uid="{839569D2-EF26-4434-A8BA-B810EF4AB92F}"/>
    <cellStyle name="Normal 8 6 2 5 4 2 3" xfId="11303" xr:uid="{A9EA1F61-7CA2-4F7A-860F-F61E44EEE857}"/>
    <cellStyle name="Normal 8 6 2 5 4 3" xfId="5409" xr:uid="{FF20E505-294A-4C7C-81DD-C38F91B5E98A}"/>
    <cellStyle name="Normal 8 6 2 5 4 3 2" xfId="13269" xr:uid="{3C54E5C5-F6D3-4010-9C3A-09AA10AF3434}"/>
    <cellStyle name="Normal 8 6 2 5 4 4" xfId="9350" xr:uid="{9E443003-BB5B-4285-B7CA-5BF3C9B58D4B}"/>
    <cellStyle name="Normal 8 6 2 5 5" xfId="2141" xr:uid="{00000000-0005-0000-0000-0000FC0D0000}"/>
    <cellStyle name="Normal 8 6 2 5 5 2" xfId="6062" xr:uid="{5980843D-41E0-4A2C-BAA8-704AD458FCC0}"/>
    <cellStyle name="Normal 8 6 2 5 5 2 2" xfId="13922" xr:uid="{DDD2C37F-B20F-4E4C-AD13-3D216C1042F4}"/>
    <cellStyle name="Normal 8 6 2 5 5 3" xfId="10002" xr:uid="{3FCF3659-C16D-4002-BFAF-D56FEE10A514}"/>
    <cellStyle name="Normal 8 6 2 5 6" xfId="4108" xr:uid="{1A7CBB74-F0FF-4886-B69E-B10D66FE8F39}"/>
    <cellStyle name="Normal 8 6 2 5 6 2" xfId="11968" xr:uid="{8A973D81-99F5-4638-87DA-AFA12EB3390C}"/>
    <cellStyle name="Normal 8 6 2 5 7" xfId="8046" xr:uid="{C95A8B27-CF5C-4966-93D8-C9F2D7F75E9C}"/>
    <cellStyle name="Normal 8 6 2 6" xfId="94" xr:uid="{00000000-0005-0000-0000-0000FD0D0000}"/>
    <cellStyle name="Normal 8 6 2 6 2" xfId="546" xr:uid="{00000000-0005-0000-0000-0000FE0D0000}"/>
    <cellStyle name="Normal 8 6 2 6 2 2" xfId="2500" xr:uid="{00000000-0005-0000-0000-0000FF0D0000}"/>
    <cellStyle name="Normal 8 6 2 6 2 2 2" xfId="6421" xr:uid="{CAE84014-088E-42B0-BC10-F42B84E4C705}"/>
    <cellStyle name="Normal 8 6 2 6 2 2 2 2" xfId="14281" xr:uid="{E075D6F2-75F5-4DF0-8378-C513B1E0E5E7}"/>
    <cellStyle name="Normal 8 6 2 6 2 2 3" xfId="10361" xr:uid="{6C97E3B6-044D-458C-890D-665F2463316B}"/>
    <cellStyle name="Normal 8 6 2 6 2 3" xfId="4467" xr:uid="{1CC17B70-41BD-4B4F-995D-0E590B7CD4E1}"/>
    <cellStyle name="Normal 8 6 2 6 2 3 2" xfId="12327" xr:uid="{5600F5C4-53FB-4877-8FEA-EF87D87BEA7A}"/>
    <cellStyle name="Normal 8 6 2 6 2 4" xfId="8408" xr:uid="{79DF2D07-CEF4-4A4F-8153-5FBBAC33D05D}"/>
    <cellStyle name="Normal 8 6 2 6 3" xfId="983" xr:uid="{00000000-0005-0000-0000-0000000E0000}"/>
    <cellStyle name="Normal 8 6 2 6 3 2" xfId="2937" xr:uid="{00000000-0005-0000-0000-0000010E0000}"/>
    <cellStyle name="Normal 8 6 2 6 3 2 2" xfId="6858" xr:uid="{2D4A5A89-3607-4451-B1FC-A6CAA4C61390}"/>
    <cellStyle name="Normal 8 6 2 6 3 2 2 2" xfId="14718" xr:uid="{A6CC5443-FBB5-4063-8899-4865460440E9}"/>
    <cellStyle name="Normal 8 6 2 6 3 2 3" xfId="10798" xr:uid="{8A04B139-74FC-47EB-ABE1-DDDE7462E0BF}"/>
    <cellStyle name="Normal 8 6 2 6 3 3" xfId="4904" xr:uid="{09D9C9F6-378A-4822-9C48-640E109AA80D}"/>
    <cellStyle name="Normal 8 6 2 6 3 3 2" xfId="12764" xr:uid="{BD39C2EA-3D7D-4D65-AD3F-F3D0BA2C76DB}"/>
    <cellStyle name="Normal 8 6 2 6 3 4" xfId="8845" xr:uid="{B9971649-9D4A-4335-BCAF-3B36D27A8F52}"/>
    <cellStyle name="Normal 8 6 2 6 4" xfId="1410" xr:uid="{00000000-0005-0000-0000-0000020E0000}"/>
    <cellStyle name="Normal 8 6 2 6 4 2" xfId="3364" xr:uid="{00000000-0005-0000-0000-0000030E0000}"/>
    <cellStyle name="Normal 8 6 2 6 4 2 2" xfId="7285" xr:uid="{25D99B61-C195-4FAA-B085-E4BD84A4F35E}"/>
    <cellStyle name="Normal 8 6 2 6 4 2 2 2" xfId="15145" xr:uid="{5B8B834C-FA08-4CAE-88C0-9EAA39436696}"/>
    <cellStyle name="Normal 8 6 2 6 4 2 3" xfId="11225" xr:uid="{61C3D3A2-DB4A-48BD-B91C-C8E77AAC9DF9}"/>
    <cellStyle name="Normal 8 6 2 6 4 3" xfId="5331" xr:uid="{06945021-2DB4-46A6-ADF6-3C98780D5A03}"/>
    <cellStyle name="Normal 8 6 2 6 4 3 2" xfId="13191" xr:uid="{9C7B038B-7E27-4D18-BA10-7B05B3ED1D3E}"/>
    <cellStyle name="Normal 8 6 2 6 4 4" xfId="9272" xr:uid="{6A592769-41B6-48F0-A512-6B7349CB7287}"/>
    <cellStyle name="Normal 8 6 2 6 5" xfId="2063" xr:uid="{00000000-0005-0000-0000-0000040E0000}"/>
    <cellStyle name="Normal 8 6 2 6 5 2" xfId="5984" xr:uid="{5622F1DF-41A0-4BC7-BB89-4DC71B2CC2CC}"/>
    <cellStyle name="Normal 8 6 2 6 5 2 2" xfId="13844" xr:uid="{B2DA595B-5974-4B01-9776-502EF1625AD2}"/>
    <cellStyle name="Normal 8 6 2 6 5 3" xfId="9924" xr:uid="{6EE972A3-3AD1-43E9-A028-3BA9410335C5}"/>
    <cellStyle name="Normal 8 6 2 6 6" xfId="4030" xr:uid="{AE22CD1B-19F3-4563-B4C7-90E896373801}"/>
    <cellStyle name="Normal 8 6 2 6 6 2" xfId="11890" xr:uid="{9D13C0B2-2EFF-4954-94C8-72A8301C7B13}"/>
    <cellStyle name="Normal 8 6 2 6 7" xfId="7968" xr:uid="{7E33B149-79B0-4E38-9F34-E57B4866333D}"/>
    <cellStyle name="Normal 8 6 2 7" xfId="270" xr:uid="{00000000-0005-0000-0000-0000050E0000}"/>
    <cellStyle name="Normal 8 6 2 7 2" xfId="722" xr:uid="{00000000-0005-0000-0000-0000060E0000}"/>
    <cellStyle name="Normal 8 6 2 7 2 2" xfId="2676" xr:uid="{00000000-0005-0000-0000-0000070E0000}"/>
    <cellStyle name="Normal 8 6 2 7 2 2 2" xfId="6597" xr:uid="{1DD5B2BC-2782-46EC-A1F6-A820AE68FCC5}"/>
    <cellStyle name="Normal 8 6 2 7 2 2 2 2" xfId="14457" xr:uid="{636E01A8-6B0F-4BE7-BDA5-B54EC898EA6C}"/>
    <cellStyle name="Normal 8 6 2 7 2 2 3" xfId="10537" xr:uid="{7400A6F1-EA76-4FAB-B537-CB8CAA613C0A}"/>
    <cellStyle name="Normal 8 6 2 7 2 3" xfId="4643" xr:uid="{11FA4AC0-7822-47F3-9716-B81786B29053}"/>
    <cellStyle name="Normal 8 6 2 7 2 3 2" xfId="12503" xr:uid="{E84A31A5-6212-449E-ADB4-6510554EF249}"/>
    <cellStyle name="Normal 8 6 2 7 2 4" xfId="8584" xr:uid="{FF3F5689-0BCB-4F0A-95AE-DB33A204219E}"/>
    <cellStyle name="Normal 8 6 2 7 3" xfId="1158" xr:uid="{00000000-0005-0000-0000-0000080E0000}"/>
    <cellStyle name="Normal 8 6 2 7 3 2" xfId="3112" xr:uid="{00000000-0005-0000-0000-0000090E0000}"/>
    <cellStyle name="Normal 8 6 2 7 3 2 2" xfId="7033" xr:uid="{D822B78B-3BB6-4AEF-A34C-A5A88B71FD34}"/>
    <cellStyle name="Normal 8 6 2 7 3 2 2 2" xfId="14893" xr:uid="{F95BCECB-5FF7-4F97-B590-71E7CF4CBF1C}"/>
    <cellStyle name="Normal 8 6 2 7 3 2 3" xfId="10973" xr:uid="{6EE74C60-6C01-455E-80A1-7CAC43B5948D}"/>
    <cellStyle name="Normal 8 6 2 7 3 3" xfId="5079" xr:uid="{9840F67D-DBBF-446B-AE44-4E51938F3F35}"/>
    <cellStyle name="Normal 8 6 2 7 3 3 2" xfId="12939" xr:uid="{9DD8A4AA-1D97-4C05-91EC-0EFD991C9161}"/>
    <cellStyle name="Normal 8 6 2 7 3 4" xfId="9020" xr:uid="{B42B0DCE-30D5-4EFE-AD58-9307C3B840AD}"/>
    <cellStyle name="Normal 8 6 2 7 4" xfId="1579" xr:uid="{00000000-0005-0000-0000-00000A0E0000}"/>
    <cellStyle name="Normal 8 6 2 7 4 2" xfId="3533" xr:uid="{00000000-0005-0000-0000-00000B0E0000}"/>
    <cellStyle name="Normal 8 6 2 7 4 2 2" xfId="7454" xr:uid="{58B2E74C-5BCB-48BD-895E-BFD0EC5E5496}"/>
    <cellStyle name="Normal 8 6 2 7 4 2 2 2" xfId="15314" xr:uid="{3A0D1DFB-412B-4FB6-813C-E0961546BB08}"/>
    <cellStyle name="Normal 8 6 2 7 4 2 3" xfId="11394" xr:uid="{37B20774-8D4F-45E4-8656-370BBE9DA68D}"/>
    <cellStyle name="Normal 8 6 2 7 4 3" xfId="5500" xr:uid="{B02CA031-6E6D-4A60-8742-A9FEE31C94D8}"/>
    <cellStyle name="Normal 8 6 2 7 4 3 2" xfId="13360" xr:uid="{49D2982D-00E8-486C-85AE-0FF4E9E85EDB}"/>
    <cellStyle name="Normal 8 6 2 7 4 4" xfId="9441" xr:uid="{E5186094-F5DD-4DDE-8D50-C3E0B614EFE0}"/>
    <cellStyle name="Normal 8 6 2 7 5" xfId="2233" xr:uid="{00000000-0005-0000-0000-00000C0E0000}"/>
    <cellStyle name="Normal 8 6 2 7 5 2" xfId="6154" xr:uid="{9C4FBBB4-C273-4CD4-985C-4F4DD92A2380}"/>
    <cellStyle name="Normal 8 6 2 7 5 2 2" xfId="14014" xr:uid="{44D9F38D-A580-4399-903C-C071F5E4E9AD}"/>
    <cellStyle name="Normal 8 6 2 7 5 3" xfId="10094" xr:uid="{70E00499-F0A4-4AA8-ABAB-D400B8D9603E}"/>
    <cellStyle name="Normal 8 6 2 7 6" xfId="4200" xr:uid="{6B1DAC2C-6067-41EC-A497-5772426C684D}"/>
    <cellStyle name="Normal 8 6 2 7 6 2" xfId="12060" xr:uid="{834F8592-E13B-4C9B-8DD6-76CDD6FF60EC}"/>
    <cellStyle name="Normal 8 6 2 7 7" xfId="8139" xr:uid="{3F946D84-94D5-4C61-8E05-ADE06888B856}"/>
    <cellStyle name="Normal 8 6 2 8" xfId="370" xr:uid="{00000000-0005-0000-0000-00000D0E0000}"/>
    <cellStyle name="Normal 8 6 2 8 2" xfId="821" xr:uid="{00000000-0005-0000-0000-00000E0E0000}"/>
    <cellStyle name="Normal 8 6 2 8 2 2" xfId="2775" xr:uid="{00000000-0005-0000-0000-00000F0E0000}"/>
    <cellStyle name="Normal 8 6 2 8 2 2 2" xfId="6696" xr:uid="{4D2C1F62-AAD6-4F0F-B7AA-FF2C784D1ED1}"/>
    <cellStyle name="Normal 8 6 2 8 2 2 2 2" xfId="14556" xr:uid="{D1270FD7-F8B9-405E-8C7A-90DF85916E2C}"/>
    <cellStyle name="Normal 8 6 2 8 2 2 3" xfId="10636" xr:uid="{9764DED0-F7E2-414B-99CD-5D579561825D}"/>
    <cellStyle name="Normal 8 6 2 8 2 3" xfId="4742" xr:uid="{6257CA56-E364-41CE-98E6-8EECBEF37A00}"/>
    <cellStyle name="Normal 8 6 2 8 2 3 2" xfId="12602" xr:uid="{E659AC75-FF63-4C9A-A7E0-D69506E045C0}"/>
    <cellStyle name="Normal 8 6 2 8 2 4" xfId="8683" xr:uid="{98E0A614-7B81-4865-8CF8-C494C1FE54CC}"/>
    <cellStyle name="Normal 8 6 2 8 3" xfId="1253" xr:uid="{00000000-0005-0000-0000-0000100E0000}"/>
    <cellStyle name="Normal 8 6 2 8 3 2" xfId="3207" xr:uid="{00000000-0005-0000-0000-0000110E0000}"/>
    <cellStyle name="Normal 8 6 2 8 3 2 2" xfId="7128" xr:uid="{AFDE8904-3301-4BC7-9882-F4225FBE78A2}"/>
    <cellStyle name="Normal 8 6 2 8 3 2 2 2" xfId="14988" xr:uid="{9A027F71-4419-4B46-BA82-F0D8D3FE6283}"/>
    <cellStyle name="Normal 8 6 2 8 3 2 3" xfId="11068" xr:uid="{AE45E39D-4653-4B5A-8E69-4F07E9EF160F}"/>
    <cellStyle name="Normal 8 6 2 8 3 3" xfId="5174" xr:uid="{A7A6BA65-2432-423F-9C80-F650F1F7089C}"/>
    <cellStyle name="Normal 8 6 2 8 3 3 2" xfId="13034" xr:uid="{5577E146-E199-467B-AF01-53918F605F51}"/>
    <cellStyle name="Normal 8 6 2 8 3 4" xfId="9115" xr:uid="{C975C37E-20F0-4D27-808B-1D76E8E8D6AC}"/>
    <cellStyle name="Normal 8 6 2 8 4" xfId="1671" xr:uid="{00000000-0005-0000-0000-0000120E0000}"/>
    <cellStyle name="Normal 8 6 2 8 4 2" xfId="3625" xr:uid="{00000000-0005-0000-0000-0000130E0000}"/>
    <cellStyle name="Normal 8 6 2 8 4 2 2" xfId="7546" xr:uid="{ED71C2FF-31DA-4354-A912-797805EB7942}"/>
    <cellStyle name="Normal 8 6 2 8 4 2 2 2" xfId="15406" xr:uid="{A16B536C-698E-4287-94C9-2DBD13223BD9}"/>
    <cellStyle name="Normal 8 6 2 8 4 2 3" xfId="11486" xr:uid="{0E0FA575-060B-41E3-9F9A-A8DF38F38EC4}"/>
    <cellStyle name="Normal 8 6 2 8 4 3" xfId="5592" xr:uid="{884736A2-571E-495A-9665-AF6BFAD3D5D8}"/>
    <cellStyle name="Normal 8 6 2 8 4 3 2" xfId="13452" xr:uid="{C868C096-F276-4AAD-ADEA-4EA9BCCAE733}"/>
    <cellStyle name="Normal 8 6 2 8 4 4" xfId="9533" xr:uid="{7BAE54CE-5966-4A58-B4DE-6DDDB0E4E6F2}"/>
    <cellStyle name="Normal 8 6 2 8 5" xfId="2325" xr:uid="{00000000-0005-0000-0000-0000140E0000}"/>
    <cellStyle name="Normal 8 6 2 8 5 2" xfId="6246" xr:uid="{CD5B6144-A4E1-498A-B2F5-689353E60040}"/>
    <cellStyle name="Normal 8 6 2 8 5 2 2" xfId="14106" xr:uid="{54505207-DCB1-4B3D-90EB-C6D1D2ACE356}"/>
    <cellStyle name="Normal 8 6 2 8 5 3" xfId="10186" xr:uid="{A94056A1-6DC4-4384-8482-2D00A96813A0}"/>
    <cellStyle name="Normal 8 6 2 8 6" xfId="4292" xr:uid="{51586F50-5669-4A7C-9C45-742514B5F6C5}"/>
    <cellStyle name="Normal 8 6 2 8 6 2" xfId="12152" xr:uid="{40567010-A225-43BF-A4CF-09BE617736A1}"/>
    <cellStyle name="Normal 8 6 2 8 7" xfId="8233" xr:uid="{06B44732-3B07-4958-B48F-BFB5E831B9F8}"/>
    <cellStyle name="Normal 8 6 2 9" xfId="467" xr:uid="{00000000-0005-0000-0000-0000150E0000}"/>
    <cellStyle name="Normal 8 6 2 9 2" xfId="2421" xr:uid="{00000000-0005-0000-0000-0000160E0000}"/>
    <cellStyle name="Normal 8 6 2 9 2 2" xfId="6342" xr:uid="{133F1BBD-FBB6-47BB-9A5C-7E2470BB4D78}"/>
    <cellStyle name="Normal 8 6 2 9 2 2 2" xfId="14202" xr:uid="{56265696-B4BD-4D9B-B4DD-56C883F96F73}"/>
    <cellStyle name="Normal 8 6 2 9 2 3" xfId="10282" xr:uid="{1454A3E3-898F-4AD4-A35C-D29C47CFF55F}"/>
    <cellStyle name="Normal 8 6 2 9 3" xfId="4388" xr:uid="{92EC2022-3EB0-4E77-A828-1E58FE1645E1}"/>
    <cellStyle name="Normal 8 6 2 9 3 2" xfId="12248" xr:uid="{01FE8706-D378-4A19-8787-F7B5D2111EAA}"/>
    <cellStyle name="Normal 8 6 2 9 4" xfId="8329" xr:uid="{0ECCCFB3-AB7A-4111-A671-7104880E1261}"/>
    <cellStyle name="Normal 8 6 3" xfId="616" xr:uid="{00000000-0005-0000-0000-0000170E0000}"/>
    <cellStyle name="Normal 8 6 3 2" xfId="2570" xr:uid="{00000000-0005-0000-0000-0000180E0000}"/>
    <cellStyle name="Normal 8 6 3 2 2" xfId="6491" xr:uid="{DA1E25C2-B52B-4FA6-9B7B-7E1BEF4F8F24}"/>
    <cellStyle name="Normal 8 6 3 2 2 2" xfId="14351" xr:uid="{BA1298F8-257A-4CC8-B7C2-338F1B352135}"/>
    <cellStyle name="Normal 8 6 3 2 3" xfId="10431" xr:uid="{1CD01836-5E77-4D6F-B727-390842C6A56D}"/>
    <cellStyle name="Normal 8 6 3 3" xfId="4537" xr:uid="{533F3950-E7B8-41F4-8C00-1F8F8575A36B}"/>
    <cellStyle name="Normal 8 6 3 3 2" xfId="12397" xr:uid="{D9180396-6031-4A77-AED7-E739996D732E}"/>
    <cellStyle name="Normal 8 6 3 4" xfId="8478" xr:uid="{A389300A-FACE-4FCE-9063-589E7AAFE4BB}"/>
    <cellStyle name="Normal 8 6 4" xfId="1053" xr:uid="{00000000-0005-0000-0000-0000190E0000}"/>
    <cellStyle name="Normal 8 6 4 2" xfId="3007" xr:uid="{00000000-0005-0000-0000-00001A0E0000}"/>
    <cellStyle name="Normal 8 6 4 2 2" xfId="6928" xr:uid="{B9D3D4D9-A0F4-4A5A-B005-EBDF7AF96B08}"/>
    <cellStyle name="Normal 8 6 4 2 2 2" xfId="14788" xr:uid="{05F2A063-E349-448A-AEF7-F55384EF0138}"/>
    <cellStyle name="Normal 8 6 4 2 3" xfId="10868" xr:uid="{E9A286FC-261E-46C3-BD32-5C572054464D}"/>
    <cellStyle name="Normal 8 6 4 3" xfId="4974" xr:uid="{8D7F75D8-24AB-4761-92FD-1407F880A3A9}"/>
    <cellStyle name="Normal 8 6 4 3 2" xfId="12834" xr:uid="{95BFC085-2737-496D-AB6A-18A9A480CE85}"/>
    <cellStyle name="Normal 8 6 4 4" xfId="8915" xr:uid="{988CF033-5968-42C7-B58B-7D7AFBA193DA}"/>
    <cellStyle name="Normal 8 6 5" xfId="1480" xr:uid="{00000000-0005-0000-0000-00001B0E0000}"/>
    <cellStyle name="Normal 8 6 5 2" xfId="3434" xr:uid="{00000000-0005-0000-0000-00001C0E0000}"/>
    <cellStyle name="Normal 8 6 5 2 2" xfId="7355" xr:uid="{6766C76F-46C7-449D-B311-32C7D972F3B8}"/>
    <cellStyle name="Normal 8 6 5 2 2 2" xfId="15215" xr:uid="{1E569E56-8204-40A5-B68A-60452EDDFDF1}"/>
    <cellStyle name="Normal 8 6 5 2 3" xfId="11295" xr:uid="{A6F9797D-7C21-4307-A642-6785F2BC2A10}"/>
    <cellStyle name="Normal 8 6 5 3" xfId="5401" xr:uid="{3BB5DC39-2106-4B3B-BBC6-F450D0D43CCA}"/>
    <cellStyle name="Normal 8 6 5 3 2" xfId="13261" xr:uid="{8DFED509-F12E-4564-A953-101F544D1D74}"/>
    <cellStyle name="Normal 8 6 5 4" xfId="9342" xr:uid="{A1E34BAC-C46E-491A-A037-8DC1AAAC7EDD}"/>
    <cellStyle name="Normal 8 6 6" xfId="2133" xr:uid="{00000000-0005-0000-0000-00001D0E0000}"/>
    <cellStyle name="Normal 8 6 6 2" xfId="6054" xr:uid="{7619999C-7A6D-45D4-BBD7-867F68530E4A}"/>
    <cellStyle name="Normal 8 6 6 2 2" xfId="13914" xr:uid="{E8C8BFC6-AA7E-47C6-8799-0B89676CEB3F}"/>
    <cellStyle name="Normal 8 6 6 3" xfId="9994" xr:uid="{28D3CBD4-E3C8-435C-90DD-7AC1B5A09EDD}"/>
    <cellStyle name="Normal 8 6 7" xfId="4100" xr:uid="{87F3137D-2870-46F2-87C3-A5D290029BD6}"/>
    <cellStyle name="Normal 8 6 7 2" xfId="11960" xr:uid="{9DCDF17F-548B-4E9E-89F5-C7E2AE9E5829}"/>
    <cellStyle name="Normal 8 6 8" xfId="8038" xr:uid="{11B89C95-D5C6-445D-A7B3-4049C8901421}"/>
    <cellStyle name="Normal 8 7" xfId="86" xr:uid="{00000000-0005-0000-0000-00001E0E0000}"/>
    <cellStyle name="Normal 8 7 2" xfId="12" xr:uid="{00000000-0005-0000-0000-00001F0E0000}"/>
    <cellStyle name="Normal 8 7 2 10" xfId="805" xr:uid="{00000000-0005-0000-0000-0000200E0000}"/>
    <cellStyle name="Normal 8 7 2 10 2" xfId="2759" xr:uid="{00000000-0005-0000-0000-0000210E0000}"/>
    <cellStyle name="Normal 8 7 2 10 2 2" xfId="6680" xr:uid="{93F10A5D-0CFF-48F3-8005-2E7D3C0DC2E2}"/>
    <cellStyle name="Normal 8 7 2 10 2 2 2" xfId="14540" xr:uid="{FD623C68-5272-4E1D-A409-C9CE14496F8F}"/>
    <cellStyle name="Normal 8 7 2 10 2 3" xfId="10620" xr:uid="{E3158233-C8BE-4A40-A82E-FE277DE0F307}"/>
    <cellStyle name="Normal 8 7 2 10 3" xfId="4726" xr:uid="{786A39C6-B2F4-40C9-97AB-51106844DA46}"/>
    <cellStyle name="Normal 8 7 2 10 3 2" xfId="12586" xr:uid="{2C0D7616-959D-4B46-A00E-EE5BF233D486}"/>
    <cellStyle name="Normal 8 7 2 10 4" xfId="8667" xr:uid="{A386C762-3AB3-47B1-A834-0F4AEBDF0027}"/>
    <cellStyle name="Normal 8 7 2 11" xfId="700" xr:uid="{00000000-0005-0000-0000-0000220E0000}"/>
    <cellStyle name="Normal 8 7 2 11 2" xfId="2654" xr:uid="{00000000-0005-0000-0000-0000230E0000}"/>
    <cellStyle name="Normal 8 7 2 11 2 2" xfId="6575" xr:uid="{DF31250C-18E9-44C5-94B5-311EA5B1D949}"/>
    <cellStyle name="Normal 8 7 2 11 2 2 2" xfId="14435" xr:uid="{7D536022-124E-4A46-92FA-C5B12A0055FE}"/>
    <cellStyle name="Normal 8 7 2 11 2 3" xfId="10515" xr:uid="{ECE178D1-4105-4B73-8E56-4239CCE58728}"/>
    <cellStyle name="Normal 8 7 2 11 3" xfId="4621" xr:uid="{D6B3C001-B3FC-4AC1-8FCA-6B48FE0167C9}"/>
    <cellStyle name="Normal 8 7 2 11 3 2" xfId="12481" xr:uid="{BACECC68-3B2F-4555-B98C-42D854FD9227}"/>
    <cellStyle name="Normal 8 7 2 11 4" xfId="8562" xr:uid="{0FD2CFFF-1E32-4EED-802D-63AA9C858D1D}"/>
    <cellStyle name="Normal 8 7 2 12" xfId="1914" xr:uid="{00000000-0005-0000-0000-0000240E0000}"/>
    <cellStyle name="Normal 8 7 2 12 2" xfId="3867" xr:uid="{00000000-0005-0000-0000-0000250E0000}"/>
    <cellStyle name="Normal 8 7 2 12 2 2" xfId="7788" xr:uid="{D4A0EF9E-88F1-4E21-B0F9-32433AE4D852}"/>
    <cellStyle name="Normal 8 7 2 12 2 2 2" xfId="15648" xr:uid="{CA3E7DD3-77B8-4D3E-AED2-F43C7D58A77D}"/>
    <cellStyle name="Normal 8 7 2 12 2 3" xfId="11728" xr:uid="{DF6DCD5D-083F-4480-A52D-B7151E8025D3}"/>
    <cellStyle name="Normal 8 7 2 12 3" xfId="3921" xr:uid="{3B6B06AE-1622-409B-898F-C905CE8BA1EB}"/>
    <cellStyle name="Normal 8 7 2 12 3 2" xfId="7842" xr:uid="{99DB1FDF-9170-4F57-868E-9AE12FF48F9C}"/>
    <cellStyle name="Normal 8 7 2 12 3 2 2" xfId="15702" xr:uid="{5CAD6A10-BCC3-4CD6-AC77-EA73BE856E5A}"/>
    <cellStyle name="Normal 8 7 2 12 3 3" xfId="7862" xr:uid="{4C960534-E335-4D79-BA3E-375010041AF5}"/>
    <cellStyle name="Normal 8 7 2 12 3 3 2" xfId="15722" xr:uid="{A0F10AE7-FAB5-4575-8350-E9D5F88944E0}"/>
    <cellStyle name="Normal 8 7 2 12 3 4" xfId="11782" xr:uid="{ACC3B0A2-6664-4EFC-AE20-C127B6767C36}"/>
    <cellStyle name="Normal 8 7 2 12 4" xfId="5835" xr:uid="{99CC8ADF-A775-4454-A693-582E56A6ABCC}"/>
    <cellStyle name="Normal 8 7 2 12 4 2" xfId="13695" xr:uid="{556A51CE-6BAB-4424-B904-A082D31C0139}"/>
    <cellStyle name="Normal 8 7 2 12 5" xfId="9776" xr:uid="{F74D0023-59C0-4D81-9E51-766A2515D659}"/>
    <cellStyle name="Normal 8 7 2 13" xfId="1983" xr:uid="{00000000-0005-0000-0000-0000260E0000}"/>
    <cellStyle name="Normal 8 7 2 13 2" xfId="5904" xr:uid="{A709DCFC-49B1-4B76-88D7-8E8B3E253198}"/>
    <cellStyle name="Normal 8 7 2 13 2 2" xfId="13764" xr:uid="{3B475354-DCC9-4CD2-905D-90EAE605E3F3}"/>
    <cellStyle name="Normal 8 7 2 13 3" xfId="9844" xr:uid="{FB00EABD-C424-4AFE-88BB-1C37DDC96B8D}"/>
    <cellStyle name="Normal 8 7 2 14" xfId="3950" xr:uid="{C06857B2-3E0B-4B5C-BCC0-5FAE2A84FE44}"/>
    <cellStyle name="Normal 8 7 2 14 2" xfId="11810" xr:uid="{29855856-FE99-42CD-B758-53D64AA313CD}"/>
    <cellStyle name="Normal 8 7 2 15" xfId="7887" xr:uid="{65A14AA4-A7D0-405D-8561-7F5DC6AC2279}"/>
    <cellStyle name="Normal 8 7 2 2" xfId="23" xr:uid="{00000000-0005-0000-0000-0000270E0000}"/>
    <cellStyle name="Normal 8 7 2 2 10" xfId="1994" xr:uid="{00000000-0005-0000-0000-0000280E0000}"/>
    <cellStyle name="Normal 8 7 2 2 10 2" xfId="5915" xr:uid="{EE293D63-D549-47EF-9095-54729CC79929}"/>
    <cellStyle name="Normal 8 7 2 2 10 2 2" xfId="13775" xr:uid="{5B8B959F-EEE6-42CE-83D6-56CDA16AF9DA}"/>
    <cellStyle name="Normal 8 7 2 2 10 3" xfId="9855" xr:uid="{DC9D7D01-6CA1-486C-80D7-FDECBFEC23CE}"/>
    <cellStyle name="Normal 8 7 2 2 11" xfId="3961" xr:uid="{B32B796F-7EEF-4683-8069-465F372E44C1}"/>
    <cellStyle name="Normal 8 7 2 2 11 2" xfId="11821" xr:uid="{B34DB069-C92C-442C-878E-9A2F4C49D959}"/>
    <cellStyle name="Normal 8 7 2 2 12" xfId="7898" xr:uid="{34DC6C1C-06FD-4663-874E-3B724D2F924B}"/>
    <cellStyle name="Normal 8 7 2 2 2" xfId="65" xr:uid="{00000000-0005-0000-0000-0000290E0000}"/>
    <cellStyle name="Normal 8 7 2 2 2 10" xfId="4001" xr:uid="{57865D98-EAE2-47BA-80DA-C179A9BF48C4}"/>
    <cellStyle name="Normal 8 7 2 2 2 10 2" xfId="11861" xr:uid="{709EDC49-9B3A-4D99-8D08-EBE89703D7D8}"/>
    <cellStyle name="Normal 8 7 2 2 2 11" xfId="7939" xr:uid="{B6C7EB51-1500-4896-A56F-05640A6E902E}"/>
    <cellStyle name="Normal 8 7 2 2 2 2" xfId="221" xr:uid="{00000000-0005-0000-0000-00002A0E0000}"/>
    <cellStyle name="Normal 8 7 2 2 2 2 2" xfId="673" xr:uid="{00000000-0005-0000-0000-00002B0E0000}"/>
    <cellStyle name="Normal 8 7 2 2 2 2 2 2" xfId="2627" xr:uid="{00000000-0005-0000-0000-00002C0E0000}"/>
    <cellStyle name="Normal 8 7 2 2 2 2 2 2 2" xfId="6548" xr:uid="{667AA323-ACB9-44F1-AD3E-48ADED86DEC2}"/>
    <cellStyle name="Normal 8 7 2 2 2 2 2 2 2 2" xfId="14408" xr:uid="{0C8095E4-CC04-4E7B-8C71-C462A70118EF}"/>
    <cellStyle name="Normal 8 7 2 2 2 2 2 2 3" xfId="10488" xr:uid="{CC3759E8-5F34-48C2-8073-B0ABF9A80983}"/>
    <cellStyle name="Normal 8 7 2 2 2 2 2 3" xfId="4594" xr:uid="{09DFD97E-76BF-400B-99AE-11E6ACA1F362}"/>
    <cellStyle name="Normal 8 7 2 2 2 2 2 3 2" xfId="12454" xr:uid="{4E0DE1B9-273B-4831-A5E1-8AA83565D160}"/>
    <cellStyle name="Normal 8 7 2 2 2 2 2 4" xfId="8535" xr:uid="{A4B49282-9B3E-4638-9BC1-6F74DB48BCD4}"/>
    <cellStyle name="Normal 8 7 2 2 2 2 3" xfId="1110" xr:uid="{00000000-0005-0000-0000-00002D0E0000}"/>
    <cellStyle name="Normal 8 7 2 2 2 2 3 2" xfId="3064" xr:uid="{00000000-0005-0000-0000-00002E0E0000}"/>
    <cellStyle name="Normal 8 7 2 2 2 2 3 2 2" xfId="6985" xr:uid="{C939DA0E-24B5-4E9C-8CBD-8FD1239588FC}"/>
    <cellStyle name="Normal 8 7 2 2 2 2 3 2 2 2" xfId="14845" xr:uid="{4AAE3D08-21AE-41B7-B9C9-4EE02C039315}"/>
    <cellStyle name="Normal 8 7 2 2 2 2 3 2 3" xfId="10925" xr:uid="{502A8682-0C15-48FF-8C3D-CC5E01A92AAF}"/>
    <cellStyle name="Normal 8 7 2 2 2 2 3 3" xfId="5031" xr:uid="{18B17605-4FB8-4469-B43A-5F4B027FC079}"/>
    <cellStyle name="Normal 8 7 2 2 2 2 3 3 2" xfId="12891" xr:uid="{B336AB76-CA39-4839-A42B-5A9525E9C7EB}"/>
    <cellStyle name="Normal 8 7 2 2 2 2 3 4" xfId="8972" xr:uid="{880C3A03-ECEE-4B23-8345-0C7D849FFD2C}"/>
    <cellStyle name="Normal 8 7 2 2 2 2 4" xfId="1537" xr:uid="{00000000-0005-0000-0000-00002F0E0000}"/>
    <cellStyle name="Normal 8 7 2 2 2 2 4 2" xfId="3491" xr:uid="{00000000-0005-0000-0000-0000300E0000}"/>
    <cellStyle name="Normal 8 7 2 2 2 2 4 2 2" xfId="7412" xr:uid="{796A891F-9A26-4A2B-B247-AF7B4C547B24}"/>
    <cellStyle name="Normal 8 7 2 2 2 2 4 2 2 2" xfId="15272" xr:uid="{AE97B98D-DFAC-42AE-879D-5292663D334E}"/>
    <cellStyle name="Normal 8 7 2 2 2 2 4 2 3" xfId="11352" xr:uid="{465AE543-837F-4BF4-B3AB-87B273DCCE62}"/>
    <cellStyle name="Normal 8 7 2 2 2 2 4 3" xfId="5458" xr:uid="{4E3CB71F-E963-4799-A435-67EE268638FA}"/>
    <cellStyle name="Normal 8 7 2 2 2 2 4 3 2" xfId="13318" xr:uid="{5C34DC8D-71E8-4502-BF9F-2FD57B42E289}"/>
    <cellStyle name="Normal 8 7 2 2 2 2 4 4" xfId="9399" xr:uid="{704AA369-ABFF-4793-A1EA-308C54B546D8}"/>
    <cellStyle name="Normal 8 7 2 2 2 2 5" xfId="2190" xr:uid="{00000000-0005-0000-0000-0000310E0000}"/>
    <cellStyle name="Normal 8 7 2 2 2 2 5 2" xfId="6111" xr:uid="{755155C5-1D80-48B6-9A7D-75D2C0F480FA}"/>
    <cellStyle name="Normal 8 7 2 2 2 2 5 2 2" xfId="13971" xr:uid="{4719C7C7-B502-404A-80DD-C29ADB461E4B}"/>
    <cellStyle name="Normal 8 7 2 2 2 2 5 3" xfId="10051" xr:uid="{460A72E3-D746-4DF1-B12C-72F615DFA50B}"/>
    <cellStyle name="Normal 8 7 2 2 2 2 6" xfId="4157" xr:uid="{77B57137-D6D3-4937-94A9-388FE8C5A4BD}"/>
    <cellStyle name="Normal 8 7 2 2 2 2 6 2" xfId="12017" xr:uid="{54626B34-BE1B-4305-BFDE-6F046A8D0F81}"/>
    <cellStyle name="Normal 8 7 2 2 2 2 7" xfId="8095" xr:uid="{5E844716-5698-463F-B090-8844A60BFF3D}"/>
    <cellStyle name="Normal 8 7 2 2 2 3" xfId="143" xr:uid="{00000000-0005-0000-0000-0000320E0000}"/>
    <cellStyle name="Normal 8 7 2 2 2 3 2" xfId="595" xr:uid="{00000000-0005-0000-0000-0000330E0000}"/>
    <cellStyle name="Normal 8 7 2 2 2 3 2 2" xfId="2549" xr:uid="{00000000-0005-0000-0000-0000340E0000}"/>
    <cellStyle name="Normal 8 7 2 2 2 3 2 2 2" xfId="6470" xr:uid="{33B08044-2DCB-4139-9139-4917F2498C4C}"/>
    <cellStyle name="Normal 8 7 2 2 2 3 2 2 2 2" xfId="14330" xr:uid="{3387C4FC-F1E0-473B-8930-221E93EC8D61}"/>
    <cellStyle name="Normal 8 7 2 2 2 3 2 2 3" xfId="10410" xr:uid="{4405DD95-BE10-4AFB-847D-8FEA8DB415A1}"/>
    <cellStyle name="Normal 8 7 2 2 2 3 2 3" xfId="4516" xr:uid="{465FC9F3-6FE9-463F-A927-77A74E9358AF}"/>
    <cellStyle name="Normal 8 7 2 2 2 3 2 3 2" xfId="12376" xr:uid="{85D73D36-040C-4E06-9E2C-488640AE480A}"/>
    <cellStyle name="Normal 8 7 2 2 2 3 2 4" xfId="8457" xr:uid="{BED9E110-DE6A-460A-B580-E367CE9DACD5}"/>
    <cellStyle name="Normal 8 7 2 2 2 3 3" xfId="1032" xr:uid="{00000000-0005-0000-0000-0000350E0000}"/>
    <cellStyle name="Normal 8 7 2 2 2 3 3 2" xfId="2986" xr:uid="{00000000-0005-0000-0000-0000360E0000}"/>
    <cellStyle name="Normal 8 7 2 2 2 3 3 2 2" xfId="6907" xr:uid="{B6600784-8517-4DEE-B217-552FD25ACF65}"/>
    <cellStyle name="Normal 8 7 2 2 2 3 3 2 2 2" xfId="14767" xr:uid="{B1DAC787-E4E4-4AD7-88EA-74C1EA55FC52}"/>
    <cellStyle name="Normal 8 7 2 2 2 3 3 2 3" xfId="10847" xr:uid="{87C132E0-8709-4D19-87DE-28583A170AA9}"/>
    <cellStyle name="Normal 8 7 2 2 2 3 3 3" xfId="4953" xr:uid="{09BE8FB9-C2F0-4215-A7CD-965007A712A7}"/>
    <cellStyle name="Normal 8 7 2 2 2 3 3 3 2" xfId="12813" xr:uid="{FB56AEA9-B38A-4905-8963-9CAAB12C9BEE}"/>
    <cellStyle name="Normal 8 7 2 2 2 3 3 4" xfId="8894" xr:uid="{39367C13-00FB-4D28-A611-4B661C36556F}"/>
    <cellStyle name="Normal 8 7 2 2 2 3 4" xfId="1459" xr:uid="{00000000-0005-0000-0000-0000370E0000}"/>
    <cellStyle name="Normal 8 7 2 2 2 3 4 2" xfId="3413" xr:uid="{00000000-0005-0000-0000-0000380E0000}"/>
    <cellStyle name="Normal 8 7 2 2 2 3 4 2 2" xfId="7334" xr:uid="{1FC2BF19-8F25-4162-9B7B-105C82797CDC}"/>
    <cellStyle name="Normal 8 7 2 2 2 3 4 2 2 2" xfId="15194" xr:uid="{8CC78AEB-F517-46C6-89BE-B94EBA2DBE8A}"/>
    <cellStyle name="Normal 8 7 2 2 2 3 4 2 3" xfId="11274" xr:uid="{AC216889-3D89-4993-AF48-91034AE9F33C}"/>
    <cellStyle name="Normal 8 7 2 2 2 3 4 3" xfId="5380" xr:uid="{86219CE5-6AC2-4AEC-840E-822A4570C00F}"/>
    <cellStyle name="Normal 8 7 2 2 2 3 4 3 2" xfId="13240" xr:uid="{2AE9EDC7-4217-4E2B-8F36-926ED3FE3D5D}"/>
    <cellStyle name="Normal 8 7 2 2 2 3 4 4" xfId="9321" xr:uid="{D36D2BF1-869B-467F-B30F-ABA938BAE3F8}"/>
    <cellStyle name="Normal 8 7 2 2 2 3 5" xfId="2112" xr:uid="{00000000-0005-0000-0000-0000390E0000}"/>
    <cellStyle name="Normal 8 7 2 2 2 3 5 2" xfId="6033" xr:uid="{6403EB2F-0577-42E5-8A7A-630C462EC364}"/>
    <cellStyle name="Normal 8 7 2 2 2 3 5 2 2" xfId="13893" xr:uid="{A334402E-EEBB-48F3-A6AD-33414C70D8BE}"/>
    <cellStyle name="Normal 8 7 2 2 2 3 5 3" xfId="9973" xr:uid="{C52DC36D-2C95-4E00-8D49-DC89D92C026E}"/>
    <cellStyle name="Normal 8 7 2 2 2 3 6" xfId="4079" xr:uid="{EF9DED58-BBDA-4050-A6C1-FBF723BE1325}"/>
    <cellStyle name="Normal 8 7 2 2 2 3 6 2" xfId="11939" xr:uid="{5CC8480B-100D-4179-8479-2A0F21AB4380}"/>
    <cellStyle name="Normal 8 7 2 2 2 3 7" xfId="8017" xr:uid="{00257B91-2465-43A4-B5BA-6DC7B3ED87A5}"/>
    <cellStyle name="Normal 8 7 2 2 2 4" xfId="327" xr:uid="{00000000-0005-0000-0000-00003A0E0000}"/>
    <cellStyle name="Normal 8 7 2 2 2 4 2" xfId="779" xr:uid="{00000000-0005-0000-0000-00003B0E0000}"/>
    <cellStyle name="Normal 8 7 2 2 2 4 2 2" xfId="2733" xr:uid="{00000000-0005-0000-0000-00003C0E0000}"/>
    <cellStyle name="Normal 8 7 2 2 2 4 2 2 2" xfId="6654" xr:uid="{F88721D2-0069-41A6-A380-38EC6B3E766B}"/>
    <cellStyle name="Normal 8 7 2 2 2 4 2 2 2 2" xfId="14514" xr:uid="{CB4CD7F4-856E-4300-B0E2-5DC5938B9155}"/>
    <cellStyle name="Normal 8 7 2 2 2 4 2 2 3" xfId="10594" xr:uid="{60A3F6E8-8C08-4485-8A6D-F48059062E85}"/>
    <cellStyle name="Normal 8 7 2 2 2 4 2 3" xfId="4700" xr:uid="{E3251ABD-171B-48B8-8E10-8939C6AF1198}"/>
    <cellStyle name="Normal 8 7 2 2 2 4 2 3 2" xfId="12560" xr:uid="{3B97C31D-2BFF-4AC7-AAAA-561D55720C7D}"/>
    <cellStyle name="Normal 8 7 2 2 2 4 2 4" xfId="8641" xr:uid="{5D4F1648-191F-4439-B246-67465AF418E4}"/>
    <cellStyle name="Normal 8 7 2 2 2 4 3" xfId="1214" xr:uid="{00000000-0005-0000-0000-00003D0E0000}"/>
    <cellStyle name="Normal 8 7 2 2 2 4 3 2" xfId="3168" xr:uid="{00000000-0005-0000-0000-00003E0E0000}"/>
    <cellStyle name="Normal 8 7 2 2 2 4 3 2 2" xfId="7089" xr:uid="{886EDD25-BA13-4401-B4A4-6AB19C9D6C2C}"/>
    <cellStyle name="Normal 8 7 2 2 2 4 3 2 2 2" xfId="14949" xr:uid="{C4617A8D-0C9C-4C94-8A1F-A41C58B17C4B}"/>
    <cellStyle name="Normal 8 7 2 2 2 4 3 2 3" xfId="11029" xr:uid="{E56C3E87-A869-4000-92A0-9FF06918309C}"/>
    <cellStyle name="Normal 8 7 2 2 2 4 3 3" xfId="5135" xr:uid="{BC29C495-4EE5-4D9F-926E-3D6362452988}"/>
    <cellStyle name="Normal 8 7 2 2 2 4 3 3 2" xfId="12995" xr:uid="{9C51EEBC-1E69-4B8D-ACD7-FDF4F468B7BA}"/>
    <cellStyle name="Normal 8 7 2 2 2 4 3 4" xfId="9076" xr:uid="{4CFDDD1E-002B-417E-8F67-D21B6022DF38}"/>
    <cellStyle name="Normal 8 7 2 2 2 4 4" xfId="1634" xr:uid="{00000000-0005-0000-0000-00003F0E0000}"/>
    <cellStyle name="Normal 8 7 2 2 2 4 4 2" xfId="3588" xr:uid="{00000000-0005-0000-0000-0000400E0000}"/>
    <cellStyle name="Normal 8 7 2 2 2 4 4 2 2" xfId="7509" xr:uid="{C1DCAC93-48CA-458C-B8E9-461B4C9092AF}"/>
    <cellStyle name="Normal 8 7 2 2 2 4 4 2 2 2" xfId="15369" xr:uid="{5767DD57-4018-4695-8B87-9F91E311B295}"/>
    <cellStyle name="Normal 8 7 2 2 2 4 4 2 3" xfId="11449" xr:uid="{47602842-ADC6-4A5A-A3FD-E14E1C60C17E}"/>
    <cellStyle name="Normal 8 7 2 2 2 4 4 3" xfId="5555" xr:uid="{0F1163E9-98EE-4BAC-AF33-FDA3C38D50F6}"/>
    <cellStyle name="Normal 8 7 2 2 2 4 4 3 2" xfId="13415" xr:uid="{CF859706-6D1C-48F6-8441-AD7327C3FC2B}"/>
    <cellStyle name="Normal 8 7 2 2 2 4 4 4" xfId="9496" xr:uid="{F2C63CA7-AF5F-4053-AF7D-879BE5FE7C6A}"/>
    <cellStyle name="Normal 8 7 2 2 2 4 5" xfId="2288" xr:uid="{00000000-0005-0000-0000-0000410E0000}"/>
    <cellStyle name="Normal 8 7 2 2 2 4 5 2" xfId="6209" xr:uid="{4632CF44-4BA0-4F84-AC72-DCF9E833CFE1}"/>
    <cellStyle name="Normal 8 7 2 2 2 4 5 2 2" xfId="14069" xr:uid="{B54A141B-3BCD-4909-88F5-59189EE3445D}"/>
    <cellStyle name="Normal 8 7 2 2 2 4 5 3" xfId="10149" xr:uid="{B193A47C-8FF0-41C0-8819-B3972BEBC386}"/>
    <cellStyle name="Normal 8 7 2 2 2 4 6" xfId="4255" xr:uid="{B7C7B1E3-F699-48D2-8807-BFC107601DDB}"/>
    <cellStyle name="Normal 8 7 2 2 2 4 6 2" xfId="12115" xr:uid="{32C33614-082A-455E-84E4-3EB985A636E3}"/>
    <cellStyle name="Normal 8 7 2 2 2 4 7" xfId="8194" xr:uid="{32DCEF9B-CCF0-4585-B9A2-A7DB17B98AB2}"/>
    <cellStyle name="Normal 8 7 2 2 2 5" xfId="425" xr:uid="{00000000-0005-0000-0000-0000420E0000}"/>
    <cellStyle name="Normal 8 7 2 2 2 5 2" xfId="876" xr:uid="{00000000-0005-0000-0000-0000430E0000}"/>
    <cellStyle name="Normal 8 7 2 2 2 5 2 2" xfId="2830" xr:uid="{00000000-0005-0000-0000-0000440E0000}"/>
    <cellStyle name="Normal 8 7 2 2 2 5 2 2 2" xfId="6751" xr:uid="{43A907BF-C984-47DA-9956-ACD2D310D735}"/>
    <cellStyle name="Normal 8 7 2 2 2 5 2 2 2 2" xfId="14611" xr:uid="{2237B65B-9D81-4B65-9FC1-441C15494E8C}"/>
    <cellStyle name="Normal 8 7 2 2 2 5 2 2 3" xfId="10691" xr:uid="{538D24F3-6B0A-4823-AC89-280E7B52729F}"/>
    <cellStyle name="Normal 8 7 2 2 2 5 2 3" xfId="4797" xr:uid="{6A23A6FF-138E-4894-A272-73F507E8660B}"/>
    <cellStyle name="Normal 8 7 2 2 2 5 2 3 2" xfId="12657" xr:uid="{C61D8188-27B0-42B9-A42E-4409627078E0}"/>
    <cellStyle name="Normal 8 7 2 2 2 5 2 4" xfId="8738" xr:uid="{C4AF37F1-333E-4DA4-8C6D-3B8BA6749BEE}"/>
    <cellStyle name="Normal 8 7 2 2 2 5 3" xfId="1308" xr:uid="{00000000-0005-0000-0000-0000450E0000}"/>
    <cellStyle name="Normal 8 7 2 2 2 5 3 2" xfId="3262" xr:uid="{00000000-0005-0000-0000-0000460E0000}"/>
    <cellStyle name="Normal 8 7 2 2 2 5 3 2 2" xfId="7183" xr:uid="{A681DC4B-D6DC-404D-9ABA-57FD2DF5867F}"/>
    <cellStyle name="Normal 8 7 2 2 2 5 3 2 2 2" xfId="15043" xr:uid="{ED019DED-E2A3-413A-9F2E-F5C1EB2D8515}"/>
    <cellStyle name="Normal 8 7 2 2 2 5 3 2 3" xfId="11123" xr:uid="{711F88FC-4024-4852-A30B-17108A7AF688}"/>
    <cellStyle name="Normal 8 7 2 2 2 5 3 3" xfId="5229" xr:uid="{2286490D-7D3C-49DE-B427-F1FE730A3878}"/>
    <cellStyle name="Normal 8 7 2 2 2 5 3 3 2" xfId="13089" xr:uid="{8C0DA9DA-3893-4CD7-A3F4-675E36A769CE}"/>
    <cellStyle name="Normal 8 7 2 2 2 5 3 4" xfId="9170" xr:uid="{044789C4-AB0C-4490-A1F0-19178AE4B2EE}"/>
    <cellStyle name="Normal 8 7 2 2 2 5 4" xfId="1726" xr:uid="{00000000-0005-0000-0000-0000470E0000}"/>
    <cellStyle name="Normal 8 7 2 2 2 5 4 2" xfId="3680" xr:uid="{00000000-0005-0000-0000-0000480E0000}"/>
    <cellStyle name="Normal 8 7 2 2 2 5 4 2 2" xfId="7601" xr:uid="{89FB9681-E55C-4C5B-9EF2-A4A0B9BE5179}"/>
    <cellStyle name="Normal 8 7 2 2 2 5 4 2 2 2" xfId="15461" xr:uid="{02756530-5CC4-43F9-9BEA-7F13961A6F57}"/>
    <cellStyle name="Normal 8 7 2 2 2 5 4 2 3" xfId="11541" xr:uid="{D27FE9E7-0686-4C1C-8963-51BD95ABC150}"/>
    <cellStyle name="Normal 8 7 2 2 2 5 4 3" xfId="5647" xr:uid="{88D48ABF-DCF5-4B0A-A705-7B6641BC49F0}"/>
    <cellStyle name="Normal 8 7 2 2 2 5 4 3 2" xfId="13507" xr:uid="{815B5789-58FA-4B41-9A69-A386A72B5D0A}"/>
    <cellStyle name="Normal 8 7 2 2 2 5 4 4" xfId="9588" xr:uid="{702D03BD-AA6A-4128-9B59-910E69A0F212}"/>
    <cellStyle name="Normal 8 7 2 2 2 5 5" xfId="2380" xr:uid="{00000000-0005-0000-0000-0000490E0000}"/>
    <cellStyle name="Normal 8 7 2 2 2 5 5 2" xfId="6301" xr:uid="{442445B5-75C1-479A-847F-A312A0ADD39A}"/>
    <cellStyle name="Normal 8 7 2 2 2 5 5 2 2" xfId="14161" xr:uid="{205B1827-8FA0-4EBE-B4C4-498C2C287D31}"/>
    <cellStyle name="Normal 8 7 2 2 2 5 5 3" xfId="10241" xr:uid="{AE04A7F6-26DC-4F25-B8D7-0C18D360874C}"/>
    <cellStyle name="Normal 8 7 2 2 2 5 6" xfId="4347" xr:uid="{65BDB39B-8640-4738-A01B-6555CE9D59D1}"/>
    <cellStyle name="Normal 8 7 2 2 2 5 6 2" xfId="12207" xr:uid="{3C430C38-1CE4-44C4-AB2B-F28557E87CC7}"/>
    <cellStyle name="Normal 8 7 2 2 2 5 7" xfId="8288" xr:uid="{08F4DC58-F034-45C7-9E91-81A50205F016}"/>
    <cellStyle name="Normal 8 7 2 2 2 6" xfId="517" xr:uid="{00000000-0005-0000-0000-00004A0E0000}"/>
    <cellStyle name="Normal 8 7 2 2 2 6 2" xfId="2471" xr:uid="{00000000-0005-0000-0000-00004B0E0000}"/>
    <cellStyle name="Normal 8 7 2 2 2 6 2 2" xfId="6392" xr:uid="{77E910E5-2A4F-4BED-A901-9EEBCE7AC7B4}"/>
    <cellStyle name="Normal 8 7 2 2 2 6 2 2 2" xfId="14252" xr:uid="{DE04EF32-8498-4E85-A27C-6DD6FBCFB097}"/>
    <cellStyle name="Normal 8 7 2 2 2 6 2 3" xfId="10332" xr:uid="{7B2895E0-4E3A-468E-8771-CD0E36363FF2}"/>
    <cellStyle name="Normal 8 7 2 2 2 6 3" xfId="4438" xr:uid="{F2A11D3D-BDB1-466E-A4A9-FE030878B0A8}"/>
    <cellStyle name="Normal 8 7 2 2 2 6 3 2" xfId="12298" xr:uid="{57C0C7A0-185F-4EED-A64D-022A90D9561A}"/>
    <cellStyle name="Normal 8 7 2 2 2 6 4" xfId="8379" xr:uid="{4FD92418-03B3-40A3-B62C-E17A0CC4377A}"/>
    <cellStyle name="Normal 8 7 2 2 2 7" xfId="954" xr:uid="{00000000-0005-0000-0000-00004C0E0000}"/>
    <cellStyle name="Normal 8 7 2 2 2 7 2" xfId="2908" xr:uid="{00000000-0005-0000-0000-00004D0E0000}"/>
    <cellStyle name="Normal 8 7 2 2 2 7 2 2" xfId="6829" xr:uid="{5A355CC8-9AB0-4F60-B474-B2CB3F8CF0A0}"/>
    <cellStyle name="Normal 8 7 2 2 2 7 2 2 2" xfId="14689" xr:uid="{8D79AFA2-B5AE-41E0-AE37-63DE841D8679}"/>
    <cellStyle name="Normal 8 7 2 2 2 7 2 3" xfId="10769" xr:uid="{B43AC727-7F6C-43BD-A704-96F25268ECA2}"/>
    <cellStyle name="Normal 8 7 2 2 2 7 3" xfId="4875" xr:uid="{E91370C5-0EE3-48E7-9BD6-EED40F973FA2}"/>
    <cellStyle name="Normal 8 7 2 2 2 7 3 2" xfId="12735" xr:uid="{C9D279AD-85D3-47B4-A94D-8F1544741A11}"/>
    <cellStyle name="Normal 8 7 2 2 2 7 4" xfId="8816" xr:uid="{4A6658EF-F49C-4AC2-99FF-C75D96787F4E}"/>
    <cellStyle name="Normal 8 7 2 2 2 8" xfId="1381" xr:uid="{00000000-0005-0000-0000-00004E0E0000}"/>
    <cellStyle name="Normal 8 7 2 2 2 8 2" xfId="3335" xr:uid="{00000000-0005-0000-0000-00004F0E0000}"/>
    <cellStyle name="Normal 8 7 2 2 2 8 2 2" xfId="7256" xr:uid="{3388F191-2AAE-4D63-9AB3-4221B278094F}"/>
    <cellStyle name="Normal 8 7 2 2 2 8 2 2 2" xfId="15116" xr:uid="{B686CD0B-3AE7-480C-960D-658B94C761E9}"/>
    <cellStyle name="Normal 8 7 2 2 2 8 2 3" xfId="11196" xr:uid="{22E8832F-FE11-4C7E-8744-E3E3F327E0E6}"/>
    <cellStyle name="Normal 8 7 2 2 2 8 3" xfId="5302" xr:uid="{DC1E41A8-EEDE-4A0D-8EC0-BBCCB1FCC5E3}"/>
    <cellStyle name="Normal 8 7 2 2 2 8 3 2" xfId="13162" xr:uid="{82EF6A53-C200-42F9-A10F-36690A6F920D}"/>
    <cellStyle name="Normal 8 7 2 2 2 8 4" xfId="9243" xr:uid="{8CF720DA-5945-4041-9F69-9DAAB7EE7419}"/>
    <cellStyle name="Normal 8 7 2 2 2 9" xfId="2034" xr:uid="{00000000-0005-0000-0000-0000500E0000}"/>
    <cellStyle name="Normal 8 7 2 2 2 9 2" xfId="5955" xr:uid="{1BF7C3AA-FB50-4010-B44F-785C12BF2C7A}"/>
    <cellStyle name="Normal 8 7 2 2 2 9 2 2" xfId="13815" xr:uid="{15E523C9-DAE1-40CB-9FED-04E2F76BBDB1}"/>
    <cellStyle name="Normal 8 7 2 2 2 9 3" xfId="9895" xr:uid="{DC3D0EA5-3C2F-46BE-A380-B44060FC0D21}"/>
    <cellStyle name="Normal 8 7 2 2 3" xfId="182" xr:uid="{00000000-0005-0000-0000-0000510E0000}"/>
    <cellStyle name="Normal 8 7 2 2 3 2" xfId="634" xr:uid="{00000000-0005-0000-0000-0000520E0000}"/>
    <cellStyle name="Normal 8 7 2 2 3 2 2" xfId="2588" xr:uid="{00000000-0005-0000-0000-0000530E0000}"/>
    <cellStyle name="Normal 8 7 2 2 3 2 2 2" xfId="6509" xr:uid="{EEC089C9-FE1F-4D2A-8D74-02A344B21DEC}"/>
    <cellStyle name="Normal 8 7 2 2 3 2 2 2 2" xfId="14369" xr:uid="{942886C5-EC32-4B0C-A417-3A3580F1B669}"/>
    <cellStyle name="Normal 8 7 2 2 3 2 2 3" xfId="10449" xr:uid="{B1A7AA60-B5A8-4736-A7CF-133C2D53A691}"/>
    <cellStyle name="Normal 8 7 2 2 3 2 3" xfId="4555" xr:uid="{DBEC2FD7-0502-4C82-AF61-8F366E2F2796}"/>
    <cellStyle name="Normal 8 7 2 2 3 2 3 2" xfId="12415" xr:uid="{6B0A1044-F27E-4578-9FE0-FEC5B29D4EC7}"/>
    <cellStyle name="Normal 8 7 2 2 3 2 4" xfId="8496" xr:uid="{7F787120-461E-49F9-9A4D-C77C7AD01D3C}"/>
    <cellStyle name="Normal 8 7 2 2 3 3" xfId="1071" xr:uid="{00000000-0005-0000-0000-0000540E0000}"/>
    <cellStyle name="Normal 8 7 2 2 3 3 2" xfId="3025" xr:uid="{00000000-0005-0000-0000-0000550E0000}"/>
    <cellStyle name="Normal 8 7 2 2 3 3 2 2" xfId="6946" xr:uid="{8FE1C062-E1C3-45B5-843D-694724DE9C2C}"/>
    <cellStyle name="Normal 8 7 2 2 3 3 2 2 2" xfId="14806" xr:uid="{101CEB2B-D6C5-4EDC-BE1F-BF1262EAD3A0}"/>
    <cellStyle name="Normal 8 7 2 2 3 3 2 3" xfId="10886" xr:uid="{75ADBB19-B51D-4EF8-820F-B5F9D827A977}"/>
    <cellStyle name="Normal 8 7 2 2 3 3 3" xfId="4992" xr:uid="{9522EB00-871C-4623-BB93-8E167BFBD49E}"/>
    <cellStyle name="Normal 8 7 2 2 3 3 3 2" xfId="12852" xr:uid="{67002C24-E607-43AA-8AF5-AE603DBA8FE3}"/>
    <cellStyle name="Normal 8 7 2 2 3 3 4" xfId="8933" xr:uid="{00FCCC2C-79BE-4789-8686-C1834E2A6C31}"/>
    <cellStyle name="Normal 8 7 2 2 3 4" xfId="1498" xr:uid="{00000000-0005-0000-0000-0000560E0000}"/>
    <cellStyle name="Normal 8 7 2 2 3 4 2" xfId="3452" xr:uid="{00000000-0005-0000-0000-0000570E0000}"/>
    <cellStyle name="Normal 8 7 2 2 3 4 2 2" xfId="7373" xr:uid="{662D6D9F-EF50-4592-9E67-B8C274669BF0}"/>
    <cellStyle name="Normal 8 7 2 2 3 4 2 2 2" xfId="15233" xr:uid="{80294405-7DBE-418A-AF66-5E4A943C643C}"/>
    <cellStyle name="Normal 8 7 2 2 3 4 2 3" xfId="11313" xr:uid="{96764685-20DA-46D9-98EE-88D69D7FC3BD}"/>
    <cellStyle name="Normal 8 7 2 2 3 4 3" xfId="5419" xr:uid="{58B2CAF1-F3FA-4AD8-8AC1-E35E7BADC0AE}"/>
    <cellStyle name="Normal 8 7 2 2 3 4 3 2" xfId="13279" xr:uid="{6848D50D-FA7A-4446-8173-1042550FAFED}"/>
    <cellStyle name="Normal 8 7 2 2 3 4 4" xfId="9360" xr:uid="{8C18D49A-8EB8-4766-B63A-9A53041CEEF6}"/>
    <cellStyle name="Normal 8 7 2 2 3 5" xfId="2151" xr:uid="{00000000-0005-0000-0000-0000580E0000}"/>
    <cellStyle name="Normal 8 7 2 2 3 5 2" xfId="6072" xr:uid="{F545CC1A-EB86-4D89-B536-C736D1EE2CA5}"/>
    <cellStyle name="Normal 8 7 2 2 3 5 2 2" xfId="13932" xr:uid="{BBD61B52-D059-4481-9033-1CA2E90924CC}"/>
    <cellStyle name="Normal 8 7 2 2 3 5 3" xfId="10012" xr:uid="{35CBDF63-CEE5-4D4D-ADCC-1EB71354A489}"/>
    <cellStyle name="Normal 8 7 2 2 3 6" xfId="4118" xr:uid="{F9F7E9F4-B1DB-413F-B312-1A7FA0BCA77D}"/>
    <cellStyle name="Normal 8 7 2 2 3 6 2" xfId="11978" xr:uid="{4804A347-4DA0-48B5-8268-D3463529C783}"/>
    <cellStyle name="Normal 8 7 2 2 3 7" xfId="8056" xr:uid="{AF98B59E-3E0C-491F-94BF-D5F0BDEBFD18}"/>
    <cellStyle name="Normal 8 7 2 2 4" xfId="104" xr:uid="{00000000-0005-0000-0000-0000590E0000}"/>
    <cellStyle name="Normal 8 7 2 2 4 2" xfId="556" xr:uid="{00000000-0005-0000-0000-00005A0E0000}"/>
    <cellStyle name="Normal 8 7 2 2 4 2 2" xfId="2510" xr:uid="{00000000-0005-0000-0000-00005B0E0000}"/>
    <cellStyle name="Normal 8 7 2 2 4 2 2 2" xfId="6431" xr:uid="{F14B9A67-08A3-45F1-BF6B-D67B9B927B3E}"/>
    <cellStyle name="Normal 8 7 2 2 4 2 2 2 2" xfId="14291" xr:uid="{17918BAF-BFA9-4E72-B284-EE49FC479F8A}"/>
    <cellStyle name="Normal 8 7 2 2 4 2 2 3" xfId="10371" xr:uid="{A0FF1008-D8F6-4F80-8D36-726F55447544}"/>
    <cellStyle name="Normal 8 7 2 2 4 2 3" xfId="4477" xr:uid="{99B5ED73-A16C-41EB-BD9F-514D861931E7}"/>
    <cellStyle name="Normal 8 7 2 2 4 2 3 2" xfId="12337" xr:uid="{C5FDAB5D-7B18-45DC-B6C5-298773D8951C}"/>
    <cellStyle name="Normal 8 7 2 2 4 2 4" xfId="8418" xr:uid="{9CC941B1-EC8F-4517-A6A6-2DE09D6CE23B}"/>
    <cellStyle name="Normal 8 7 2 2 4 3" xfId="993" xr:uid="{00000000-0005-0000-0000-00005C0E0000}"/>
    <cellStyle name="Normal 8 7 2 2 4 3 2" xfId="2947" xr:uid="{00000000-0005-0000-0000-00005D0E0000}"/>
    <cellStyle name="Normal 8 7 2 2 4 3 2 2" xfId="6868" xr:uid="{6AB4FBAB-1DC7-48FB-887B-71E505A05AC2}"/>
    <cellStyle name="Normal 8 7 2 2 4 3 2 2 2" xfId="14728" xr:uid="{6A35F59E-7929-45DE-92A7-2434BC3A7F80}"/>
    <cellStyle name="Normal 8 7 2 2 4 3 2 3" xfId="10808" xr:uid="{79840EB0-A670-4E88-8040-103D6F865BA0}"/>
    <cellStyle name="Normal 8 7 2 2 4 3 3" xfId="4914" xr:uid="{25EE4ED9-422F-44AA-BB3A-22D2E410F787}"/>
    <cellStyle name="Normal 8 7 2 2 4 3 3 2" xfId="12774" xr:uid="{EE33F375-2018-407F-A217-AA2FAD7FDB7D}"/>
    <cellStyle name="Normal 8 7 2 2 4 3 4" xfId="8855" xr:uid="{3D710339-3863-49A0-AB71-C3B96EAC57BF}"/>
    <cellStyle name="Normal 8 7 2 2 4 4" xfId="1420" xr:uid="{00000000-0005-0000-0000-00005E0E0000}"/>
    <cellStyle name="Normal 8 7 2 2 4 4 2" xfId="3374" xr:uid="{00000000-0005-0000-0000-00005F0E0000}"/>
    <cellStyle name="Normal 8 7 2 2 4 4 2 2" xfId="7295" xr:uid="{41E7CFD1-99F2-4A55-B718-36A251732F3D}"/>
    <cellStyle name="Normal 8 7 2 2 4 4 2 2 2" xfId="15155" xr:uid="{9E7E9FF1-77C7-4C1D-983D-AEBE5F15638A}"/>
    <cellStyle name="Normal 8 7 2 2 4 4 2 3" xfId="11235" xr:uid="{55F9ED2C-4526-466C-8B0B-F8025768F3C9}"/>
    <cellStyle name="Normal 8 7 2 2 4 4 3" xfId="5341" xr:uid="{B7F7777A-DE88-4344-A337-C27FF9C4903C}"/>
    <cellStyle name="Normal 8 7 2 2 4 4 3 2" xfId="13201" xr:uid="{EF0E8CFF-91AF-4536-83FD-5A22E644B036}"/>
    <cellStyle name="Normal 8 7 2 2 4 4 4" xfId="9282" xr:uid="{6BE95414-5AD5-420A-8E71-EB7962DA9E33}"/>
    <cellStyle name="Normal 8 7 2 2 4 5" xfId="2073" xr:uid="{00000000-0005-0000-0000-0000600E0000}"/>
    <cellStyle name="Normal 8 7 2 2 4 5 2" xfId="5994" xr:uid="{9322FC7A-0927-4362-B40A-9ED25EF17560}"/>
    <cellStyle name="Normal 8 7 2 2 4 5 2 2" xfId="13854" xr:uid="{973D0E6E-F754-4D11-90F6-865ED9AAE5A6}"/>
    <cellStyle name="Normal 8 7 2 2 4 5 3" xfId="9934" xr:uid="{FAD8E536-2E1B-4B08-8281-CBA60EBF1542}"/>
    <cellStyle name="Normal 8 7 2 2 4 6" xfId="4040" xr:uid="{C95EFD04-96F4-43FA-9C84-A16276971F31}"/>
    <cellStyle name="Normal 8 7 2 2 4 6 2" xfId="11900" xr:uid="{0C9ACD84-0772-49D1-A347-0E3B304D8DDC}"/>
    <cellStyle name="Normal 8 7 2 2 4 7" xfId="7978" xr:uid="{6EFC7E59-FC32-493F-8015-AC6F63872ABA}"/>
    <cellStyle name="Normal 8 7 2 2 5" xfId="280" xr:uid="{00000000-0005-0000-0000-0000610E0000}"/>
    <cellStyle name="Normal 8 7 2 2 5 2" xfId="732" xr:uid="{00000000-0005-0000-0000-0000620E0000}"/>
    <cellStyle name="Normal 8 7 2 2 5 2 2" xfId="2686" xr:uid="{00000000-0005-0000-0000-0000630E0000}"/>
    <cellStyle name="Normal 8 7 2 2 5 2 2 2" xfId="6607" xr:uid="{2A48D33D-A17C-4617-8337-A2B63D563C20}"/>
    <cellStyle name="Normal 8 7 2 2 5 2 2 2 2" xfId="14467" xr:uid="{77F065BB-3713-440A-9D5E-B92FAFAB5830}"/>
    <cellStyle name="Normal 8 7 2 2 5 2 2 3" xfId="10547" xr:uid="{94F3ADA3-E158-4824-9F36-5B138DEDFEC0}"/>
    <cellStyle name="Normal 8 7 2 2 5 2 3" xfId="4653" xr:uid="{B89B7C61-5337-4408-9E9A-550B4D1DD3E3}"/>
    <cellStyle name="Normal 8 7 2 2 5 2 3 2" xfId="12513" xr:uid="{C583049D-3626-430E-8B13-3667ADF693E8}"/>
    <cellStyle name="Normal 8 7 2 2 5 2 4" xfId="8594" xr:uid="{EDEA9100-64C8-40B8-8703-8C34C2CC2DE8}"/>
    <cellStyle name="Normal 8 7 2 2 5 3" xfId="1168" xr:uid="{00000000-0005-0000-0000-0000640E0000}"/>
    <cellStyle name="Normal 8 7 2 2 5 3 2" xfId="3122" xr:uid="{00000000-0005-0000-0000-0000650E0000}"/>
    <cellStyle name="Normal 8 7 2 2 5 3 2 2" xfId="7043" xr:uid="{F2D0DD21-7A14-420B-A5BD-557AC8DC48D0}"/>
    <cellStyle name="Normal 8 7 2 2 5 3 2 2 2" xfId="14903" xr:uid="{42320C4F-0C1E-44EC-A807-FF089100C28C}"/>
    <cellStyle name="Normal 8 7 2 2 5 3 2 3" xfId="10983" xr:uid="{A835615F-6B2D-44B8-B327-5202F8FE87E8}"/>
    <cellStyle name="Normal 8 7 2 2 5 3 3" xfId="5089" xr:uid="{D91AABB4-1D7E-446E-B4EC-074837AC8291}"/>
    <cellStyle name="Normal 8 7 2 2 5 3 3 2" xfId="12949" xr:uid="{B4B0C306-259F-469B-AB4C-95315C377B0F}"/>
    <cellStyle name="Normal 8 7 2 2 5 3 4" xfId="9030" xr:uid="{DA2E6E78-C139-4D70-8CFA-18E80E19C156}"/>
    <cellStyle name="Normal 8 7 2 2 5 4" xfId="1589" xr:uid="{00000000-0005-0000-0000-0000660E0000}"/>
    <cellStyle name="Normal 8 7 2 2 5 4 2" xfId="3543" xr:uid="{00000000-0005-0000-0000-0000670E0000}"/>
    <cellStyle name="Normal 8 7 2 2 5 4 2 2" xfId="7464" xr:uid="{EF8098AB-35E3-4D21-A083-8AFA264F15C0}"/>
    <cellStyle name="Normal 8 7 2 2 5 4 2 2 2" xfId="15324" xr:uid="{7A51F163-DCE9-40AC-8821-DCA5579E8E7B}"/>
    <cellStyle name="Normal 8 7 2 2 5 4 2 3" xfId="11404" xr:uid="{17A3A94A-C000-4EF0-9665-D2436DF541AF}"/>
    <cellStyle name="Normal 8 7 2 2 5 4 3" xfId="5510" xr:uid="{32B2563B-5CC8-4C8C-BE78-7EF26D9ED009}"/>
    <cellStyle name="Normal 8 7 2 2 5 4 3 2" xfId="13370" xr:uid="{FA7CE280-D00E-4B08-AC87-35039FD111D3}"/>
    <cellStyle name="Normal 8 7 2 2 5 4 4" xfId="9451" xr:uid="{7D581460-BB04-4EDA-A570-13B2D84C66E0}"/>
    <cellStyle name="Normal 8 7 2 2 5 5" xfId="2243" xr:uid="{00000000-0005-0000-0000-0000680E0000}"/>
    <cellStyle name="Normal 8 7 2 2 5 5 2" xfId="6164" xr:uid="{9BCB43D2-8C8F-4895-A863-901E777C5D8B}"/>
    <cellStyle name="Normal 8 7 2 2 5 5 2 2" xfId="14024" xr:uid="{E113790D-419A-425E-883B-39385A702456}"/>
    <cellStyle name="Normal 8 7 2 2 5 5 3" xfId="10104" xr:uid="{1CA4BEF2-2D0E-41A1-B41E-A54AC30189EB}"/>
    <cellStyle name="Normal 8 7 2 2 5 6" xfId="4210" xr:uid="{56133B98-FB30-4E5A-A242-8B088069F834}"/>
    <cellStyle name="Normal 8 7 2 2 5 6 2" xfId="12070" xr:uid="{290E24D4-5FC7-40CC-A991-FAFC8D4D10AD}"/>
    <cellStyle name="Normal 8 7 2 2 5 7" xfId="8149" xr:uid="{A7336AB7-C8C3-462B-B9E2-E069CCCBDE0A}"/>
    <cellStyle name="Normal 8 7 2 2 6" xfId="380" xr:uid="{00000000-0005-0000-0000-0000690E0000}"/>
    <cellStyle name="Normal 8 7 2 2 6 2" xfId="831" xr:uid="{00000000-0005-0000-0000-00006A0E0000}"/>
    <cellStyle name="Normal 8 7 2 2 6 2 2" xfId="2785" xr:uid="{00000000-0005-0000-0000-00006B0E0000}"/>
    <cellStyle name="Normal 8 7 2 2 6 2 2 2" xfId="6706" xr:uid="{D644B3DE-AEC3-474C-B1CB-38303D2FD82B}"/>
    <cellStyle name="Normal 8 7 2 2 6 2 2 2 2" xfId="14566" xr:uid="{77205BCF-F205-4834-9795-E42E1E0FBFD3}"/>
    <cellStyle name="Normal 8 7 2 2 6 2 2 3" xfId="10646" xr:uid="{837F271B-F75C-4775-B4E2-64FF31684DCC}"/>
    <cellStyle name="Normal 8 7 2 2 6 2 3" xfId="4752" xr:uid="{FD0A9956-B0D5-4B45-A792-86B5C51B9ED3}"/>
    <cellStyle name="Normal 8 7 2 2 6 2 3 2" xfId="12612" xr:uid="{017FF170-B0CB-4881-B67C-53D5C71A1639}"/>
    <cellStyle name="Normal 8 7 2 2 6 2 4" xfId="8693" xr:uid="{31C132C2-3328-464F-B22E-C8F93A7FF8AD}"/>
    <cellStyle name="Normal 8 7 2 2 6 3" xfId="1263" xr:uid="{00000000-0005-0000-0000-00006C0E0000}"/>
    <cellStyle name="Normal 8 7 2 2 6 3 2" xfId="3217" xr:uid="{00000000-0005-0000-0000-00006D0E0000}"/>
    <cellStyle name="Normal 8 7 2 2 6 3 2 2" xfId="7138" xr:uid="{FBAD0F13-E908-432E-9BA8-DF7CFB17F6E8}"/>
    <cellStyle name="Normal 8 7 2 2 6 3 2 2 2" xfId="14998" xr:uid="{3FD1971F-3A47-404A-BCF3-40BEC2192043}"/>
    <cellStyle name="Normal 8 7 2 2 6 3 2 3" xfId="11078" xr:uid="{D98A84EE-8EF4-4987-BBD7-23418FCA0539}"/>
    <cellStyle name="Normal 8 7 2 2 6 3 3" xfId="5184" xr:uid="{123E5488-4B65-4338-826B-8B106899C116}"/>
    <cellStyle name="Normal 8 7 2 2 6 3 3 2" xfId="13044" xr:uid="{4DE0DC15-8C07-48BD-8913-AD55539F67E6}"/>
    <cellStyle name="Normal 8 7 2 2 6 3 4" xfId="9125" xr:uid="{2D2D98E8-D63A-4D2B-96F7-7BDE388B11FD}"/>
    <cellStyle name="Normal 8 7 2 2 6 4" xfId="1681" xr:uid="{00000000-0005-0000-0000-00006E0E0000}"/>
    <cellStyle name="Normal 8 7 2 2 6 4 2" xfId="3635" xr:uid="{00000000-0005-0000-0000-00006F0E0000}"/>
    <cellStyle name="Normal 8 7 2 2 6 4 2 2" xfId="7556" xr:uid="{E3EA3914-A9F7-4F72-ABEA-8A2F816D1EB1}"/>
    <cellStyle name="Normal 8 7 2 2 6 4 2 2 2" xfId="15416" xr:uid="{FD8C1917-A460-4C04-ABCB-0D24530078CB}"/>
    <cellStyle name="Normal 8 7 2 2 6 4 2 3" xfId="11496" xr:uid="{3988F64D-CB5E-4627-B9D5-DD2D6F33C4A7}"/>
    <cellStyle name="Normal 8 7 2 2 6 4 3" xfId="5602" xr:uid="{8A864A38-0A4A-4129-B4ED-D400024ED742}"/>
    <cellStyle name="Normal 8 7 2 2 6 4 3 2" xfId="13462" xr:uid="{B338FD78-BF9C-4673-90EB-9C3B490F826F}"/>
    <cellStyle name="Normal 8 7 2 2 6 4 4" xfId="9543" xr:uid="{BAEEFE8F-E93F-4713-A227-F7040DE97E78}"/>
    <cellStyle name="Normal 8 7 2 2 6 5" xfId="2335" xr:uid="{00000000-0005-0000-0000-0000700E0000}"/>
    <cellStyle name="Normal 8 7 2 2 6 5 2" xfId="6256" xr:uid="{2CA12F76-D29B-445A-8C92-2E1AE72AC0DF}"/>
    <cellStyle name="Normal 8 7 2 2 6 5 2 2" xfId="14116" xr:uid="{B70D6BB6-E2FC-41F8-80C2-5BFDB5B947D0}"/>
    <cellStyle name="Normal 8 7 2 2 6 5 3" xfId="10196" xr:uid="{F8BAAF19-44C0-46BC-95D7-708A50823B14}"/>
    <cellStyle name="Normal 8 7 2 2 6 6" xfId="4302" xr:uid="{C84EB03A-0904-4348-ACB6-C9FE5F908388}"/>
    <cellStyle name="Normal 8 7 2 2 6 6 2" xfId="12162" xr:uid="{86F41C53-3EC6-4B88-BE00-985E65D41444}"/>
    <cellStyle name="Normal 8 7 2 2 6 7" xfId="8243" xr:uid="{423673B6-35CF-4622-8290-6F31FA63815A}"/>
    <cellStyle name="Normal 8 7 2 2 7" xfId="477" xr:uid="{00000000-0005-0000-0000-0000710E0000}"/>
    <cellStyle name="Normal 8 7 2 2 7 2" xfId="2431" xr:uid="{00000000-0005-0000-0000-0000720E0000}"/>
    <cellStyle name="Normal 8 7 2 2 7 2 2" xfId="6352" xr:uid="{B35D031A-DC12-41D1-AB11-14EE2E106FE2}"/>
    <cellStyle name="Normal 8 7 2 2 7 2 2 2" xfId="14212" xr:uid="{E15AD49C-6564-4222-B5AF-7A66CC95B73A}"/>
    <cellStyle name="Normal 8 7 2 2 7 2 3" xfId="10292" xr:uid="{CFA50F1A-1AD8-4439-8E46-F462D23F8290}"/>
    <cellStyle name="Normal 8 7 2 2 7 3" xfId="4398" xr:uid="{BB0436B2-42DA-43D9-87AA-B304ED884DD3}"/>
    <cellStyle name="Normal 8 7 2 2 7 3 2" xfId="12258" xr:uid="{B61BB197-C667-4846-80A4-12FB42E819E0}"/>
    <cellStyle name="Normal 8 7 2 2 7 4" xfId="8339" xr:uid="{8CB654AB-AE20-44CD-9A52-86F67BD26030}"/>
    <cellStyle name="Normal 8 7 2 2 8" xfId="913" xr:uid="{00000000-0005-0000-0000-0000730E0000}"/>
    <cellStyle name="Normal 8 7 2 2 8 2" xfId="2867" xr:uid="{00000000-0005-0000-0000-0000740E0000}"/>
    <cellStyle name="Normal 8 7 2 2 8 2 2" xfId="6788" xr:uid="{568F1DCB-1969-4EB2-892C-6017C74B57EC}"/>
    <cellStyle name="Normal 8 7 2 2 8 2 2 2" xfId="14648" xr:uid="{F4DC8EFE-53B0-4711-A168-BA81A9C43C2E}"/>
    <cellStyle name="Normal 8 7 2 2 8 2 3" xfId="10728" xr:uid="{E7541FF4-12BB-4389-96E4-D938B87EE1E1}"/>
    <cellStyle name="Normal 8 7 2 2 8 3" xfId="4834" xr:uid="{2E4E7775-7934-4154-81BA-7E0C40BB5D11}"/>
    <cellStyle name="Normal 8 7 2 2 8 3 2" xfId="12694" xr:uid="{6419316C-19DC-4A20-8296-B3AC385ED887}"/>
    <cellStyle name="Normal 8 7 2 2 8 4" xfId="8775" xr:uid="{0A6D93AB-6A1F-4AAC-A975-4F6450E867FE}"/>
    <cellStyle name="Normal 8 7 2 2 9" xfId="1342" xr:uid="{00000000-0005-0000-0000-0000750E0000}"/>
    <cellStyle name="Normal 8 7 2 2 9 2" xfId="3296" xr:uid="{00000000-0005-0000-0000-0000760E0000}"/>
    <cellStyle name="Normal 8 7 2 2 9 2 2" xfId="7217" xr:uid="{9808028B-553D-46AB-9FEE-807404CE26ED}"/>
    <cellStyle name="Normal 8 7 2 2 9 2 2 2" xfId="15077" xr:uid="{31604838-7FE0-4886-B7D2-81524DCFB28A}"/>
    <cellStyle name="Normal 8 7 2 2 9 2 3" xfId="11157" xr:uid="{6B8861C2-144C-487F-8205-8BCA928B1832}"/>
    <cellStyle name="Normal 8 7 2 2 9 3" xfId="5263" xr:uid="{960FEBED-0A38-445C-95D6-53DADF729606}"/>
    <cellStyle name="Normal 8 7 2 2 9 3 2" xfId="13123" xr:uid="{4F602214-6DCB-4537-BE28-A4E07E361F23}"/>
    <cellStyle name="Normal 8 7 2 2 9 4" xfId="9204" xr:uid="{DAEF54CA-8863-4E52-96E4-9CBDB2B3F092}"/>
    <cellStyle name="Normal 8 7 2 3" xfId="35" xr:uid="{00000000-0005-0000-0000-0000770E0000}"/>
    <cellStyle name="Normal 8 7 2 3 10" xfId="2005" xr:uid="{00000000-0005-0000-0000-0000780E0000}"/>
    <cellStyle name="Normal 8 7 2 3 10 2" xfId="5926" xr:uid="{2EBF4105-221C-478C-8712-C8BAACC5923E}"/>
    <cellStyle name="Normal 8 7 2 3 10 2 2" xfId="13786" xr:uid="{09EBB41D-1DA5-4901-B64D-2EED28325C5D}"/>
    <cellStyle name="Normal 8 7 2 3 10 3" xfId="9866" xr:uid="{679ED34E-01BB-49C0-A45B-48B8712E2605}"/>
    <cellStyle name="Normal 8 7 2 3 11" xfId="3972" xr:uid="{C7C5C7D2-5537-4745-8208-EC69D2667F8E}"/>
    <cellStyle name="Normal 8 7 2 3 11 2" xfId="11832" xr:uid="{DA263EE2-D5A9-4825-A318-3ADF093F2992}"/>
    <cellStyle name="Normal 8 7 2 3 12" xfId="7910" xr:uid="{481B37F7-5140-4B9F-91C1-491CB643467A}"/>
    <cellStyle name="Normal 8 7 2 3 2" xfId="76" xr:uid="{00000000-0005-0000-0000-0000790E0000}"/>
    <cellStyle name="Normal 8 7 2 3 2 10" xfId="4012" xr:uid="{C2D1398F-3EB6-41EA-8EE8-DCEB6D76684F}"/>
    <cellStyle name="Normal 8 7 2 3 2 10 2" xfId="11872" xr:uid="{38932762-45B1-4C7C-AD2A-36E0EDE05A35}"/>
    <cellStyle name="Normal 8 7 2 3 2 11" xfId="7950" xr:uid="{DB165CA4-2C73-4E90-A977-402AFA851C72}"/>
    <cellStyle name="Normal 8 7 2 3 2 2" xfId="232" xr:uid="{00000000-0005-0000-0000-00007A0E0000}"/>
    <cellStyle name="Normal 8 7 2 3 2 2 2" xfId="684" xr:uid="{00000000-0005-0000-0000-00007B0E0000}"/>
    <cellStyle name="Normal 8 7 2 3 2 2 2 2" xfId="2638" xr:uid="{00000000-0005-0000-0000-00007C0E0000}"/>
    <cellStyle name="Normal 8 7 2 3 2 2 2 2 2" xfId="6559" xr:uid="{2F5FE54D-1B38-4593-BC15-AA7ADCB82B97}"/>
    <cellStyle name="Normal 8 7 2 3 2 2 2 2 2 2" xfId="14419" xr:uid="{8571161F-E594-43E1-9467-DF38A0C7800F}"/>
    <cellStyle name="Normal 8 7 2 3 2 2 2 2 3" xfId="10499" xr:uid="{5B623507-FDAF-486E-8370-E8547722CA0F}"/>
    <cellStyle name="Normal 8 7 2 3 2 2 2 3" xfId="4605" xr:uid="{25ED6F64-A31D-4A18-AA3B-136BA802BDFB}"/>
    <cellStyle name="Normal 8 7 2 3 2 2 2 3 2" xfId="12465" xr:uid="{F2830486-872D-4A31-AA0E-609C0E2C5CDF}"/>
    <cellStyle name="Normal 8 7 2 3 2 2 2 4" xfId="8546" xr:uid="{55D8CADD-0E6A-4802-84F3-8C13364D2649}"/>
    <cellStyle name="Normal 8 7 2 3 2 2 3" xfId="1121" xr:uid="{00000000-0005-0000-0000-00007D0E0000}"/>
    <cellStyle name="Normal 8 7 2 3 2 2 3 2" xfId="3075" xr:uid="{00000000-0005-0000-0000-00007E0E0000}"/>
    <cellStyle name="Normal 8 7 2 3 2 2 3 2 2" xfId="6996" xr:uid="{5CD2254C-9274-4663-B609-7AEE999EF786}"/>
    <cellStyle name="Normal 8 7 2 3 2 2 3 2 2 2" xfId="14856" xr:uid="{BE0C4D83-6F39-43A7-BCAD-7E5D3EBCD5D9}"/>
    <cellStyle name="Normal 8 7 2 3 2 2 3 2 3" xfId="10936" xr:uid="{3B5814BC-670A-4322-A52F-2F30DED4DD34}"/>
    <cellStyle name="Normal 8 7 2 3 2 2 3 3" xfId="5042" xr:uid="{347820F9-2310-4B09-A868-E85F4E0BE7BD}"/>
    <cellStyle name="Normal 8 7 2 3 2 2 3 3 2" xfId="12902" xr:uid="{4CDF71F0-2865-4B96-9058-90E24CA56D85}"/>
    <cellStyle name="Normal 8 7 2 3 2 2 3 4" xfId="8983" xr:uid="{A7C44F80-23E3-4EAC-9DC5-CFC7A5428769}"/>
    <cellStyle name="Normal 8 7 2 3 2 2 4" xfId="1548" xr:uid="{00000000-0005-0000-0000-00007F0E0000}"/>
    <cellStyle name="Normal 8 7 2 3 2 2 4 2" xfId="3502" xr:uid="{00000000-0005-0000-0000-0000800E0000}"/>
    <cellStyle name="Normal 8 7 2 3 2 2 4 2 2" xfId="7423" xr:uid="{06C95C9C-C824-463F-9040-F4A14A777159}"/>
    <cellStyle name="Normal 8 7 2 3 2 2 4 2 2 2" xfId="15283" xr:uid="{97D91A6E-A183-46BD-897A-02445688C354}"/>
    <cellStyle name="Normal 8 7 2 3 2 2 4 2 3" xfId="11363" xr:uid="{C9F27A07-B687-4BDF-9060-BB4D311BBB26}"/>
    <cellStyle name="Normal 8 7 2 3 2 2 4 3" xfId="5469" xr:uid="{FFA8F432-3FCD-448A-A163-7FE81DC4FD8F}"/>
    <cellStyle name="Normal 8 7 2 3 2 2 4 3 2" xfId="13329" xr:uid="{9BD65674-AA33-4B81-9FF0-B9D15956D81D}"/>
    <cellStyle name="Normal 8 7 2 3 2 2 4 4" xfId="9410" xr:uid="{0459138A-013F-4003-B0AE-20ABF082F38E}"/>
    <cellStyle name="Normal 8 7 2 3 2 2 5" xfId="2201" xr:uid="{00000000-0005-0000-0000-0000810E0000}"/>
    <cellStyle name="Normal 8 7 2 3 2 2 5 2" xfId="6122" xr:uid="{C992A920-F401-4B25-A70E-6BD26FA4349C}"/>
    <cellStyle name="Normal 8 7 2 3 2 2 5 2 2" xfId="13982" xr:uid="{CA6E3638-B809-44FA-A2C3-75AD6DF5EAF9}"/>
    <cellStyle name="Normal 8 7 2 3 2 2 5 3" xfId="10062" xr:uid="{F9909712-C212-4EA4-9A24-13522F84EE82}"/>
    <cellStyle name="Normal 8 7 2 3 2 2 6" xfId="4168" xr:uid="{1354EFEC-01BE-4B41-AAD9-83BA7E2CA039}"/>
    <cellStyle name="Normal 8 7 2 3 2 2 6 2" xfId="12028" xr:uid="{A1F90884-2ECF-49FD-AE10-DB6253BD9204}"/>
    <cellStyle name="Normal 8 7 2 3 2 2 7" xfId="8106" xr:uid="{B905F9EC-664F-47A5-B051-0DF1902FF685}"/>
    <cellStyle name="Normal 8 7 2 3 2 3" xfId="154" xr:uid="{00000000-0005-0000-0000-0000820E0000}"/>
    <cellStyle name="Normal 8 7 2 3 2 3 2" xfId="606" xr:uid="{00000000-0005-0000-0000-0000830E0000}"/>
    <cellStyle name="Normal 8 7 2 3 2 3 2 2" xfId="2560" xr:uid="{00000000-0005-0000-0000-0000840E0000}"/>
    <cellStyle name="Normal 8 7 2 3 2 3 2 2 2" xfId="6481" xr:uid="{3D7F8D17-29C9-4A38-88B0-FB7C29D15E8F}"/>
    <cellStyle name="Normal 8 7 2 3 2 3 2 2 2 2" xfId="14341" xr:uid="{88FA8078-687B-4D6C-96AE-BC76114366A3}"/>
    <cellStyle name="Normal 8 7 2 3 2 3 2 2 3" xfId="10421" xr:uid="{A7633AAA-2152-49EF-A1F0-66DFA61BD0BC}"/>
    <cellStyle name="Normal 8 7 2 3 2 3 2 3" xfId="4527" xr:uid="{7A2085ED-F221-405A-988D-E178B2F65510}"/>
    <cellStyle name="Normal 8 7 2 3 2 3 2 3 2" xfId="12387" xr:uid="{D002737C-E2AC-4223-A33C-3DD0348921BD}"/>
    <cellStyle name="Normal 8 7 2 3 2 3 2 4" xfId="8468" xr:uid="{BD88DD86-80A9-477F-B326-981E7A4389AC}"/>
    <cellStyle name="Normal 8 7 2 3 2 3 3" xfId="1043" xr:uid="{00000000-0005-0000-0000-0000850E0000}"/>
    <cellStyle name="Normal 8 7 2 3 2 3 3 2" xfId="2997" xr:uid="{00000000-0005-0000-0000-0000860E0000}"/>
    <cellStyle name="Normal 8 7 2 3 2 3 3 2 2" xfId="6918" xr:uid="{C8579B9A-4E82-4C25-965A-53EF3CB89595}"/>
    <cellStyle name="Normal 8 7 2 3 2 3 3 2 2 2" xfId="14778" xr:uid="{3B83AFCF-6335-45BE-BBA4-E6887345EB10}"/>
    <cellStyle name="Normal 8 7 2 3 2 3 3 2 3" xfId="10858" xr:uid="{B342E566-2652-4B4B-926E-E8471E308A06}"/>
    <cellStyle name="Normal 8 7 2 3 2 3 3 3" xfId="4964" xr:uid="{A048BBB5-7C21-4E41-BD5B-B23B57C36E34}"/>
    <cellStyle name="Normal 8 7 2 3 2 3 3 3 2" xfId="12824" xr:uid="{40BA577F-742B-4C5D-B2E7-57B59ABF1D79}"/>
    <cellStyle name="Normal 8 7 2 3 2 3 3 4" xfId="8905" xr:uid="{5D134FD2-2310-4B6C-B2CB-AF6FB1F4550E}"/>
    <cellStyle name="Normal 8 7 2 3 2 3 4" xfId="1470" xr:uid="{00000000-0005-0000-0000-0000870E0000}"/>
    <cellStyle name="Normal 8 7 2 3 2 3 4 2" xfId="3424" xr:uid="{00000000-0005-0000-0000-0000880E0000}"/>
    <cellStyle name="Normal 8 7 2 3 2 3 4 2 2" xfId="7345" xr:uid="{6F8E083D-CDFA-47BE-A224-1D28678C4E5F}"/>
    <cellStyle name="Normal 8 7 2 3 2 3 4 2 2 2" xfId="15205" xr:uid="{566E8616-8586-4AA9-A831-8A3CB8D76E43}"/>
    <cellStyle name="Normal 8 7 2 3 2 3 4 2 3" xfId="11285" xr:uid="{16782F85-B647-4825-8C19-B4DE3FF013F1}"/>
    <cellStyle name="Normal 8 7 2 3 2 3 4 3" xfId="5391" xr:uid="{1D87F174-77B5-4291-B58F-D880A506EB85}"/>
    <cellStyle name="Normal 8 7 2 3 2 3 4 3 2" xfId="13251" xr:uid="{0DAA2EAB-C6E6-42B9-8B83-923894C455A9}"/>
    <cellStyle name="Normal 8 7 2 3 2 3 4 4" xfId="9332" xr:uid="{1F48E4A0-F9A4-4F47-A9CB-820AE65F21D1}"/>
    <cellStyle name="Normal 8 7 2 3 2 3 5" xfId="2123" xr:uid="{00000000-0005-0000-0000-0000890E0000}"/>
    <cellStyle name="Normal 8 7 2 3 2 3 5 2" xfId="6044" xr:uid="{93D2DB2B-2DBA-4F45-B47E-46F7C1C10233}"/>
    <cellStyle name="Normal 8 7 2 3 2 3 5 2 2" xfId="13904" xr:uid="{0E6A2503-9D11-452F-941F-5F8A6A0D1C24}"/>
    <cellStyle name="Normal 8 7 2 3 2 3 5 3" xfId="9984" xr:uid="{47B03EAF-D333-43E6-A81E-E5FB3BE34D70}"/>
    <cellStyle name="Normal 8 7 2 3 2 3 6" xfId="4090" xr:uid="{5AE674BE-E67B-46E7-8A3A-EA36CA573A90}"/>
    <cellStyle name="Normal 8 7 2 3 2 3 6 2" xfId="11950" xr:uid="{F1776529-D440-4723-B183-551FB4040286}"/>
    <cellStyle name="Normal 8 7 2 3 2 3 7" xfId="8028" xr:uid="{E3EBB4C8-E1DD-4C02-8E81-C8C14AD0665D}"/>
    <cellStyle name="Normal 8 7 2 3 2 4" xfId="339" xr:uid="{00000000-0005-0000-0000-00008A0E0000}"/>
    <cellStyle name="Normal 8 7 2 3 2 4 2" xfId="791" xr:uid="{00000000-0005-0000-0000-00008B0E0000}"/>
    <cellStyle name="Normal 8 7 2 3 2 4 2 2" xfId="2745" xr:uid="{00000000-0005-0000-0000-00008C0E0000}"/>
    <cellStyle name="Normal 8 7 2 3 2 4 2 2 2" xfId="6666" xr:uid="{0B7A30F1-6642-47CB-A649-E44E21F2D86B}"/>
    <cellStyle name="Normal 8 7 2 3 2 4 2 2 2 2" xfId="14526" xr:uid="{F444A097-1008-4B55-A3AE-CC1CD8653CA3}"/>
    <cellStyle name="Normal 8 7 2 3 2 4 2 2 3" xfId="10606" xr:uid="{3131447B-B957-425F-B8EC-58BC28057554}"/>
    <cellStyle name="Normal 8 7 2 3 2 4 2 3" xfId="4712" xr:uid="{250F3B66-3435-4B3A-BE25-77DB081749B3}"/>
    <cellStyle name="Normal 8 7 2 3 2 4 2 3 2" xfId="12572" xr:uid="{FA9BE9CE-9424-480D-BFA1-244103A61617}"/>
    <cellStyle name="Normal 8 7 2 3 2 4 2 4" xfId="8653" xr:uid="{E7F476C8-B8EF-4DF8-BA30-57960CC8F3BD}"/>
    <cellStyle name="Normal 8 7 2 3 2 4 3" xfId="1225" xr:uid="{00000000-0005-0000-0000-00008D0E0000}"/>
    <cellStyle name="Normal 8 7 2 3 2 4 3 2" xfId="3179" xr:uid="{00000000-0005-0000-0000-00008E0E0000}"/>
    <cellStyle name="Normal 8 7 2 3 2 4 3 2 2" xfId="7100" xr:uid="{1AF35B2A-0892-4FF8-8BD7-1124CDC39D2A}"/>
    <cellStyle name="Normal 8 7 2 3 2 4 3 2 2 2" xfId="14960" xr:uid="{45672091-4A6B-42C5-86C8-B7559C1025A0}"/>
    <cellStyle name="Normal 8 7 2 3 2 4 3 2 3" xfId="11040" xr:uid="{52D2F251-AEFF-4B3A-AD96-080234940A20}"/>
    <cellStyle name="Normal 8 7 2 3 2 4 3 3" xfId="5146" xr:uid="{0DB78FC1-BE6B-497D-BF69-050D5891B0E8}"/>
    <cellStyle name="Normal 8 7 2 3 2 4 3 3 2" xfId="13006" xr:uid="{15EF159D-1761-46BF-AC27-B72791EDE697}"/>
    <cellStyle name="Normal 8 7 2 3 2 4 3 4" xfId="9087" xr:uid="{E503E733-7AF1-4765-B53E-A5B360EE3ED9}"/>
    <cellStyle name="Normal 8 7 2 3 2 4 4" xfId="1645" xr:uid="{00000000-0005-0000-0000-00008F0E0000}"/>
    <cellStyle name="Normal 8 7 2 3 2 4 4 2" xfId="3599" xr:uid="{00000000-0005-0000-0000-0000900E0000}"/>
    <cellStyle name="Normal 8 7 2 3 2 4 4 2 2" xfId="7520" xr:uid="{BD6C6B25-F877-4D6D-BD40-EA0EB2C157C0}"/>
    <cellStyle name="Normal 8 7 2 3 2 4 4 2 2 2" xfId="15380" xr:uid="{B41FB1F6-37A6-4944-9D99-FB73B6D5BE6A}"/>
    <cellStyle name="Normal 8 7 2 3 2 4 4 2 3" xfId="11460" xr:uid="{2D465BA1-2BD5-4D7D-AFA0-859087C2D15F}"/>
    <cellStyle name="Normal 8 7 2 3 2 4 4 3" xfId="5566" xr:uid="{265F8E53-B85D-4DC1-B982-9A6A14EA2F27}"/>
    <cellStyle name="Normal 8 7 2 3 2 4 4 3 2" xfId="13426" xr:uid="{A5249F93-85E8-4063-85FE-9CB612C48AE9}"/>
    <cellStyle name="Normal 8 7 2 3 2 4 4 4" xfId="9507" xr:uid="{565E833D-E20C-482A-8BE9-99271B539A33}"/>
    <cellStyle name="Normal 8 7 2 3 2 4 5" xfId="2299" xr:uid="{00000000-0005-0000-0000-0000910E0000}"/>
    <cellStyle name="Normal 8 7 2 3 2 4 5 2" xfId="6220" xr:uid="{08A69FC0-6F1C-4DDE-BFAF-BEC2F6895A75}"/>
    <cellStyle name="Normal 8 7 2 3 2 4 5 2 2" xfId="14080" xr:uid="{4A90D4A8-CF5E-43CD-81AA-01FFB346EC48}"/>
    <cellStyle name="Normal 8 7 2 3 2 4 5 3" xfId="10160" xr:uid="{192D8BF8-1AD7-4140-93F5-D168CE00C46B}"/>
    <cellStyle name="Normal 8 7 2 3 2 4 6" xfId="4266" xr:uid="{AFD98D0C-6E49-4ED0-B799-9AC88442D50D}"/>
    <cellStyle name="Normal 8 7 2 3 2 4 6 2" xfId="12126" xr:uid="{C837FC1A-3ED3-4CBF-817D-9FB0FC54FA8C}"/>
    <cellStyle name="Normal 8 7 2 3 2 4 7" xfId="8205" xr:uid="{3029655C-3D7D-4C47-9B1C-3C03BAD67614}"/>
    <cellStyle name="Normal 8 7 2 3 2 5" xfId="436" xr:uid="{00000000-0005-0000-0000-0000920E0000}"/>
    <cellStyle name="Normal 8 7 2 3 2 5 2" xfId="887" xr:uid="{00000000-0005-0000-0000-0000930E0000}"/>
    <cellStyle name="Normal 8 7 2 3 2 5 2 2" xfId="2841" xr:uid="{00000000-0005-0000-0000-0000940E0000}"/>
    <cellStyle name="Normal 8 7 2 3 2 5 2 2 2" xfId="6762" xr:uid="{0F9F8AC3-CAF3-4DAD-8D81-ACE513248576}"/>
    <cellStyle name="Normal 8 7 2 3 2 5 2 2 2 2" xfId="14622" xr:uid="{C6A8F01B-5DB8-4EA6-9CA9-D3C5DECC30D6}"/>
    <cellStyle name="Normal 8 7 2 3 2 5 2 2 3" xfId="10702" xr:uid="{F419E2AF-50D2-4D76-A51A-9BAEF1E714B5}"/>
    <cellStyle name="Normal 8 7 2 3 2 5 2 3" xfId="4808" xr:uid="{2938B004-51B9-4975-8B00-1C0F03385305}"/>
    <cellStyle name="Normal 8 7 2 3 2 5 2 3 2" xfId="12668" xr:uid="{423CB5E6-9D1C-4AA1-B406-D111C4EECDC8}"/>
    <cellStyle name="Normal 8 7 2 3 2 5 2 4" xfId="8749" xr:uid="{25AC1E3A-751A-4495-A6B7-24D1CB6CE941}"/>
    <cellStyle name="Normal 8 7 2 3 2 5 3" xfId="1319" xr:uid="{00000000-0005-0000-0000-0000950E0000}"/>
    <cellStyle name="Normal 8 7 2 3 2 5 3 2" xfId="3273" xr:uid="{00000000-0005-0000-0000-0000960E0000}"/>
    <cellStyle name="Normal 8 7 2 3 2 5 3 2 2" xfId="7194" xr:uid="{93B0D376-4EEE-4089-93CA-EB473141A30A}"/>
    <cellStyle name="Normal 8 7 2 3 2 5 3 2 2 2" xfId="15054" xr:uid="{57E43F3E-C620-4F6D-9F63-C9139E4FEE7B}"/>
    <cellStyle name="Normal 8 7 2 3 2 5 3 2 3" xfId="11134" xr:uid="{5636A07F-9DA1-44F4-98EE-6008981B1366}"/>
    <cellStyle name="Normal 8 7 2 3 2 5 3 3" xfId="5240" xr:uid="{C0B4CF96-7E86-4519-A098-FF0207E8CFAB}"/>
    <cellStyle name="Normal 8 7 2 3 2 5 3 3 2" xfId="13100" xr:uid="{D3037EBC-BD61-4936-8630-6613EA2AB5C5}"/>
    <cellStyle name="Normal 8 7 2 3 2 5 3 4" xfId="9181" xr:uid="{89F4050C-6FEC-49A0-932F-9F5F96BF9949}"/>
    <cellStyle name="Normal 8 7 2 3 2 5 4" xfId="1737" xr:uid="{00000000-0005-0000-0000-0000970E0000}"/>
    <cellStyle name="Normal 8 7 2 3 2 5 4 2" xfId="3691" xr:uid="{00000000-0005-0000-0000-0000980E0000}"/>
    <cellStyle name="Normal 8 7 2 3 2 5 4 2 2" xfId="7612" xr:uid="{1421A4ED-791B-4E61-8CBD-9200520C7F57}"/>
    <cellStyle name="Normal 8 7 2 3 2 5 4 2 2 2" xfId="15472" xr:uid="{3A0B7C2A-C44C-4C7C-B77D-A950E7161588}"/>
    <cellStyle name="Normal 8 7 2 3 2 5 4 2 3" xfId="11552" xr:uid="{444FB5D3-A856-4B1C-B66C-027EA04F6217}"/>
    <cellStyle name="Normal 8 7 2 3 2 5 4 3" xfId="5658" xr:uid="{C8DE1950-29F6-4D8E-8FA2-1BD8390640D7}"/>
    <cellStyle name="Normal 8 7 2 3 2 5 4 3 2" xfId="13518" xr:uid="{CC5AAA32-1E6B-4F50-82AB-383BC8421D63}"/>
    <cellStyle name="Normal 8 7 2 3 2 5 4 4" xfId="9599" xr:uid="{C1C2C6D8-3146-4C1F-A081-2902A2745708}"/>
    <cellStyle name="Normal 8 7 2 3 2 5 5" xfId="2391" xr:uid="{00000000-0005-0000-0000-0000990E0000}"/>
    <cellStyle name="Normal 8 7 2 3 2 5 5 2" xfId="6312" xr:uid="{E884C475-1710-4482-8583-6CE539667767}"/>
    <cellStyle name="Normal 8 7 2 3 2 5 5 2 2" xfId="14172" xr:uid="{DFC433DB-71E4-4CA3-8045-0345234C9F75}"/>
    <cellStyle name="Normal 8 7 2 3 2 5 5 3" xfId="10252" xr:uid="{28BCFF40-45DC-43FC-AEE8-B1F599908279}"/>
    <cellStyle name="Normal 8 7 2 3 2 5 6" xfId="4358" xr:uid="{5E3326CB-7889-49F8-8266-AA98FEC3B1CD}"/>
    <cellStyle name="Normal 8 7 2 3 2 5 6 2" xfId="12218" xr:uid="{0FA29CF2-E983-483B-ACF7-79FF87A7F3A6}"/>
    <cellStyle name="Normal 8 7 2 3 2 5 7" xfId="8299" xr:uid="{5040C327-B219-4835-A96B-3070A0C46329}"/>
    <cellStyle name="Normal 8 7 2 3 2 6" xfId="528" xr:uid="{00000000-0005-0000-0000-00009A0E0000}"/>
    <cellStyle name="Normal 8 7 2 3 2 6 2" xfId="2482" xr:uid="{00000000-0005-0000-0000-00009B0E0000}"/>
    <cellStyle name="Normal 8 7 2 3 2 6 2 2" xfId="6403" xr:uid="{2BAB0C6D-3DBC-4566-8E3A-DCCEAE6D3E9F}"/>
    <cellStyle name="Normal 8 7 2 3 2 6 2 2 2" xfId="14263" xr:uid="{98A27483-EF12-46D8-825F-B4DB4F321DF5}"/>
    <cellStyle name="Normal 8 7 2 3 2 6 2 3" xfId="10343" xr:uid="{E5BCF0D5-E056-443C-9975-A5311E024B95}"/>
    <cellStyle name="Normal 8 7 2 3 2 6 3" xfId="4449" xr:uid="{F1979E22-EE02-4481-AB2A-7197355AD446}"/>
    <cellStyle name="Normal 8 7 2 3 2 6 3 2" xfId="12309" xr:uid="{6B06D7E8-7EB8-4771-B7C9-88EAF9A46836}"/>
    <cellStyle name="Normal 8 7 2 3 2 6 4" xfId="8390" xr:uid="{06805344-BF00-4AF6-9615-D5A549090EE2}"/>
    <cellStyle name="Normal 8 7 2 3 2 7" xfId="965" xr:uid="{00000000-0005-0000-0000-00009C0E0000}"/>
    <cellStyle name="Normal 8 7 2 3 2 7 2" xfId="2919" xr:uid="{00000000-0005-0000-0000-00009D0E0000}"/>
    <cellStyle name="Normal 8 7 2 3 2 7 2 2" xfId="6840" xr:uid="{E5BCCCC1-785F-42E7-9387-5809AB0087E0}"/>
    <cellStyle name="Normal 8 7 2 3 2 7 2 2 2" xfId="14700" xr:uid="{41438E0A-9EC8-4397-B49F-0D1572C8FF49}"/>
    <cellStyle name="Normal 8 7 2 3 2 7 2 3" xfId="10780" xr:uid="{E80908C0-2E84-45A8-BC3F-374D7F1B9A94}"/>
    <cellStyle name="Normal 8 7 2 3 2 7 3" xfId="4886" xr:uid="{7E789CBC-A8D6-4F8B-8D37-D26F226F78A8}"/>
    <cellStyle name="Normal 8 7 2 3 2 7 3 2" xfId="12746" xr:uid="{9B789672-CDBE-4E32-9859-B875B6B4104D}"/>
    <cellStyle name="Normal 8 7 2 3 2 7 4" xfId="8827" xr:uid="{F5C68508-03E9-4EF6-AA5E-1F83C849FCC2}"/>
    <cellStyle name="Normal 8 7 2 3 2 8" xfId="1392" xr:uid="{00000000-0005-0000-0000-00009E0E0000}"/>
    <cellStyle name="Normal 8 7 2 3 2 8 2" xfId="3346" xr:uid="{00000000-0005-0000-0000-00009F0E0000}"/>
    <cellStyle name="Normal 8 7 2 3 2 8 2 2" xfId="7267" xr:uid="{B946AA70-DB52-4A27-A956-628A5F69F642}"/>
    <cellStyle name="Normal 8 7 2 3 2 8 2 2 2" xfId="15127" xr:uid="{D4F83F69-DC64-4FE2-BBDD-3F3D63B430D7}"/>
    <cellStyle name="Normal 8 7 2 3 2 8 2 3" xfId="11207" xr:uid="{D4E3FEE8-43D6-4AF0-A0E0-4C702186DED3}"/>
    <cellStyle name="Normal 8 7 2 3 2 8 3" xfId="5313" xr:uid="{3669517A-A960-4140-80C8-DCD8A917B7EA}"/>
    <cellStyle name="Normal 8 7 2 3 2 8 3 2" xfId="13173" xr:uid="{8A59EE53-C145-4ABE-A3F8-D6EB4292889B}"/>
    <cellStyle name="Normal 8 7 2 3 2 8 4" xfId="9254" xr:uid="{2DEE721B-879C-4CD9-A1AC-8C6595A024EE}"/>
    <cellStyle name="Normal 8 7 2 3 2 9" xfId="2045" xr:uid="{00000000-0005-0000-0000-0000A00E0000}"/>
    <cellStyle name="Normal 8 7 2 3 2 9 2" xfId="5966" xr:uid="{0F6A7FAE-D951-4070-BC4F-30CDD86E98B3}"/>
    <cellStyle name="Normal 8 7 2 3 2 9 2 2" xfId="13826" xr:uid="{8D6325A5-8831-4096-8F37-A58EE4F6162A}"/>
    <cellStyle name="Normal 8 7 2 3 2 9 3" xfId="9906" xr:uid="{FE2069A7-C77F-4F43-BD20-61014D449FDF}"/>
    <cellStyle name="Normal 8 7 2 3 3" xfId="193" xr:uid="{00000000-0005-0000-0000-0000A10E0000}"/>
    <cellStyle name="Normal 8 7 2 3 3 2" xfId="645" xr:uid="{00000000-0005-0000-0000-0000A20E0000}"/>
    <cellStyle name="Normal 8 7 2 3 3 2 2" xfId="2599" xr:uid="{00000000-0005-0000-0000-0000A30E0000}"/>
    <cellStyle name="Normal 8 7 2 3 3 2 2 2" xfId="6520" xr:uid="{3DAE8EC5-D0A9-42D4-AEF3-89428AEC00F0}"/>
    <cellStyle name="Normal 8 7 2 3 3 2 2 2 2" xfId="14380" xr:uid="{0CCAEE47-3A7C-4DEE-B232-3A7EFC940A30}"/>
    <cellStyle name="Normal 8 7 2 3 3 2 2 3" xfId="10460" xr:uid="{1F45FF52-D95A-43E7-9D19-88D1B1F63F48}"/>
    <cellStyle name="Normal 8 7 2 3 3 2 3" xfId="4566" xr:uid="{FDBB077D-F8ED-4055-9E33-DD9CD959C463}"/>
    <cellStyle name="Normal 8 7 2 3 3 2 3 2" xfId="12426" xr:uid="{5ABF8EAE-6320-47D4-AD59-CF40FD44A335}"/>
    <cellStyle name="Normal 8 7 2 3 3 2 4" xfId="8507" xr:uid="{76A474DE-6736-47AC-B58B-A2B52C301629}"/>
    <cellStyle name="Normal 8 7 2 3 3 3" xfId="1082" xr:uid="{00000000-0005-0000-0000-0000A40E0000}"/>
    <cellStyle name="Normal 8 7 2 3 3 3 2" xfId="3036" xr:uid="{00000000-0005-0000-0000-0000A50E0000}"/>
    <cellStyle name="Normal 8 7 2 3 3 3 2 2" xfId="6957" xr:uid="{A038C313-6722-4328-8AB7-F3A3A86A13BC}"/>
    <cellStyle name="Normal 8 7 2 3 3 3 2 2 2" xfId="14817" xr:uid="{16E2CFDF-205E-4872-B2E9-193157F92687}"/>
    <cellStyle name="Normal 8 7 2 3 3 3 2 3" xfId="10897" xr:uid="{B22A160E-E376-42EC-A2FC-12C05BC866A1}"/>
    <cellStyle name="Normal 8 7 2 3 3 3 3" xfId="5003" xr:uid="{D283B664-7420-4159-BA33-940E307F200F}"/>
    <cellStyle name="Normal 8 7 2 3 3 3 3 2" xfId="12863" xr:uid="{FB3D4EE7-419D-4989-AAAC-7508CDBA5BBD}"/>
    <cellStyle name="Normal 8 7 2 3 3 3 4" xfId="8944" xr:uid="{783DB2AA-D42C-4FB1-A124-733424F080EB}"/>
    <cellStyle name="Normal 8 7 2 3 3 4" xfId="1509" xr:uid="{00000000-0005-0000-0000-0000A60E0000}"/>
    <cellStyle name="Normal 8 7 2 3 3 4 2" xfId="3463" xr:uid="{00000000-0005-0000-0000-0000A70E0000}"/>
    <cellStyle name="Normal 8 7 2 3 3 4 2 2" xfId="7384" xr:uid="{96524801-6F88-488B-903F-18CFF9078A3C}"/>
    <cellStyle name="Normal 8 7 2 3 3 4 2 2 2" xfId="15244" xr:uid="{07DF599C-4A84-48AB-9408-999B6A017559}"/>
    <cellStyle name="Normal 8 7 2 3 3 4 2 3" xfId="11324" xr:uid="{CF77942E-EFE2-4733-9BC2-71D33D22C648}"/>
    <cellStyle name="Normal 8 7 2 3 3 4 3" xfId="5430" xr:uid="{2041A772-8447-4215-9C98-78F118C686DC}"/>
    <cellStyle name="Normal 8 7 2 3 3 4 3 2" xfId="13290" xr:uid="{F4BECA08-8FA0-4EA5-9BEE-D67111EA4475}"/>
    <cellStyle name="Normal 8 7 2 3 3 4 4" xfId="9371" xr:uid="{36386E7B-4A57-4743-AD9F-8508FE4B9526}"/>
    <cellStyle name="Normal 8 7 2 3 3 5" xfId="2162" xr:uid="{00000000-0005-0000-0000-0000A80E0000}"/>
    <cellStyle name="Normal 8 7 2 3 3 5 2" xfId="6083" xr:uid="{D237BDCA-1A8D-4E6F-9021-4D4E6CB00973}"/>
    <cellStyle name="Normal 8 7 2 3 3 5 2 2" xfId="13943" xr:uid="{1EB5F62B-0623-47DB-9263-B24539B0DC24}"/>
    <cellStyle name="Normal 8 7 2 3 3 5 3" xfId="10023" xr:uid="{D7F8DE81-7B27-4D0E-9E21-022080A88D0A}"/>
    <cellStyle name="Normal 8 7 2 3 3 6" xfId="4129" xr:uid="{CE5E0794-7D3A-4D4D-A15F-4CD6ABA37DA1}"/>
    <cellStyle name="Normal 8 7 2 3 3 6 2" xfId="11989" xr:uid="{88190450-3DF9-49BB-B6AA-5BABA086BE7A}"/>
    <cellStyle name="Normal 8 7 2 3 3 7" xfId="8067" xr:uid="{FA2CADC7-34E7-4575-BC60-B267FBA53E29}"/>
    <cellStyle name="Normal 8 7 2 3 4" xfId="115" xr:uid="{00000000-0005-0000-0000-0000A90E0000}"/>
    <cellStyle name="Normal 8 7 2 3 4 2" xfId="567" xr:uid="{00000000-0005-0000-0000-0000AA0E0000}"/>
    <cellStyle name="Normal 8 7 2 3 4 2 2" xfId="2521" xr:uid="{00000000-0005-0000-0000-0000AB0E0000}"/>
    <cellStyle name="Normal 8 7 2 3 4 2 2 2" xfId="6442" xr:uid="{BF587551-9568-4D86-B514-2626F52061CB}"/>
    <cellStyle name="Normal 8 7 2 3 4 2 2 2 2" xfId="14302" xr:uid="{171DB6FC-988E-4FD3-B344-5F1E5B4346C6}"/>
    <cellStyle name="Normal 8 7 2 3 4 2 2 3" xfId="10382" xr:uid="{5ABDEAD8-3CC9-46D2-BACD-399E88280EC4}"/>
    <cellStyle name="Normal 8 7 2 3 4 2 3" xfId="4488" xr:uid="{2493EC16-AF07-48ED-BF01-717CC6EE6319}"/>
    <cellStyle name="Normal 8 7 2 3 4 2 3 2" xfId="12348" xr:uid="{C17A4F57-2194-4FAD-BC07-E884C75CCFF3}"/>
    <cellStyle name="Normal 8 7 2 3 4 2 4" xfId="8429" xr:uid="{1ADD1EEE-B26E-40D8-BEDD-9461A2D33E29}"/>
    <cellStyle name="Normal 8 7 2 3 4 3" xfId="1004" xr:uid="{00000000-0005-0000-0000-0000AC0E0000}"/>
    <cellStyle name="Normal 8 7 2 3 4 3 2" xfId="2958" xr:uid="{00000000-0005-0000-0000-0000AD0E0000}"/>
    <cellStyle name="Normal 8 7 2 3 4 3 2 2" xfId="6879" xr:uid="{38D803D0-FF69-4797-B080-316B28E3A105}"/>
    <cellStyle name="Normal 8 7 2 3 4 3 2 2 2" xfId="14739" xr:uid="{E4269259-84C9-4D9F-980E-71FA8717D459}"/>
    <cellStyle name="Normal 8 7 2 3 4 3 2 3" xfId="10819" xr:uid="{4F1D0AB0-2F86-4B9E-8273-79594CABE6B0}"/>
    <cellStyle name="Normal 8 7 2 3 4 3 3" xfId="4925" xr:uid="{B6BD623B-C3F9-4FED-9C07-95306588AF73}"/>
    <cellStyle name="Normal 8 7 2 3 4 3 3 2" xfId="12785" xr:uid="{86D8F063-45B0-42A8-894A-86BF536F8A09}"/>
    <cellStyle name="Normal 8 7 2 3 4 3 4" xfId="8866" xr:uid="{B150CEBE-A911-43AB-ABDC-76917CEB6929}"/>
    <cellStyle name="Normal 8 7 2 3 4 4" xfId="1431" xr:uid="{00000000-0005-0000-0000-0000AE0E0000}"/>
    <cellStyle name="Normal 8 7 2 3 4 4 2" xfId="3385" xr:uid="{00000000-0005-0000-0000-0000AF0E0000}"/>
    <cellStyle name="Normal 8 7 2 3 4 4 2 2" xfId="7306" xr:uid="{393F918D-B51C-4266-94E3-B8AFA5C22E54}"/>
    <cellStyle name="Normal 8 7 2 3 4 4 2 2 2" xfId="15166" xr:uid="{A706982E-51A6-4A34-BA29-0E52DBEBE61B}"/>
    <cellStyle name="Normal 8 7 2 3 4 4 2 3" xfId="11246" xr:uid="{5DA02A1A-CE5A-4962-9CD5-35E8888748E9}"/>
    <cellStyle name="Normal 8 7 2 3 4 4 3" xfId="5352" xr:uid="{386A2C9D-3482-4916-963C-729117F4D63F}"/>
    <cellStyle name="Normal 8 7 2 3 4 4 3 2" xfId="13212" xr:uid="{C5287D48-5B84-4E14-B67B-DE35FA6075D4}"/>
    <cellStyle name="Normal 8 7 2 3 4 4 4" xfId="9293" xr:uid="{E2353B09-2CEA-4D9D-ADB5-CEFB135FC137}"/>
    <cellStyle name="Normal 8 7 2 3 4 5" xfId="2084" xr:uid="{00000000-0005-0000-0000-0000B00E0000}"/>
    <cellStyle name="Normal 8 7 2 3 4 5 2" xfId="6005" xr:uid="{2EBE61B9-5704-468E-800D-48DC4C450412}"/>
    <cellStyle name="Normal 8 7 2 3 4 5 2 2" xfId="13865" xr:uid="{6B94FFC1-60AD-4383-A367-D1F986DF2F66}"/>
    <cellStyle name="Normal 8 7 2 3 4 5 3" xfId="9945" xr:uid="{B1C5A1DC-7931-4537-8661-0C19C5863FD3}"/>
    <cellStyle name="Normal 8 7 2 3 4 6" xfId="4051" xr:uid="{CFFAB5E6-68F6-4B85-AF89-0B7F04A0BDD4}"/>
    <cellStyle name="Normal 8 7 2 3 4 6 2" xfId="11911" xr:uid="{0A9A415B-D880-411F-837F-E2D317A78D45}"/>
    <cellStyle name="Normal 8 7 2 3 4 7" xfId="7989" xr:uid="{406C346F-320D-443D-A2F9-B522E353660E}"/>
    <cellStyle name="Normal 8 7 2 3 5" xfId="292" xr:uid="{00000000-0005-0000-0000-0000B10E0000}"/>
    <cellStyle name="Normal 8 7 2 3 5 2" xfId="744" xr:uid="{00000000-0005-0000-0000-0000B20E0000}"/>
    <cellStyle name="Normal 8 7 2 3 5 2 2" xfId="2698" xr:uid="{00000000-0005-0000-0000-0000B30E0000}"/>
    <cellStyle name="Normal 8 7 2 3 5 2 2 2" xfId="6619" xr:uid="{BA9F48AA-4513-41E4-9517-1DC16A926F87}"/>
    <cellStyle name="Normal 8 7 2 3 5 2 2 2 2" xfId="14479" xr:uid="{A8A69D91-2F24-4DC5-8140-2B318C40E1B3}"/>
    <cellStyle name="Normal 8 7 2 3 5 2 2 3" xfId="10559" xr:uid="{F08F0217-3595-490C-B759-001B57EC814E}"/>
    <cellStyle name="Normal 8 7 2 3 5 2 3" xfId="4665" xr:uid="{A652CC9B-9CDF-4C42-9090-1403B796A774}"/>
    <cellStyle name="Normal 8 7 2 3 5 2 3 2" xfId="12525" xr:uid="{F1970A79-443C-4956-8BFC-CEAC6E6BDF81}"/>
    <cellStyle name="Normal 8 7 2 3 5 2 4" xfId="8606" xr:uid="{E05F5637-4469-4316-9938-D77B58E1DE94}"/>
    <cellStyle name="Normal 8 7 2 3 5 3" xfId="1180" xr:uid="{00000000-0005-0000-0000-0000B40E0000}"/>
    <cellStyle name="Normal 8 7 2 3 5 3 2" xfId="3134" xr:uid="{00000000-0005-0000-0000-0000B50E0000}"/>
    <cellStyle name="Normal 8 7 2 3 5 3 2 2" xfId="7055" xr:uid="{0E492C61-0F8A-48D7-A5E5-BF39D3C6B5D5}"/>
    <cellStyle name="Normal 8 7 2 3 5 3 2 2 2" xfId="14915" xr:uid="{202DDD54-A754-409D-ADC9-42EC91E787DE}"/>
    <cellStyle name="Normal 8 7 2 3 5 3 2 3" xfId="10995" xr:uid="{2CB58417-DE4B-453E-A34C-BC7A63D28516}"/>
    <cellStyle name="Normal 8 7 2 3 5 3 3" xfId="5101" xr:uid="{39BC447C-7F1F-48A5-9381-4A17F4CCCDFA}"/>
    <cellStyle name="Normal 8 7 2 3 5 3 3 2" xfId="12961" xr:uid="{0B4EA2AD-8650-4E49-B107-0474CEDF1891}"/>
    <cellStyle name="Normal 8 7 2 3 5 3 4" xfId="9042" xr:uid="{0F7553B0-2566-45D8-8C03-514366A5CBB2}"/>
    <cellStyle name="Normal 8 7 2 3 5 4" xfId="1600" xr:uid="{00000000-0005-0000-0000-0000B60E0000}"/>
    <cellStyle name="Normal 8 7 2 3 5 4 2" xfId="3554" xr:uid="{00000000-0005-0000-0000-0000B70E0000}"/>
    <cellStyle name="Normal 8 7 2 3 5 4 2 2" xfId="7475" xr:uid="{63BAE454-E3E6-435C-86CD-2692A6CE4CEF}"/>
    <cellStyle name="Normal 8 7 2 3 5 4 2 2 2" xfId="15335" xr:uid="{C546F358-444B-4778-9FAB-070281A8CCC6}"/>
    <cellStyle name="Normal 8 7 2 3 5 4 2 3" xfId="11415" xr:uid="{83619AEA-9F29-40BD-A94F-17EEDE36617D}"/>
    <cellStyle name="Normal 8 7 2 3 5 4 3" xfId="5521" xr:uid="{709E74A6-E42B-4F07-A450-39AB7D7023F2}"/>
    <cellStyle name="Normal 8 7 2 3 5 4 3 2" xfId="13381" xr:uid="{E4B1E28B-A4FC-4BAD-8844-0E56F772FBDE}"/>
    <cellStyle name="Normal 8 7 2 3 5 4 4" xfId="9462" xr:uid="{467802C6-EB6B-451D-A6D8-53CDE4842F78}"/>
    <cellStyle name="Normal 8 7 2 3 5 5" xfId="2254" xr:uid="{00000000-0005-0000-0000-0000B80E0000}"/>
    <cellStyle name="Normal 8 7 2 3 5 5 2" xfId="6175" xr:uid="{979C3F5E-8AA0-424D-9FA6-46865CC8E453}"/>
    <cellStyle name="Normal 8 7 2 3 5 5 2 2" xfId="14035" xr:uid="{4E51D12F-558D-4C3D-B292-80497035ECE2}"/>
    <cellStyle name="Normal 8 7 2 3 5 5 3" xfId="10115" xr:uid="{17966732-3BAA-41FE-BBE2-FDFC987C9808}"/>
    <cellStyle name="Normal 8 7 2 3 5 6" xfId="4221" xr:uid="{BDC68232-8824-4D47-9A61-3F1799E1C16A}"/>
    <cellStyle name="Normal 8 7 2 3 5 6 2" xfId="12081" xr:uid="{92FE29AF-C43D-4EBB-A6A3-8100950BA4F0}"/>
    <cellStyle name="Normal 8 7 2 3 5 7" xfId="8160" xr:uid="{DA9F6363-6B35-4097-9784-52C4DB9FFD06}"/>
    <cellStyle name="Normal 8 7 2 3 6" xfId="391" xr:uid="{00000000-0005-0000-0000-0000B90E0000}"/>
    <cellStyle name="Normal 8 7 2 3 6 2" xfId="842" xr:uid="{00000000-0005-0000-0000-0000BA0E0000}"/>
    <cellStyle name="Normal 8 7 2 3 6 2 2" xfId="2796" xr:uid="{00000000-0005-0000-0000-0000BB0E0000}"/>
    <cellStyle name="Normal 8 7 2 3 6 2 2 2" xfId="6717" xr:uid="{98D74CD7-AF39-4D84-ADCE-90E802B7D01E}"/>
    <cellStyle name="Normal 8 7 2 3 6 2 2 2 2" xfId="14577" xr:uid="{BBACE5B4-BD6A-4449-8736-CF0C40B32310}"/>
    <cellStyle name="Normal 8 7 2 3 6 2 2 3" xfId="10657" xr:uid="{876DBF77-AFE1-42E8-8E9A-24A6E366AA4A}"/>
    <cellStyle name="Normal 8 7 2 3 6 2 3" xfId="4763" xr:uid="{5285DE49-CBAD-4C11-9760-0C5B37F413BE}"/>
    <cellStyle name="Normal 8 7 2 3 6 2 3 2" xfId="12623" xr:uid="{E3A63CE5-BF89-4D7D-97B7-BD1BCF6DBE64}"/>
    <cellStyle name="Normal 8 7 2 3 6 2 4" xfId="8704" xr:uid="{8869F9C5-2503-45DD-804E-F6CC9FB6451D}"/>
    <cellStyle name="Normal 8 7 2 3 6 3" xfId="1274" xr:uid="{00000000-0005-0000-0000-0000BC0E0000}"/>
    <cellStyle name="Normal 8 7 2 3 6 3 2" xfId="3228" xr:uid="{00000000-0005-0000-0000-0000BD0E0000}"/>
    <cellStyle name="Normal 8 7 2 3 6 3 2 2" xfId="7149" xr:uid="{A5DA0C61-E76F-47A0-B593-A53CE675F5A2}"/>
    <cellStyle name="Normal 8 7 2 3 6 3 2 2 2" xfId="15009" xr:uid="{973FC3C4-F81B-49F5-9D45-234A6EFF4344}"/>
    <cellStyle name="Normal 8 7 2 3 6 3 2 3" xfId="11089" xr:uid="{618FB113-1BA1-4A60-A3AD-45F5517DBDCD}"/>
    <cellStyle name="Normal 8 7 2 3 6 3 3" xfId="5195" xr:uid="{77EB213B-E19B-49A8-B898-D4E5A2033CFC}"/>
    <cellStyle name="Normal 8 7 2 3 6 3 3 2" xfId="13055" xr:uid="{BD867212-9D9E-4E8B-A721-659DB9CB337E}"/>
    <cellStyle name="Normal 8 7 2 3 6 3 4" xfId="9136" xr:uid="{FEDF382B-C02C-4D1A-B3E3-A2B0F52B9AF1}"/>
    <cellStyle name="Normal 8 7 2 3 6 4" xfId="1692" xr:uid="{00000000-0005-0000-0000-0000BE0E0000}"/>
    <cellStyle name="Normal 8 7 2 3 6 4 2" xfId="3646" xr:uid="{00000000-0005-0000-0000-0000BF0E0000}"/>
    <cellStyle name="Normal 8 7 2 3 6 4 2 2" xfId="7567" xr:uid="{B04E492E-1DE2-4812-92E6-FCE53167422A}"/>
    <cellStyle name="Normal 8 7 2 3 6 4 2 2 2" xfId="15427" xr:uid="{59CC7B36-29E5-47F4-87FB-64B189A5CD87}"/>
    <cellStyle name="Normal 8 7 2 3 6 4 2 3" xfId="11507" xr:uid="{C0F99AAF-1CFA-449A-BF51-245F7E9DA8E5}"/>
    <cellStyle name="Normal 8 7 2 3 6 4 3" xfId="5613" xr:uid="{22A74FD2-4796-4F09-A7E6-701372450D56}"/>
    <cellStyle name="Normal 8 7 2 3 6 4 3 2" xfId="13473" xr:uid="{A96D878A-9068-4AD9-905A-675FB9AA02DF}"/>
    <cellStyle name="Normal 8 7 2 3 6 4 4" xfId="9554" xr:uid="{5A319878-3128-4ADD-A0B5-2740C339D9D7}"/>
    <cellStyle name="Normal 8 7 2 3 6 5" xfId="2346" xr:uid="{00000000-0005-0000-0000-0000C00E0000}"/>
    <cellStyle name="Normal 8 7 2 3 6 5 2" xfId="6267" xr:uid="{5B1B4D43-B146-41D3-A896-51D592E9624F}"/>
    <cellStyle name="Normal 8 7 2 3 6 5 2 2" xfId="14127" xr:uid="{3A784259-CA36-480D-9119-6D6AFC438748}"/>
    <cellStyle name="Normal 8 7 2 3 6 5 3" xfId="10207" xr:uid="{8FE62E1F-F4CE-4095-9540-EC3109D5E92B}"/>
    <cellStyle name="Normal 8 7 2 3 6 6" xfId="4313" xr:uid="{30613FA8-CAD4-40DA-AA97-8C21F23541F7}"/>
    <cellStyle name="Normal 8 7 2 3 6 6 2" xfId="12173" xr:uid="{D749E7FE-A7AA-4670-A004-5E838DDEAFC1}"/>
    <cellStyle name="Normal 8 7 2 3 6 7" xfId="8254" xr:uid="{F50B7C9E-BC51-42F3-A896-CDDB045B14C2}"/>
    <cellStyle name="Normal 8 7 2 3 7" xfId="489" xr:uid="{00000000-0005-0000-0000-0000C10E0000}"/>
    <cellStyle name="Normal 8 7 2 3 7 2" xfId="2443" xr:uid="{00000000-0005-0000-0000-0000C20E0000}"/>
    <cellStyle name="Normal 8 7 2 3 7 2 2" xfId="6364" xr:uid="{19B11305-FC5C-4661-8D15-5698BF76416A}"/>
    <cellStyle name="Normal 8 7 2 3 7 2 2 2" xfId="14224" xr:uid="{E051DFDA-718B-4BBD-98DF-C474DAC25D75}"/>
    <cellStyle name="Normal 8 7 2 3 7 2 3" xfId="10304" xr:uid="{25FFC6E0-7CCF-46B7-9AEF-BBF04337D231}"/>
    <cellStyle name="Normal 8 7 2 3 7 3" xfId="4410" xr:uid="{3214A854-6F07-44F0-A429-5D31BD712672}"/>
    <cellStyle name="Normal 8 7 2 3 7 3 2" xfId="12270" xr:uid="{5D38AAEC-D91A-441B-B6F9-8DB3895631CA}"/>
    <cellStyle name="Normal 8 7 2 3 7 4" xfId="8351" xr:uid="{FCEC21BA-55AF-43EB-AD11-051212F202F8}"/>
    <cellStyle name="Normal 8 7 2 3 8" xfId="925" xr:uid="{00000000-0005-0000-0000-0000C30E0000}"/>
    <cellStyle name="Normal 8 7 2 3 8 2" xfId="2879" xr:uid="{00000000-0005-0000-0000-0000C40E0000}"/>
    <cellStyle name="Normal 8 7 2 3 8 2 2" xfId="6800" xr:uid="{F5C76A28-2A3A-4505-A171-17A61483F317}"/>
    <cellStyle name="Normal 8 7 2 3 8 2 2 2" xfId="14660" xr:uid="{907272B3-64C9-4783-B16B-9DB75D537833}"/>
    <cellStyle name="Normal 8 7 2 3 8 2 3" xfId="10740" xr:uid="{D4E106CF-352B-411B-B31D-B16CAB34D7B2}"/>
    <cellStyle name="Normal 8 7 2 3 8 3" xfId="4846" xr:uid="{98E73929-5695-41D9-8AC6-69317889CF84}"/>
    <cellStyle name="Normal 8 7 2 3 8 3 2" xfId="12706" xr:uid="{C7D1321C-10A2-4907-8F48-E0BD1A0A06BE}"/>
    <cellStyle name="Normal 8 7 2 3 8 4" xfId="8787" xr:uid="{B1D8F9C4-A1B8-4FA0-BA6F-80444B6CF1B8}"/>
    <cellStyle name="Normal 8 7 2 3 9" xfId="1353" xr:uid="{00000000-0005-0000-0000-0000C50E0000}"/>
    <cellStyle name="Normal 8 7 2 3 9 2" xfId="3307" xr:uid="{00000000-0005-0000-0000-0000C60E0000}"/>
    <cellStyle name="Normal 8 7 2 3 9 2 2" xfId="7228" xr:uid="{E4F46DD9-EB43-428F-962D-F0997060E385}"/>
    <cellStyle name="Normal 8 7 2 3 9 2 2 2" xfId="15088" xr:uid="{2F386519-A9D7-4B89-BF64-86E3C91A1AE0}"/>
    <cellStyle name="Normal 8 7 2 3 9 2 3" xfId="11168" xr:uid="{890F37F4-5CE0-44B3-AD49-927EBF448999}"/>
    <cellStyle name="Normal 8 7 2 3 9 3" xfId="5274" xr:uid="{3CC24140-C1F2-4C64-890A-625B1F78E841}"/>
    <cellStyle name="Normal 8 7 2 3 9 3 2" xfId="13134" xr:uid="{A86C541A-57AD-49AB-93B9-2479884DF0A1}"/>
    <cellStyle name="Normal 8 7 2 3 9 4" xfId="9215" xr:uid="{99C0B628-19DC-468F-8AEB-0505767E1CDE}"/>
    <cellStyle name="Normal 8 7 2 4" xfId="54" xr:uid="{00000000-0005-0000-0000-0000C70E0000}"/>
    <cellStyle name="Normal 8 7 2 4 10" xfId="3990" xr:uid="{80C6DA42-9020-42D1-9064-77D60C24D8CA}"/>
    <cellStyle name="Normal 8 7 2 4 10 2" xfId="11850" xr:uid="{A03837D1-BF36-44D3-A781-C12186C87D1E}"/>
    <cellStyle name="Normal 8 7 2 4 11" xfId="7928" xr:uid="{C74DFE19-BAB2-48AE-8406-03E5DB817E63}"/>
    <cellStyle name="Normal 8 7 2 4 2" xfId="210" xr:uid="{00000000-0005-0000-0000-0000C80E0000}"/>
    <cellStyle name="Normal 8 7 2 4 2 2" xfId="662" xr:uid="{00000000-0005-0000-0000-0000C90E0000}"/>
    <cellStyle name="Normal 8 7 2 4 2 2 2" xfId="2616" xr:uid="{00000000-0005-0000-0000-0000CA0E0000}"/>
    <cellStyle name="Normal 8 7 2 4 2 2 2 2" xfId="6537" xr:uid="{B93777E0-28E6-4600-AAFF-029F34AD9F7F}"/>
    <cellStyle name="Normal 8 7 2 4 2 2 2 2 2" xfId="14397" xr:uid="{F0661EDF-B48F-49FD-AAC3-A68292DA22AB}"/>
    <cellStyle name="Normal 8 7 2 4 2 2 2 3" xfId="10477" xr:uid="{B2387992-97B7-4DB6-AB07-35ACA3DA05F2}"/>
    <cellStyle name="Normal 8 7 2 4 2 2 3" xfId="4583" xr:uid="{4938326E-EC3C-4A48-B429-7CE83A738FA5}"/>
    <cellStyle name="Normal 8 7 2 4 2 2 3 2" xfId="12443" xr:uid="{5B6DF6DF-0CDF-4883-BD31-FEA1EE517809}"/>
    <cellStyle name="Normal 8 7 2 4 2 2 4" xfId="8524" xr:uid="{485EFF87-11BC-449A-BA9F-DE8A293C09BF}"/>
    <cellStyle name="Normal 8 7 2 4 2 3" xfId="1099" xr:uid="{00000000-0005-0000-0000-0000CB0E0000}"/>
    <cellStyle name="Normal 8 7 2 4 2 3 2" xfId="3053" xr:uid="{00000000-0005-0000-0000-0000CC0E0000}"/>
    <cellStyle name="Normal 8 7 2 4 2 3 2 2" xfId="6974" xr:uid="{5BF02AF4-D5BE-4644-8408-6ECDB1BBD57A}"/>
    <cellStyle name="Normal 8 7 2 4 2 3 2 2 2" xfId="14834" xr:uid="{0B64DD88-519B-4114-A826-E7F08090522F}"/>
    <cellStyle name="Normal 8 7 2 4 2 3 2 3" xfId="10914" xr:uid="{5292AACA-3806-48A7-BEB2-6CC9712AFB52}"/>
    <cellStyle name="Normal 8 7 2 4 2 3 3" xfId="5020" xr:uid="{85C384DF-5B4A-4219-BC6E-A3F00F02F49D}"/>
    <cellStyle name="Normal 8 7 2 4 2 3 3 2" xfId="12880" xr:uid="{D9D775DD-5F83-43CC-9277-55134E9D5862}"/>
    <cellStyle name="Normal 8 7 2 4 2 3 4" xfId="8961" xr:uid="{0712B6B3-25BB-4FEB-8208-736E808D012B}"/>
    <cellStyle name="Normal 8 7 2 4 2 4" xfId="1526" xr:uid="{00000000-0005-0000-0000-0000CD0E0000}"/>
    <cellStyle name="Normal 8 7 2 4 2 4 2" xfId="3480" xr:uid="{00000000-0005-0000-0000-0000CE0E0000}"/>
    <cellStyle name="Normal 8 7 2 4 2 4 2 2" xfId="7401" xr:uid="{C1A1B2F5-C1BD-4CC4-A018-799D5F38A155}"/>
    <cellStyle name="Normal 8 7 2 4 2 4 2 2 2" xfId="15261" xr:uid="{E6A99E99-774C-4E67-93F7-3C3CF0EDAE37}"/>
    <cellStyle name="Normal 8 7 2 4 2 4 2 3" xfId="11341" xr:uid="{D1E96568-3D81-409F-A811-FA7B0C3378AA}"/>
    <cellStyle name="Normal 8 7 2 4 2 4 3" xfId="5447" xr:uid="{6FC8A75E-6D1D-4DBE-9E5C-CC73FB9DEF09}"/>
    <cellStyle name="Normal 8 7 2 4 2 4 3 2" xfId="13307" xr:uid="{F45563DA-ED6F-4DAF-9A71-55A780D21C0C}"/>
    <cellStyle name="Normal 8 7 2 4 2 4 4" xfId="9388" xr:uid="{B35CF8AA-6775-4843-B1C6-0643AF9E0A89}"/>
    <cellStyle name="Normal 8 7 2 4 2 5" xfId="2179" xr:uid="{00000000-0005-0000-0000-0000CF0E0000}"/>
    <cellStyle name="Normal 8 7 2 4 2 5 2" xfId="6100" xr:uid="{26BE98E2-F092-4B89-AF98-F9A7785A2579}"/>
    <cellStyle name="Normal 8 7 2 4 2 5 2 2" xfId="13960" xr:uid="{DAFD3B55-AB54-4CF2-B298-B07E4609FB38}"/>
    <cellStyle name="Normal 8 7 2 4 2 5 3" xfId="10040" xr:uid="{3AEB67ED-E6E0-4457-992F-99E8E5238D6F}"/>
    <cellStyle name="Normal 8 7 2 4 2 6" xfId="4146" xr:uid="{6D8A0641-B8FF-45DA-A6EA-AE25D6F0669F}"/>
    <cellStyle name="Normal 8 7 2 4 2 6 2" xfId="12006" xr:uid="{1C43EAF9-A579-45A8-82AD-DE91B11D2B63}"/>
    <cellStyle name="Normal 8 7 2 4 2 7" xfId="8084" xr:uid="{E3725183-1F6D-4632-843A-BDA11ECC6DD8}"/>
    <cellStyle name="Normal 8 7 2 4 3" xfId="132" xr:uid="{00000000-0005-0000-0000-0000D00E0000}"/>
    <cellStyle name="Normal 8 7 2 4 3 2" xfId="584" xr:uid="{00000000-0005-0000-0000-0000D10E0000}"/>
    <cellStyle name="Normal 8 7 2 4 3 2 2" xfId="2538" xr:uid="{00000000-0005-0000-0000-0000D20E0000}"/>
    <cellStyle name="Normal 8 7 2 4 3 2 2 2" xfId="6459" xr:uid="{123A9B57-0FBC-4717-BCFF-9FC37B0E97F5}"/>
    <cellStyle name="Normal 8 7 2 4 3 2 2 2 2" xfId="14319" xr:uid="{41A5CB74-8590-488C-B8D2-FDE3FA23D08B}"/>
    <cellStyle name="Normal 8 7 2 4 3 2 2 3" xfId="10399" xr:uid="{88601930-FA55-46D4-AD46-E21B9DA8883F}"/>
    <cellStyle name="Normal 8 7 2 4 3 2 3" xfId="4505" xr:uid="{ABB31C3B-441B-4E18-981E-ABAEC20FCDE3}"/>
    <cellStyle name="Normal 8 7 2 4 3 2 3 2" xfId="12365" xr:uid="{BE125C61-E437-4003-9312-F671C0C885F1}"/>
    <cellStyle name="Normal 8 7 2 4 3 2 4" xfId="8446" xr:uid="{C40625A0-9423-4EA5-B962-5117ED82DBAF}"/>
    <cellStyle name="Normal 8 7 2 4 3 3" xfId="1021" xr:uid="{00000000-0005-0000-0000-0000D30E0000}"/>
    <cellStyle name="Normal 8 7 2 4 3 3 2" xfId="2975" xr:uid="{00000000-0005-0000-0000-0000D40E0000}"/>
    <cellStyle name="Normal 8 7 2 4 3 3 2 2" xfId="6896" xr:uid="{5A846A8D-25FB-471A-A388-012C1BACF321}"/>
    <cellStyle name="Normal 8 7 2 4 3 3 2 2 2" xfId="14756" xr:uid="{282D503B-3443-438A-AE4B-649A6829BD6F}"/>
    <cellStyle name="Normal 8 7 2 4 3 3 2 3" xfId="10836" xr:uid="{04AEBA85-E1A5-4557-8DDD-1535751C156A}"/>
    <cellStyle name="Normal 8 7 2 4 3 3 3" xfId="4942" xr:uid="{ACD7B7B0-CA2F-478A-8670-79EBD8CA1AAB}"/>
    <cellStyle name="Normal 8 7 2 4 3 3 3 2" xfId="12802" xr:uid="{2C5BA4E3-EC99-4518-90B7-859A1425EC15}"/>
    <cellStyle name="Normal 8 7 2 4 3 3 4" xfId="8883" xr:uid="{BE2D0C14-A733-45FB-95D6-83671E471ED0}"/>
    <cellStyle name="Normal 8 7 2 4 3 4" xfId="1448" xr:uid="{00000000-0005-0000-0000-0000D50E0000}"/>
    <cellStyle name="Normal 8 7 2 4 3 4 2" xfId="3402" xr:uid="{00000000-0005-0000-0000-0000D60E0000}"/>
    <cellStyle name="Normal 8 7 2 4 3 4 2 2" xfId="7323" xr:uid="{5A9C4316-4341-4308-9342-33D15659BD13}"/>
    <cellStyle name="Normal 8 7 2 4 3 4 2 2 2" xfId="15183" xr:uid="{AD5A8362-B324-42A2-BF0B-CC32FD0275A4}"/>
    <cellStyle name="Normal 8 7 2 4 3 4 2 3" xfId="11263" xr:uid="{3EB5DBD4-AFE8-4354-BD36-2571E1FCF7E9}"/>
    <cellStyle name="Normal 8 7 2 4 3 4 3" xfId="5369" xr:uid="{87C33DD7-5407-4DCC-879A-BCB52F2C9172}"/>
    <cellStyle name="Normal 8 7 2 4 3 4 3 2" xfId="13229" xr:uid="{B907D47A-AAE5-49F2-AA58-1E2B01BDEB70}"/>
    <cellStyle name="Normal 8 7 2 4 3 4 4" xfId="9310" xr:uid="{A57BA0BF-36BE-44C6-8905-23596F1FC1F6}"/>
    <cellStyle name="Normal 8 7 2 4 3 5" xfId="2101" xr:uid="{00000000-0005-0000-0000-0000D70E0000}"/>
    <cellStyle name="Normal 8 7 2 4 3 5 2" xfId="6022" xr:uid="{00F931FF-8C0E-4078-BAC6-A419C99A9822}"/>
    <cellStyle name="Normal 8 7 2 4 3 5 2 2" xfId="13882" xr:uid="{877BAEB3-E5C4-4E4A-88E1-0A8ABE8736C4}"/>
    <cellStyle name="Normal 8 7 2 4 3 5 3" xfId="9962" xr:uid="{BD34594A-9231-4EBA-987F-5A8097FE2DA7}"/>
    <cellStyle name="Normal 8 7 2 4 3 6" xfId="4068" xr:uid="{8325EBA8-C087-4A2E-BC79-A3A2880E8CA8}"/>
    <cellStyle name="Normal 8 7 2 4 3 6 2" xfId="11928" xr:uid="{EB776C4F-445F-4E78-91CB-3CC9625C67B4}"/>
    <cellStyle name="Normal 8 7 2 4 3 7" xfId="8006" xr:uid="{96E00BBA-96BB-4600-ABE3-75E8AAEFAC84}"/>
    <cellStyle name="Normal 8 7 2 4 4" xfId="316" xr:uid="{00000000-0005-0000-0000-0000D80E0000}"/>
    <cellStyle name="Normal 8 7 2 4 4 2" xfId="768" xr:uid="{00000000-0005-0000-0000-0000D90E0000}"/>
    <cellStyle name="Normal 8 7 2 4 4 2 2" xfId="2722" xr:uid="{00000000-0005-0000-0000-0000DA0E0000}"/>
    <cellStyle name="Normal 8 7 2 4 4 2 2 2" xfId="6643" xr:uid="{2D8B2567-1BEE-4082-85FF-DC803D4910DA}"/>
    <cellStyle name="Normal 8 7 2 4 4 2 2 2 2" xfId="14503" xr:uid="{BC738168-11A7-4594-877A-E24479C316CE}"/>
    <cellStyle name="Normal 8 7 2 4 4 2 2 3" xfId="10583" xr:uid="{FDF8D974-E2D1-4CC0-B6E3-AB8DFBC33D3C}"/>
    <cellStyle name="Normal 8 7 2 4 4 2 3" xfId="4689" xr:uid="{0B1C389F-E668-4E1F-A1AC-6047706140AB}"/>
    <cellStyle name="Normal 8 7 2 4 4 2 3 2" xfId="12549" xr:uid="{6B41A017-0FE1-4E02-9FC4-66DCE5923CB0}"/>
    <cellStyle name="Normal 8 7 2 4 4 2 4" xfId="8630" xr:uid="{A784862E-80DB-4C45-A531-D4AB55F0B808}"/>
    <cellStyle name="Normal 8 7 2 4 4 3" xfId="1203" xr:uid="{00000000-0005-0000-0000-0000DB0E0000}"/>
    <cellStyle name="Normal 8 7 2 4 4 3 2" xfId="3157" xr:uid="{00000000-0005-0000-0000-0000DC0E0000}"/>
    <cellStyle name="Normal 8 7 2 4 4 3 2 2" xfId="7078" xr:uid="{C6F5522F-775A-47E6-B6BE-4A9C82D10EBF}"/>
    <cellStyle name="Normal 8 7 2 4 4 3 2 2 2" xfId="14938" xr:uid="{637C1EE9-4828-4E75-84D2-D9D025F7EA4D}"/>
    <cellStyle name="Normal 8 7 2 4 4 3 2 3" xfId="11018" xr:uid="{5F0B7985-EEDC-4AF1-A84B-6D8730D72DC1}"/>
    <cellStyle name="Normal 8 7 2 4 4 3 3" xfId="5124" xr:uid="{BCBD5F35-B241-48AA-9D98-1162E60026A2}"/>
    <cellStyle name="Normal 8 7 2 4 4 3 3 2" xfId="12984" xr:uid="{146FA45E-B3EA-4979-9721-C6A3F25DF30A}"/>
    <cellStyle name="Normal 8 7 2 4 4 3 4" xfId="9065" xr:uid="{7FD5E57D-E902-4EFD-8913-7E2C40D0FD6C}"/>
    <cellStyle name="Normal 8 7 2 4 4 4" xfId="1623" xr:uid="{00000000-0005-0000-0000-0000DD0E0000}"/>
    <cellStyle name="Normal 8 7 2 4 4 4 2" xfId="3577" xr:uid="{00000000-0005-0000-0000-0000DE0E0000}"/>
    <cellStyle name="Normal 8 7 2 4 4 4 2 2" xfId="7498" xr:uid="{88688AF6-221B-47FA-9EB4-75BEF352FE48}"/>
    <cellStyle name="Normal 8 7 2 4 4 4 2 2 2" xfId="15358" xr:uid="{D1424D50-920A-4140-9F96-5499026141A4}"/>
    <cellStyle name="Normal 8 7 2 4 4 4 2 3" xfId="11438" xr:uid="{B19A1AC4-136C-4207-B516-03F7FFAB86A9}"/>
    <cellStyle name="Normal 8 7 2 4 4 4 3" xfId="5544" xr:uid="{2AD05572-5747-405E-8B75-CFD555837A4B}"/>
    <cellStyle name="Normal 8 7 2 4 4 4 3 2" xfId="13404" xr:uid="{5AA43166-1119-48ED-B42C-048B2DBED4F5}"/>
    <cellStyle name="Normal 8 7 2 4 4 4 4" xfId="9485" xr:uid="{65AD3C90-AA61-4A21-A378-E0D4063222CF}"/>
    <cellStyle name="Normal 8 7 2 4 4 5" xfId="2277" xr:uid="{00000000-0005-0000-0000-0000DF0E0000}"/>
    <cellStyle name="Normal 8 7 2 4 4 5 2" xfId="6198" xr:uid="{8E08DE87-BFE5-4A76-B6B8-A4C5A877B9ED}"/>
    <cellStyle name="Normal 8 7 2 4 4 5 2 2" xfId="14058" xr:uid="{13A28E02-665D-4908-AA2D-099DEDE55AE9}"/>
    <cellStyle name="Normal 8 7 2 4 4 5 3" xfId="10138" xr:uid="{A98EE5FB-7EFF-4017-85A3-154E94EE3C91}"/>
    <cellStyle name="Normal 8 7 2 4 4 6" xfId="4244" xr:uid="{F0096D39-69BB-455E-B538-F99BE097960F}"/>
    <cellStyle name="Normal 8 7 2 4 4 6 2" xfId="12104" xr:uid="{0EEB444A-12EE-434F-9B6B-D8D7D668021C}"/>
    <cellStyle name="Normal 8 7 2 4 4 7" xfId="8183" xr:uid="{E0F2FB5B-8076-445B-BCF2-A5C52AD66CDB}"/>
    <cellStyle name="Normal 8 7 2 4 5" xfId="414" xr:uid="{00000000-0005-0000-0000-0000E00E0000}"/>
    <cellStyle name="Normal 8 7 2 4 5 2" xfId="865" xr:uid="{00000000-0005-0000-0000-0000E10E0000}"/>
    <cellStyle name="Normal 8 7 2 4 5 2 2" xfId="2819" xr:uid="{00000000-0005-0000-0000-0000E20E0000}"/>
    <cellStyle name="Normal 8 7 2 4 5 2 2 2" xfId="6740" xr:uid="{278A8FC2-609D-437A-800E-A65D1E334A7C}"/>
    <cellStyle name="Normal 8 7 2 4 5 2 2 2 2" xfId="14600" xr:uid="{F3C9114E-7671-4737-A1D4-FA53921165E5}"/>
    <cellStyle name="Normal 8 7 2 4 5 2 2 3" xfId="10680" xr:uid="{FE73C095-D51B-49EE-B118-E54F6591C4BF}"/>
    <cellStyle name="Normal 8 7 2 4 5 2 3" xfId="4786" xr:uid="{080AA1B4-B083-44AA-8854-D5665DC8B060}"/>
    <cellStyle name="Normal 8 7 2 4 5 2 3 2" xfId="12646" xr:uid="{AC900A81-89DD-4D85-A5AE-8F3C45F29FE8}"/>
    <cellStyle name="Normal 8 7 2 4 5 2 4" xfId="8727" xr:uid="{7901DFB5-4E2A-455E-96DC-361BD4C044E3}"/>
    <cellStyle name="Normal 8 7 2 4 5 3" xfId="1297" xr:uid="{00000000-0005-0000-0000-0000E30E0000}"/>
    <cellStyle name="Normal 8 7 2 4 5 3 2" xfId="3251" xr:uid="{00000000-0005-0000-0000-0000E40E0000}"/>
    <cellStyle name="Normal 8 7 2 4 5 3 2 2" xfId="7172" xr:uid="{0B6363CD-F41C-400B-9068-5D401691BB49}"/>
    <cellStyle name="Normal 8 7 2 4 5 3 2 2 2" xfId="15032" xr:uid="{1F594D15-4F2F-44FB-8476-E07CCC85DCDA}"/>
    <cellStyle name="Normal 8 7 2 4 5 3 2 3" xfId="11112" xr:uid="{77841894-B658-44A9-B091-81BB944E0574}"/>
    <cellStyle name="Normal 8 7 2 4 5 3 3" xfId="5218" xr:uid="{A44A3D86-FC5C-485B-9264-5CEBAD9973A1}"/>
    <cellStyle name="Normal 8 7 2 4 5 3 3 2" xfId="13078" xr:uid="{8B2A0DE7-DBC9-4631-8C46-FF288B9E88D6}"/>
    <cellStyle name="Normal 8 7 2 4 5 3 4" xfId="9159" xr:uid="{1BC38EEB-A5A8-4894-AC67-DF3E75FB51BE}"/>
    <cellStyle name="Normal 8 7 2 4 5 4" xfId="1715" xr:uid="{00000000-0005-0000-0000-0000E50E0000}"/>
    <cellStyle name="Normal 8 7 2 4 5 4 2" xfId="3669" xr:uid="{00000000-0005-0000-0000-0000E60E0000}"/>
    <cellStyle name="Normal 8 7 2 4 5 4 2 2" xfId="7590" xr:uid="{A3C1948F-2D0C-4A30-B24A-97656AC471C2}"/>
    <cellStyle name="Normal 8 7 2 4 5 4 2 2 2" xfId="15450" xr:uid="{7882AF1C-C00F-4974-A396-5DEABEF8821D}"/>
    <cellStyle name="Normal 8 7 2 4 5 4 2 3" xfId="11530" xr:uid="{09346EFB-5922-400E-80D2-1781A83A3F74}"/>
    <cellStyle name="Normal 8 7 2 4 5 4 3" xfId="5636" xr:uid="{92536541-A57B-4270-A4DC-E98348E469E5}"/>
    <cellStyle name="Normal 8 7 2 4 5 4 3 2" xfId="13496" xr:uid="{2A1F4749-CAA9-4C85-930D-BA613AC2549C}"/>
    <cellStyle name="Normal 8 7 2 4 5 4 4" xfId="9577" xr:uid="{2CC7793B-83A8-464E-9668-FFE512D0B274}"/>
    <cellStyle name="Normal 8 7 2 4 5 5" xfId="2369" xr:uid="{00000000-0005-0000-0000-0000E70E0000}"/>
    <cellStyle name="Normal 8 7 2 4 5 5 2" xfId="6290" xr:uid="{3F8B0791-B74C-4611-9441-9597000E2079}"/>
    <cellStyle name="Normal 8 7 2 4 5 5 2 2" xfId="14150" xr:uid="{23EBF4C0-8F73-466E-AC25-CFD52672B74D}"/>
    <cellStyle name="Normal 8 7 2 4 5 5 3" xfId="10230" xr:uid="{9BD41B5E-FDDB-4C85-9C6A-3C0ED4AFC06C}"/>
    <cellStyle name="Normal 8 7 2 4 5 6" xfId="4336" xr:uid="{90C56742-BFFB-419A-B67A-71B37FFFF574}"/>
    <cellStyle name="Normal 8 7 2 4 5 6 2" xfId="12196" xr:uid="{EE0976DD-DDFE-4275-AFE9-9F4563E9F8F3}"/>
    <cellStyle name="Normal 8 7 2 4 5 7" xfId="8277" xr:uid="{EE783A4C-992F-4122-A06D-3C0D258BB61C}"/>
    <cellStyle name="Normal 8 7 2 4 6" xfId="506" xr:uid="{00000000-0005-0000-0000-0000E80E0000}"/>
    <cellStyle name="Normal 8 7 2 4 6 2" xfId="2460" xr:uid="{00000000-0005-0000-0000-0000E90E0000}"/>
    <cellStyle name="Normal 8 7 2 4 6 2 2" xfId="6381" xr:uid="{E2024544-D90A-45EA-A162-8A0F6A9C3EC1}"/>
    <cellStyle name="Normal 8 7 2 4 6 2 2 2" xfId="14241" xr:uid="{6D440B2C-CED1-4F37-9A7C-CCED761221C2}"/>
    <cellStyle name="Normal 8 7 2 4 6 2 3" xfId="10321" xr:uid="{89A802AF-242C-4F78-8951-E697351F54DC}"/>
    <cellStyle name="Normal 8 7 2 4 6 3" xfId="4427" xr:uid="{C67F0A6E-0EE3-4839-A664-7CB05C8A5DDE}"/>
    <cellStyle name="Normal 8 7 2 4 6 3 2" xfId="12287" xr:uid="{10EF6EDA-C0C4-440F-A023-89796A5D268C}"/>
    <cellStyle name="Normal 8 7 2 4 6 4" xfId="8368" xr:uid="{28B88C4A-CC9A-46DF-B3AE-E456FE7B81D2}"/>
    <cellStyle name="Normal 8 7 2 4 7" xfId="943" xr:uid="{00000000-0005-0000-0000-0000EA0E0000}"/>
    <cellStyle name="Normal 8 7 2 4 7 2" xfId="2897" xr:uid="{00000000-0005-0000-0000-0000EB0E0000}"/>
    <cellStyle name="Normal 8 7 2 4 7 2 2" xfId="6818" xr:uid="{BD6DFFC1-380F-4B01-919E-205821EBD394}"/>
    <cellStyle name="Normal 8 7 2 4 7 2 2 2" xfId="14678" xr:uid="{95675F83-0A28-42F2-BBFF-1EA98161B740}"/>
    <cellStyle name="Normal 8 7 2 4 7 2 3" xfId="10758" xr:uid="{AD470D56-8AEE-4AFF-99B1-7E06F3B37281}"/>
    <cellStyle name="Normal 8 7 2 4 7 3" xfId="4864" xr:uid="{4163FB5D-2530-4BD6-9CF4-A15D2891EAC2}"/>
    <cellStyle name="Normal 8 7 2 4 7 3 2" xfId="12724" xr:uid="{CD9D5EA2-6409-4BA5-91F7-5BE0CCE62A0B}"/>
    <cellStyle name="Normal 8 7 2 4 7 4" xfId="8805" xr:uid="{E1832A64-41DB-4E51-9DD3-C94063032853}"/>
    <cellStyle name="Normal 8 7 2 4 8" xfId="1370" xr:uid="{00000000-0005-0000-0000-0000EC0E0000}"/>
    <cellStyle name="Normal 8 7 2 4 8 2" xfId="3324" xr:uid="{00000000-0005-0000-0000-0000ED0E0000}"/>
    <cellStyle name="Normal 8 7 2 4 8 2 2" xfId="7245" xr:uid="{585580D2-7754-4480-AD3E-85DA18557EC1}"/>
    <cellStyle name="Normal 8 7 2 4 8 2 2 2" xfId="15105" xr:uid="{724D7E12-EEF4-4A3F-AA51-F1B5E023814A}"/>
    <cellStyle name="Normal 8 7 2 4 8 2 3" xfId="11185" xr:uid="{30D2D714-92E5-4EB7-9AE7-C257229FEEFD}"/>
    <cellStyle name="Normal 8 7 2 4 8 3" xfId="5291" xr:uid="{65E29E41-A6FE-4442-9105-D88507D99476}"/>
    <cellStyle name="Normal 8 7 2 4 8 3 2" xfId="13151" xr:uid="{7879EF95-1FBE-4609-A896-FDA0C4270D9E}"/>
    <cellStyle name="Normal 8 7 2 4 8 4" xfId="9232" xr:uid="{A900BBBE-EAEE-44FB-B9DB-CECFC5BE5BF5}"/>
    <cellStyle name="Normal 8 7 2 4 9" xfId="2023" xr:uid="{00000000-0005-0000-0000-0000EE0E0000}"/>
    <cellStyle name="Normal 8 7 2 4 9 2" xfId="5944" xr:uid="{66CB3ED2-1621-4370-99E4-0916EB748D83}"/>
    <cellStyle name="Normal 8 7 2 4 9 2 2" xfId="13804" xr:uid="{ACA6EBB4-3DFA-4568-ACC6-E8A038CA1D7F}"/>
    <cellStyle name="Normal 8 7 2 4 9 3" xfId="9884" xr:uid="{A2DF4BEF-C163-483C-BCF9-2013B4714DEA}"/>
    <cellStyle name="Normal 8 7 2 5" xfId="171" xr:uid="{00000000-0005-0000-0000-0000EF0E0000}"/>
    <cellStyle name="Normal 8 7 2 5 2" xfId="623" xr:uid="{00000000-0005-0000-0000-0000F00E0000}"/>
    <cellStyle name="Normal 8 7 2 5 2 2" xfId="2577" xr:uid="{00000000-0005-0000-0000-0000F10E0000}"/>
    <cellStyle name="Normal 8 7 2 5 2 2 2" xfId="6498" xr:uid="{46915785-480E-4D06-AA96-A7332059BB67}"/>
    <cellStyle name="Normal 8 7 2 5 2 2 2 2" xfId="14358" xr:uid="{59DF367B-6972-418C-A8EA-4586DB43D199}"/>
    <cellStyle name="Normal 8 7 2 5 2 2 3" xfId="10438" xr:uid="{051F8D98-BA9D-49AD-A793-A81F02F37BD3}"/>
    <cellStyle name="Normal 8 7 2 5 2 3" xfId="4544" xr:uid="{93DCE68C-C481-410C-BB7A-D13C048BCB90}"/>
    <cellStyle name="Normal 8 7 2 5 2 3 2" xfId="12404" xr:uid="{8519CF63-654A-4CC1-BEA0-BCC5C5143B9D}"/>
    <cellStyle name="Normal 8 7 2 5 2 4" xfId="8485" xr:uid="{021413C6-E6FA-4330-99F5-BA590726541A}"/>
    <cellStyle name="Normal 8 7 2 5 3" xfId="1060" xr:uid="{00000000-0005-0000-0000-0000F20E0000}"/>
    <cellStyle name="Normal 8 7 2 5 3 2" xfId="3014" xr:uid="{00000000-0005-0000-0000-0000F30E0000}"/>
    <cellStyle name="Normal 8 7 2 5 3 2 2" xfId="6935" xr:uid="{99F5D2D1-C30D-4019-B9D9-AD0A2030FED5}"/>
    <cellStyle name="Normal 8 7 2 5 3 2 2 2" xfId="14795" xr:uid="{056BDCA7-0BF2-42FB-9292-35CA49C74856}"/>
    <cellStyle name="Normal 8 7 2 5 3 2 3" xfId="10875" xr:uid="{96663723-7293-4A72-A0B2-1FD21410D3D5}"/>
    <cellStyle name="Normal 8 7 2 5 3 3" xfId="4981" xr:uid="{CF128C2B-4341-4D7B-8876-5E3FA5714D8C}"/>
    <cellStyle name="Normal 8 7 2 5 3 3 2" xfId="12841" xr:uid="{323FF627-8C2E-4975-840C-0BF7C9A13CFB}"/>
    <cellStyle name="Normal 8 7 2 5 3 4" xfId="8922" xr:uid="{7E3E3A3A-8827-49DE-959A-DA10A4568B9B}"/>
    <cellStyle name="Normal 8 7 2 5 4" xfId="1487" xr:uid="{00000000-0005-0000-0000-0000F40E0000}"/>
    <cellStyle name="Normal 8 7 2 5 4 2" xfId="3441" xr:uid="{00000000-0005-0000-0000-0000F50E0000}"/>
    <cellStyle name="Normal 8 7 2 5 4 2 2" xfId="7362" xr:uid="{6748CAD1-71E1-48ED-951C-49851E51B9DB}"/>
    <cellStyle name="Normal 8 7 2 5 4 2 2 2" xfId="15222" xr:uid="{D01656DB-D14F-4CDA-8614-4611574DA684}"/>
    <cellStyle name="Normal 8 7 2 5 4 2 3" xfId="11302" xr:uid="{48CB3F53-C777-4623-B399-985613208396}"/>
    <cellStyle name="Normal 8 7 2 5 4 3" xfId="5408" xr:uid="{9B5F5380-45A1-4CC2-9A45-A221DB72FDBD}"/>
    <cellStyle name="Normal 8 7 2 5 4 3 2" xfId="13268" xr:uid="{23FC068A-C1EE-4D32-992D-9B9D1D39CDE0}"/>
    <cellStyle name="Normal 8 7 2 5 4 4" xfId="9349" xr:uid="{262200D7-A4F2-47C6-BC31-3ED48BC077E3}"/>
    <cellStyle name="Normal 8 7 2 5 5" xfId="2140" xr:uid="{00000000-0005-0000-0000-0000F60E0000}"/>
    <cellStyle name="Normal 8 7 2 5 5 2" xfId="6061" xr:uid="{7C006786-A32B-417D-8DE9-926CBD1739FD}"/>
    <cellStyle name="Normal 8 7 2 5 5 2 2" xfId="13921" xr:uid="{0F56F8BA-F373-4384-AF7C-9C61B317E44A}"/>
    <cellStyle name="Normal 8 7 2 5 5 3" xfId="10001" xr:uid="{4BF3FF0E-9B80-49D5-A115-6B7B82E2FE03}"/>
    <cellStyle name="Normal 8 7 2 5 6" xfId="4107" xr:uid="{E796F760-17E5-44A8-9AB4-6FFCA533E46A}"/>
    <cellStyle name="Normal 8 7 2 5 6 2" xfId="11967" xr:uid="{45FD5A83-160C-47AC-B856-A19612F70D40}"/>
    <cellStyle name="Normal 8 7 2 5 7" xfId="8045" xr:uid="{5559C3BA-03A9-4A3D-A7E8-FEED9E5F3404}"/>
    <cellStyle name="Normal 8 7 2 6" xfId="93" xr:uid="{00000000-0005-0000-0000-0000F70E0000}"/>
    <cellStyle name="Normal 8 7 2 6 2" xfId="545" xr:uid="{00000000-0005-0000-0000-0000F80E0000}"/>
    <cellStyle name="Normal 8 7 2 6 2 2" xfId="2499" xr:uid="{00000000-0005-0000-0000-0000F90E0000}"/>
    <cellStyle name="Normal 8 7 2 6 2 2 2" xfId="6420" xr:uid="{52C4C342-64F0-4081-87DF-AE2DB1F61DE7}"/>
    <cellStyle name="Normal 8 7 2 6 2 2 2 2" xfId="14280" xr:uid="{F8460CEF-0328-42D2-81FD-182B3A1C3C8B}"/>
    <cellStyle name="Normal 8 7 2 6 2 2 3" xfId="10360" xr:uid="{AE4EE3B2-109B-43AE-A435-C01E92747B91}"/>
    <cellStyle name="Normal 8 7 2 6 2 3" xfId="4466" xr:uid="{A924D43A-F01A-45C7-9F57-14B7BCA0A942}"/>
    <cellStyle name="Normal 8 7 2 6 2 3 2" xfId="12326" xr:uid="{7F1C433A-7F47-482D-93E3-84F423313A15}"/>
    <cellStyle name="Normal 8 7 2 6 2 4" xfId="8407" xr:uid="{36363D8E-771A-4675-A34C-C292DDD52B98}"/>
    <cellStyle name="Normal 8 7 2 6 3" xfId="982" xr:uid="{00000000-0005-0000-0000-0000FA0E0000}"/>
    <cellStyle name="Normal 8 7 2 6 3 2" xfId="2936" xr:uid="{00000000-0005-0000-0000-0000FB0E0000}"/>
    <cellStyle name="Normal 8 7 2 6 3 2 2" xfId="6857" xr:uid="{E3DF53ED-E260-44AA-A29F-D24727C9DD77}"/>
    <cellStyle name="Normal 8 7 2 6 3 2 2 2" xfId="14717" xr:uid="{412A5A89-CA37-4A11-8384-5E764BAF48E3}"/>
    <cellStyle name="Normal 8 7 2 6 3 2 3" xfId="10797" xr:uid="{3F01938C-70DE-4046-A5E6-334031B3021C}"/>
    <cellStyle name="Normal 8 7 2 6 3 3" xfId="4903" xr:uid="{F0F053D9-87B7-442E-A8BF-69141D83506E}"/>
    <cellStyle name="Normal 8 7 2 6 3 3 2" xfId="12763" xr:uid="{BEC61C6B-268A-4737-911B-6E3D126B8482}"/>
    <cellStyle name="Normal 8 7 2 6 3 4" xfId="8844" xr:uid="{8825CEB3-4D07-4EDC-92B0-F0DB3C751140}"/>
    <cellStyle name="Normal 8 7 2 6 4" xfId="1409" xr:uid="{00000000-0005-0000-0000-0000FC0E0000}"/>
    <cellStyle name="Normal 8 7 2 6 4 2" xfId="3363" xr:uid="{00000000-0005-0000-0000-0000FD0E0000}"/>
    <cellStyle name="Normal 8 7 2 6 4 2 2" xfId="7284" xr:uid="{8961F37B-3C9C-45F9-81E8-1A68A62DA497}"/>
    <cellStyle name="Normal 8 7 2 6 4 2 2 2" xfId="15144" xr:uid="{F3ABD2CD-BEAE-4E96-8062-A2DDA91D6054}"/>
    <cellStyle name="Normal 8 7 2 6 4 2 3" xfId="11224" xr:uid="{628F27CA-2C5F-446B-9674-7DA5325D3E48}"/>
    <cellStyle name="Normal 8 7 2 6 4 3" xfId="5330" xr:uid="{95FDC5E9-04CC-4BCE-938F-1E01570F0683}"/>
    <cellStyle name="Normal 8 7 2 6 4 3 2" xfId="13190" xr:uid="{5DC9CA7B-297E-4CC6-8597-42F324DFCFC5}"/>
    <cellStyle name="Normal 8 7 2 6 4 4" xfId="9271" xr:uid="{570D2DC8-B4DA-45B1-9512-F13B1B4A80B8}"/>
    <cellStyle name="Normal 8 7 2 6 5" xfId="2062" xr:uid="{00000000-0005-0000-0000-0000FE0E0000}"/>
    <cellStyle name="Normal 8 7 2 6 5 2" xfId="5983" xr:uid="{01CFC0F3-322F-4F18-BDA4-E3E24A1C3195}"/>
    <cellStyle name="Normal 8 7 2 6 5 2 2" xfId="13843" xr:uid="{3FCAABF5-356D-4DA2-92BE-EB2E9F1E06A5}"/>
    <cellStyle name="Normal 8 7 2 6 5 3" xfId="9923" xr:uid="{283E1B12-061C-4E57-9436-4E6EEB133BD4}"/>
    <cellStyle name="Normal 8 7 2 6 6" xfId="4029" xr:uid="{71F594C9-E56A-4746-A08C-98E7C79FE3B0}"/>
    <cellStyle name="Normal 8 7 2 6 6 2" xfId="11889" xr:uid="{F5085293-A52D-4B02-9E8E-2B90FDA17A23}"/>
    <cellStyle name="Normal 8 7 2 6 7" xfId="7967" xr:uid="{D68177C3-C2B6-4FB3-BEC4-22B4FDAA54DF}"/>
    <cellStyle name="Normal 8 7 2 7" xfId="269" xr:uid="{00000000-0005-0000-0000-0000FF0E0000}"/>
    <cellStyle name="Normal 8 7 2 7 2" xfId="721" xr:uid="{00000000-0005-0000-0000-0000000F0000}"/>
    <cellStyle name="Normal 8 7 2 7 2 2" xfId="2675" xr:uid="{00000000-0005-0000-0000-0000010F0000}"/>
    <cellStyle name="Normal 8 7 2 7 2 2 2" xfId="6596" xr:uid="{B13537E8-8737-41A5-A4FE-D1F812212FD4}"/>
    <cellStyle name="Normal 8 7 2 7 2 2 2 2" xfId="14456" xr:uid="{6A109626-83CF-4496-BE12-B00E237BD86C}"/>
    <cellStyle name="Normal 8 7 2 7 2 2 3" xfId="10536" xr:uid="{F44AA5F9-A03D-46E8-BEE6-0F650278444E}"/>
    <cellStyle name="Normal 8 7 2 7 2 3" xfId="4642" xr:uid="{37DEE708-1340-4DE1-981C-9B2E8DB13957}"/>
    <cellStyle name="Normal 8 7 2 7 2 3 2" xfId="12502" xr:uid="{6E6874F2-A645-4A9F-B4A7-A791477072FD}"/>
    <cellStyle name="Normal 8 7 2 7 2 4" xfId="8583" xr:uid="{16A4C83E-069F-4BCF-A820-B34576D17F9A}"/>
    <cellStyle name="Normal 8 7 2 7 3" xfId="1157" xr:uid="{00000000-0005-0000-0000-0000020F0000}"/>
    <cellStyle name="Normal 8 7 2 7 3 2" xfId="3111" xr:uid="{00000000-0005-0000-0000-0000030F0000}"/>
    <cellStyle name="Normal 8 7 2 7 3 2 2" xfId="7032" xr:uid="{C827AB8E-E43D-4658-A0C8-1C48F461CDAA}"/>
    <cellStyle name="Normal 8 7 2 7 3 2 2 2" xfId="14892" xr:uid="{34958CE4-44F1-4FC7-B5B3-4E655010373D}"/>
    <cellStyle name="Normal 8 7 2 7 3 2 3" xfId="10972" xr:uid="{0028F513-D55C-4E6F-A9DE-75D84A66BFF2}"/>
    <cellStyle name="Normal 8 7 2 7 3 3" xfId="5078" xr:uid="{5040B917-61FD-441D-B9D0-D13DBA290E17}"/>
    <cellStyle name="Normal 8 7 2 7 3 3 2" xfId="12938" xr:uid="{D4876A5E-1927-4AA9-829B-2D92332A017F}"/>
    <cellStyle name="Normal 8 7 2 7 3 4" xfId="9019" xr:uid="{577B7182-C0BB-4122-8287-E91FB3563A6A}"/>
    <cellStyle name="Normal 8 7 2 7 4" xfId="1578" xr:uid="{00000000-0005-0000-0000-0000040F0000}"/>
    <cellStyle name="Normal 8 7 2 7 4 2" xfId="3532" xr:uid="{00000000-0005-0000-0000-0000050F0000}"/>
    <cellStyle name="Normal 8 7 2 7 4 2 2" xfId="7453" xr:uid="{E03E19E5-12C4-41C6-AB30-936845026706}"/>
    <cellStyle name="Normal 8 7 2 7 4 2 2 2" xfId="15313" xr:uid="{1A97E4C7-3640-4D16-B952-25A2F7746F3B}"/>
    <cellStyle name="Normal 8 7 2 7 4 2 3" xfId="11393" xr:uid="{83676752-A92C-4629-87ED-97B46C736E24}"/>
    <cellStyle name="Normal 8 7 2 7 4 3" xfId="5499" xr:uid="{7CA02651-6949-4CF8-8633-504C496DCA3F}"/>
    <cellStyle name="Normal 8 7 2 7 4 3 2" xfId="13359" xr:uid="{F6C748BB-5FDF-4F16-BE86-8F01A4E7DE9C}"/>
    <cellStyle name="Normal 8 7 2 7 4 4" xfId="9440" xr:uid="{8D322F6C-FD65-4F8D-A6E0-3E257332AA13}"/>
    <cellStyle name="Normal 8 7 2 7 5" xfId="2232" xr:uid="{00000000-0005-0000-0000-0000060F0000}"/>
    <cellStyle name="Normal 8 7 2 7 5 2" xfId="6153" xr:uid="{6553B646-5CDE-440E-9268-F408656CFA71}"/>
    <cellStyle name="Normal 8 7 2 7 5 2 2" xfId="14013" xr:uid="{B75E6E07-8E97-4721-BDCD-AF81601ED40E}"/>
    <cellStyle name="Normal 8 7 2 7 5 3" xfId="10093" xr:uid="{CC1DA3A3-85E8-462E-A2C0-31C37D0A44EF}"/>
    <cellStyle name="Normal 8 7 2 7 6" xfId="4199" xr:uid="{E30BB274-327A-430E-9BC8-CEB590C9123E}"/>
    <cellStyle name="Normal 8 7 2 7 6 2" xfId="12059" xr:uid="{FC9CB793-9C25-4899-97F1-A9741F2F9D7E}"/>
    <cellStyle name="Normal 8 7 2 7 7" xfId="8138" xr:uid="{54AF63C2-57AE-4FDE-AD27-8837773A1785}"/>
    <cellStyle name="Normal 8 7 2 8" xfId="369" xr:uid="{00000000-0005-0000-0000-0000070F0000}"/>
    <cellStyle name="Normal 8 7 2 8 2" xfId="820" xr:uid="{00000000-0005-0000-0000-0000080F0000}"/>
    <cellStyle name="Normal 8 7 2 8 2 2" xfId="2774" xr:uid="{00000000-0005-0000-0000-0000090F0000}"/>
    <cellStyle name="Normal 8 7 2 8 2 2 2" xfId="6695" xr:uid="{DD9FD468-164E-4F85-AACD-D42BF6637079}"/>
    <cellStyle name="Normal 8 7 2 8 2 2 2 2" xfId="14555" xr:uid="{05712E8C-EAB5-4ACA-B3C8-5E0EC96D88AD}"/>
    <cellStyle name="Normal 8 7 2 8 2 2 3" xfId="10635" xr:uid="{42FE4740-9F61-40BB-8F65-1A14B2D5AC4B}"/>
    <cellStyle name="Normal 8 7 2 8 2 3" xfId="4741" xr:uid="{3B735FDC-8161-4AF9-928F-396406953622}"/>
    <cellStyle name="Normal 8 7 2 8 2 3 2" xfId="12601" xr:uid="{BDDBC78F-2011-4783-82FF-00453DEE1327}"/>
    <cellStyle name="Normal 8 7 2 8 2 4" xfId="8682" xr:uid="{0A9C45C0-82EF-4566-913E-EF947369579C}"/>
    <cellStyle name="Normal 8 7 2 8 3" xfId="1252" xr:uid="{00000000-0005-0000-0000-00000A0F0000}"/>
    <cellStyle name="Normal 8 7 2 8 3 2" xfId="3206" xr:uid="{00000000-0005-0000-0000-00000B0F0000}"/>
    <cellStyle name="Normal 8 7 2 8 3 2 2" xfId="7127" xr:uid="{1453E222-3065-45B8-B7FB-08F6A6CFA1ED}"/>
    <cellStyle name="Normal 8 7 2 8 3 2 2 2" xfId="14987" xr:uid="{095A4DF7-D2E5-4694-B4D6-C65274BDAED1}"/>
    <cellStyle name="Normal 8 7 2 8 3 2 3" xfId="11067" xr:uid="{EEA08542-8222-44C3-AECB-CCCF4229E1DE}"/>
    <cellStyle name="Normal 8 7 2 8 3 3" xfId="5173" xr:uid="{E2A24EC1-7760-4946-B7BB-6702CE72F434}"/>
    <cellStyle name="Normal 8 7 2 8 3 3 2" xfId="13033" xr:uid="{DAB4D24F-6DD8-4D43-B024-6251155D20E8}"/>
    <cellStyle name="Normal 8 7 2 8 3 4" xfId="9114" xr:uid="{4D8D9CFE-ED84-4FF2-BED1-DE78B0E5CB5C}"/>
    <cellStyle name="Normal 8 7 2 8 4" xfId="1670" xr:uid="{00000000-0005-0000-0000-00000C0F0000}"/>
    <cellStyle name="Normal 8 7 2 8 4 2" xfId="3624" xr:uid="{00000000-0005-0000-0000-00000D0F0000}"/>
    <cellStyle name="Normal 8 7 2 8 4 2 2" xfId="7545" xr:uid="{3BC5E29D-AF87-4CCD-ADDC-189DFC4E95F0}"/>
    <cellStyle name="Normal 8 7 2 8 4 2 2 2" xfId="15405" xr:uid="{C5F6F027-1885-44DB-B6FF-54E1C6D9A529}"/>
    <cellStyle name="Normal 8 7 2 8 4 2 3" xfId="11485" xr:uid="{98409A01-E1B3-4A19-8F95-4D3B1CAB908D}"/>
    <cellStyle name="Normal 8 7 2 8 4 3" xfId="5591" xr:uid="{03DB0C08-769E-475F-BCB5-95A45DEC7273}"/>
    <cellStyle name="Normal 8 7 2 8 4 3 2" xfId="13451" xr:uid="{B2FFF878-8F0F-4E61-8E67-BD8973D0C24C}"/>
    <cellStyle name="Normal 8 7 2 8 4 4" xfId="9532" xr:uid="{E3204030-4900-43B1-BA7C-1ACFE6E2EAD8}"/>
    <cellStyle name="Normal 8 7 2 8 5" xfId="2324" xr:uid="{00000000-0005-0000-0000-00000E0F0000}"/>
    <cellStyle name="Normal 8 7 2 8 5 2" xfId="6245" xr:uid="{AED57935-984A-4CB5-B30A-C9683CA9A483}"/>
    <cellStyle name="Normal 8 7 2 8 5 2 2" xfId="14105" xr:uid="{F6C9D218-D79D-4994-8FAA-B2D04FDA3863}"/>
    <cellStyle name="Normal 8 7 2 8 5 3" xfId="10185" xr:uid="{9E815944-0625-43EE-9A88-5DF16CD4D2E8}"/>
    <cellStyle name="Normal 8 7 2 8 6" xfId="4291" xr:uid="{5CBF7474-24B4-4AB1-959E-2D334E4D8100}"/>
    <cellStyle name="Normal 8 7 2 8 6 2" xfId="12151" xr:uid="{10032145-6A46-4242-8B79-56AA910F5C66}"/>
    <cellStyle name="Normal 8 7 2 8 7" xfId="8232" xr:uid="{92AA1BE1-AEFD-4A78-A724-223B30A38141}"/>
    <cellStyle name="Normal 8 7 2 9" xfId="466" xr:uid="{00000000-0005-0000-0000-00000F0F0000}"/>
    <cellStyle name="Normal 8 7 2 9 2" xfId="2420" xr:uid="{00000000-0005-0000-0000-0000100F0000}"/>
    <cellStyle name="Normal 8 7 2 9 2 2" xfId="6341" xr:uid="{E3AE4D2B-0A31-47CD-80A8-C03445C7AD64}"/>
    <cellStyle name="Normal 8 7 2 9 2 2 2" xfId="14201" xr:uid="{CFEF950B-D7F9-4E63-8341-F340C61183EA}"/>
    <cellStyle name="Normal 8 7 2 9 2 3" xfId="10281" xr:uid="{86CB7E81-3FF0-4668-B3C1-FC0E541FA66A}"/>
    <cellStyle name="Normal 8 7 2 9 3" xfId="4387" xr:uid="{7412840B-0740-4152-9127-F375021B68E9}"/>
    <cellStyle name="Normal 8 7 2 9 3 2" xfId="12247" xr:uid="{83D17343-A364-40F6-8522-81670EF33EF7}"/>
    <cellStyle name="Normal 8 7 2 9 4" xfId="8328" xr:uid="{9AD9AA8F-1ED8-43E0-8D4C-052450B9B1DD}"/>
    <cellStyle name="Normal 8 7 3" xfId="538" xr:uid="{00000000-0005-0000-0000-0000110F0000}"/>
    <cellStyle name="Normal 8 7 3 2" xfId="2492" xr:uid="{00000000-0005-0000-0000-0000120F0000}"/>
    <cellStyle name="Normal 8 7 3 2 2" xfId="6413" xr:uid="{A43C8CA5-7C0E-4F14-B944-74A80D7DFB15}"/>
    <cellStyle name="Normal 8 7 3 2 2 2" xfId="14273" xr:uid="{ECF58699-FFD3-462A-AB98-B7FF064FB995}"/>
    <cellStyle name="Normal 8 7 3 2 3" xfId="10353" xr:uid="{7531B420-3474-427D-9641-AB39A2BF9AFA}"/>
    <cellStyle name="Normal 8 7 3 3" xfId="4459" xr:uid="{E6B98EBA-9AA3-42A8-AA69-0CA8546D3C8C}"/>
    <cellStyle name="Normal 8 7 3 3 2" xfId="12319" xr:uid="{9B7E4947-29EF-4348-B499-B9014A07085C}"/>
    <cellStyle name="Normal 8 7 3 4" xfId="8400" xr:uid="{26B538ED-5882-4AA5-8B49-DD0436E4D44A}"/>
    <cellStyle name="Normal 8 7 4" xfId="975" xr:uid="{00000000-0005-0000-0000-0000130F0000}"/>
    <cellStyle name="Normal 8 7 4 2" xfId="2929" xr:uid="{00000000-0005-0000-0000-0000140F0000}"/>
    <cellStyle name="Normal 8 7 4 2 2" xfId="6850" xr:uid="{CA7D78DE-802B-4360-913A-25729BF924F2}"/>
    <cellStyle name="Normal 8 7 4 2 2 2" xfId="14710" xr:uid="{41F3EE13-AC22-4BE1-8B2D-B531343C8440}"/>
    <cellStyle name="Normal 8 7 4 2 3" xfId="10790" xr:uid="{E5F1A4D5-256F-4173-A494-CD5B0D2ED394}"/>
    <cellStyle name="Normal 8 7 4 3" xfId="4896" xr:uid="{782E365C-043F-4A5C-B942-EE0181E5F66B}"/>
    <cellStyle name="Normal 8 7 4 3 2" xfId="12756" xr:uid="{2F54512E-EA1D-4E28-89B2-61B9CD8BA861}"/>
    <cellStyle name="Normal 8 7 4 4" xfId="8837" xr:uid="{B30E286B-6A2E-4197-8054-CF0731B1A4D9}"/>
    <cellStyle name="Normal 8 7 5" xfId="1402" xr:uid="{00000000-0005-0000-0000-0000150F0000}"/>
    <cellStyle name="Normal 8 7 5 2" xfId="3356" xr:uid="{00000000-0005-0000-0000-0000160F0000}"/>
    <cellStyle name="Normal 8 7 5 2 2" xfId="7277" xr:uid="{FCD21266-29E8-42B6-94AC-008B1C099EAB}"/>
    <cellStyle name="Normal 8 7 5 2 2 2" xfId="15137" xr:uid="{B9CB3274-0FB2-42B8-8A75-FD10A47B68C1}"/>
    <cellStyle name="Normal 8 7 5 2 3" xfId="11217" xr:uid="{5D76A59C-EDFE-40A8-ADD4-AEC1B84B29B9}"/>
    <cellStyle name="Normal 8 7 5 3" xfId="5323" xr:uid="{923F6465-4D3B-4F3F-BBBA-C507B28295D5}"/>
    <cellStyle name="Normal 8 7 5 3 2" xfId="13183" xr:uid="{84F89C71-537A-4ABF-A4A2-1FBD1BF5F064}"/>
    <cellStyle name="Normal 8 7 5 4" xfId="9264" xr:uid="{A25D90F8-A3FE-4966-A1A3-9F57726B4B83}"/>
    <cellStyle name="Normal 8 7 6" xfId="2055" xr:uid="{00000000-0005-0000-0000-0000170F0000}"/>
    <cellStyle name="Normal 8 7 6 2" xfId="5976" xr:uid="{2F634142-04B6-44CB-8A67-D08B23C775D4}"/>
    <cellStyle name="Normal 8 7 6 2 2" xfId="13836" xr:uid="{196BDEF4-236B-46C8-A2F5-EBC2BC203D6B}"/>
    <cellStyle name="Normal 8 7 6 3" xfId="9916" xr:uid="{9657B2A7-C35E-4237-BFEF-55E4F3DF26EB}"/>
    <cellStyle name="Normal 8 7 7" xfId="4022" xr:uid="{C4289E71-8636-4822-8F21-8F479A724795}"/>
    <cellStyle name="Normal 8 7 7 2" xfId="11882" xr:uid="{C79F0B02-9529-458F-B2A6-E87EE3A3F31F}"/>
    <cellStyle name="Normal 8 7 8" xfId="7960" xr:uid="{FE29731B-29F0-4490-A919-4A7CF110554C}"/>
    <cellStyle name="Normal 8 8" xfId="256" xr:uid="{00000000-0005-0000-0000-0000180F0000}"/>
    <cellStyle name="Normal 8 9" xfId="262" xr:uid="{00000000-0005-0000-0000-0000190F0000}"/>
    <cellStyle name="Normal 8 9 2" xfId="714" xr:uid="{00000000-0005-0000-0000-00001A0F0000}"/>
    <cellStyle name="Normal 8 9 2 2" xfId="2668" xr:uid="{00000000-0005-0000-0000-00001B0F0000}"/>
    <cellStyle name="Normal 8 9 2 2 2" xfId="6589" xr:uid="{C86AC40E-6A20-4150-9B0F-D3C456B95D0A}"/>
    <cellStyle name="Normal 8 9 2 2 2 2" xfId="14449" xr:uid="{EC3D06A3-E857-4D1C-9B4F-D9DD4AEDDC10}"/>
    <cellStyle name="Normal 8 9 2 2 3" xfId="10529" xr:uid="{20D40E78-31F7-4E81-BDDC-282BA33E0DF5}"/>
    <cellStyle name="Normal 8 9 2 3" xfId="4635" xr:uid="{B3916061-2585-434C-B41E-95C863CBF164}"/>
    <cellStyle name="Normal 8 9 2 3 2" xfId="12495" xr:uid="{80918C68-8308-4D53-8582-C7CE4991F59F}"/>
    <cellStyle name="Normal 8 9 2 4" xfId="8576" xr:uid="{54C88F22-1E31-443E-96E7-AD8486202F1E}"/>
    <cellStyle name="Normal 8 9 3" xfId="1150" xr:uid="{00000000-0005-0000-0000-00001C0F0000}"/>
    <cellStyle name="Normal 8 9 3 2" xfId="3104" xr:uid="{00000000-0005-0000-0000-00001D0F0000}"/>
    <cellStyle name="Normal 8 9 3 2 2" xfId="7025" xr:uid="{B3B82C15-2B9E-4605-9A8E-7FD00BB51687}"/>
    <cellStyle name="Normal 8 9 3 2 2 2" xfId="14885" xr:uid="{B78A4AE2-6EB8-4882-9401-C0E3D1BC5879}"/>
    <cellStyle name="Normal 8 9 3 2 3" xfId="10965" xr:uid="{23540B39-E46A-4171-BE07-E77CCBBD8170}"/>
    <cellStyle name="Normal 8 9 3 3" xfId="5071" xr:uid="{B15914A1-AC60-42C3-A47C-5DE60A066CBE}"/>
    <cellStyle name="Normal 8 9 3 3 2" xfId="12931" xr:uid="{3B553845-4F3F-41D6-84A5-C6BDB21F8900}"/>
    <cellStyle name="Normal 8 9 3 4" xfId="9012" xr:uid="{2EAAB4FD-9F44-4D88-9A4E-9A499AA8E9C7}"/>
    <cellStyle name="Normal 8 9 4" xfId="1571" xr:uid="{00000000-0005-0000-0000-00001E0F0000}"/>
    <cellStyle name="Normal 8 9 4 2" xfId="3525" xr:uid="{00000000-0005-0000-0000-00001F0F0000}"/>
    <cellStyle name="Normal 8 9 4 2 2" xfId="7446" xr:uid="{172E0947-4D61-4A45-8202-DD5DB1B62C59}"/>
    <cellStyle name="Normal 8 9 4 2 2 2" xfId="15306" xr:uid="{36F0A5D2-8414-4840-B427-0BB9A84A6D19}"/>
    <cellStyle name="Normal 8 9 4 2 3" xfId="11386" xr:uid="{44B6B2A6-4C12-4979-986F-B39359477C92}"/>
    <cellStyle name="Normal 8 9 4 3" xfId="5492" xr:uid="{27539064-F53C-4557-B211-4EB6B89923DA}"/>
    <cellStyle name="Normal 8 9 4 3 2" xfId="13352" xr:uid="{D6B19AF2-78B0-43B9-B2DE-8137A6DD086A}"/>
    <cellStyle name="Normal 8 9 4 4" xfId="9433" xr:uid="{104D3766-146C-4729-B104-64C16EB24D68}"/>
    <cellStyle name="Normal 8 9 5" xfId="2225" xr:uid="{00000000-0005-0000-0000-0000200F0000}"/>
    <cellStyle name="Normal 8 9 5 2" xfId="6146" xr:uid="{AAE699AC-BEB9-4CAB-AB48-4A65C445E045}"/>
    <cellStyle name="Normal 8 9 5 2 2" xfId="14006" xr:uid="{E307B861-2947-4786-ADC6-00C63FF7C5B8}"/>
    <cellStyle name="Normal 8 9 5 3" xfId="10086" xr:uid="{A42B7858-2C79-432E-BE90-AFE476A53B8C}"/>
    <cellStyle name="Normal 8 9 6" xfId="4192" xr:uid="{18A99823-025E-48EF-A27D-A4BFBD33CDE7}"/>
    <cellStyle name="Normal 8 9 6 2" xfId="12052" xr:uid="{02BA8001-BFE4-4D6C-A919-E506B0FEAAE6}"/>
    <cellStyle name="Normal 8 9 7" xfId="8131" xr:uid="{675C23F6-F8B7-4762-AC49-2FC8B7273F2A}"/>
    <cellStyle name="Normal 9" xfId="242" xr:uid="{00000000-0005-0000-0000-0000210F0000}"/>
    <cellStyle name="Normal 9 2" xfId="309" xr:uid="{00000000-0005-0000-0000-0000220F0000}"/>
    <cellStyle name="Normal 9 3" xfId="694" xr:uid="{00000000-0005-0000-0000-0000230F0000}"/>
    <cellStyle name="Normal 9 3 2" xfId="2648" xr:uid="{00000000-0005-0000-0000-0000240F0000}"/>
    <cellStyle name="Normal 9 3 2 2" xfId="6569" xr:uid="{09C66DF1-CC02-4FBC-9EC3-A49C99F9734E}"/>
    <cellStyle name="Normal 9 3 2 2 2" xfId="14429" xr:uid="{ED2982E7-C619-465D-A985-06035E3AEE43}"/>
    <cellStyle name="Normal 9 3 2 3" xfId="10509" xr:uid="{BC46D109-06B5-452D-85F4-9F9A84F0C95E}"/>
    <cellStyle name="Normal 9 3 3" xfId="4615" xr:uid="{0AB973AD-B10A-4DFC-A1B2-E52E9AB30BC7}"/>
    <cellStyle name="Normal 9 3 3 2" xfId="12475" xr:uid="{3357FDDC-B956-4EAE-9036-BCB4A9BCCA06}"/>
    <cellStyle name="Normal 9 3 4" xfId="8556" xr:uid="{89529F45-FEA9-4CE8-9581-34D5920BE6C4}"/>
    <cellStyle name="Normal 9 4" xfId="1131" xr:uid="{00000000-0005-0000-0000-0000250F0000}"/>
    <cellStyle name="Normal 9 4 2" xfId="3085" xr:uid="{00000000-0005-0000-0000-0000260F0000}"/>
    <cellStyle name="Normal 9 4 2 2" xfId="7006" xr:uid="{8A4FCD14-D394-4DB7-BA58-2000D5E845BD}"/>
    <cellStyle name="Normal 9 4 2 2 2" xfId="14866" xr:uid="{9560CD6D-8AF4-41AB-84CB-A2FFA2A8A3B4}"/>
    <cellStyle name="Normal 9 4 2 3" xfId="10946" xr:uid="{E0C3B5C4-0FF2-4FF7-8D24-7904CF11B79D}"/>
    <cellStyle name="Normal 9 4 3" xfId="5052" xr:uid="{5DAED094-C800-4526-9241-C0ACD02760F8}"/>
    <cellStyle name="Normal 9 4 3 2" xfId="12912" xr:uid="{A7ECAE2D-C538-4C71-9190-53187D4F60AF}"/>
    <cellStyle name="Normal 9 4 4" xfId="8993" xr:uid="{28669EAB-0D12-4091-A617-529F7B8EF1B0}"/>
    <cellStyle name="Normal 9 5" xfId="1558" xr:uid="{00000000-0005-0000-0000-0000270F0000}"/>
    <cellStyle name="Normal 9 5 2" xfId="3512" xr:uid="{00000000-0005-0000-0000-0000280F0000}"/>
    <cellStyle name="Normal 9 5 2 2" xfId="7433" xr:uid="{918F5BFE-0D5F-4309-B500-D01EDA9E2669}"/>
    <cellStyle name="Normal 9 5 2 2 2" xfId="15293" xr:uid="{C8FFF4B3-D99F-4BEF-89AD-A78E92C68514}"/>
    <cellStyle name="Normal 9 5 2 3" xfId="11373" xr:uid="{27BC8494-87FE-40C2-AF48-9E3324FAE57C}"/>
    <cellStyle name="Normal 9 5 3" xfId="5479" xr:uid="{F9B5A85C-C5C1-42D0-BACC-058E900B1170}"/>
    <cellStyle name="Normal 9 5 3 2" xfId="13339" xr:uid="{ADAD2716-2A55-4472-AE1C-CEBA7B3BE635}"/>
    <cellStyle name="Normal 9 5 4" xfId="9420" xr:uid="{CA0F7D5A-F8E8-46FA-A78B-8C0383F34F03}"/>
    <cellStyle name="Normal 9 6" xfId="1911" xr:uid="{00000000-0005-0000-0000-0000290F0000}"/>
    <cellStyle name="Normal 9 6 2" xfId="3864" xr:uid="{00000000-0005-0000-0000-00002A0F0000}"/>
    <cellStyle name="Normal 9 6 2 2" xfId="7785" xr:uid="{5F2F8174-04EE-4616-A6A0-3FE1C844EAD6}"/>
    <cellStyle name="Normal 9 6 2 2 2" xfId="15645" xr:uid="{64938C78-5829-4D67-B76B-F02DED36FC15}"/>
    <cellStyle name="Normal 9 6 2 3" xfId="11725" xr:uid="{D4846AC3-07AA-41ED-9B71-8EBB1681CEA1}"/>
    <cellStyle name="Normal 9 6 3" xfId="5832" xr:uid="{1DBFC95E-BB77-48B7-8F95-8A6A381A75BD}"/>
    <cellStyle name="Normal 9 6 3 2" xfId="13692" xr:uid="{AC6ECE5B-6443-499F-8FE6-F11854A17FFB}"/>
    <cellStyle name="Normal 9 6 4" xfId="9773" xr:uid="{4DC7DDDE-75F4-420D-9CD4-6B2E92EDB9FF}"/>
    <cellStyle name="Normal 9 7" xfId="2211" xr:uid="{00000000-0005-0000-0000-00002B0F0000}"/>
    <cellStyle name="Normal 9 7 2" xfId="6132" xr:uid="{C5641C8C-A57A-4FA5-BCCD-AB94190E4C81}"/>
    <cellStyle name="Normal 9 7 2 2" xfId="13992" xr:uid="{AB2022B6-AAC8-4101-86F9-CA1B925E17A5}"/>
    <cellStyle name="Normal 9 7 3" xfId="10072" xr:uid="{D162E20A-E9F8-4B03-97F1-E4A5910A5872}"/>
    <cellStyle name="Normal 9 8" xfId="4178" xr:uid="{8A6D41E0-8DE9-479F-AC6F-DC41F29DA36C}"/>
    <cellStyle name="Normal 9 8 2" xfId="12038" xr:uid="{F8FB4DA6-48E8-44DC-B6A5-07C30B4DD2AA}"/>
    <cellStyle name="Normal 9 9" xfId="8116" xr:uid="{4E06D5BF-ABA8-4236-BA64-27DE2E366ABB}"/>
    <cellStyle name="Normal 94" xfId="15745" xr:uid="{2D902C20-6ECB-4B58-AF0E-20783BDB86EE}"/>
    <cellStyle name="Percent" xfId="261" xr:uid="{00000000-0005-0000-0000-00002D0F0000}"/>
    <cellStyle name="Percent 10" xfId="4191" xr:uid="{EB6395C0-B9FE-4175-869F-347F9518FA40}"/>
    <cellStyle name="Percent 10 2" xfId="12051" xr:uid="{84668826-A935-4756-B69A-7995E79CBF99}"/>
    <cellStyle name="Percent 11" xfId="8130" xr:uid="{C7CFC39D-C0E9-44F3-9BDD-300C7DB4745C}"/>
    <cellStyle name="Percent 12" xfId="15761" xr:uid="{7FED5571-9807-46D5-8659-6B3E79017E16}"/>
    <cellStyle name="Percent 2" xfId="250" xr:uid="{00000000-0005-0000-0000-00002E0F0000}"/>
    <cellStyle name="Percent 2 2" xfId="331" xr:uid="{00000000-0005-0000-0000-00002F0F0000}"/>
    <cellStyle name="Percent 2 3" xfId="702" xr:uid="{00000000-0005-0000-0000-0000300F0000}"/>
    <cellStyle name="Percent 2 3 2" xfId="2656" xr:uid="{00000000-0005-0000-0000-0000310F0000}"/>
    <cellStyle name="Percent 2 3 2 2" xfId="6577" xr:uid="{D0367FD5-15E6-40A9-8016-2EE6D7E02B6E}"/>
    <cellStyle name="Percent 2 3 2 2 2" xfId="14437" xr:uid="{47F501D5-DC91-4D36-94C2-5318FAEE6B8F}"/>
    <cellStyle name="Percent 2 3 2 3" xfId="10517" xr:uid="{68F2AA99-36A2-444D-A712-29176F4D163C}"/>
    <cellStyle name="Percent 2 3 3" xfId="4623" xr:uid="{C0F0E40F-2D79-4975-9BDA-640BC05DA51B}"/>
    <cellStyle name="Percent 2 3 3 2" xfId="12483" xr:uid="{536D6106-7CC1-4F4D-8D75-3015B7814C97}"/>
    <cellStyle name="Percent 2 3 4" xfId="8564" xr:uid="{80E552D3-AE40-4393-9410-B1762B673AF8}"/>
    <cellStyle name="Percent 2 4" xfId="1139" xr:uid="{00000000-0005-0000-0000-0000320F0000}"/>
    <cellStyle name="Percent 2 4 2" xfId="3093" xr:uid="{00000000-0005-0000-0000-0000330F0000}"/>
    <cellStyle name="Percent 2 4 2 2" xfId="7014" xr:uid="{18221CDB-1643-4A4C-99FA-926E46E26590}"/>
    <cellStyle name="Percent 2 4 2 2 2" xfId="14874" xr:uid="{E37C8832-86E9-48E1-A8F7-844A61B67A77}"/>
    <cellStyle name="Percent 2 4 2 3" xfId="10954" xr:uid="{F5A49264-33CF-47FF-A9FE-95CD583A50DC}"/>
    <cellStyle name="Percent 2 4 3" xfId="5060" xr:uid="{0CACBE9C-A72B-4E19-8739-217619CB7622}"/>
    <cellStyle name="Percent 2 4 3 2" xfId="12920" xr:uid="{F059632F-29D2-4940-85D4-3D7E1942C230}"/>
    <cellStyle name="Percent 2 4 4" xfId="9001" xr:uid="{6421E020-23EC-4A56-BA94-DC547D7B54CA}"/>
    <cellStyle name="Percent 2 5" xfId="1563" xr:uid="{00000000-0005-0000-0000-0000340F0000}"/>
    <cellStyle name="Percent 2 5 2" xfId="3517" xr:uid="{00000000-0005-0000-0000-0000350F0000}"/>
    <cellStyle name="Percent 2 5 2 2" xfId="7438" xr:uid="{3009D093-443A-44A1-8F38-C9190F235055}"/>
    <cellStyle name="Percent 2 5 2 2 2" xfId="15298" xr:uid="{9C6ABF45-E49C-4234-992C-B6D9E7E72100}"/>
    <cellStyle name="Percent 2 5 2 3" xfId="11378" xr:uid="{6831F4FC-136F-47F1-B72A-896E9682986F}"/>
    <cellStyle name="Percent 2 5 3" xfId="5484" xr:uid="{4467A66B-6BEB-4F6A-A420-180CF3D02435}"/>
    <cellStyle name="Percent 2 5 3 2" xfId="13344" xr:uid="{F191355A-5ABE-4A44-8760-0E71AADFBCE2}"/>
    <cellStyle name="Percent 2 5 4" xfId="9425" xr:uid="{9E1C97E9-642D-4A5A-A895-4C144A353406}"/>
    <cellStyle name="Percent 2 6" xfId="2216" xr:uid="{00000000-0005-0000-0000-0000360F0000}"/>
    <cellStyle name="Percent 2 6 2" xfId="6137" xr:uid="{C01E8547-552F-4793-8AC0-AC2AC735F736}"/>
    <cellStyle name="Percent 2 6 2 2" xfId="13997" xr:uid="{5D21BD5A-F261-40D2-BED2-B990AABE2E4B}"/>
    <cellStyle name="Percent 2 6 3" xfId="10077" xr:uid="{084293A4-ECE3-4BD2-A337-DC58987961BB}"/>
    <cellStyle name="Percent 2 7" xfId="4183" xr:uid="{D230D172-1633-4BF5-BC5E-6DE99CB4E5F2}"/>
    <cellStyle name="Percent 2 7 2" xfId="12043" xr:uid="{655F9C7E-B635-49B2-963B-8E654CC5543E}"/>
    <cellStyle name="Percent 2 8" xfId="8122" xr:uid="{608AF587-4227-47BD-A6A9-E4F718BA6165}"/>
    <cellStyle name="Percent 3" xfId="284" xr:uid="{00000000-0005-0000-0000-0000370F0000}"/>
    <cellStyle name="Percent 4" xfId="357" xr:uid="{00000000-0005-0000-0000-0000380F0000}"/>
    <cellStyle name="Percent 4 2" xfId="808" xr:uid="{00000000-0005-0000-0000-0000390F0000}"/>
    <cellStyle name="Percent 4 2 2" xfId="2762" xr:uid="{00000000-0005-0000-0000-00003A0F0000}"/>
    <cellStyle name="Percent 4 2 2 2" xfId="6683" xr:uid="{3FA389C3-31CC-4481-AC81-41F0A1BC3C30}"/>
    <cellStyle name="Percent 4 2 2 2 2" xfId="14543" xr:uid="{2D401295-9884-41E7-A1FD-4B9C7FB05755}"/>
    <cellStyle name="Percent 4 2 2 3" xfId="10623" xr:uid="{B29A19D8-CAA5-442A-9A9E-70EDBD94C947}"/>
    <cellStyle name="Percent 4 2 3" xfId="4729" xr:uid="{A1D6557B-12D5-4D33-B18A-C5B2E36845CE}"/>
    <cellStyle name="Percent 4 2 3 2" xfId="12589" xr:uid="{D3DACE9B-8D62-4BCC-9083-CD256BC343A9}"/>
    <cellStyle name="Percent 4 2 4" xfId="8670" xr:uid="{12933FA6-6E8B-4299-93F4-E0363A256F4F}"/>
    <cellStyle name="Percent 4 3" xfId="1242" xr:uid="{00000000-0005-0000-0000-00003B0F0000}"/>
    <cellStyle name="Percent 4 3 2" xfId="3196" xr:uid="{00000000-0005-0000-0000-00003C0F0000}"/>
    <cellStyle name="Percent 4 3 2 2" xfId="7117" xr:uid="{F96349B2-6A6C-4DF5-A193-4BCD65EAE12A}"/>
    <cellStyle name="Percent 4 3 2 2 2" xfId="14977" xr:uid="{0C647C03-79F9-4789-8F0E-84CC1F74091F}"/>
    <cellStyle name="Percent 4 3 2 3" xfId="11057" xr:uid="{2E33DBC6-E0A4-4CC7-AD6C-3447B549C879}"/>
    <cellStyle name="Percent 4 3 3" xfId="5163" xr:uid="{7F11584E-B368-4571-9F69-61B906BB1696}"/>
    <cellStyle name="Percent 4 3 3 2" xfId="13023" xr:uid="{F54ED0B2-5228-4211-B58D-E58298225C75}"/>
    <cellStyle name="Percent 4 3 4" xfId="9104" xr:uid="{E04F132B-B393-43B9-90BF-9681816EA414}"/>
    <cellStyle name="Percent 4 4" xfId="1660" xr:uid="{00000000-0005-0000-0000-00003D0F0000}"/>
    <cellStyle name="Percent 4 4 2" xfId="3614" xr:uid="{00000000-0005-0000-0000-00003E0F0000}"/>
    <cellStyle name="Percent 4 4 2 2" xfId="7535" xr:uid="{B2117569-F447-46F0-8019-54A43C7A289C}"/>
    <cellStyle name="Percent 4 4 2 2 2" xfId="15395" xr:uid="{4D8666A2-3FDE-4216-92B6-8582420C4B0A}"/>
    <cellStyle name="Percent 4 4 2 3" xfId="11475" xr:uid="{E731D986-FCB3-41D1-98D6-37C48C2CA0AD}"/>
    <cellStyle name="Percent 4 4 3" xfId="5581" xr:uid="{E62D1922-A036-423C-846A-2C52CFB2854A}"/>
    <cellStyle name="Percent 4 4 3 2" xfId="13441" xr:uid="{7CB112CE-EF55-4E47-80F8-A7288E24D52A}"/>
    <cellStyle name="Percent 4 4 4" xfId="9522" xr:uid="{32F37066-7C8B-4058-BD04-A0CFD5C3BC11}"/>
    <cellStyle name="Percent 4 5" xfId="2314" xr:uid="{00000000-0005-0000-0000-00003F0F0000}"/>
    <cellStyle name="Percent 4 5 2" xfId="6235" xr:uid="{979567EC-E2DF-4059-B428-021448C712D7}"/>
    <cellStyle name="Percent 4 5 2 2" xfId="14095" xr:uid="{BAC633FA-6933-4007-9733-518B3A14F817}"/>
    <cellStyle name="Percent 4 5 3" xfId="10175" xr:uid="{208CFEC6-C22A-400E-8C40-959E34B6F6C3}"/>
    <cellStyle name="Percent 4 6" xfId="4281" xr:uid="{A7470C65-6A16-4B25-8541-624A3FDFFE26}"/>
    <cellStyle name="Percent 4 6 2" xfId="12141" xr:uid="{BF8415E6-C96B-4744-9D63-F051DADA6FE0}"/>
    <cellStyle name="Percent 4 7" xfId="8222" xr:uid="{AA8EA86C-4519-4ADF-8272-6E3D97E32A24}"/>
    <cellStyle name="Percent 5" xfId="361" xr:uid="{00000000-0005-0000-0000-0000400F0000}"/>
    <cellStyle name="Percent 5 2" xfId="812" xr:uid="{00000000-0005-0000-0000-0000410F0000}"/>
    <cellStyle name="Percent 5 2 2" xfId="2766" xr:uid="{00000000-0005-0000-0000-0000420F0000}"/>
    <cellStyle name="Percent 5 2 2 2" xfId="6687" xr:uid="{04A0C571-7D44-4B51-A919-B0F3C03EB6C2}"/>
    <cellStyle name="Percent 5 2 2 2 2" xfId="14547" xr:uid="{4BEA2191-B715-4E2F-B6F6-45D7505DF981}"/>
    <cellStyle name="Percent 5 2 2 3" xfId="10627" xr:uid="{FED2EC52-5F67-48C3-8221-682C4AFDDF86}"/>
    <cellStyle name="Percent 5 2 3" xfId="4733" xr:uid="{AE1AAFB6-102F-414A-9661-EECCE041F74E}"/>
    <cellStyle name="Percent 5 2 3 2" xfId="12593" xr:uid="{3874FB83-DBAF-4798-B900-88CDA5A3C291}"/>
    <cellStyle name="Percent 5 2 4" xfId="8674" xr:uid="{E4C6D786-0EB4-46CE-BD87-186BBAD34476}"/>
    <cellStyle name="Percent 5 3" xfId="1244" xr:uid="{00000000-0005-0000-0000-0000430F0000}"/>
    <cellStyle name="Percent 5 3 2" xfId="3198" xr:uid="{00000000-0005-0000-0000-0000440F0000}"/>
    <cellStyle name="Percent 5 3 2 2" xfId="7119" xr:uid="{F1C04687-7F54-4F04-A6A1-50F0B3C668DD}"/>
    <cellStyle name="Percent 5 3 2 2 2" xfId="14979" xr:uid="{7E1E6D93-AF56-4572-A60E-40C493B14534}"/>
    <cellStyle name="Percent 5 3 2 3" xfId="11059" xr:uid="{E02BC0D2-9FCD-455B-B819-37A8D106B14B}"/>
    <cellStyle name="Percent 5 3 3" xfId="5165" xr:uid="{A42321AF-4902-4586-861A-3A3B82F998BF}"/>
    <cellStyle name="Percent 5 3 3 2" xfId="13025" xr:uid="{06110F6C-CACE-4CCE-BF8A-E093C9AE4142}"/>
    <cellStyle name="Percent 5 3 4" xfId="9106" xr:uid="{B16BC81C-9781-4902-B162-810DCE4DABF0}"/>
    <cellStyle name="Percent 5 4" xfId="1662" xr:uid="{00000000-0005-0000-0000-0000450F0000}"/>
    <cellStyle name="Percent 5 4 2" xfId="3616" xr:uid="{00000000-0005-0000-0000-0000460F0000}"/>
    <cellStyle name="Percent 5 4 2 2" xfId="7537" xr:uid="{7E462BE2-CEDE-43A8-8648-EE16D19150F0}"/>
    <cellStyle name="Percent 5 4 2 2 2" xfId="15397" xr:uid="{3405F3C7-D213-4297-9AD7-810ED8173C72}"/>
    <cellStyle name="Percent 5 4 2 3" xfId="11477" xr:uid="{AA472202-6C2A-4DB1-A927-9B4D5394C714}"/>
    <cellStyle name="Percent 5 4 3" xfId="5583" xr:uid="{00548EA0-4C92-49AA-B565-E201210377F5}"/>
    <cellStyle name="Percent 5 4 3 2" xfId="13443" xr:uid="{2288910B-E6A7-45E4-BDEF-55DA8917B842}"/>
    <cellStyle name="Percent 5 4 4" xfId="9524" xr:uid="{2479D549-319E-4315-B8A8-E4BCC47D9357}"/>
    <cellStyle name="Percent 5 5" xfId="2316" xr:uid="{00000000-0005-0000-0000-0000470F0000}"/>
    <cellStyle name="Percent 5 5 2" xfId="6237" xr:uid="{E1759C81-92E9-4A36-A676-74D9BC149E04}"/>
    <cellStyle name="Percent 5 5 2 2" xfId="14097" xr:uid="{BEB5D83E-35CF-4A5B-8993-DB8AF138E7EA}"/>
    <cellStyle name="Percent 5 5 3" xfId="10177" xr:uid="{279110C3-30D5-4582-8AEC-E0CB38D3F48D}"/>
    <cellStyle name="Percent 5 6" xfId="4283" xr:uid="{B96DCE60-8D73-4DAB-BA86-757EB641E716}"/>
    <cellStyle name="Percent 5 6 2" xfId="12143" xr:uid="{C0756A85-4A57-49B5-9362-BF1703E59A14}"/>
    <cellStyle name="Percent 5 7" xfId="8224" xr:uid="{68912E45-5368-4310-AB55-75A6BC634BD0}"/>
    <cellStyle name="Percent 6" xfId="713" xr:uid="{00000000-0005-0000-0000-0000480F0000}"/>
    <cellStyle name="Percent 6 2" xfId="2667" xr:uid="{00000000-0005-0000-0000-0000490F0000}"/>
    <cellStyle name="Percent 6 2 2" xfId="6588" xr:uid="{BF20FFEF-7D77-4FCA-8EBC-93A62BCF5DFA}"/>
    <cellStyle name="Percent 6 2 2 2" xfId="14448" xr:uid="{25DF538A-141C-4249-9B8A-43BC946B0CD1}"/>
    <cellStyle name="Percent 6 2 3" xfId="10528" xr:uid="{AD0DB210-E871-4CF4-A432-D218DB2DBF7A}"/>
    <cellStyle name="Percent 6 3" xfId="4634" xr:uid="{33B1A5D3-DE3D-4EC7-AD8D-BB64886FE669}"/>
    <cellStyle name="Percent 6 3 2" xfId="12494" xr:uid="{C7A1C472-6839-470A-A801-F2C268562537}"/>
    <cellStyle name="Percent 6 4" xfId="8575" xr:uid="{F84BE5BA-89B3-4CBC-A6AD-2DA327EED3B5}"/>
    <cellStyle name="Percent 7" xfId="1939" xr:uid="{00000000-0005-0000-0000-00004A0F0000}"/>
    <cellStyle name="Percent 7 2" xfId="1967" xr:uid="{00000000-0005-0000-0000-00004B0F0000}"/>
    <cellStyle name="Percent 7 2 2" xfId="3935" xr:uid="{8A4C1CA5-1D0B-4A19-8905-719E77CEC50E}"/>
    <cellStyle name="Percent 7 2 2 2" xfId="7856" xr:uid="{73FBB3EA-3675-44B3-8995-C36891FA294D}"/>
    <cellStyle name="Percent 7 2 2 2 2" xfId="15716" xr:uid="{5C61C0DA-8919-4E14-BF7F-53B4B4135F48}"/>
    <cellStyle name="Percent 7 2 2 3" xfId="11796" xr:uid="{72E88A3E-AD26-48CC-B8F5-9AED6014B117}"/>
    <cellStyle name="Percent 7 2 3" xfId="5888" xr:uid="{24B950FD-A796-4B2F-A083-8A9755D57961}"/>
    <cellStyle name="Percent 7 2 3 2" xfId="13748" xr:uid="{9BA18766-E6EF-4FAE-874F-E91F64769D4D}"/>
    <cellStyle name="Percent 7 2 4" xfId="9829" xr:uid="{5A461E8E-87DE-4850-8A79-5B0AE275BFAC}"/>
    <cellStyle name="Percent 7 3" xfId="3890" xr:uid="{00000000-0005-0000-0000-00004C0F0000}"/>
    <cellStyle name="Percent 7 3 2" xfId="7811" xr:uid="{5069CCBF-3E86-4362-9B0E-4A9697FEDCAD}"/>
    <cellStyle name="Percent 7 3 2 2" xfId="15671" xr:uid="{2E0EBED7-1E43-480C-853E-6C39BDE2688C}"/>
    <cellStyle name="Percent 7 3 3" xfId="11751" xr:uid="{9D7175C7-E13C-4A79-8E63-07698B908242}"/>
    <cellStyle name="Percent 7 4" xfId="5860" xr:uid="{2F2C606C-79A1-4B90-BB27-650B2113982A}"/>
    <cellStyle name="Percent 7 4 2" xfId="13720" xr:uid="{D2758E50-0902-425E-B2AE-18A5A02690F0}"/>
    <cellStyle name="Percent 7 5" xfId="9801" xr:uid="{5CAAF879-6739-4C43-A5E3-EFC46B6FBD20}"/>
    <cellStyle name="Percent 8" xfId="1972" xr:uid="{00000000-0005-0000-0000-00004D0F0000}"/>
    <cellStyle name="Percent 8 2" xfId="5893" xr:uid="{82B2E2E6-1D00-48A6-83B1-586CA5B05CA8}"/>
    <cellStyle name="Percent 8 2 2" xfId="13753" xr:uid="{D72A82D4-9211-4429-A415-BFEBC33C16E7}"/>
    <cellStyle name="Percent 8 3" xfId="9834" xr:uid="{7B1B46AD-D686-4D61-BF38-A04A37602245}"/>
    <cellStyle name="Percent 9" xfId="2224" xr:uid="{00000000-0005-0000-0000-00004E0F0000}"/>
    <cellStyle name="Percent 9 2" xfId="6145" xr:uid="{C03C3F8A-7D2B-4904-8976-96EB032F57C2}"/>
    <cellStyle name="Percent 9 2 2" xfId="14005" xr:uid="{1C2EF777-CAF3-4DDF-A6FA-A1BBA7254A6C}"/>
    <cellStyle name="Percent 9 3" xfId="10085" xr:uid="{69513BA6-6FE3-48B7-BA5F-D5EFCDD59135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  <dxf>
      <fill>
        <patternFill patternType="solid">
          <fgColor rgb="FFFFC7C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 Narrow"/>
        <family val="2"/>
        <scheme val="none"/>
      </font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418c5f35654eb6a/Desktop/Cadance/MIS%20related/April%20to%20Aug%202026/AGT%20new/Profit%20and%20Loss%20agt%20new.xlsx" TargetMode="External"/><Relationship Id="rId1" Type="http://schemas.openxmlformats.org/officeDocument/2006/relationships/externalLinkPath" Target="https://d.docs.live.net/4418c5f35654eb6a/Desktop/Cadance/MIS%20related/April%20to%20Aug%202026/AGT%20new/Profit%20and%20Loss%20agt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and Loss agt new"/>
    </sheetNames>
    <sheetDataSet>
      <sheetData sheetId="0">
        <row r="17">
          <cell r="D17" t="str">
            <v>ARGT/LOC/2025/702G</v>
          </cell>
          <cell r="E17" t="str">
            <v>280</v>
          </cell>
        </row>
        <row r="18">
          <cell r="D18" t="str">
            <v>ARGT/LOC/2025/764</v>
          </cell>
          <cell r="E18" t="str">
            <v>320</v>
          </cell>
        </row>
        <row r="19">
          <cell r="D19" t="str">
            <v>ARGT/LOC/2025/772</v>
          </cell>
          <cell r="E19" t="str">
            <v>280</v>
          </cell>
        </row>
        <row r="20">
          <cell r="D20" t="str">
            <v>ARGT/LOC/2026/009A</v>
          </cell>
          <cell r="E20" t="str">
            <v>900</v>
          </cell>
        </row>
        <row r="21">
          <cell r="D21" t="str">
            <v>ARGT/LOC/2026/018</v>
          </cell>
          <cell r="E21" t="str">
            <v>900</v>
          </cell>
        </row>
        <row r="22">
          <cell r="D22" t="str">
            <v>ARGT/LOC/2026/143</v>
          </cell>
          <cell r="E22" t="str">
            <v>250</v>
          </cell>
        </row>
        <row r="23">
          <cell r="D23" t="str">
            <v>ARGT/LOC/2026/205</v>
          </cell>
          <cell r="E23" t="str">
            <v>50</v>
          </cell>
        </row>
        <row r="24">
          <cell r="D24" t="str">
            <v>ARGT/LOC/2026/222</v>
          </cell>
          <cell r="E24" t="str">
            <v>900</v>
          </cell>
        </row>
        <row r="25">
          <cell r="D25" t="str">
            <v>ARGT/LOC/2026/230</v>
          </cell>
          <cell r="E25" t="str">
            <v>250</v>
          </cell>
        </row>
        <row r="26">
          <cell r="D26" t="str">
            <v>ARGT/LOC/2026/241</v>
          </cell>
          <cell r="E26" t="str">
            <v>6.6</v>
          </cell>
        </row>
        <row r="27">
          <cell r="D27" t="str">
            <v>ARGT/LOC/2026/250</v>
          </cell>
          <cell r="E27" t="str">
            <v>41</v>
          </cell>
        </row>
        <row r="28">
          <cell r="D28" t="str">
            <v>ARGT/LOC/2026/259</v>
          </cell>
          <cell r="E28" t="str">
            <v>653.62</v>
          </cell>
        </row>
        <row r="29">
          <cell r="D29" t="str">
            <v>ARGT/LOC/2026/266</v>
          </cell>
          <cell r="E29" t="str">
            <v>45.1</v>
          </cell>
        </row>
        <row r="30">
          <cell r="D30" t="str">
            <v>ARGT/LOC/2026/268</v>
          </cell>
          <cell r="E30" t="str">
            <v>480</v>
          </cell>
        </row>
        <row r="31">
          <cell r="D31" t="str">
            <v>ARGT/LOC/2026/274</v>
          </cell>
          <cell r="E31" t="str">
            <v>2195.35</v>
          </cell>
        </row>
        <row r="32">
          <cell r="D32" t="str">
            <v>ARGT/LOC/2026/275</v>
          </cell>
          <cell r="E32" t="str">
            <v>2195.35</v>
          </cell>
        </row>
        <row r="33">
          <cell r="D33" t="str">
            <v>ARGT/LOC/2026/276</v>
          </cell>
          <cell r="E33" t="str">
            <v>1619.44</v>
          </cell>
        </row>
        <row r="34">
          <cell r="D34" t="str">
            <v>ARGT/LOC/2026/283A</v>
          </cell>
          <cell r="E34" t="str">
            <v>413.63</v>
          </cell>
        </row>
        <row r="35">
          <cell r="D35" t="str">
            <v>ARGT/LOC/2026/284</v>
          </cell>
          <cell r="E35" t="str">
            <v>594.2</v>
          </cell>
        </row>
        <row r="36">
          <cell r="D36" t="str">
            <v>ARGT/LOC/2026/287</v>
          </cell>
          <cell r="E36" t="str">
            <v>500</v>
          </cell>
        </row>
        <row r="37">
          <cell r="D37" t="str">
            <v>ARGT/LOC/2026/289</v>
          </cell>
          <cell r="E37" t="str">
            <v>4.05</v>
          </cell>
        </row>
        <row r="38">
          <cell r="D38" t="str">
            <v>ARGT/LOC/2026/293</v>
          </cell>
          <cell r="E38" t="str">
            <v>32.05</v>
          </cell>
        </row>
        <row r="39">
          <cell r="D39" t="str">
            <v>ARGT/LOC/2026/296</v>
          </cell>
          <cell r="E39" t="str">
            <v>280</v>
          </cell>
        </row>
        <row r="40">
          <cell r="D40" t="str">
            <v>ARGT/LOC/2026/304</v>
          </cell>
          <cell r="E40" t="str">
            <v>911.92</v>
          </cell>
        </row>
        <row r="41">
          <cell r="D41" t="str">
            <v>ARGT/LOC/2026/309</v>
          </cell>
          <cell r="E41" t="str">
            <v>480</v>
          </cell>
        </row>
        <row r="42">
          <cell r="D42" t="str">
            <v>ARGT/LOC/2026/310</v>
          </cell>
          <cell r="E42" t="str">
            <v>240</v>
          </cell>
        </row>
        <row r="43">
          <cell r="D43" t="str">
            <v>ARGT/LOC/2026/321</v>
          </cell>
          <cell r="E43" t="str">
            <v>21.75</v>
          </cell>
        </row>
        <row r="44">
          <cell r="D44" t="str">
            <v>ARGT/LOC/2026/326</v>
          </cell>
          <cell r="E44" t="str">
            <v>200</v>
          </cell>
        </row>
        <row r="45">
          <cell r="D45" t="str">
            <v>ARGT/LOC/2026/340</v>
          </cell>
          <cell r="E45" t="str">
            <v>13.05</v>
          </cell>
        </row>
        <row r="46">
          <cell r="D46" t="str">
            <v>ARGT/LOC/2026/343</v>
          </cell>
          <cell r="E46" t="str">
            <v>13.05</v>
          </cell>
        </row>
        <row r="47">
          <cell r="D47" t="str">
            <v>ARGT/LOC/2026/345</v>
          </cell>
          <cell r="E47" t="str">
            <v>25.8</v>
          </cell>
        </row>
        <row r="48">
          <cell r="D48" t="str">
            <v>ARGT/LOC/2026/347</v>
          </cell>
          <cell r="E48" t="str">
            <v>2.64</v>
          </cell>
        </row>
        <row r="49">
          <cell r="D49" t="str">
            <v>ARGT/LOC/2026/349</v>
          </cell>
          <cell r="E49" t="str">
            <v>14.96</v>
          </cell>
        </row>
        <row r="50">
          <cell r="D50" t="str">
            <v>ARGT/LOC/2026/356</v>
          </cell>
          <cell r="E50" t="str">
            <v>43.5</v>
          </cell>
        </row>
        <row r="51">
          <cell r="D51" t="str">
            <v>ARGT/LOC/2026/392</v>
          </cell>
          <cell r="E51" t="str">
            <v>525</v>
          </cell>
        </row>
        <row r="52">
          <cell r="D52" t="str">
            <v>ARGT/LOC/2026/412</v>
          </cell>
          <cell r="E52" t="str">
            <v>65.25</v>
          </cell>
        </row>
        <row r="53">
          <cell r="F53">
            <v>28924.46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m Jha" id="{F5034454-DA4B-4B56-A781-769E95471EB3}" userId="4418c5f35654eb6a" providerId="Windows Live"/>
  <person displayName="Madhavi Dervankar" id="{7026D4B9-5CB4-47DB-A558-4E1C7FF5C778}" userId="S::madhavi.dervankar@expora.onmicrosoft.com::e4d4c7d6-046b-4107-a4e6-754029a9b26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ABDFB1-2497-4917-AD04-60BD14212F94}" name="Table4" displayName="Table4" ref="A1:G2423" totalsRowShown="0" headerRowDxfId="11" dataDxfId="10">
  <autoFilter ref="A1:G2423" xr:uid="{24E17C3A-1B72-4030-8BD1-990BD33A1170}">
    <filterColumn colId="0">
      <filters>
        <filter val="Arha Platform General Trading LLC (ODI)"/>
        <filter val="Loan To Avoca (ODI)"/>
      </filters>
    </filterColumn>
  </autoFilter>
  <sortState xmlns:xlrd2="http://schemas.microsoft.com/office/spreadsheetml/2017/richdata2" ref="A424:G1677">
    <sortCondition sortBy="cellColor" ref="A1:A1677" dxfId="9"/>
  </sortState>
  <tableColumns count="7">
    <tableColumn id="1" xr3:uid="{6810DD89-EDEB-4836-89F3-91219DD1ABE8}" name="Ledger Name" dataDxfId="8"/>
    <tableColumn id="2" xr3:uid="{239C6DE9-194C-4E73-95CB-087D43126DA1}" name="Entity Name" dataDxfId="7"/>
    <tableColumn id="3" xr3:uid="{0E31C8EB-0B82-4CFF-A530-4BE5223AC360}" name="Concate" dataDxfId="6">
      <calculatedColumnFormula>_xlfn.CONCAT(Table4[[#This Row],[Ledger Name]],Table4[[#This Row],[Entity Name]])</calculatedColumnFormula>
    </tableColumn>
    <tableColumn id="4" xr3:uid="{0A664EA7-BFFC-4E86-BA3C-94F0032B7F05}" name="Group/Legder" dataDxfId="5"/>
    <tableColumn id="5" xr3:uid="{050F2C77-2ED8-4256-8DE0-585AAE420115}" name="PL/BS" dataDxfId="4"/>
    <tableColumn id="6" xr3:uid="{0FE3976F-1F9A-4520-8A3B-37FD27FEEFEF}" name="Category" dataDxfId="3"/>
    <tableColumn id="7" xr3:uid="{A44B0BF4-D8C6-4E07-9983-0E72520A69F8}" name="Sub 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1" dT="2026-01-02T08:34:00.88" personId="{F5034454-DA4B-4B56-A781-769E95471EB3}" id="{8FC94A5C-9387-4262-9880-39638F4D0AA8}">
    <text>Manish 7150, sahid 6272, 11500 deepak</text>
  </threadedComment>
  <threadedComment ref="G51" dT="2026-01-02T08:37:21.17" personId="{F5034454-DA4B-4B56-A781-769E95471EB3}" id="{97C8675C-6E4E-442C-BF62-E06AB50AC129}">
    <text>Manish 10976, sahid 23365, 16675 deepak, yseen 5500 with arrear</text>
  </threadedComment>
  <threadedComment ref="C52" dT="2026-01-02T08:17:59.71" personId="{F5034454-DA4B-4B56-A781-769E95471EB3}" id="{879F8E65-2565-40DA-8ED7-4B465530BEF0}">
    <text>House rent</text>
  </threadedComment>
  <threadedComment ref="C53" dT="2025-06-16T15:35:34.47" personId="{F5034454-DA4B-4B56-A781-769E95471EB3}" id="{523ECB4D-6FB4-4CEF-B235-C851F9F9B1BC}">
    <text>800 petrol pm, car rental 1500 pm, fixed reim 4100</text>
  </threadedComment>
  <threadedComment ref="D53" dT="2025-06-16T15:35:34.47" personId="{F5034454-DA4B-4B56-A781-769E95471EB3}" id="{B091ADBE-1256-4B9C-9213-6BA0A5EFCBC2}">
    <text>800 petrol pm, car rental 1500 pm, fixed reim 4100</text>
  </threadedComment>
  <threadedComment ref="E53" dT="2025-06-16T15:35:34.47" personId="{F5034454-DA4B-4B56-A781-769E95471EB3}" id="{8B2BDE6F-0F51-49E6-8DCF-D5A5918013C1}">
    <text>800 petrol pm, car rental 1500 pm, fixed reim 4100</text>
  </threadedComment>
  <threadedComment ref="F53" dT="2025-06-16T15:35:34.47" personId="{F5034454-DA4B-4B56-A781-769E95471EB3}" id="{1167C42F-7E24-453A-A4CC-7D34B9C2760A}">
    <text>800 petrol pm, car rental 1500 pm, fixed reim 4100 manish and sahid, and Yaseen 2000</text>
  </threadedComment>
  <threadedComment ref="G53" dT="2025-06-16T15:35:34.47" personId="{F5034454-DA4B-4B56-A781-769E95471EB3}" id="{EAEB30B9-7246-46D4-89EB-5683B165F304}">
    <text>800 petrol pm, car rental 1500 pm, fixed reim 4100</text>
  </threadedComment>
  <threadedComment ref="C59" dT="2025-06-16T15:36:18.41" personId="{F5034454-DA4B-4B56-A781-769E95471EB3}" id="{038897A6-CB28-41F7-AF3E-3C5341442D9B}">
    <text>Manish 7150, sahid 6272, 11500 deepak</text>
  </threadedComment>
  <threadedComment ref="D59" dT="2025-06-16T15:36:18.41" personId="{F5034454-DA4B-4B56-A781-769E95471EB3}" id="{37C9FCE8-1AB1-406E-A83B-FA37E626D3CB}">
    <text>Manish 7150, sahid 6272, 11500 deepak</text>
  </threadedComment>
  <threadedComment ref="E59" dT="2025-06-16T15:36:18.41" personId="{F5034454-DA4B-4B56-A781-769E95471EB3}" id="{32B44A4A-5491-45E4-8D6B-9918BD5E75A2}">
    <text>Manish 7150, sahid 6272, 11500 deepak</text>
  </threadedComment>
  <threadedComment ref="F59" dT="2025-06-16T15:36:18.41" personId="{F5034454-DA4B-4B56-A781-769E95471EB3}" id="{49CEAD08-26AE-4567-A6D7-13CF416304E0}">
    <text>Manish 7150, sahid 6272, 11500 deepak</text>
  </threadedComment>
  <threadedComment ref="G59" dT="2025-06-16T15:36:18.41" personId="{F5034454-DA4B-4B56-A781-769E95471EB3}" id="{360406C8-C33C-4678-B2F3-EF7DAA4FAF93}">
    <text>Manish 7150, sahid 6272, 11500 deepak</text>
  </threadedComment>
  <threadedComment ref="C62" dT="2025-06-16T15:36:41.87" personId="{F5034454-DA4B-4B56-A781-769E95471EB3}" id="{C2C6F0EA-5303-4F5F-B91B-2975071657D8}">
    <text>WH rent</text>
  </threadedComment>
  <threadedComment ref="D62" dT="2025-06-16T15:36:41.87" personId="{F5034454-DA4B-4B56-A781-769E95471EB3}" id="{6715AED4-3425-413E-9178-096E452BAD92}">
    <text>WH rent</text>
  </threadedComment>
  <threadedComment ref="E62" dT="2025-06-16T15:36:41.87" personId="{F5034454-DA4B-4B56-A781-769E95471EB3}" id="{0F3C9B88-03B0-45C8-834E-9931CAAA4651}">
    <text>WH rent</text>
  </threadedComment>
  <threadedComment ref="F62" dT="2025-06-16T15:36:41.87" personId="{F5034454-DA4B-4B56-A781-769E95471EB3}" id="{3C15E973-5FA7-47BD-80A8-9ECE534AFAB4}">
    <text>WH rent</text>
  </threadedComment>
  <threadedComment ref="G62" dT="2025-06-16T15:36:41.87" personId="{F5034454-DA4B-4B56-A781-769E95471EB3}" id="{600F78B9-C5F6-4D29-8FC3-3C3AEEBD696A}">
    <text>WH rent</text>
  </threadedComment>
  <threadedComment ref="C64" dT="2025-06-16T15:36:59.36" personId="{F5034454-DA4B-4B56-A781-769E95471EB3}" id="{1ED7036C-9F8E-4CB8-8E30-944DBC666F60}">
    <text>Manish house rent</text>
  </threadedComment>
  <threadedComment ref="D64" dT="2025-06-16T15:36:59.36" personId="{F5034454-DA4B-4B56-A781-769E95471EB3}" id="{F312014D-BDBE-4D91-8E54-38FF09741767}">
    <text>Manish house rent</text>
  </threadedComment>
  <threadedComment ref="E64" dT="2025-06-16T15:36:59.36" personId="{F5034454-DA4B-4B56-A781-769E95471EB3}" id="{53003607-8FEE-40F0-8144-46D291E79274}">
    <text>Manish house rent</text>
  </threadedComment>
  <threadedComment ref="F64" dT="2025-06-16T15:36:59.36" personId="{F5034454-DA4B-4B56-A781-769E95471EB3}" id="{1E675246-F11A-42A7-B7F8-39BEFD89E401}">
    <text>Manish house rent</text>
  </threadedComment>
  <threadedComment ref="G64" dT="2025-06-16T15:36:59.36" personId="{F5034454-DA4B-4B56-A781-769E95471EB3}" id="{7AE389C4-1523-4505-A7C7-D51BE63813C4}">
    <text>Manish house rent</text>
  </threadedComment>
  <threadedComment ref="F79" dT="2026-01-02T08:42:15.03" personId="{F5034454-DA4B-4B56-A781-769E95471EB3}" id="{21B1D804-B612-498B-BAC4-9B9EFE386D9D}">
    <text>Due to dual places in shifting month</text>
  </threadedComment>
  <threadedComment ref="C84" dT="2025-06-16T15:38:16.64" personId="{F5034454-DA4B-4B56-A781-769E95471EB3}" id="{396DAEC8-D4A3-4C37-9BB4-B321D9E889AC}">
    <text>From petty cash</text>
  </threadedComment>
  <threadedComment ref="F84" dT="2026-01-02T08:47:35.47" personId="{F5034454-DA4B-4B56-A781-769E95471EB3}" id="{CE0FABF5-703E-440E-8427-C3DE39353B7A}">
    <text>Yaseen Visa</text>
  </threadedComment>
  <threadedComment ref="G84" dT="2026-01-02T08:47:48.90" personId="{F5034454-DA4B-4B56-A781-769E95471EB3}" id="{7C35A288-EF43-4A4F-B96F-9D4DD21669E1}">
    <text>Sahid and Manish Visa</text>
  </threadedComment>
  <threadedComment ref="C89" dT="2025-06-16T15:38:47.55" personId="{F5034454-DA4B-4B56-A781-769E95471EB3}" id="{79306DB9-83BA-42F4-AFF6-896D75433D71}">
    <text>1000 Mapas, 42 for Al ansari</text>
  </threadedComment>
  <threadedComment ref="D89" dT="2025-06-16T15:38:47.55" personId="{F5034454-DA4B-4B56-A781-769E95471EB3}" id="{D50689E1-B9E0-46EB-9D22-F0207261EA49}">
    <text>4500 for legal draft related to divit, 42 for Al ansari</text>
  </threadedComment>
  <threadedComment ref="E89" dT="2025-06-16T15:38:47.55" personId="{F5034454-DA4B-4B56-A781-769E95471EB3}" id="{BDD53F9C-1286-4660-8FFA-FB7F9FEC5FC9}">
    <text>1000 Mapas, 42 for Al ansari</text>
  </threadedComment>
  <threadedComment ref="F89" dT="2025-06-16T15:38:47.55" personId="{F5034454-DA4B-4B56-A781-769E95471EB3}" id="{65FAAB32-E134-4B86-85B0-D265305BF4F8}">
    <text>1000 Mapal, al ansari 42, 238 Alif pay</text>
  </threadedComment>
  <threadedComment ref="G89" dT="2025-06-16T15:38:47.55" personId="{F5034454-DA4B-4B56-A781-769E95471EB3}" id="{3ADDBB46-AEB6-4D7A-89C1-48D0A5E1B59E}">
    <text>Alif pay 5280, 42 for Al ansari ,37275 provision for audit fees of 24-25</text>
  </threadedComment>
  <threadedComment ref="G98" dT="2026-01-02T08:57:42.47" personId="{F5034454-DA4B-4B56-A781-769E95471EB3}" id="{D6963F05-5508-4A68-AF96-FE57C9122CB5}">
    <text>Gulf food registration 30K</text>
  </threadedComment>
  <threadedComment ref="C111" dT="2025-06-16T15:39:14.40" personId="{F5034454-DA4B-4B56-A781-769E95471EB3}" id="{989333E3-6260-4BDD-965C-537BA476D729}">
    <text>Prepaid of license fee</text>
  </threadedComment>
  <threadedComment ref="D111" dT="2025-06-16T15:39:14.40" personId="{F5034454-DA4B-4B56-A781-769E95471EB3}" id="{CF19314D-587F-451F-929C-46F0E086C398}">
    <text>Prepaid of license fee</text>
  </threadedComment>
  <threadedComment ref="E111" dT="2025-06-16T15:39:14.40" personId="{F5034454-DA4B-4B56-A781-769E95471EB3}" id="{DDB1E496-3262-42A0-997C-D3CA29974272}">
    <text>Prepaid of license fee</text>
  </threadedComment>
  <threadedComment ref="F111" dT="2025-06-16T15:39:14.40" personId="{F5034454-DA4B-4B56-A781-769E95471EB3}" id="{A1875AD3-CFED-4F36-893E-0B3B51297ADC}">
    <text>Prepaid of license fee</text>
  </threadedComment>
  <threadedComment ref="G111" dT="2025-06-16T15:39:14.40" personId="{F5034454-DA4B-4B56-A781-769E95471EB3}" id="{C68BF4CE-070A-4B0C-8E75-A0840E75393C}">
    <text>Prepaid of license fee</text>
  </threadedComment>
  <threadedComment ref="F125" dT="2026-01-02T08:59:24.01" personId="{F5034454-DA4B-4B56-A781-769E95471EB3}" id="{5563D6C0-5B9D-49DB-A71B-7A326455F833}">
    <text xml:space="preserve">Brokarage for warehouse rent 22000 aed,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7" dT="2025-08-14T14:05:31.20" personId="{7026D4B9-5CB4-47DB-A558-4E1C7FF5C778}" id="{53314233-05AA-40ED-B38B-7AB8B485D6A3}">
    <text>FD 1.7 cr, FD 15 lakh, Fd 14 lakh</text>
  </threadedComment>
  <threadedComment ref="D17" dT="2025-08-14T14:05:31.20" personId="{7026D4B9-5CB4-47DB-A558-4E1C7FF5C778}" id="{2FF18B15-9E87-4333-B2F6-8002D026F35C}">
    <text>FD 1.7 cr, FD 15 lakh, Fd 14 lakh</text>
  </threadedComment>
  <threadedComment ref="E17" dT="2025-08-14T14:05:31.20" personId="{7026D4B9-5CB4-47DB-A558-4E1C7FF5C778}" id="{ED14A61C-71B3-40C0-9105-9C72842DDBE6}">
    <text>FD 1.7 cr, FD 15 lakh, Fd 14 lakh</text>
  </threadedComment>
  <threadedComment ref="F17" dT="2025-08-14T14:05:31.20" personId="{7026D4B9-5CB4-47DB-A558-4E1C7FF5C778}" id="{32482C54-E079-4159-81A1-BB3679814DAF}">
    <text>FD 1.7 cr, FD 15 lakh, Fd 14 lakh</text>
  </threadedComment>
  <threadedComment ref="G17" dT="2025-08-14T14:05:31.20" personId="{7026D4B9-5CB4-47DB-A558-4E1C7FF5C778}" id="{EF4BC170-430C-429D-A6B8-BB93BD465303}">
    <text>FD 1.7 cr, FD 15 lakh, Fd 14 lakh</text>
  </threadedComment>
  <threadedComment ref="H17" dT="2025-08-14T14:05:31.20" personId="{7026D4B9-5CB4-47DB-A558-4E1C7FF5C778}" id="{C69BA373-0B41-42F3-A44E-CA16992480D3}">
    <text>FD 1.7 cr, FD 15 lakh, Fd 14 lakh</text>
  </threadedComment>
  <threadedComment ref="I17" dT="2025-08-14T14:05:31.20" personId="{7026D4B9-5CB4-47DB-A558-4E1C7FF5C778}" id="{CF9C793A-1631-4361-8356-FDBF79B264D2}">
    <text>FD 1.7 cr, FD 15 lakh, Fd 14 lakh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books.zoho.in/app" TargetMode="External"/><Relationship Id="rId1" Type="http://schemas.openxmlformats.org/officeDocument/2006/relationships/hyperlink" Target="https://books.zoho.in/app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1B41-FECA-4F9F-AD9A-652EB7133073}">
  <sheetPr codeName="Sheet37"/>
  <dimension ref="A1:AB224"/>
  <sheetViews>
    <sheetView showGridLines="0" topLeftCell="A80" zoomScaleNormal="100" workbookViewId="0">
      <selection activeCell="E95" sqref="E95"/>
    </sheetView>
  </sheetViews>
  <sheetFormatPr defaultColWidth="8.6640625" defaultRowHeight="12"/>
  <cols>
    <col min="1" max="1" width="3" style="284" customWidth="1"/>
    <col min="2" max="2" width="15.5546875" style="278" bestFit="1" customWidth="1"/>
    <col min="3" max="7" width="12.6640625" style="278" bestFit="1" customWidth="1"/>
    <col min="8" max="8" width="14.33203125" style="278" bestFit="1" customWidth="1"/>
    <col min="9" max="13" width="11.6640625" style="278" bestFit="1" customWidth="1"/>
    <col min="14" max="14" width="12.6640625" style="278" bestFit="1" customWidth="1"/>
    <col min="15" max="15" width="10.33203125" style="278" bestFit="1" customWidth="1"/>
    <col min="16" max="16" width="11.6640625" style="278" bestFit="1" customWidth="1"/>
    <col min="17" max="17" width="11" style="278" bestFit="1" customWidth="1"/>
    <col min="18" max="18" width="12.44140625" style="278" customWidth="1"/>
    <col min="19" max="19" width="10.33203125" style="278" bestFit="1" customWidth="1"/>
    <col min="20" max="20" width="12.44140625" style="278" customWidth="1"/>
    <col min="21" max="25" width="12.6640625" style="278" bestFit="1" customWidth="1"/>
    <col min="26" max="26" width="14.33203125" style="278" bestFit="1" customWidth="1"/>
    <col min="27" max="27" width="11.44140625" style="278" bestFit="1" customWidth="1"/>
    <col min="28" max="28" width="10" style="278" bestFit="1" customWidth="1"/>
    <col min="29" max="16384" width="8.6640625" style="275"/>
  </cols>
  <sheetData>
    <row r="1" spans="2:8" ht="15" customHeight="1">
      <c r="B1" s="327" t="s">
        <v>2542</v>
      </c>
      <c r="C1" s="328"/>
      <c r="D1" s="328"/>
      <c r="E1" s="328"/>
      <c r="F1" s="328"/>
      <c r="G1" s="328"/>
      <c r="H1" s="329"/>
    </row>
    <row r="2" spans="2:8">
      <c r="B2" s="330"/>
      <c r="C2" s="331"/>
      <c r="D2" s="331"/>
      <c r="E2" s="331"/>
      <c r="F2" s="331"/>
      <c r="G2" s="331"/>
      <c r="H2" s="332"/>
    </row>
    <row r="3" spans="2:8">
      <c r="B3" s="292"/>
      <c r="C3" s="282"/>
      <c r="D3" s="282"/>
      <c r="E3" s="282"/>
      <c r="F3" s="282"/>
      <c r="G3" s="282"/>
      <c r="H3" s="293"/>
    </row>
    <row r="4" spans="2:8">
      <c r="B4" s="294" t="s">
        <v>2541</v>
      </c>
      <c r="C4" s="336" t="s">
        <v>2229</v>
      </c>
      <c r="D4" s="337"/>
      <c r="E4" s="337"/>
      <c r="F4" s="337"/>
      <c r="G4" s="337"/>
      <c r="H4" s="338"/>
    </row>
    <row r="5" spans="2:8">
      <c r="B5" s="295"/>
      <c r="C5" s="283">
        <v>46113</v>
      </c>
      <c r="D5" s="283">
        <v>46143</v>
      </c>
      <c r="E5" s="283">
        <v>46174</v>
      </c>
      <c r="F5" s="283">
        <v>46204</v>
      </c>
      <c r="G5" s="283">
        <v>46235</v>
      </c>
      <c r="H5" s="296" t="s">
        <v>2540</v>
      </c>
    </row>
    <row r="6" spans="2:8">
      <c r="B6" s="297" t="s">
        <v>1</v>
      </c>
      <c r="C6" s="276" t="e">
        <f t="shared" ref="C6:G7" si="0">C25+C59+C78</f>
        <v>#REF!</v>
      </c>
      <c r="D6" s="276" t="e">
        <f t="shared" si="0"/>
        <v>#REF!</v>
      </c>
      <c r="E6" s="276" t="e">
        <f t="shared" si="0"/>
        <v>#REF!</v>
      </c>
      <c r="F6" s="276" t="e">
        <f t="shared" si="0"/>
        <v>#REF!</v>
      </c>
      <c r="G6" s="276" t="e">
        <f t="shared" si="0"/>
        <v>#REF!</v>
      </c>
      <c r="H6" s="298" t="e">
        <f>SUM(C6:G6)</f>
        <v>#REF!</v>
      </c>
    </row>
    <row r="7" spans="2:8">
      <c r="B7" s="297" t="s">
        <v>50</v>
      </c>
      <c r="C7" s="276" t="e">
        <f t="shared" si="0"/>
        <v>#REF!</v>
      </c>
      <c r="D7" s="276" t="e">
        <f t="shared" si="0"/>
        <v>#REF!</v>
      </c>
      <c r="E7" s="276" t="e">
        <f t="shared" si="0"/>
        <v>#REF!</v>
      </c>
      <c r="F7" s="276" t="e">
        <f t="shared" si="0"/>
        <v>#REF!</v>
      </c>
      <c r="G7" s="276" t="e">
        <f t="shared" si="0"/>
        <v>#REF!</v>
      </c>
      <c r="H7" s="298" t="e">
        <f>SUM(C7:G7)</f>
        <v>#REF!</v>
      </c>
    </row>
    <row r="8" spans="2:8">
      <c r="B8" s="297" t="s">
        <v>2533</v>
      </c>
      <c r="C8" s="276" t="e">
        <f t="shared" ref="C8" si="1">C6-C7</f>
        <v>#REF!</v>
      </c>
      <c r="D8" s="276" t="e">
        <f t="shared" ref="D8" si="2">D6-D7</f>
        <v>#REF!</v>
      </c>
      <c r="E8" s="276" t="e">
        <f t="shared" ref="E8" si="3">E6-E7</f>
        <v>#REF!</v>
      </c>
      <c r="F8" s="276" t="e">
        <f t="shared" ref="F8" si="4">F6-F7</f>
        <v>#REF!</v>
      </c>
      <c r="G8" s="276" t="e">
        <f t="shared" ref="G8" si="5">G6-G7</f>
        <v>#REF!</v>
      </c>
      <c r="H8" s="298" t="e">
        <f>H6-H7</f>
        <v>#REF!</v>
      </c>
    </row>
    <row r="9" spans="2:8" ht="12.6" thickBot="1">
      <c r="B9" s="299" t="s">
        <v>2534</v>
      </c>
      <c r="C9" s="317" t="e">
        <f t="shared" ref="C9" si="6">C8/C6</f>
        <v>#REF!</v>
      </c>
      <c r="D9" s="317" t="e">
        <f t="shared" ref="D9" si="7">D8/D6</f>
        <v>#REF!</v>
      </c>
      <c r="E9" s="317" t="e">
        <f t="shared" ref="E9" si="8">E8/E6</f>
        <v>#REF!</v>
      </c>
      <c r="F9" s="317" t="e">
        <f t="shared" ref="F9" si="9">F8/F6</f>
        <v>#REF!</v>
      </c>
      <c r="G9" s="317" t="e">
        <f t="shared" ref="G9" si="10">G8/G6</f>
        <v>#REF!</v>
      </c>
      <c r="H9" s="318" t="e">
        <f>H8/H6</f>
        <v>#REF!</v>
      </c>
    </row>
    <row r="10" spans="2:8" ht="12.6" thickTop="1">
      <c r="B10" s="297" t="s">
        <v>93</v>
      </c>
      <c r="C10" s="276" t="e">
        <f t="shared" ref="C10:G11" si="11">C29+C63+C82</f>
        <v>#REF!</v>
      </c>
      <c r="D10" s="276" t="e">
        <f t="shared" si="11"/>
        <v>#REF!</v>
      </c>
      <c r="E10" s="276" t="e">
        <f t="shared" si="11"/>
        <v>#REF!</v>
      </c>
      <c r="F10" s="276" t="e">
        <f t="shared" si="11"/>
        <v>#REF!</v>
      </c>
      <c r="G10" s="276" t="e">
        <f t="shared" si="11"/>
        <v>#REF!</v>
      </c>
      <c r="H10" s="298" t="e">
        <f>SUM(C10:G10)</f>
        <v>#REF!</v>
      </c>
    </row>
    <row r="11" spans="2:8">
      <c r="B11" s="297" t="s">
        <v>2535</v>
      </c>
      <c r="C11" s="276" t="e">
        <f t="shared" si="11"/>
        <v>#REF!</v>
      </c>
      <c r="D11" s="276" t="e">
        <f t="shared" si="11"/>
        <v>#REF!</v>
      </c>
      <c r="E11" s="276" t="e">
        <f t="shared" si="11"/>
        <v>#REF!</v>
      </c>
      <c r="F11" s="276" t="e">
        <f t="shared" si="11"/>
        <v>#REF!</v>
      </c>
      <c r="G11" s="276" t="e">
        <f t="shared" si="11"/>
        <v>#REF!</v>
      </c>
      <c r="H11" s="298" t="e">
        <f>SUM(C11:G11)</f>
        <v>#REF!</v>
      </c>
    </row>
    <row r="12" spans="2:8" ht="12.6" thickBot="1">
      <c r="B12" s="299" t="s">
        <v>2536</v>
      </c>
      <c r="C12" s="317" t="e">
        <f>C11/C6</f>
        <v>#REF!</v>
      </c>
      <c r="D12" s="317" t="e">
        <f t="shared" ref="D12:E12" si="12">D11/D6</f>
        <v>#REF!</v>
      </c>
      <c r="E12" s="317" t="e">
        <f t="shared" si="12"/>
        <v>#REF!</v>
      </c>
      <c r="F12" s="317" t="e">
        <f t="shared" ref="F12:G12" si="13">F11/F6</f>
        <v>#REF!</v>
      </c>
      <c r="G12" s="317" t="e">
        <f t="shared" si="13"/>
        <v>#REF!</v>
      </c>
      <c r="H12" s="318" t="e">
        <f t="shared" ref="H12" si="14">H11/H6</f>
        <v>#REF!</v>
      </c>
    </row>
    <row r="13" spans="2:8" ht="12.6" thickTop="1">
      <c r="B13" s="297" t="s">
        <v>599</v>
      </c>
      <c r="C13" s="276" t="e">
        <f t="shared" ref="C13:G14" si="15">C32+C66+C85</f>
        <v>#REF!</v>
      </c>
      <c r="D13" s="276" t="e">
        <f t="shared" si="15"/>
        <v>#REF!</v>
      </c>
      <c r="E13" s="276" t="e">
        <f t="shared" si="15"/>
        <v>#REF!</v>
      </c>
      <c r="F13" s="276" t="e">
        <f t="shared" si="15"/>
        <v>#REF!</v>
      </c>
      <c r="G13" s="276" t="e">
        <f t="shared" si="15"/>
        <v>#REF!</v>
      </c>
      <c r="H13" s="298" t="e">
        <f>SUM(C13:G13)</f>
        <v>#REF!</v>
      </c>
    </row>
    <row r="14" spans="2:8">
      <c r="B14" s="297" t="s">
        <v>2537</v>
      </c>
      <c r="C14" s="276" t="e">
        <f t="shared" si="15"/>
        <v>#REF!</v>
      </c>
      <c r="D14" s="276" t="e">
        <f t="shared" si="15"/>
        <v>#REF!</v>
      </c>
      <c r="E14" s="276" t="e">
        <f t="shared" si="15"/>
        <v>#REF!</v>
      </c>
      <c r="F14" s="276" t="e">
        <f t="shared" si="15"/>
        <v>#REF!</v>
      </c>
      <c r="G14" s="276" t="e">
        <f t="shared" si="15"/>
        <v>#REF!</v>
      </c>
      <c r="H14" s="298" t="e">
        <f>SUM(C14:G14)</f>
        <v>#REF!</v>
      </c>
    </row>
    <row r="15" spans="2:8">
      <c r="B15" s="297" t="s">
        <v>16</v>
      </c>
      <c r="C15" s="276" t="e">
        <f t="shared" ref="C15:G15" si="16">C11+C13-C14</f>
        <v>#REF!</v>
      </c>
      <c r="D15" s="276" t="e">
        <f t="shared" si="16"/>
        <v>#REF!</v>
      </c>
      <c r="E15" s="276" t="e">
        <f t="shared" si="16"/>
        <v>#REF!</v>
      </c>
      <c r="F15" s="276" t="e">
        <f t="shared" si="16"/>
        <v>#REF!</v>
      </c>
      <c r="G15" s="276" t="e">
        <f t="shared" si="16"/>
        <v>#REF!</v>
      </c>
      <c r="H15" s="298" t="e">
        <f>SUM(C15:G15)</f>
        <v>#REF!</v>
      </c>
    </row>
    <row r="16" spans="2:8" ht="12.6" thickBot="1">
      <c r="B16" s="299" t="s">
        <v>2539</v>
      </c>
      <c r="C16" s="317" t="e">
        <f t="shared" ref="C16:G16" si="17">C15/C6</f>
        <v>#REF!</v>
      </c>
      <c r="D16" s="317" t="e">
        <f t="shared" si="17"/>
        <v>#REF!</v>
      </c>
      <c r="E16" s="317" t="e">
        <f t="shared" si="17"/>
        <v>#REF!</v>
      </c>
      <c r="F16" s="317" t="e">
        <f t="shared" si="17"/>
        <v>#REF!</v>
      </c>
      <c r="G16" s="317" t="e">
        <f t="shared" si="17"/>
        <v>#REF!</v>
      </c>
      <c r="H16" s="318" t="e">
        <f>H15/H6</f>
        <v>#REF!</v>
      </c>
    </row>
    <row r="17" spans="2:28" ht="12.6" thickTop="1">
      <c r="B17" s="297" t="s">
        <v>315</v>
      </c>
      <c r="C17" s="276" t="e">
        <f t="shared" ref="C17:G20" si="18">C36+C70+C89</f>
        <v>#REF!</v>
      </c>
      <c r="D17" s="276" t="e">
        <f t="shared" si="18"/>
        <v>#REF!</v>
      </c>
      <c r="E17" s="276" t="e">
        <f t="shared" si="18"/>
        <v>#REF!</v>
      </c>
      <c r="F17" s="276" t="e">
        <f t="shared" si="18"/>
        <v>#REF!</v>
      </c>
      <c r="G17" s="276" t="e">
        <f t="shared" si="18"/>
        <v>#REF!</v>
      </c>
      <c r="H17" s="298" t="e">
        <f>SUM(C17:G17)</f>
        <v>#REF!</v>
      </c>
    </row>
    <row r="18" spans="2:28">
      <c r="B18" s="297" t="s">
        <v>2538</v>
      </c>
      <c r="C18" s="276" t="e">
        <f t="shared" si="18"/>
        <v>#REF!</v>
      </c>
      <c r="D18" s="276" t="e">
        <f t="shared" si="18"/>
        <v>#REF!</v>
      </c>
      <c r="E18" s="276" t="e">
        <f t="shared" si="18"/>
        <v>#REF!</v>
      </c>
      <c r="F18" s="276" t="e">
        <f t="shared" si="18"/>
        <v>#REF!</v>
      </c>
      <c r="G18" s="276" t="e">
        <f t="shared" si="18"/>
        <v>#REF!</v>
      </c>
      <c r="H18" s="298" t="e">
        <f>SUM(C18:G18)</f>
        <v>#REF!</v>
      </c>
    </row>
    <row r="19" spans="2:28">
      <c r="B19" s="297" t="s">
        <v>1761</v>
      </c>
      <c r="C19" s="276" t="e">
        <f t="shared" si="18"/>
        <v>#REF!</v>
      </c>
      <c r="D19" s="276" t="e">
        <f t="shared" si="18"/>
        <v>#REF!</v>
      </c>
      <c r="E19" s="276" t="e">
        <f t="shared" si="18"/>
        <v>#REF!</v>
      </c>
      <c r="F19" s="276" t="e">
        <f t="shared" si="18"/>
        <v>#REF!</v>
      </c>
      <c r="G19" s="276" t="e">
        <f t="shared" si="18"/>
        <v>#REF!</v>
      </c>
      <c r="H19" s="298" t="e">
        <f>SUM(C19:G19)</f>
        <v>#REF!</v>
      </c>
    </row>
    <row r="20" spans="2:28">
      <c r="B20" s="300" t="s">
        <v>628</v>
      </c>
      <c r="C20" s="277" t="e">
        <f t="shared" si="18"/>
        <v>#REF!</v>
      </c>
      <c r="D20" s="277" t="e">
        <f t="shared" si="18"/>
        <v>#REF!</v>
      </c>
      <c r="E20" s="277" t="e">
        <f t="shared" si="18"/>
        <v>#REF!</v>
      </c>
      <c r="F20" s="277" t="e">
        <f t="shared" si="18"/>
        <v>#REF!</v>
      </c>
      <c r="G20" s="277" t="e">
        <f t="shared" si="18"/>
        <v>#REF!</v>
      </c>
      <c r="H20" s="301" t="e">
        <f>SUM(C20:G20)</f>
        <v>#REF!</v>
      </c>
    </row>
    <row r="21" spans="2:28" ht="12.6" thickBot="1">
      <c r="B21" s="299" t="s">
        <v>1151</v>
      </c>
      <c r="C21" s="317" t="e">
        <f>C20/C6</f>
        <v>#REF!</v>
      </c>
      <c r="D21" s="317" t="e">
        <f t="shared" ref="D21:E21" si="19">D20/D6</f>
        <v>#REF!</v>
      </c>
      <c r="E21" s="317" t="e">
        <f t="shared" si="19"/>
        <v>#REF!</v>
      </c>
      <c r="F21" s="317" t="e">
        <f t="shared" ref="F21:G21" si="20">F20/F6</f>
        <v>#REF!</v>
      </c>
      <c r="G21" s="317" t="e">
        <f t="shared" si="20"/>
        <v>#REF!</v>
      </c>
      <c r="H21" s="318" t="e">
        <f t="shared" ref="H21" si="21">H20/H6</f>
        <v>#REF!</v>
      </c>
    </row>
    <row r="22" spans="2:28" ht="12.6" thickTop="1">
      <c r="B22" s="302"/>
      <c r="H22" s="303"/>
    </row>
    <row r="23" spans="2:28">
      <c r="B23" s="294" t="s">
        <v>2541</v>
      </c>
      <c r="C23" s="336" t="s">
        <v>824</v>
      </c>
      <c r="D23" s="337"/>
      <c r="E23" s="337"/>
      <c r="F23" s="337"/>
      <c r="G23" s="337"/>
      <c r="H23" s="338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</row>
    <row r="24" spans="2:28">
      <c r="B24" s="295"/>
      <c r="C24" s="283">
        <v>46113</v>
      </c>
      <c r="D24" s="283">
        <v>46143</v>
      </c>
      <c r="E24" s="283">
        <v>46174</v>
      </c>
      <c r="F24" s="283">
        <v>46204</v>
      </c>
      <c r="G24" s="283">
        <v>46235</v>
      </c>
      <c r="H24" s="296" t="s">
        <v>2540</v>
      </c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</row>
    <row r="25" spans="2:28">
      <c r="B25" s="304" t="s">
        <v>1</v>
      </c>
      <c r="C25" s="285" t="e">
        <f>PL!#REF!</f>
        <v>#REF!</v>
      </c>
      <c r="D25" s="285" t="e">
        <f>PL!#REF!</f>
        <v>#REF!</v>
      </c>
      <c r="E25" s="285" t="e">
        <f>PL!#REF!</f>
        <v>#REF!</v>
      </c>
      <c r="F25" s="285" t="e">
        <f>PL!#REF!</f>
        <v>#REF!</v>
      </c>
      <c r="G25" s="285" t="e">
        <f>PL!#REF!</f>
        <v>#REF!</v>
      </c>
      <c r="H25" s="305" t="e">
        <f>SUM(C25:G25)</f>
        <v>#REF!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75"/>
      <c r="AB25" s="275"/>
    </row>
    <row r="26" spans="2:28">
      <c r="B26" s="297" t="s">
        <v>50</v>
      </c>
      <c r="C26" s="276" t="e">
        <f>PL!#REF!</f>
        <v>#REF!</v>
      </c>
      <c r="D26" s="276" t="e">
        <f>PL!#REF!</f>
        <v>#REF!</v>
      </c>
      <c r="E26" s="276" t="e">
        <f>PL!#REF!</f>
        <v>#REF!</v>
      </c>
      <c r="F26" s="276" t="e">
        <f>PL!#REF!</f>
        <v>#REF!</v>
      </c>
      <c r="G26" s="276" t="e">
        <f>PL!#REF!</f>
        <v>#REF!</v>
      </c>
      <c r="H26" s="298" t="e">
        <f>SUM(C26:G26)</f>
        <v>#REF!</v>
      </c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</row>
    <row r="27" spans="2:28">
      <c r="B27" s="297" t="s">
        <v>2533</v>
      </c>
      <c r="C27" s="276" t="e">
        <f>C25-C26</f>
        <v>#REF!</v>
      </c>
      <c r="D27" s="276" t="e">
        <f t="shared" ref="D27:G27" si="22">D25-D26</f>
        <v>#REF!</v>
      </c>
      <c r="E27" s="276" t="e">
        <f t="shared" si="22"/>
        <v>#REF!</v>
      </c>
      <c r="F27" s="276" t="e">
        <f t="shared" si="22"/>
        <v>#REF!</v>
      </c>
      <c r="G27" s="276" t="e">
        <f t="shared" si="22"/>
        <v>#REF!</v>
      </c>
      <c r="H27" s="298" t="e">
        <f>H25-H26</f>
        <v>#REF!</v>
      </c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</row>
    <row r="28" spans="2:28" ht="12.6" thickBot="1">
      <c r="B28" s="299" t="s">
        <v>2534</v>
      </c>
      <c r="C28" s="317" t="e">
        <f>C27/C25</f>
        <v>#REF!</v>
      </c>
      <c r="D28" s="317" t="e">
        <f t="shared" ref="D28:G28" si="23">D27/D25</f>
        <v>#REF!</v>
      </c>
      <c r="E28" s="317" t="e">
        <f t="shared" si="23"/>
        <v>#REF!</v>
      </c>
      <c r="F28" s="317" t="e">
        <f t="shared" si="23"/>
        <v>#REF!</v>
      </c>
      <c r="G28" s="317" t="e">
        <f t="shared" si="23"/>
        <v>#REF!</v>
      </c>
      <c r="H28" s="318" t="e">
        <f>H27/H25</f>
        <v>#REF!</v>
      </c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</row>
    <row r="29" spans="2:28" ht="12.6" thickTop="1">
      <c r="B29" s="297" t="s">
        <v>93</v>
      </c>
      <c r="C29" s="276" t="e">
        <f>PL!#REF!-PL!#REF!</f>
        <v>#REF!</v>
      </c>
      <c r="D29" s="276" t="e">
        <f>PL!#REF!-PL!#REF!</f>
        <v>#REF!</v>
      </c>
      <c r="E29" s="276" t="e">
        <f>PL!#REF!-PL!#REF!</f>
        <v>#REF!</v>
      </c>
      <c r="F29" s="276" t="e">
        <f>PL!#REF!-PL!#REF!</f>
        <v>#REF!</v>
      </c>
      <c r="G29" s="276" t="e">
        <f>PL!#REF!-PL!#REF!</f>
        <v>#REF!</v>
      </c>
      <c r="H29" s="298" t="e">
        <f>SUM(C29:G29)</f>
        <v>#REF!</v>
      </c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</row>
    <row r="30" spans="2:28">
      <c r="B30" s="297" t="s">
        <v>2535</v>
      </c>
      <c r="C30" s="276" t="e">
        <f>C27-C29</f>
        <v>#REF!</v>
      </c>
      <c r="D30" s="276" t="e">
        <f t="shared" ref="D30:G30" si="24">D27-D29</f>
        <v>#REF!</v>
      </c>
      <c r="E30" s="276" t="e">
        <f t="shared" si="24"/>
        <v>#REF!</v>
      </c>
      <c r="F30" s="276" t="e">
        <f t="shared" si="24"/>
        <v>#REF!</v>
      </c>
      <c r="G30" s="276" t="e">
        <f t="shared" si="24"/>
        <v>#REF!</v>
      </c>
      <c r="H30" s="298" t="e">
        <f>SUM(C30:G30)</f>
        <v>#REF!</v>
      </c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</row>
    <row r="31" spans="2:28" ht="12.6" thickBot="1">
      <c r="B31" s="299" t="s">
        <v>2536</v>
      </c>
      <c r="C31" s="317" t="e">
        <f>C30/C25</f>
        <v>#REF!</v>
      </c>
      <c r="D31" s="317" t="e">
        <f t="shared" ref="D31:H31" si="25">D30/D25</f>
        <v>#REF!</v>
      </c>
      <c r="E31" s="317" t="e">
        <f t="shared" si="25"/>
        <v>#REF!</v>
      </c>
      <c r="F31" s="317" t="e">
        <f t="shared" ref="F31:G31" si="26">F30/F25</f>
        <v>#REF!</v>
      </c>
      <c r="G31" s="317" t="e">
        <f t="shared" si="26"/>
        <v>#REF!</v>
      </c>
      <c r="H31" s="318" t="e">
        <f t="shared" si="25"/>
        <v>#REF!</v>
      </c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</row>
    <row r="32" spans="2:28" ht="12.6" thickTop="1">
      <c r="B32" s="297" t="s">
        <v>599</v>
      </c>
      <c r="C32" s="276" t="e">
        <f>PL!#REF!</f>
        <v>#REF!</v>
      </c>
      <c r="D32" s="276" t="e">
        <f>PL!#REF!</f>
        <v>#REF!</v>
      </c>
      <c r="E32" s="276" t="e">
        <f>PL!#REF!</f>
        <v>#REF!</v>
      </c>
      <c r="F32" s="276" t="e">
        <f>PL!#REF!</f>
        <v>#REF!</v>
      </c>
      <c r="G32" s="276" t="e">
        <f>PL!#REF!</f>
        <v>#REF!</v>
      </c>
      <c r="H32" s="298" t="e">
        <f>SUM(C32:G32)</f>
        <v>#REF!</v>
      </c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</row>
    <row r="33" spans="2:28">
      <c r="B33" s="297" t="s">
        <v>2537</v>
      </c>
      <c r="C33" s="276" t="e">
        <f>PL!#REF!</f>
        <v>#REF!</v>
      </c>
      <c r="D33" s="276" t="e">
        <f>PL!#REF!</f>
        <v>#REF!</v>
      </c>
      <c r="E33" s="276" t="e">
        <f>PL!#REF!</f>
        <v>#REF!</v>
      </c>
      <c r="F33" s="276" t="e">
        <f>PL!#REF!</f>
        <v>#REF!</v>
      </c>
      <c r="G33" s="276" t="e">
        <f>PL!#REF!</f>
        <v>#REF!</v>
      </c>
      <c r="H33" s="298" t="e">
        <f>SUM(C33:G33)</f>
        <v>#REF!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</row>
    <row r="34" spans="2:28">
      <c r="B34" s="297" t="s">
        <v>16</v>
      </c>
      <c r="C34" s="276" t="e">
        <f>C30+C32-C33</f>
        <v>#REF!</v>
      </c>
      <c r="D34" s="276" t="e">
        <f t="shared" ref="D34:G34" si="27">D30+D32-D33</f>
        <v>#REF!</v>
      </c>
      <c r="E34" s="276" t="e">
        <f t="shared" si="27"/>
        <v>#REF!</v>
      </c>
      <c r="F34" s="276" t="e">
        <f t="shared" si="27"/>
        <v>#REF!</v>
      </c>
      <c r="G34" s="276" t="e">
        <f t="shared" si="27"/>
        <v>#REF!</v>
      </c>
      <c r="H34" s="298" t="e">
        <f>SUM(C34:G34)</f>
        <v>#REF!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</row>
    <row r="35" spans="2:28" ht="12.6" thickBot="1">
      <c r="B35" s="299" t="s">
        <v>2539</v>
      </c>
      <c r="C35" s="317" t="e">
        <f>C34/C25</f>
        <v>#REF!</v>
      </c>
      <c r="D35" s="317" t="e">
        <f t="shared" ref="D35:G35" si="28">D34/D25</f>
        <v>#REF!</v>
      </c>
      <c r="E35" s="317" t="e">
        <f t="shared" si="28"/>
        <v>#REF!</v>
      </c>
      <c r="F35" s="317" t="e">
        <f t="shared" si="28"/>
        <v>#REF!</v>
      </c>
      <c r="G35" s="317" t="e">
        <f t="shared" si="28"/>
        <v>#REF!</v>
      </c>
      <c r="H35" s="318" t="e">
        <f>H34/H25</f>
        <v>#REF!</v>
      </c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</row>
    <row r="36" spans="2:28" ht="12.6" thickTop="1">
      <c r="B36" s="297" t="s">
        <v>315</v>
      </c>
      <c r="C36" s="276" t="e">
        <f>PL!#REF!</f>
        <v>#REF!</v>
      </c>
      <c r="D36" s="276" t="e">
        <f>PL!#REF!</f>
        <v>#REF!</v>
      </c>
      <c r="E36" s="276" t="e">
        <f>PL!#REF!</f>
        <v>#REF!</v>
      </c>
      <c r="F36" s="276" t="e">
        <f>PL!#REF!</f>
        <v>#REF!</v>
      </c>
      <c r="G36" s="276" t="e">
        <f>PL!#REF!</f>
        <v>#REF!</v>
      </c>
      <c r="H36" s="298" t="e">
        <f>SUM(C36:G36)</f>
        <v>#REF!</v>
      </c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</row>
    <row r="37" spans="2:28">
      <c r="B37" s="297" t="s">
        <v>2538</v>
      </c>
      <c r="C37" s="276" t="e">
        <f>PL!#REF!</f>
        <v>#REF!</v>
      </c>
      <c r="D37" s="276" t="e">
        <f>PL!#REF!</f>
        <v>#REF!</v>
      </c>
      <c r="E37" s="276" t="e">
        <f>PL!#REF!</f>
        <v>#REF!</v>
      </c>
      <c r="F37" s="276" t="e">
        <f>PL!#REF!</f>
        <v>#REF!</v>
      </c>
      <c r="G37" s="276" t="e">
        <f>PL!#REF!</f>
        <v>#REF!</v>
      </c>
      <c r="H37" s="298" t="e">
        <f>SUM(C37:G37)</f>
        <v>#REF!</v>
      </c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</row>
    <row r="38" spans="2:28">
      <c r="B38" s="297" t="s">
        <v>1761</v>
      </c>
      <c r="C38" s="276" t="e">
        <f>PL!#REF!</f>
        <v>#REF!</v>
      </c>
      <c r="D38" s="276" t="e">
        <f>PL!#REF!</f>
        <v>#REF!</v>
      </c>
      <c r="E38" s="276" t="e">
        <f>PL!#REF!</f>
        <v>#REF!</v>
      </c>
      <c r="F38" s="276" t="e">
        <f>PL!#REF!</f>
        <v>#REF!</v>
      </c>
      <c r="G38" s="276" t="e">
        <f>PL!#REF!</f>
        <v>#REF!</v>
      </c>
      <c r="H38" s="298" t="e">
        <f>SUM(C38:G38)</f>
        <v>#REF!</v>
      </c>
      <c r="I38" s="275"/>
      <c r="J38" s="275"/>
      <c r="K38" s="275"/>
      <c r="L38" s="275"/>
      <c r="M38" s="275"/>
      <c r="N38" s="275"/>
      <c r="AA38" s="275"/>
      <c r="AB38" s="275"/>
    </row>
    <row r="39" spans="2:28">
      <c r="B39" s="300" t="s">
        <v>628</v>
      </c>
      <c r="C39" s="277" t="e">
        <f>C34-C36-C37-C38</f>
        <v>#REF!</v>
      </c>
      <c r="D39" s="277" t="e">
        <f t="shared" ref="D39:G39" si="29">D34-D36-D37-D38</f>
        <v>#REF!</v>
      </c>
      <c r="E39" s="277" t="e">
        <f t="shared" si="29"/>
        <v>#REF!</v>
      </c>
      <c r="F39" s="277" t="e">
        <f t="shared" si="29"/>
        <v>#REF!</v>
      </c>
      <c r="G39" s="277" t="e">
        <f t="shared" si="29"/>
        <v>#REF!</v>
      </c>
      <c r="H39" s="301" t="e">
        <f>SUM(C39:G39)</f>
        <v>#REF!</v>
      </c>
      <c r="I39" s="275"/>
      <c r="J39" s="275"/>
      <c r="K39" s="275"/>
      <c r="L39" s="275"/>
      <c r="M39" s="275"/>
      <c r="N39" s="275"/>
      <c r="AA39" s="275"/>
      <c r="AB39" s="275"/>
    </row>
    <row r="40" spans="2:28" ht="12.6" thickBot="1">
      <c r="B40" s="299" t="s">
        <v>1151</v>
      </c>
      <c r="C40" s="317" t="e">
        <f>C39/C25</f>
        <v>#REF!</v>
      </c>
      <c r="D40" s="317" t="e">
        <f t="shared" ref="D40:H40" si="30">D39/D25</f>
        <v>#REF!</v>
      </c>
      <c r="E40" s="317" t="e">
        <f t="shared" si="30"/>
        <v>#REF!</v>
      </c>
      <c r="F40" s="317" t="e">
        <f t="shared" ref="F40:G40" si="31">F39/F25</f>
        <v>#REF!</v>
      </c>
      <c r="G40" s="317" t="e">
        <f t="shared" si="31"/>
        <v>#REF!</v>
      </c>
      <c r="H40" s="318" t="e">
        <f t="shared" si="30"/>
        <v>#REF!</v>
      </c>
      <c r="I40" s="275"/>
      <c r="J40" s="275"/>
      <c r="K40" s="275"/>
      <c r="L40" s="275"/>
      <c r="M40" s="275"/>
      <c r="N40" s="275"/>
      <c r="AA40" s="275"/>
      <c r="AB40" s="275"/>
    </row>
    <row r="41" spans="2:28" ht="12.6" thickTop="1">
      <c r="B41" s="302"/>
      <c r="H41" s="303"/>
    </row>
    <row r="42" spans="2:28" ht="12" hidden="1" customHeight="1">
      <c r="B42" s="306"/>
      <c r="C42" s="289"/>
      <c r="D42" s="289"/>
      <c r="E42" s="289"/>
      <c r="F42" s="289"/>
      <c r="G42" s="289"/>
      <c r="H42" s="307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</row>
    <row r="43" spans="2:28" ht="12" hidden="1" customHeight="1">
      <c r="B43" s="308"/>
      <c r="C43" s="288"/>
      <c r="D43" s="288"/>
      <c r="E43" s="288"/>
      <c r="F43" s="288"/>
      <c r="G43" s="288"/>
      <c r="H43" s="309"/>
      <c r="I43" s="290"/>
      <c r="J43" s="290"/>
      <c r="K43" s="290"/>
      <c r="L43" s="290"/>
      <c r="M43" s="290"/>
      <c r="N43" s="290"/>
      <c r="O43" s="287"/>
      <c r="P43" s="287"/>
      <c r="Q43" s="287"/>
      <c r="R43" s="287"/>
      <c r="S43" s="287"/>
      <c r="T43" s="287"/>
      <c r="U43" s="291"/>
      <c r="V43" s="291"/>
      <c r="W43" s="291"/>
      <c r="X43" s="291"/>
      <c r="Y43" s="291"/>
      <c r="Z43" s="291"/>
    </row>
    <row r="44" spans="2:28" ht="12" hidden="1" customHeight="1">
      <c r="B44" s="308"/>
      <c r="C44" s="279"/>
      <c r="D44" s="279"/>
      <c r="E44" s="279"/>
      <c r="F44" s="279"/>
      <c r="G44" s="279"/>
      <c r="H44" s="310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</row>
    <row r="45" spans="2:28" ht="12" hidden="1" customHeight="1">
      <c r="B45" s="311"/>
      <c r="C45" s="280"/>
      <c r="D45" s="280"/>
      <c r="E45" s="280"/>
      <c r="F45" s="280"/>
      <c r="G45" s="280"/>
      <c r="H45" s="312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spans="2:28" ht="12" hidden="1" customHeight="1">
      <c r="B46" s="311"/>
      <c r="C46" s="280"/>
      <c r="D46" s="280"/>
      <c r="E46" s="280"/>
      <c r="F46" s="280"/>
      <c r="G46" s="280"/>
      <c r="H46" s="312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spans="2:28" ht="12" hidden="1" customHeight="1">
      <c r="B47" s="311"/>
      <c r="C47" s="280"/>
      <c r="D47" s="280"/>
      <c r="E47" s="280"/>
      <c r="F47" s="280"/>
      <c r="G47" s="280"/>
      <c r="H47" s="312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spans="2:28" ht="12" hidden="1" customHeight="1">
      <c r="B48" s="311"/>
      <c r="C48" s="280"/>
      <c r="D48" s="280"/>
      <c r="E48" s="280"/>
      <c r="F48" s="280"/>
      <c r="G48" s="280"/>
      <c r="H48" s="312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spans="2:26" ht="12" hidden="1" customHeight="1">
      <c r="B49" s="311"/>
      <c r="C49" s="280"/>
      <c r="D49" s="280"/>
      <c r="E49" s="280"/>
      <c r="F49" s="280"/>
      <c r="G49" s="280"/>
      <c r="H49" s="312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spans="2:26" ht="12" hidden="1" customHeight="1">
      <c r="B50" s="311"/>
      <c r="C50" s="280"/>
      <c r="D50" s="280"/>
      <c r="E50" s="280"/>
      <c r="F50" s="280"/>
      <c r="G50" s="280"/>
      <c r="H50" s="312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spans="2:26" ht="12" hidden="1" customHeight="1">
      <c r="B51" s="311"/>
      <c r="C51" s="280"/>
      <c r="D51" s="280"/>
      <c r="E51" s="280"/>
      <c r="F51" s="280"/>
      <c r="G51" s="280"/>
      <c r="H51" s="312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spans="2:26" ht="12" hidden="1" customHeight="1">
      <c r="B52" s="311"/>
      <c r="C52" s="280"/>
      <c r="D52" s="280"/>
      <c r="E52" s="280"/>
      <c r="F52" s="280"/>
      <c r="G52" s="280"/>
      <c r="H52" s="312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spans="2:26" ht="12" hidden="1" customHeight="1">
      <c r="B53" s="311"/>
      <c r="C53" s="280"/>
      <c r="D53" s="280"/>
      <c r="E53" s="280"/>
      <c r="F53" s="280"/>
      <c r="G53" s="280"/>
      <c r="H53" s="312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spans="2:26" ht="12" hidden="1" customHeight="1">
      <c r="B54" s="311"/>
      <c r="C54" s="280"/>
      <c r="D54" s="280"/>
      <c r="E54" s="280"/>
      <c r="F54" s="280"/>
      <c r="G54" s="280"/>
      <c r="H54" s="312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spans="2:26" ht="12" hidden="1" customHeight="1">
      <c r="B55" s="302"/>
      <c r="H55" s="303"/>
    </row>
    <row r="56" spans="2:26" ht="12" hidden="1" customHeight="1">
      <c r="B56" s="302"/>
      <c r="H56" s="303"/>
    </row>
    <row r="57" spans="2:26">
      <c r="B57" s="294" t="s">
        <v>2541</v>
      </c>
      <c r="C57" s="333" t="s">
        <v>826</v>
      </c>
      <c r="D57" s="334"/>
      <c r="E57" s="334"/>
      <c r="F57" s="334"/>
      <c r="G57" s="334"/>
      <c r="H57" s="335"/>
      <c r="Z57" s="280"/>
    </row>
    <row r="58" spans="2:26">
      <c r="B58" s="295"/>
      <c r="C58" s="283">
        <v>46113</v>
      </c>
      <c r="D58" s="283">
        <v>46143</v>
      </c>
      <c r="E58" s="283">
        <v>46174</v>
      </c>
      <c r="F58" s="283">
        <v>46204</v>
      </c>
      <c r="G58" s="283">
        <v>46235</v>
      </c>
      <c r="H58" s="296" t="s">
        <v>2540</v>
      </c>
    </row>
    <row r="59" spans="2:26">
      <c r="B59" s="297" t="s">
        <v>1</v>
      </c>
      <c r="C59" s="276">
        <f>PL!C6</f>
        <v>0</v>
      </c>
      <c r="D59" s="276">
        <f>PL!D6</f>
        <v>0</v>
      </c>
      <c r="E59" s="276">
        <f>PL!E6</f>
        <v>0</v>
      </c>
      <c r="F59" s="276">
        <f>PL!F6</f>
        <v>0</v>
      </c>
      <c r="G59" s="276">
        <f>PL!G6</f>
        <v>0</v>
      </c>
      <c r="H59" s="298">
        <f>SUM(C59:G59)</f>
        <v>0</v>
      </c>
    </row>
    <row r="60" spans="2:26">
      <c r="B60" s="297" t="s">
        <v>50</v>
      </c>
      <c r="C60" s="276">
        <f>PL!C10</f>
        <v>0</v>
      </c>
      <c r="D60" s="276">
        <f>PL!D10</f>
        <v>0</v>
      </c>
      <c r="E60" s="276">
        <f>PL!E10</f>
        <v>0</v>
      </c>
      <c r="F60" s="276">
        <f>PL!F10</f>
        <v>0</v>
      </c>
      <c r="G60" s="276">
        <f>PL!G10</f>
        <v>0</v>
      </c>
      <c r="H60" s="298">
        <f>SUM(C60:G60)</f>
        <v>0</v>
      </c>
    </row>
    <row r="61" spans="2:26">
      <c r="B61" s="297" t="s">
        <v>2533</v>
      </c>
      <c r="C61" s="276">
        <f t="shared" ref="C61" si="32">C59-C60</f>
        <v>0</v>
      </c>
      <c r="D61" s="276">
        <f t="shared" ref="D61" si="33">D59-D60</f>
        <v>0</v>
      </c>
      <c r="E61" s="276">
        <f t="shared" ref="E61" si="34">E59-E60</f>
        <v>0</v>
      </c>
      <c r="F61" s="276">
        <f t="shared" ref="F61" si="35">F59-F60</f>
        <v>0</v>
      </c>
      <c r="G61" s="276">
        <f t="shared" ref="G61" si="36">G59-G60</f>
        <v>0</v>
      </c>
      <c r="H61" s="298">
        <f>H59-H60</f>
        <v>0</v>
      </c>
    </row>
    <row r="62" spans="2:26" ht="12.6" thickBot="1">
      <c r="B62" s="299" t="s">
        <v>2534</v>
      </c>
      <c r="C62" s="317" t="e">
        <f t="shared" ref="C62" si="37">C61/C59</f>
        <v>#DIV/0!</v>
      </c>
      <c r="D62" s="317" t="e">
        <f t="shared" ref="D62" si="38">D61/D59</f>
        <v>#DIV/0!</v>
      </c>
      <c r="E62" s="317" t="e">
        <f t="shared" ref="E62" si="39">E61/E59</f>
        <v>#DIV/0!</v>
      </c>
      <c r="F62" s="317" t="e">
        <f t="shared" ref="F62" si="40">F61/F59</f>
        <v>#DIV/0!</v>
      </c>
      <c r="G62" s="317" t="e">
        <f t="shared" ref="G62" si="41">G61/G59</f>
        <v>#DIV/0!</v>
      </c>
      <c r="H62" s="318" t="e">
        <f>H61/H59</f>
        <v>#DIV/0!</v>
      </c>
    </row>
    <row r="63" spans="2:26" ht="12.6" thickTop="1">
      <c r="B63" s="297" t="s">
        <v>93</v>
      </c>
      <c r="C63" s="276">
        <f>PL!C19-PL!C15</f>
        <v>0</v>
      </c>
      <c r="D63" s="276">
        <f>PL!D19-PL!D15</f>
        <v>0</v>
      </c>
      <c r="E63" s="276">
        <f>PL!E19-PL!E15</f>
        <v>0</v>
      </c>
      <c r="F63" s="276">
        <f>PL!F19-PL!F15</f>
        <v>0</v>
      </c>
      <c r="G63" s="276">
        <f>PL!G19-PL!G15</f>
        <v>0</v>
      </c>
      <c r="H63" s="298">
        <f>SUM(C63:G63)</f>
        <v>0</v>
      </c>
    </row>
    <row r="64" spans="2:26">
      <c r="B64" s="304" t="s">
        <v>2535</v>
      </c>
      <c r="C64" s="285">
        <f t="shared" ref="C64:G64" si="42">C61-C63</f>
        <v>0</v>
      </c>
      <c r="D64" s="285">
        <f t="shared" si="42"/>
        <v>0</v>
      </c>
      <c r="E64" s="285">
        <f t="shared" si="42"/>
        <v>0</v>
      </c>
      <c r="F64" s="285">
        <f t="shared" si="42"/>
        <v>0</v>
      </c>
      <c r="G64" s="285">
        <f t="shared" si="42"/>
        <v>0</v>
      </c>
      <c r="H64" s="305">
        <f>SUM(C64:G64)</f>
        <v>0</v>
      </c>
    </row>
    <row r="65" spans="1:8" ht="12.6" thickBot="1">
      <c r="B65" s="313" t="s">
        <v>2536</v>
      </c>
      <c r="C65" s="319" t="e">
        <f>C64/C59</f>
        <v>#DIV/0!</v>
      </c>
      <c r="D65" s="319" t="e">
        <f t="shared" ref="D65:E65" si="43">D64/D59</f>
        <v>#DIV/0!</v>
      </c>
      <c r="E65" s="319" t="e">
        <f t="shared" si="43"/>
        <v>#DIV/0!</v>
      </c>
      <c r="F65" s="319" t="e">
        <f t="shared" ref="F65:G65" si="44">F64/F59</f>
        <v>#DIV/0!</v>
      </c>
      <c r="G65" s="319" t="e">
        <f t="shared" si="44"/>
        <v>#DIV/0!</v>
      </c>
      <c r="H65" s="320" t="e">
        <f t="shared" ref="H65" si="45">H64/H59</f>
        <v>#DIV/0!</v>
      </c>
    </row>
    <row r="66" spans="1:8" ht="12.6" thickTop="1">
      <c r="B66" s="304" t="s">
        <v>599</v>
      </c>
      <c r="C66" s="285">
        <f>PL!C46</f>
        <v>0</v>
      </c>
      <c r="D66" s="285">
        <f>PL!D46</f>
        <v>0</v>
      </c>
      <c r="E66" s="285">
        <f>PL!E46</f>
        <v>0</v>
      </c>
      <c r="F66" s="285">
        <f>PL!F46</f>
        <v>0</v>
      </c>
      <c r="G66" s="285">
        <f>PL!G46</f>
        <v>0</v>
      </c>
      <c r="H66" s="305">
        <f>SUM(C66:G66)</f>
        <v>0</v>
      </c>
    </row>
    <row r="67" spans="1:8">
      <c r="B67" s="304" t="s">
        <v>2537</v>
      </c>
      <c r="C67" s="276">
        <f>PL!C137</f>
        <v>0</v>
      </c>
      <c r="D67" s="276">
        <f>PL!D137</f>
        <v>0</v>
      </c>
      <c r="E67" s="276">
        <f>PL!E137</f>
        <v>0</v>
      </c>
      <c r="F67" s="276">
        <f>PL!F137</f>
        <v>0</v>
      </c>
      <c r="G67" s="276">
        <f>PL!G137</f>
        <v>0</v>
      </c>
      <c r="H67" s="298">
        <f>SUM(C67:G67)</f>
        <v>0</v>
      </c>
    </row>
    <row r="68" spans="1:8">
      <c r="B68" s="297" t="s">
        <v>16</v>
      </c>
      <c r="C68" s="276">
        <f t="shared" ref="C68:G68" si="46">C64+C66-C67</f>
        <v>0</v>
      </c>
      <c r="D68" s="276">
        <f t="shared" si="46"/>
        <v>0</v>
      </c>
      <c r="E68" s="276">
        <f t="shared" si="46"/>
        <v>0</v>
      </c>
      <c r="F68" s="276">
        <f t="shared" si="46"/>
        <v>0</v>
      </c>
      <c r="G68" s="276">
        <f t="shared" si="46"/>
        <v>0</v>
      </c>
      <c r="H68" s="298">
        <f>SUM(C68:G68)</f>
        <v>0</v>
      </c>
    </row>
    <row r="69" spans="1:8" ht="12.6" thickBot="1">
      <c r="B69" s="299" t="s">
        <v>2539</v>
      </c>
      <c r="C69" s="317" t="e">
        <f t="shared" ref="C69:G69" si="47">C68/C59</f>
        <v>#DIV/0!</v>
      </c>
      <c r="D69" s="317" t="e">
        <f t="shared" si="47"/>
        <v>#DIV/0!</v>
      </c>
      <c r="E69" s="317" t="e">
        <f t="shared" si="47"/>
        <v>#DIV/0!</v>
      </c>
      <c r="F69" s="317" t="e">
        <f t="shared" si="47"/>
        <v>#DIV/0!</v>
      </c>
      <c r="G69" s="317" t="e">
        <f t="shared" si="47"/>
        <v>#DIV/0!</v>
      </c>
      <c r="H69" s="318" t="e">
        <f>H68/H59</f>
        <v>#DIV/0!</v>
      </c>
    </row>
    <row r="70" spans="1:8" ht="12.6" thickTop="1">
      <c r="B70" s="297" t="s">
        <v>315</v>
      </c>
      <c r="C70" s="276">
        <f>PL!C143</f>
        <v>0</v>
      </c>
      <c r="D70" s="276">
        <f>PL!D143</f>
        <v>0</v>
      </c>
      <c r="E70" s="276">
        <f>PL!E143</f>
        <v>0</v>
      </c>
      <c r="F70" s="276">
        <f>PL!F143</f>
        <v>0</v>
      </c>
      <c r="G70" s="276">
        <f>PL!G143</f>
        <v>0</v>
      </c>
      <c r="H70" s="298">
        <f>SUM(C70:G70)</f>
        <v>0</v>
      </c>
    </row>
    <row r="71" spans="1:8">
      <c r="B71" s="297" t="s">
        <v>2538</v>
      </c>
      <c r="C71" s="276">
        <f>PL!C161</f>
        <v>0</v>
      </c>
      <c r="D71" s="276">
        <f>PL!D161</f>
        <v>0</v>
      </c>
      <c r="E71" s="276">
        <f>PL!E161</f>
        <v>0</v>
      </c>
      <c r="F71" s="276">
        <f>PL!F161</f>
        <v>0</v>
      </c>
      <c r="G71" s="276">
        <f>PL!G161</f>
        <v>0</v>
      </c>
      <c r="H71" s="298">
        <f>SUM(C71:G71)</f>
        <v>0</v>
      </c>
    </row>
    <row r="72" spans="1:8">
      <c r="B72" s="297" t="s">
        <v>1761</v>
      </c>
      <c r="C72" s="276">
        <f>PL!C142</f>
        <v>0</v>
      </c>
      <c r="D72" s="276">
        <f>PL!D142</f>
        <v>0</v>
      </c>
      <c r="E72" s="276">
        <f>PL!E142</f>
        <v>0</v>
      </c>
      <c r="F72" s="276">
        <f>PL!F142</f>
        <v>0</v>
      </c>
      <c r="G72" s="276">
        <f>PL!G142</f>
        <v>0</v>
      </c>
      <c r="H72" s="298">
        <f>SUM(C72:G72)</f>
        <v>0</v>
      </c>
    </row>
    <row r="73" spans="1:8">
      <c r="B73" s="300" t="s">
        <v>628</v>
      </c>
      <c r="C73" s="277">
        <f t="shared" ref="C73:G73" si="48">C68-C70-C71-C72</f>
        <v>0</v>
      </c>
      <c r="D73" s="277">
        <f t="shared" si="48"/>
        <v>0</v>
      </c>
      <c r="E73" s="277">
        <f t="shared" si="48"/>
        <v>0</v>
      </c>
      <c r="F73" s="277">
        <f t="shared" si="48"/>
        <v>0</v>
      </c>
      <c r="G73" s="277">
        <f t="shared" si="48"/>
        <v>0</v>
      </c>
      <c r="H73" s="301">
        <f>SUM(C73:G73)</f>
        <v>0</v>
      </c>
    </row>
    <row r="74" spans="1:8" ht="12.6" thickBot="1">
      <c r="B74" s="299" t="s">
        <v>1151</v>
      </c>
      <c r="C74" s="317" t="e">
        <f>C73/C59</f>
        <v>#DIV/0!</v>
      </c>
      <c r="D74" s="317" t="e">
        <f t="shared" ref="D74:E74" si="49">D73/D59</f>
        <v>#DIV/0!</v>
      </c>
      <c r="E74" s="317" t="e">
        <f t="shared" si="49"/>
        <v>#DIV/0!</v>
      </c>
      <c r="F74" s="317" t="e">
        <f t="shared" ref="F74:G74" si="50">F73/F59</f>
        <v>#DIV/0!</v>
      </c>
      <c r="G74" s="317" t="e">
        <f t="shared" si="50"/>
        <v>#DIV/0!</v>
      </c>
      <c r="H74" s="318" t="e">
        <f t="shared" ref="H74" si="51">H73/H59</f>
        <v>#DIV/0!</v>
      </c>
    </row>
    <row r="75" spans="1:8" ht="12.6" thickTop="1">
      <c r="B75" s="302"/>
      <c r="H75" s="303"/>
    </row>
    <row r="76" spans="1:8">
      <c r="B76" s="294" t="s">
        <v>2541</v>
      </c>
      <c r="C76" s="333" t="s">
        <v>933</v>
      </c>
      <c r="D76" s="334"/>
      <c r="E76" s="334"/>
      <c r="F76" s="334"/>
      <c r="G76" s="334"/>
      <c r="H76" s="335"/>
    </row>
    <row r="77" spans="1:8" s="278" customFormat="1">
      <c r="A77" s="284"/>
      <c r="B77" s="295"/>
      <c r="C77" s="283">
        <v>46113</v>
      </c>
      <c r="D77" s="283">
        <v>46143</v>
      </c>
      <c r="E77" s="283">
        <v>46174</v>
      </c>
      <c r="F77" s="283">
        <v>46204</v>
      </c>
      <c r="G77" s="283">
        <v>46235</v>
      </c>
      <c r="H77" s="296" t="s">
        <v>2540</v>
      </c>
    </row>
    <row r="78" spans="1:8" s="278" customFormat="1">
      <c r="A78" s="284"/>
      <c r="B78" s="297" t="s">
        <v>1</v>
      </c>
      <c r="C78" s="276" t="e">
        <f>PL!#REF!</f>
        <v>#REF!</v>
      </c>
      <c r="D78" s="276" t="e">
        <f>PL!#REF!</f>
        <v>#REF!</v>
      </c>
      <c r="E78" s="276" t="e">
        <f>PL!#REF!</f>
        <v>#REF!</v>
      </c>
      <c r="F78" s="276" t="e">
        <f>PL!#REF!</f>
        <v>#REF!</v>
      </c>
      <c r="G78" s="276" t="e">
        <f>PL!#REF!</f>
        <v>#REF!</v>
      </c>
      <c r="H78" s="298" t="e">
        <f>SUM(C78:G78)</f>
        <v>#REF!</v>
      </c>
    </row>
    <row r="79" spans="1:8" s="278" customFormat="1">
      <c r="A79" s="284"/>
      <c r="B79" s="304" t="s">
        <v>50</v>
      </c>
      <c r="C79" s="285" t="e">
        <f>PL!#REF!</f>
        <v>#REF!</v>
      </c>
      <c r="D79" s="285" t="e">
        <f>PL!#REF!</f>
        <v>#REF!</v>
      </c>
      <c r="E79" s="285" t="e">
        <f>PL!#REF!</f>
        <v>#REF!</v>
      </c>
      <c r="F79" s="285" t="e">
        <f>PL!#REF!</f>
        <v>#REF!</v>
      </c>
      <c r="G79" s="285" t="e">
        <f>PL!#REF!</f>
        <v>#REF!</v>
      </c>
      <c r="H79" s="305" t="e">
        <f>SUM(C79:G79)</f>
        <v>#REF!</v>
      </c>
    </row>
    <row r="80" spans="1:8" s="278" customFormat="1">
      <c r="A80" s="284"/>
      <c r="B80" s="304" t="s">
        <v>2533</v>
      </c>
      <c r="C80" s="276" t="e">
        <f t="shared" ref="C80" si="52">C78-C79</f>
        <v>#REF!</v>
      </c>
      <c r="D80" s="276" t="e">
        <f t="shared" ref="D80" si="53">D78-D79</f>
        <v>#REF!</v>
      </c>
      <c r="E80" s="276" t="e">
        <f t="shared" ref="E80" si="54">E78-E79</f>
        <v>#REF!</v>
      </c>
      <c r="F80" s="276" t="e">
        <f t="shared" ref="F80" si="55">F78-F79</f>
        <v>#REF!</v>
      </c>
      <c r="G80" s="276" t="e">
        <f t="shared" ref="G80" si="56">G78-G79</f>
        <v>#REF!</v>
      </c>
      <c r="H80" s="298" t="e">
        <f>H78-H79</f>
        <v>#REF!</v>
      </c>
    </row>
    <row r="81" spans="1:8" s="278" customFormat="1" ht="12.6" thickBot="1">
      <c r="A81" s="284"/>
      <c r="B81" s="299" t="s">
        <v>2534</v>
      </c>
      <c r="C81" s="317" t="e">
        <f t="shared" ref="C81" si="57">C80/C78</f>
        <v>#REF!</v>
      </c>
      <c r="D81" s="317" t="e">
        <f t="shared" ref="D81" si="58">D80/D78</f>
        <v>#REF!</v>
      </c>
      <c r="E81" s="317" t="e">
        <f t="shared" ref="E81" si="59">E80/E78</f>
        <v>#REF!</v>
      </c>
      <c r="F81" s="317" t="e">
        <f t="shared" ref="F81" si="60">F80/F78</f>
        <v>#REF!</v>
      </c>
      <c r="G81" s="317" t="e">
        <f t="shared" ref="G81" si="61">G80/G78</f>
        <v>#REF!</v>
      </c>
      <c r="H81" s="318" t="e">
        <f>H80/H78</f>
        <v>#REF!</v>
      </c>
    </row>
    <row r="82" spans="1:8" s="278" customFormat="1" ht="12.6" thickTop="1">
      <c r="A82" s="284"/>
      <c r="B82" s="297" t="s">
        <v>93</v>
      </c>
      <c r="C82" s="276" t="e">
        <f>PL!#REF!-PL!#REF!</f>
        <v>#REF!</v>
      </c>
      <c r="D82" s="276" t="e">
        <f>PL!#REF!-PL!#REF!</f>
        <v>#REF!</v>
      </c>
      <c r="E82" s="276" t="e">
        <f>PL!#REF!-PL!#REF!</f>
        <v>#REF!</v>
      </c>
      <c r="F82" s="276" t="e">
        <f>PL!#REF!-PL!#REF!</f>
        <v>#REF!</v>
      </c>
      <c r="G82" s="276" t="e">
        <f>PL!#REF!-PL!#REF!</f>
        <v>#REF!</v>
      </c>
      <c r="H82" s="298" t="e">
        <f>SUM(C82:G82)</f>
        <v>#REF!</v>
      </c>
    </row>
    <row r="83" spans="1:8" s="278" customFormat="1">
      <c r="A83" s="284"/>
      <c r="B83" s="297" t="s">
        <v>2535</v>
      </c>
      <c r="C83" s="276" t="e">
        <f t="shared" ref="C83:G83" si="62">C80-C82</f>
        <v>#REF!</v>
      </c>
      <c r="D83" s="276" t="e">
        <f t="shared" si="62"/>
        <v>#REF!</v>
      </c>
      <c r="E83" s="276" t="e">
        <f t="shared" si="62"/>
        <v>#REF!</v>
      </c>
      <c r="F83" s="276" t="e">
        <f t="shared" si="62"/>
        <v>#REF!</v>
      </c>
      <c r="G83" s="276" t="e">
        <f t="shared" si="62"/>
        <v>#REF!</v>
      </c>
      <c r="H83" s="298" t="e">
        <f>SUM(C83:G83)</f>
        <v>#REF!</v>
      </c>
    </row>
    <row r="84" spans="1:8" s="278" customFormat="1" ht="12.6" thickBot="1">
      <c r="A84" s="284"/>
      <c r="B84" s="299" t="s">
        <v>2536</v>
      </c>
      <c r="C84" s="317" t="e">
        <f>C83/C78</f>
        <v>#REF!</v>
      </c>
      <c r="D84" s="317" t="e">
        <f t="shared" ref="D84:E84" si="63">D83/D78</f>
        <v>#REF!</v>
      </c>
      <c r="E84" s="317" t="e">
        <f t="shared" si="63"/>
        <v>#REF!</v>
      </c>
      <c r="F84" s="317" t="e">
        <f t="shared" ref="F84:G84" si="64">F83/F78</f>
        <v>#REF!</v>
      </c>
      <c r="G84" s="317" t="e">
        <f t="shared" si="64"/>
        <v>#REF!</v>
      </c>
      <c r="H84" s="318" t="e">
        <f>H83/H78</f>
        <v>#REF!</v>
      </c>
    </row>
    <row r="85" spans="1:8" s="278" customFormat="1" ht="12.6" thickTop="1">
      <c r="A85" s="284"/>
      <c r="B85" s="297" t="s">
        <v>599</v>
      </c>
      <c r="C85" s="276" t="e">
        <f>PL!#REF!</f>
        <v>#REF!</v>
      </c>
      <c r="D85" s="276" t="e">
        <f>PL!#REF!</f>
        <v>#REF!</v>
      </c>
      <c r="E85" s="276" t="e">
        <f>PL!#REF!</f>
        <v>#REF!</v>
      </c>
      <c r="F85" s="276" t="e">
        <f>PL!#REF!</f>
        <v>#REF!</v>
      </c>
      <c r="G85" s="276" t="e">
        <f>PL!#REF!</f>
        <v>#REF!</v>
      </c>
      <c r="H85" s="298" t="e">
        <f>SUM(C85:G85)</f>
        <v>#REF!</v>
      </c>
    </row>
    <row r="86" spans="1:8" s="278" customFormat="1">
      <c r="A86" s="284"/>
      <c r="B86" s="297" t="s">
        <v>2537</v>
      </c>
      <c r="C86" s="276" t="e">
        <f>PL!#REF!</f>
        <v>#REF!</v>
      </c>
      <c r="D86" s="276" t="e">
        <f>PL!#REF!</f>
        <v>#REF!</v>
      </c>
      <c r="E86" s="276" t="e">
        <f>PL!#REF!</f>
        <v>#REF!</v>
      </c>
      <c r="F86" s="276" t="e">
        <f>PL!#REF!</f>
        <v>#REF!</v>
      </c>
      <c r="G86" s="276" t="e">
        <f>PL!#REF!</f>
        <v>#REF!</v>
      </c>
      <c r="H86" s="298" t="e">
        <f>SUM(C86:G86)</f>
        <v>#REF!</v>
      </c>
    </row>
    <row r="87" spans="1:8" s="278" customFormat="1">
      <c r="A87" s="284"/>
      <c r="B87" s="297" t="s">
        <v>16</v>
      </c>
      <c r="C87" s="276" t="e">
        <f t="shared" ref="C87:G87" si="65">C83+C85-C86</f>
        <v>#REF!</v>
      </c>
      <c r="D87" s="276" t="e">
        <f t="shared" si="65"/>
        <v>#REF!</v>
      </c>
      <c r="E87" s="276" t="e">
        <f t="shared" si="65"/>
        <v>#REF!</v>
      </c>
      <c r="F87" s="276" t="e">
        <f t="shared" si="65"/>
        <v>#REF!</v>
      </c>
      <c r="G87" s="276" t="e">
        <f t="shared" si="65"/>
        <v>#REF!</v>
      </c>
      <c r="H87" s="298" t="e">
        <f>SUM(C87:G87)</f>
        <v>#REF!</v>
      </c>
    </row>
    <row r="88" spans="1:8" s="278" customFormat="1" ht="12.6" thickBot="1">
      <c r="A88" s="284"/>
      <c r="B88" s="299" t="s">
        <v>2539</v>
      </c>
      <c r="C88" s="317" t="e">
        <f t="shared" ref="C88:G88" si="66">C87/C78</f>
        <v>#REF!</v>
      </c>
      <c r="D88" s="317" t="e">
        <f t="shared" si="66"/>
        <v>#REF!</v>
      </c>
      <c r="E88" s="317" t="e">
        <f t="shared" si="66"/>
        <v>#REF!</v>
      </c>
      <c r="F88" s="317" t="e">
        <f t="shared" si="66"/>
        <v>#REF!</v>
      </c>
      <c r="G88" s="317" t="e">
        <f t="shared" si="66"/>
        <v>#REF!</v>
      </c>
      <c r="H88" s="318" t="e">
        <f>H87/H78</f>
        <v>#REF!</v>
      </c>
    </row>
    <row r="89" spans="1:8" s="278" customFormat="1" ht="12.6" thickTop="1">
      <c r="A89" s="284"/>
      <c r="B89" s="297" t="s">
        <v>315</v>
      </c>
      <c r="C89" s="276" t="e">
        <f>PL!#REF!</f>
        <v>#REF!</v>
      </c>
      <c r="D89" s="276" t="e">
        <f>PL!#REF!</f>
        <v>#REF!</v>
      </c>
      <c r="E89" s="276" t="e">
        <f>PL!#REF!</f>
        <v>#REF!</v>
      </c>
      <c r="F89" s="276" t="e">
        <f>PL!#REF!</f>
        <v>#REF!</v>
      </c>
      <c r="G89" s="276" t="e">
        <f>PL!#REF!</f>
        <v>#REF!</v>
      </c>
      <c r="H89" s="298" t="e">
        <f>SUM(C89:G89)</f>
        <v>#REF!</v>
      </c>
    </row>
    <row r="90" spans="1:8" s="278" customFormat="1">
      <c r="A90" s="284"/>
      <c r="B90" s="297" t="s">
        <v>2538</v>
      </c>
      <c r="C90" s="276" t="e">
        <f>PL!#REF!</f>
        <v>#REF!</v>
      </c>
      <c r="D90" s="276" t="e">
        <f>PL!#REF!</f>
        <v>#REF!</v>
      </c>
      <c r="E90" s="276" t="e">
        <f>PL!#REF!</f>
        <v>#REF!</v>
      </c>
      <c r="F90" s="276" t="e">
        <f>PL!#REF!</f>
        <v>#REF!</v>
      </c>
      <c r="G90" s="276" t="e">
        <f>PL!#REF!</f>
        <v>#REF!</v>
      </c>
      <c r="H90" s="298" t="e">
        <f>SUM(C90:G90)</f>
        <v>#REF!</v>
      </c>
    </row>
    <row r="91" spans="1:8" s="278" customFormat="1">
      <c r="A91" s="284"/>
      <c r="B91" s="297" t="s">
        <v>1761</v>
      </c>
      <c r="C91" s="276" t="e">
        <f>PL!#REF!</f>
        <v>#REF!</v>
      </c>
      <c r="D91" s="276" t="e">
        <f>PL!#REF!</f>
        <v>#REF!</v>
      </c>
      <c r="E91" s="276" t="e">
        <f>PL!#REF!</f>
        <v>#REF!</v>
      </c>
      <c r="F91" s="276" t="e">
        <f>PL!#REF!</f>
        <v>#REF!</v>
      </c>
      <c r="G91" s="276" t="e">
        <f>PL!#REF!</f>
        <v>#REF!</v>
      </c>
      <c r="H91" s="298" t="e">
        <f>SUM(C91:G91)</f>
        <v>#REF!</v>
      </c>
    </row>
    <row r="92" spans="1:8" s="278" customFormat="1">
      <c r="A92" s="284"/>
      <c r="B92" s="314" t="s">
        <v>628</v>
      </c>
      <c r="C92" s="286" t="e">
        <f t="shared" ref="C92:G92" si="67">C87-C89-C90-C91</f>
        <v>#REF!</v>
      </c>
      <c r="D92" s="286" t="e">
        <f t="shared" si="67"/>
        <v>#REF!</v>
      </c>
      <c r="E92" s="286" t="e">
        <f t="shared" si="67"/>
        <v>#REF!</v>
      </c>
      <c r="F92" s="286" t="e">
        <f t="shared" si="67"/>
        <v>#REF!</v>
      </c>
      <c r="G92" s="286" t="e">
        <f t="shared" si="67"/>
        <v>#REF!</v>
      </c>
      <c r="H92" s="315" t="e">
        <f>SUM(C92:G92)</f>
        <v>#REF!</v>
      </c>
    </row>
    <row r="93" spans="1:8" s="278" customFormat="1" ht="12.6" thickBot="1">
      <c r="A93" s="284"/>
      <c r="B93" s="316" t="s">
        <v>1151</v>
      </c>
      <c r="C93" s="321" t="e">
        <f>C92/C78</f>
        <v>#REF!</v>
      </c>
      <c r="D93" s="321" t="e">
        <f t="shared" ref="D93:E93" si="68">D92/D78</f>
        <v>#REF!</v>
      </c>
      <c r="E93" s="321" t="e">
        <f t="shared" si="68"/>
        <v>#REF!</v>
      </c>
      <c r="F93" s="321" t="e">
        <f t="shared" ref="F93:G93" si="69">F92/F78</f>
        <v>#REF!</v>
      </c>
      <c r="G93" s="321" t="e">
        <f t="shared" si="69"/>
        <v>#REF!</v>
      </c>
      <c r="H93" s="322" t="e">
        <f>H92/H78</f>
        <v>#REF!</v>
      </c>
    </row>
    <row r="94" spans="1:8" s="278" customFormat="1">
      <c r="A94" s="284"/>
    </row>
    <row r="95" spans="1:8" s="278" customFormat="1">
      <c r="A95" s="284"/>
    </row>
    <row r="96" spans="1:8" s="278" customFormat="1">
      <c r="A96" s="284"/>
    </row>
    <row r="97" spans="1:8" s="278" customFormat="1">
      <c r="A97" s="284"/>
    </row>
    <row r="98" spans="1:8" s="278" customFormat="1">
      <c r="A98" s="284"/>
    </row>
    <row r="99" spans="1:8" s="278" customFormat="1">
      <c r="A99" s="284"/>
    </row>
    <row r="100" spans="1:8" s="278" customFormat="1">
      <c r="A100" s="284"/>
    </row>
    <row r="101" spans="1:8" s="278" customFormat="1">
      <c r="A101" s="284"/>
    </row>
    <row r="102" spans="1:8" s="278" customFormat="1">
      <c r="A102" s="284"/>
    </row>
    <row r="103" spans="1:8" s="278" customFormat="1">
      <c r="A103" s="284"/>
    </row>
    <row r="104" spans="1:8" s="278" customFormat="1">
      <c r="A104" s="284"/>
    </row>
    <row r="105" spans="1:8" s="278" customFormat="1">
      <c r="A105" s="284"/>
      <c r="B105" s="281"/>
      <c r="C105" s="281"/>
      <c r="D105" s="281"/>
      <c r="E105" s="281"/>
      <c r="F105" s="281"/>
      <c r="G105" s="281"/>
      <c r="H105" s="281"/>
    </row>
    <row r="106" spans="1:8" s="278" customFormat="1">
      <c r="A106" s="284"/>
      <c r="B106" s="281"/>
    </row>
    <row r="107" spans="1:8" s="278" customFormat="1">
      <c r="A107" s="284"/>
    </row>
    <row r="108" spans="1:8" s="278" customFormat="1">
      <c r="A108" s="284"/>
    </row>
    <row r="109" spans="1:8" s="278" customFormat="1">
      <c r="A109" s="284"/>
    </row>
    <row r="110" spans="1:8" s="278" customFormat="1">
      <c r="A110" s="284"/>
    </row>
    <row r="111" spans="1:8" s="278" customFormat="1">
      <c r="A111" s="284"/>
    </row>
    <row r="112" spans="1:8" s="278" customFormat="1">
      <c r="A112" s="284"/>
    </row>
    <row r="113" spans="1:1" s="278" customFormat="1">
      <c r="A113" s="284"/>
    </row>
    <row r="114" spans="1:1" s="278" customFormat="1">
      <c r="A114" s="284"/>
    </row>
    <row r="115" spans="1:1" s="278" customFormat="1">
      <c r="A115" s="284"/>
    </row>
    <row r="116" spans="1:1" s="278" customFormat="1">
      <c r="A116" s="284"/>
    </row>
    <row r="117" spans="1:1" s="278" customFormat="1">
      <c r="A117" s="284"/>
    </row>
    <row r="118" spans="1:1" s="278" customFormat="1">
      <c r="A118" s="284"/>
    </row>
    <row r="119" spans="1:1" s="278" customFormat="1">
      <c r="A119" s="284"/>
    </row>
    <row r="120" spans="1:1" s="278" customFormat="1">
      <c r="A120" s="284"/>
    </row>
    <row r="121" spans="1:1" s="278" customFormat="1">
      <c r="A121" s="284"/>
    </row>
    <row r="122" spans="1:1" s="278" customFormat="1">
      <c r="A122" s="284"/>
    </row>
    <row r="123" spans="1:1" s="278" customFormat="1">
      <c r="A123" s="284"/>
    </row>
    <row r="124" spans="1:1" s="278" customFormat="1">
      <c r="A124" s="284"/>
    </row>
    <row r="125" spans="1:1" s="278" customFormat="1">
      <c r="A125" s="284"/>
    </row>
    <row r="126" spans="1:1" s="278" customFormat="1">
      <c r="A126" s="284"/>
    </row>
    <row r="127" spans="1:1" s="278" customFormat="1">
      <c r="A127" s="284"/>
    </row>
    <row r="128" spans="1:1" s="278" customFormat="1">
      <c r="A128" s="284"/>
    </row>
    <row r="129" spans="1:1" s="278" customFormat="1">
      <c r="A129" s="284"/>
    </row>
    <row r="130" spans="1:1" s="278" customFormat="1">
      <c r="A130" s="284"/>
    </row>
    <row r="131" spans="1:1" s="278" customFormat="1">
      <c r="A131" s="284"/>
    </row>
    <row r="132" spans="1:1" s="278" customFormat="1">
      <c r="A132" s="284"/>
    </row>
    <row r="133" spans="1:1" s="278" customFormat="1">
      <c r="A133" s="284"/>
    </row>
    <row r="134" spans="1:1" s="278" customFormat="1">
      <c r="A134" s="284"/>
    </row>
    <row r="135" spans="1:1" s="278" customFormat="1">
      <c r="A135" s="284"/>
    </row>
    <row r="136" spans="1:1" s="278" customFormat="1">
      <c r="A136" s="284"/>
    </row>
    <row r="137" spans="1:1" s="278" customFormat="1">
      <c r="A137" s="284"/>
    </row>
    <row r="138" spans="1:1" s="278" customFormat="1">
      <c r="A138" s="284"/>
    </row>
    <row r="139" spans="1:1" s="278" customFormat="1">
      <c r="A139" s="284"/>
    </row>
    <row r="140" spans="1:1" s="278" customFormat="1">
      <c r="A140" s="284"/>
    </row>
    <row r="141" spans="1:1" s="278" customFormat="1">
      <c r="A141" s="284"/>
    </row>
    <row r="142" spans="1:1" s="278" customFormat="1">
      <c r="A142" s="284"/>
    </row>
    <row r="143" spans="1:1" s="278" customFormat="1">
      <c r="A143" s="284"/>
    </row>
    <row r="144" spans="1:1" s="278" customFormat="1">
      <c r="A144" s="284"/>
    </row>
    <row r="145" spans="1:1" s="278" customFormat="1">
      <c r="A145" s="284"/>
    </row>
    <row r="146" spans="1:1" s="278" customFormat="1">
      <c r="A146" s="284"/>
    </row>
    <row r="147" spans="1:1" s="278" customFormat="1">
      <c r="A147" s="284"/>
    </row>
    <row r="148" spans="1:1" s="278" customFormat="1">
      <c r="A148" s="284"/>
    </row>
    <row r="149" spans="1:1" s="278" customFormat="1">
      <c r="A149" s="284"/>
    </row>
    <row r="150" spans="1:1" s="278" customFormat="1">
      <c r="A150" s="284"/>
    </row>
    <row r="151" spans="1:1" s="278" customFormat="1">
      <c r="A151" s="284"/>
    </row>
    <row r="152" spans="1:1" s="278" customFormat="1">
      <c r="A152" s="284"/>
    </row>
    <row r="153" spans="1:1" s="278" customFormat="1">
      <c r="A153" s="284"/>
    </row>
    <row r="154" spans="1:1" s="278" customFormat="1">
      <c r="A154" s="284"/>
    </row>
    <row r="155" spans="1:1" s="278" customFormat="1">
      <c r="A155" s="284"/>
    </row>
    <row r="156" spans="1:1" s="278" customFormat="1">
      <c r="A156" s="284"/>
    </row>
    <row r="157" spans="1:1" s="278" customFormat="1">
      <c r="A157" s="284"/>
    </row>
    <row r="158" spans="1:1" s="278" customFormat="1">
      <c r="A158" s="284"/>
    </row>
    <row r="159" spans="1:1" s="278" customFormat="1">
      <c r="A159" s="284"/>
    </row>
    <row r="160" spans="1:1" s="278" customFormat="1">
      <c r="A160" s="284"/>
    </row>
    <row r="161" spans="1:1" s="278" customFormat="1">
      <c r="A161" s="284"/>
    </row>
    <row r="162" spans="1:1" s="278" customFormat="1">
      <c r="A162" s="284"/>
    </row>
    <row r="163" spans="1:1" s="278" customFormat="1">
      <c r="A163" s="284"/>
    </row>
    <row r="164" spans="1:1" s="278" customFormat="1">
      <c r="A164" s="284"/>
    </row>
    <row r="165" spans="1:1" s="278" customFormat="1">
      <c r="A165" s="284"/>
    </row>
    <row r="166" spans="1:1" s="278" customFormat="1">
      <c r="A166" s="284"/>
    </row>
    <row r="167" spans="1:1" s="278" customFormat="1">
      <c r="A167" s="284"/>
    </row>
    <row r="168" spans="1:1" s="278" customFormat="1">
      <c r="A168" s="284"/>
    </row>
    <row r="169" spans="1:1" s="278" customFormat="1">
      <c r="A169" s="284"/>
    </row>
    <row r="170" spans="1:1" s="278" customFormat="1">
      <c r="A170" s="284"/>
    </row>
    <row r="171" spans="1:1" s="278" customFormat="1">
      <c r="A171" s="284"/>
    </row>
    <row r="172" spans="1:1" s="278" customFormat="1">
      <c r="A172" s="284"/>
    </row>
    <row r="173" spans="1:1" s="278" customFormat="1">
      <c r="A173" s="284"/>
    </row>
    <row r="174" spans="1:1" s="278" customFormat="1">
      <c r="A174" s="284"/>
    </row>
    <row r="175" spans="1:1" s="278" customFormat="1">
      <c r="A175" s="284"/>
    </row>
    <row r="176" spans="1:1" s="278" customFormat="1">
      <c r="A176" s="284"/>
    </row>
    <row r="177" spans="1:1" s="278" customFormat="1">
      <c r="A177" s="284"/>
    </row>
    <row r="178" spans="1:1" s="278" customFormat="1">
      <c r="A178" s="284"/>
    </row>
    <row r="179" spans="1:1" s="278" customFormat="1">
      <c r="A179" s="284"/>
    </row>
    <row r="180" spans="1:1" s="278" customFormat="1">
      <c r="A180" s="284"/>
    </row>
    <row r="181" spans="1:1" s="278" customFormat="1">
      <c r="A181" s="284"/>
    </row>
    <row r="182" spans="1:1" s="278" customFormat="1">
      <c r="A182" s="284"/>
    </row>
    <row r="183" spans="1:1" s="278" customFormat="1">
      <c r="A183" s="284"/>
    </row>
    <row r="184" spans="1:1" s="278" customFormat="1">
      <c r="A184" s="284"/>
    </row>
    <row r="185" spans="1:1" s="278" customFormat="1">
      <c r="A185" s="284"/>
    </row>
    <row r="186" spans="1:1" s="278" customFormat="1">
      <c r="A186" s="284"/>
    </row>
    <row r="187" spans="1:1" s="278" customFormat="1">
      <c r="A187" s="284"/>
    </row>
    <row r="188" spans="1:1" s="278" customFormat="1">
      <c r="A188" s="284"/>
    </row>
    <row r="189" spans="1:1" s="278" customFormat="1">
      <c r="A189" s="284"/>
    </row>
    <row r="190" spans="1:1" s="278" customFormat="1">
      <c r="A190" s="284"/>
    </row>
    <row r="191" spans="1:1" s="278" customFormat="1">
      <c r="A191" s="284"/>
    </row>
    <row r="192" spans="1:1" s="278" customFormat="1">
      <c r="A192" s="284"/>
    </row>
    <row r="193" spans="1:1" s="278" customFormat="1">
      <c r="A193" s="284"/>
    </row>
    <row r="194" spans="1:1" s="278" customFormat="1">
      <c r="A194" s="284"/>
    </row>
    <row r="195" spans="1:1" s="278" customFormat="1">
      <c r="A195" s="284"/>
    </row>
    <row r="196" spans="1:1" s="278" customFormat="1">
      <c r="A196" s="284"/>
    </row>
    <row r="197" spans="1:1" s="278" customFormat="1">
      <c r="A197" s="284"/>
    </row>
    <row r="198" spans="1:1" s="278" customFormat="1">
      <c r="A198" s="284"/>
    </row>
    <row r="199" spans="1:1" s="278" customFormat="1">
      <c r="A199" s="284"/>
    </row>
    <row r="200" spans="1:1" s="278" customFormat="1">
      <c r="A200" s="284"/>
    </row>
    <row r="201" spans="1:1" s="278" customFormat="1">
      <c r="A201" s="284"/>
    </row>
    <row r="202" spans="1:1" s="278" customFormat="1">
      <c r="A202" s="284"/>
    </row>
    <row r="203" spans="1:1" s="278" customFormat="1">
      <c r="A203" s="284"/>
    </row>
    <row r="204" spans="1:1" s="278" customFormat="1">
      <c r="A204" s="284"/>
    </row>
    <row r="205" spans="1:1" s="278" customFormat="1">
      <c r="A205" s="284"/>
    </row>
    <row r="206" spans="1:1" s="278" customFormat="1">
      <c r="A206" s="284"/>
    </row>
    <row r="207" spans="1:1" s="278" customFormat="1">
      <c r="A207" s="284"/>
    </row>
    <row r="208" spans="1:1" s="278" customFormat="1">
      <c r="A208" s="284"/>
    </row>
    <row r="209" spans="1:1" s="278" customFormat="1">
      <c r="A209" s="284"/>
    </row>
    <row r="210" spans="1:1" s="278" customFormat="1">
      <c r="A210" s="284"/>
    </row>
    <row r="211" spans="1:1" s="278" customFormat="1">
      <c r="A211" s="284"/>
    </row>
    <row r="212" spans="1:1" s="278" customFormat="1">
      <c r="A212" s="284"/>
    </row>
    <row r="213" spans="1:1" s="278" customFormat="1">
      <c r="A213" s="284"/>
    </row>
    <row r="214" spans="1:1" s="278" customFormat="1">
      <c r="A214" s="284"/>
    </row>
    <row r="215" spans="1:1" s="278" customFormat="1">
      <c r="A215" s="284"/>
    </row>
    <row r="216" spans="1:1" s="278" customFormat="1">
      <c r="A216" s="284"/>
    </row>
    <row r="217" spans="1:1" s="278" customFormat="1">
      <c r="A217" s="284"/>
    </row>
    <row r="218" spans="1:1" s="278" customFormat="1">
      <c r="A218" s="284"/>
    </row>
    <row r="219" spans="1:1" s="278" customFormat="1">
      <c r="A219" s="284"/>
    </row>
    <row r="220" spans="1:1" s="278" customFormat="1">
      <c r="A220" s="284"/>
    </row>
    <row r="221" spans="1:1" s="278" customFormat="1">
      <c r="A221" s="284"/>
    </row>
    <row r="222" spans="1:1" s="278" customFormat="1">
      <c r="A222" s="284"/>
    </row>
    <row r="223" spans="1:1" s="278" customFormat="1">
      <c r="A223" s="284"/>
    </row>
    <row r="224" spans="1:1" s="278" customFormat="1">
      <c r="A224" s="284"/>
    </row>
  </sheetData>
  <mergeCells count="5">
    <mergeCell ref="B1:H2"/>
    <mergeCell ref="C76:H76"/>
    <mergeCell ref="C23:H23"/>
    <mergeCell ref="C57:H57"/>
    <mergeCell ref="C4:H4"/>
  </mergeCells>
  <pageMargins left="0.7" right="0.7" top="0.75" bottom="0.75" header="0.3" footer="0.3"/>
  <pageSetup paperSize="9" scale="93" orientation="portrait" r:id="rId1"/>
  <ignoredErrors>
    <ignoredError sqref="AA34:XFD34 B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98"/>
  <sheetViews>
    <sheetView showGridLines="0" zoomScaleNormal="100" workbookViewId="0">
      <pane xSplit="2" ySplit="5" topLeftCell="C6" activePane="bottomRight" state="frozen"/>
      <selection activeCell="F1" sqref="F1"/>
      <selection pane="topRight" activeCell="F1" sqref="F1"/>
      <selection pane="bottomLeft" activeCell="F1" sqref="F1"/>
      <selection pane="bottomRight" activeCell="C7" sqref="C7"/>
    </sheetView>
  </sheetViews>
  <sheetFormatPr defaultColWidth="11.109375" defaultRowHeight="12" customHeight="1" outlineLevelRow="1"/>
  <cols>
    <col min="1" max="1" width="12.44140625" style="1" bestFit="1" customWidth="1"/>
    <col min="2" max="2" width="49.44140625" style="1" bestFit="1" customWidth="1"/>
    <col min="3" max="3" width="12.44140625" style="1" bestFit="1" customWidth="1"/>
    <col min="4" max="8" width="12" style="1" customWidth="1"/>
    <col min="9" max="10" width="12.44140625" style="1" bestFit="1" customWidth="1"/>
    <col min="11" max="16384" width="11.109375" style="1"/>
  </cols>
  <sheetData>
    <row r="1" spans="1:8" ht="12" customHeight="1">
      <c r="B1" s="25" t="s">
        <v>1103</v>
      </c>
      <c r="C1" s="174"/>
      <c r="D1" s="174"/>
      <c r="E1" s="174"/>
      <c r="F1" s="174"/>
      <c r="G1" s="174"/>
      <c r="H1" s="174"/>
    </row>
    <row r="2" spans="1:8" ht="12" customHeight="1">
      <c r="B2" s="25" t="s">
        <v>1266</v>
      </c>
      <c r="C2" s="195" t="e">
        <f>#REF!</f>
        <v>#REF!</v>
      </c>
      <c r="D2" s="127"/>
      <c r="E2" s="127"/>
      <c r="F2" s="254"/>
      <c r="G2" s="127"/>
      <c r="H2" s="127"/>
    </row>
    <row r="3" spans="1:8" ht="12" hidden="1" customHeight="1" outlineLevel="1">
      <c r="B3" s="25" t="s">
        <v>70</v>
      </c>
      <c r="C3" s="12"/>
      <c r="D3" s="12"/>
      <c r="E3" s="12"/>
      <c r="F3" s="12"/>
      <c r="G3" s="12"/>
      <c r="H3" s="12"/>
    </row>
    <row r="4" spans="1:8" ht="12" customHeight="1" collapsed="1">
      <c r="C4" s="339" t="s">
        <v>260</v>
      </c>
      <c r="D4" s="339"/>
      <c r="E4" s="339"/>
      <c r="F4" s="339"/>
      <c r="G4" s="339"/>
      <c r="H4" s="339"/>
    </row>
    <row r="5" spans="1:8" s="2" customFormat="1" ht="12" customHeight="1">
      <c r="B5" s="73" t="s">
        <v>71</v>
      </c>
      <c r="C5" s="45" t="s">
        <v>1643</v>
      </c>
      <c r="D5" s="45" t="s">
        <v>1644</v>
      </c>
      <c r="E5" s="45" t="s">
        <v>1819</v>
      </c>
      <c r="F5" s="45" t="s">
        <v>1820</v>
      </c>
      <c r="G5" s="45" t="s">
        <v>1887</v>
      </c>
      <c r="H5" s="251" t="s">
        <v>1642</v>
      </c>
    </row>
    <row r="6" spans="1:8" ht="12" customHeight="1">
      <c r="B6" s="106" t="s">
        <v>1</v>
      </c>
      <c r="C6" s="160">
        <f t="shared" ref="C6:G6" si="0">SUM(C7:C8)</f>
        <v>0</v>
      </c>
      <c r="D6" s="160">
        <f t="shared" si="0"/>
        <v>0</v>
      </c>
      <c r="E6" s="160">
        <f t="shared" si="0"/>
        <v>0</v>
      </c>
      <c r="F6" s="160">
        <f t="shared" si="0"/>
        <v>0</v>
      </c>
      <c r="G6" s="160">
        <f t="shared" si="0"/>
        <v>0</v>
      </c>
      <c r="H6" s="252">
        <f t="shared" ref="H6:H37" si="1">SUM(C6:G6)</f>
        <v>0</v>
      </c>
    </row>
    <row r="7" spans="1:8" ht="11.25" customHeight="1" outlineLevel="1">
      <c r="B7" s="107" t="s">
        <v>91</v>
      </c>
      <c r="C7" s="21">
        <f>-SUMIFS('AGT TB Apr -25'!H:H,'AGT TB Apr -25'!S:S,B7)</f>
        <v>0</v>
      </c>
      <c r="D7" s="21">
        <f>-SUMIFS('AGT TB Apr -25'!I:I,'AGT TB Apr -25'!S:S,B7)</f>
        <v>0</v>
      </c>
      <c r="E7" s="21">
        <f>-SUMIFS('AGT TB Apr -25'!J:J,'AGT TB Apr -25'!S:S,B7)</f>
        <v>0</v>
      </c>
      <c r="F7" s="21">
        <f>-SUMIFS('AGT TB Apr -25'!K:K,'AGT TB Apr -25'!S:S,B7)</f>
        <v>0</v>
      </c>
      <c r="G7" s="21">
        <f>-SUMIFS('AGT TB Apr -25'!L:L,'AGT TB Apr -25'!S:S,B7)</f>
        <v>0</v>
      </c>
      <c r="H7" s="252">
        <f t="shared" si="1"/>
        <v>0</v>
      </c>
    </row>
    <row r="8" spans="1:8" s="3" customFormat="1" ht="11.25" customHeight="1" outlineLevel="1">
      <c r="B8" s="107" t="s">
        <v>235</v>
      </c>
      <c r="C8" s="21">
        <f>-SUMIFS('AGT TB Apr -25'!H:H,'AGT TB Apr -25'!S:S,B8)</f>
        <v>0</v>
      </c>
      <c r="D8" s="21">
        <f>-SUMIFS('AGT TB Apr -25'!I:I,'AGT TB Apr -25'!S:S,B8)</f>
        <v>0</v>
      </c>
      <c r="E8" s="21">
        <f>-SUMIFS('AGT TB Apr -25'!J:J,'AGT TB Apr -25'!S:S,B8)</f>
        <v>0</v>
      </c>
      <c r="F8" s="21">
        <f>-SUMIFS('AGT TB Apr -25'!K:K,'AGT TB Apr -25'!S:S,B8)</f>
        <v>0</v>
      </c>
      <c r="G8" s="21">
        <f>-SUMIFS('AGT TB Apr -25'!L:L,'AGT TB Apr -25'!S:S,B8)</f>
        <v>0</v>
      </c>
      <c r="H8" s="252">
        <f t="shared" si="1"/>
        <v>0</v>
      </c>
    </row>
    <row r="9" spans="1:8" ht="11.25" customHeight="1" outlineLevel="1">
      <c r="B9" s="107" t="s">
        <v>1318</v>
      </c>
      <c r="C9" s="21">
        <f>SUMIFS('AGT TB Apr -25'!H:H,'AGT TB Apr -25'!S:S,B9)</f>
        <v>0</v>
      </c>
      <c r="D9" s="21">
        <f>SUMIFS('AGT TB Apr -25'!I:I,'AGT TB Apr -25'!S:S,B9)</f>
        <v>0</v>
      </c>
      <c r="E9" s="21">
        <f>SUMIFS('AGT TB Apr -25'!J:J,'AGT TB Apr -25'!S:S,B9)</f>
        <v>0</v>
      </c>
      <c r="F9" s="21">
        <f>SUMIFS('AGT TB Apr -25'!K:K,'AGT TB Apr -25'!S:S,B9)</f>
        <v>0</v>
      </c>
      <c r="G9" s="21">
        <f>SUMIFS('AGT TB Apr -25'!L:L,'AGT TB Apr -25'!S:S,B9)</f>
        <v>0</v>
      </c>
      <c r="H9" s="252">
        <f t="shared" si="1"/>
        <v>0</v>
      </c>
    </row>
    <row r="10" spans="1:8" ht="11.25" customHeight="1">
      <c r="B10" s="106" t="s">
        <v>50</v>
      </c>
      <c r="C10" s="21">
        <f>SUMIFS('AGT TB Apr -25'!H:H,'AGT TB Apr -25'!S:S,B10)</f>
        <v>0</v>
      </c>
      <c r="D10" s="21">
        <f>SUMIFS('AGT TB Apr -25'!I:I,'AGT TB Apr -25'!S:S,B10)</f>
        <v>0</v>
      </c>
      <c r="E10" s="21">
        <f>SUMIFS('AGT TB Apr -25'!J:J,'AGT TB Apr -25'!S:S,B10)</f>
        <v>0</v>
      </c>
      <c r="F10" s="21">
        <f>SUMIFS('AGT TB Apr -25'!K:K,'AGT TB Apr -25'!S:S,B10)</f>
        <v>0</v>
      </c>
      <c r="G10" s="21">
        <f>SUMIFS('AGT TB Apr -25'!L:L,'AGT TB Apr -25'!S:S,B10)</f>
        <v>0</v>
      </c>
      <c r="H10" s="252">
        <f t="shared" si="1"/>
        <v>0</v>
      </c>
    </row>
    <row r="11" spans="1:8" ht="11.25" hidden="1" customHeight="1" outlineLevel="1">
      <c r="A11" s="12" t="e">
        <f>#REF!+#REF!-#REF!</f>
        <v>#REF!</v>
      </c>
      <c r="B11" s="106" t="s">
        <v>49</v>
      </c>
      <c r="C11" s="21" t="e">
        <f>'AGT TB Apr -25'!#REF!</f>
        <v>#REF!</v>
      </c>
      <c r="D11" s="21" t="e">
        <f>'AGT TB Apr -25'!#REF!</f>
        <v>#REF!</v>
      </c>
      <c r="E11" s="21" t="e">
        <f>'AGT TB Apr -25'!#REF!</f>
        <v>#REF!</v>
      </c>
      <c r="F11" s="21" t="e">
        <f>'AGT TB Apr -25'!#REF!</f>
        <v>#REF!</v>
      </c>
      <c r="G11" s="21" t="e">
        <f>'AGT TB Apr -25'!#REF!</f>
        <v>#REF!</v>
      </c>
      <c r="H11" s="252" t="e">
        <f t="shared" si="1"/>
        <v>#REF!</v>
      </c>
    </row>
    <row r="12" spans="1:8" ht="11.25" hidden="1" customHeight="1" outlineLevel="1">
      <c r="B12" s="108" t="s">
        <v>92</v>
      </c>
      <c r="C12" s="21">
        <f>SUMIFS('AGT TB Apr -25'!H:H,'AGT TB Apr -25'!S:S,B12)</f>
        <v>0</v>
      </c>
      <c r="D12" s="21">
        <f>SUMIFS('AGT TB Apr -25'!I:I,'AGT TB Apr -25'!S:S,B12)</f>
        <v>0</v>
      </c>
      <c r="E12" s="21">
        <f>SUMIFS('AGT TB Apr -25'!J:J,'AGT TB Apr -25'!S:S,B12)</f>
        <v>0</v>
      </c>
      <c r="F12" s="21">
        <f>SUMIFS('AGT TB Apr -25'!K:K,'AGT TB Apr -25'!S:S,B12)</f>
        <v>0</v>
      </c>
      <c r="G12" s="21">
        <f>SUMIFS('AGT TB Apr -25'!L:L,'AGT TB Apr -25'!S:S,B12)</f>
        <v>0</v>
      </c>
      <c r="H12" s="252">
        <f t="shared" si="1"/>
        <v>0</v>
      </c>
    </row>
    <row r="13" spans="1:8" ht="11.25" hidden="1" customHeight="1" outlineLevel="1">
      <c r="A13" s="12" t="e">
        <f>#REF!</f>
        <v>#REF!</v>
      </c>
      <c r="B13" s="107"/>
      <c r="C13" s="69"/>
      <c r="D13" s="69"/>
      <c r="E13" s="69"/>
      <c r="F13" s="69"/>
      <c r="G13" s="69"/>
      <c r="H13" s="252">
        <f t="shared" si="1"/>
        <v>0</v>
      </c>
    </row>
    <row r="14" spans="1:8" s="3" customFormat="1" ht="11.25" hidden="1" customHeight="1" outlineLevel="1">
      <c r="B14" s="74" t="s">
        <v>47</v>
      </c>
      <c r="C14" s="21">
        <f>SUMIFS('AGT TB Apr -25'!H:H,'AGT TB Apr -25'!S:S,B14)</f>
        <v>0</v>
      </c>
      <c r="D14" s="21">
        <f>SUMIFS('AGT TB Apr -25'!I:I,'AGT TB Apr -25'!S:S,B14)</f>
        <v>0</v>
      </c>
      <c r="E14" s="21">
        <f>SUMIFS('AGT TB Apr -25'!J:J,'AGT TB Apr -25'!S:S,B14)</f>
        <v>0</v>
      </c>
      <c r="F14" s="21">
        <f>SUMIFS('AGT TB Apr -25'!K:K,'AGT TB Apr -25'!S:S,B14)</f>
        <v>0</v>
      </c>
      <c r="G14" s="21">
        <f>SUMIFS('AGT TB Apr -25'!L:L,'AGT TB Apr -25'!S:S,B14)</f>
        <v>0</v>
      </c>
      <c r="H14" s="252">
        <f t="shared" si="1"/>
        <v>0</v>
      </c>
    </row>
    <row r="15" spans="1:8" s="3" customFormat="1" ht="11.25" customHeight="1" collapsed="1">
      <c r="B15" s="108" t="s">
        <v>189</v>
      </c>
      <c r="C15" s="159">
        <f t="shared" ref="C15:D15" si="2">SUM(C16:C18)</f>
        <v>0</v>
      </c>
      <c r="D15" s="159">
        <f t="shared" si="2"/>
        <v>0</v>
      </c>
      <c r="E15" s="159">
        <f t="shared" ref="E15:F15" si="3">SUM(E16:E18)</f>
        <v>0</v>
      </c>
      <c r="F15" s="159">
        <f t="shared" si="3"/>
        <v>0</v>
      </c>
      <c r="G15" s="159">
        <f t="shared" ref="G15" si="4">SUM(G16:G18)</f>
        <v>0</v>
      </c>
      <c r="H15" s="252">
        <f t="shared" si="1"/>
        <v>0</v>
      </c>
    </row>
    <row r="16" spans="1:8" s="3" customFormat="1" ht="11.25" customHeight="1" outlineLevel="1">
      <c r="B16" s="75" t="s">
        <v>163</v>
      </c>
      <c r="C16" s="21">
        <f>-SUMIFS('AGT TB Apr -25'!H:H,'AGT TB Apr -25'!S:S,B16)</f>
        <v>0</v>
      </c>
      <c r="D16" s="21">
        <f>-SUMIFS('AGT TB Apr -25'!I:I,'AGT TB Apr -25'!S:S,B16)</f>
        <v>0</v>
      </c>
      <c r="E16" s="21">
        <f>-SUMIFS('AGT TB Apr -25'!J:J,'AGT TB Apr -25'!S:S,B16)</f>
        <v>0</v>
      </c>
      <c r="F16" s="21">
        <f>-SUMIFS('AGT TB Apr -25'!K:K,'AGT TB Apr -25'!S:S,B16)</f>
        <v>0</v>
      </c>
      <c r="G16" s="21">
        <f>-SUMIFS('AGT TB Apr -25'!L:L,'AGT TB Apr -25'!S:S,B16)</f>
        <v>0</v>
      </c>
      <c r="H16" s="252">
        <f t="shared" si="1"/>
        <v>0</v>
      </c>
    </row>
    <row r="17" spans="1:8" s="3" customFormat="1" ht="11.25" customHeight="1" outlineLevel="1">
      <c r="B17" s="75" t="s">
        <v>288</v>
      </c>
      <c r="C17" s="21">
        <f>-SUMIFS('AGT TB Apr -25'!H:H,'AGT TB Apr -25'!S:S,B17)</f>
        <v>0</v>
      </c>
      <c r="D17" s="21">
        <f>-SUMIFS('AGT TB Apr -25'!I:I,'AGT TB Apr -25'!S:S,B17)</f>
        <v>0</v>
      </c>
      <c r="E17" s="21">
        <f>-SUMIFS('AGT TB Apr -25'!J:J,'AGT TB Apr -25'!S:S,B17)</f>
        <v>0</v>
      </c>
      <c r="F17" s="21">
        <f>-SUMIFS('AGT TB Apr -25'!K:K,'AGT TB Apr -25'!S:S,B17)</f>
        <v>0</v>
      </c>
      <c r="G17" s="21">
        <f>-SUMIFS('AGT TB Apr -25'!L:L,'AGT TB Apr -25'!S:S,B17)</f>
        <v>0</v>
      </c>
      <c r="H17" s="252">
        <f t="shared" si="1"/>
        <v>0</v>
      </c>
    </row>
    <row r="18" spans="1:8" s="3" customFormat="1" ht="11.25" customHeight="1" outlineLevel="1">
      <c r="A18" s="34" t="e">
        <f>#REF!+#REF!-#REF!</f>
        <v>#REF!</v>
      </c>
      <c r="B18" s="75" t="s">
        <v>313</v>
      </c>
      <c r="C18" s="21">
        <f>-SUMIFS('AGT TB Apr -25'!H:H,'AGT TB Apr -25'!S:S,B18)</f>
        <v>0</v>
      </c>
      <c r="D18" s="21">
        <f>-SUMIFS('AGT TB Apr -25'!I:I,'AGT TB Apr -25'!S:S,B18)</f>
        <v>0</v>
      </c>
      <c r="E18" s="21">
        <f>-SUMIFS('AGT TB Apr -25'!J:J,'AGT TB Apr -25'!S:S,B18)</f>
        <v>0</v>
      </c>
      <c r="F18" s="21">
        <f>-SUMIFS('AGT TB Apr -25'!K:K,'AGT TB Apr -25'!S:S,B18)</f>
        <v>0</v>
      </c>
      <c r="G18" s="21">
        <f>-SUMIFS('AGT TB Apr -25'!L:L,'AGT TB Apr -25'!S:S,B18)</f>
        <v>0</v>
      </c>
      <c r="H18" s="252">
        <f t="shared" si="1"/>
        <v>0</v>
      </c>
    </row>
    <row r="19" spans="1:8" s="3" customFormat="1" ht="11.25" customHeight="1">
      <c r="B19" s="108" t="s">
        <v>93</v>
      </c>
      <c r="C19" s="23">
        <f t="shared" ref="C19" si="5">SUM(C20:C40)</f>
        <v>0</v>
      </c>
      <c r="D19" s="23">
        <f t="shared" ref="D19:E19" si="6">SUM(D20:D40)</f>
        <v>0</v>
      </c>
      <c r="E19" s="23">
        <f t="shared" si="6"/>
        <v>0</v>
      </c>
      <c r="F19" s="23">
        <f t="shared" ref="F19:G19" si="7">SUM(F20:F40)</f>
        <v>0</v>
      </c>
      <c r="G19" s="23">
        <f t="shared" si="7"/>
        <v>0</v>
      </c>
      <c r="H19" s="252">
        <f t="shared" si="1"/>
        <v>0</v>
      </c>
    </row>
    <row r="20" spans="1:8" ht="11.25" customHeight="1" outlineLevel="1">
      <c r="B20" s="76" t="s">
        <v>94</v>
      </c>
      <c r="C20" s="21">
        <f>-SUMIFS('AGT TB Apr -25'!H:H,'AGT TB Apr -25'!S:S,B20)</f>
        <v>0</v>
      </c>
      <c r="D20" s="21">
        <f>-SUMIFS('AGT TB Apr -25'!I:I,'AGT TB Apr -25'!S:S,B20)</f>
        <v>0</v>
      </c>
      <c r="E20" s="21">
        <f>-SUMIFS('AGT TB Apr -25'!J:J,'AGT TB Apr -25'!S:S,B20)</f>
        <v>0</v>
      </c>
      <c r="F20" s="21">
        <f>-SUMIFS('AGT TB Apr -25'!K:K,'AGT TB Apr -25'!S:S,B20)</f>
        <v>0</v>
      </c>
      <c r="G20" s="21">
        <f>-SUMIFS('AGT TB Apr -25'!L:L,'AGT TB Apr -25'!S:S,B20)</f>
        <v>0</v>
      </c>
      <c r="H20" s="252">
        <f t="shared" si="1"/>
        <v>0</v>
      </c>
    </row>
    <row r="21" spans="1:8" ht="11.25" customHeight="1" outlineLevel="1">
      <c r="B21" s="76" t="s">
        <v>688</v>
      </c>
      <c r="C21" s="21"/>
      <c r="D21" s="21"/>
      <c r="E21" s="21"/>
      <c r="F21" s="21"/>
      <c r="G21" s="21"/>
      <c r="H21" s="252">
        <f t="shared" si="1"/>
        <v>0</v>
      </c>
    </row>
    <row r="22" spans="1:8" ht="11.25" customHeight="1" outlineLevel="1">
      <c r="B22" s="76" t="s">
        <v>138</v>
      </c>
      <c r="C22" s="21">
        <f>SUMIFS('AGT TB Apr -25'!H:H,'AGT TB Apr -25'!S:S,B22)</f>
        <v>0</v>
      </c>
      <c r="D22" s="21">
        <f>SUMIFS('AGT TB Apr -25'!I:I,'AGT TB Apr -25'!S:S,B22)</f>
        <v>0</v>
      </c>
      <c r="E22" s="21">
        <f>SUMIFS('AGT TB Apr -25'!J:J,'AGT TB Apr -25'!S:S,B22)</f>
        <v>0</v>
      </c>
      <c r="F22" s="21">
        <f>SUMIFS('AGT TB Apr -25'!K:K,'AGT TB Apr -25'!S:S,B22)</f>
        <v>0</v>
      </c>
      <c r="G22" s="21">
        <f>SUMIFS('AGT TB Apr -25'!L:L,'AGT TB Apr -25'!S:S,B22)</f>
        <v>0</v>
      </c>
      <c r="H22" s="252">
        <f t="shared" si="1"/>
        <v>0</v>
      </c>
    </row>
    <row r="23" spans="1:8" ht="11.25" customHeight="1" outlineLevel="1">
      <c r="B23" s="76" t="s">
        <v>102</v>
      </c>
      <c r="C23" s="21">
        <f>SUMIFS('AGT TB Apr -25'!H:H,'AGT TB Apr -25'!S:S,B23)</f>
        <v>0</v>
      </c>
      <c r="D23" s="21">
        <f>SUMIFS('AGT TB Apr -25'!I:I,'AGT TB Apr -25'!S:S,B23)</f>
        <v>0</v>
      </c>
      <c r="E23" s="21">
        <f>SUMIFS('AGT TB Apr -25'!J:J,'AGT TB Apr -25'!S:S,B23)</f>
        <v>0</v>
      </c>
      <c r="F23" s="21">
        <f>SUMIFS('AGT TB Apr -25'!K:K,'AGT TB Apr -25'!S:S,B23)</f>
        <v>0</v>
      </c>
      <c r="G23" s="21">
        <f>SUMIFS('AGT TB Apr -25'!L:L,'AGT TB Apr -25'!S:S,B23)</f>
        <v>0</v>
      </c>
      <c r="H23" s="252">
        <f t="shared" si="1"/>
        <v>0</v>
      </c>
    </row>
    <row r="24" spans="1:8" ht="11.25" customHeight="1" outlineLevel="1">
      <c r="B24" s="76" t="s">
        <v>1759</v>
      </c>
      <c r="C24" s="21">
        <f>SUMIFS('AGT TB Apr -25'!H:H,'AGT TB Apr -25'!S:S,B24)</f>
        <v>0</v>
      </c>
      <c r="D24" s="21">
        <f>SUMIFS('AGT TB Apr -25'!I:I,'AGT TB Apr -25'!S:S,B24)</f>
        <v>0</v>
      </c>
      <c r="E24" s="21">
        <f>SUMIFS('AGT TB Apr -25'!J:J,'AGT TB Apr -25'!S:S,B24)</f>
        <v>0</v>
      </c>
      <c r="F24" s="21">
        <f>SUMIFS('AGT TB Apr -25'!K:K,'AGT TB Apr -25'!S:S,B24)</f>
        <v>0</v>
      </c>
      <c r="G24" s="21">
        <f>SUMIFS('AGT TB Apr -25'!L:L,'AGT TB Apr -25'!S:S,B24)</f>
        <v>0</v>
      </c>
      <c r="H24" s="252">
        <f t="shared" si="1"/>
        <v>0</v>
      </c>
    </row>
    <row r="25" spans="1:8" ht="11.25" customHeight="1" outlineLevel="1">
      <c r="B25" s="76" t="s">
        <v>686</v>
      </c>
      <c r="C25" s="21">
        <f>SUMIFS('AGT TB Apr -25'!H:H,'AGT TB Apr -25'!S:S,B25)</f>
        <v>0</v>
      </c>
      <c r="D25" s="21">
        <f>SUMIFS('AGT TB Apr -25'!I:I,'AGT TB Apr -25'!S:S,B25)</f>
        <v>0</v>
      </c>
      <c r="E25" s="21">
        <f>SUMIFS('AGT TB Apr -25'!J:J,'AGT TB Apr -25'!S:S,B25)</f>
        <v>0</v>
      </c>
      <c r="F25" s="21">
        <f>SUMIFS('AGT TB Apr -25'!K:K,'AGT TB Apr -25'!S:S,B25)</f>
        <v>0</v>
      </c>
      <c r="G25" s="21">
        <f>SUMIFS('AGT TB Apr -25'!L:L,'AGT TB Apr -25'!S:S,B25)</f>
        <v>0</v>
      </c>
      <c r="H25" s="252">
        <f t="shared" si="1"/>
        <v>0</v>
      </c>
    </row>
    <row r="26" spans="1:8" ht="11.25" customHeight="1" outlineLevel="1">
      <c r="B26" s="76" t="s">
        <v>1495</v>
      </c>
      <c r="C26" s="21">
        <f>SUMIFS('AGT TB Apr -25'!H:H,'AGT TB Apr -25'!S:S,B26)</f>
        <v>0</v>
      </c>
      <c r="D26" s="21">
        <f>SUMIFS('AGT TB Apr -25'!I:I,'AGT TB Apr -25'!S:S,B26)</f>
        <v>0</v>
      </c>
      <c r="E26" s="21">
        <f>SUMIFS('AGT TB Apr -25'!J:J,'AGT TB Apr -25'!S:S,B26)</f>
        <v>0</v>
      </c>
      <c r="F26" s="21">
        <f>SUMIFS('AGT TB Apr -25'!K:K,'AGT TB Apr -25'!S:S,B26)</f>
        <v>0</v>
      </c>
      <c r="G26" s="21">
        <f>SUMIFS('AGT TB Apr -25'!L:L,'AGT TB Apr -25'!S:S,B26)</f>
        <v>0</v>
      </c>
      <c r="H26" s="252">
        <f t="shared" si="1"/>
        <v>0</v>
      </c>
    </row>
    <row r="27" spans="1:8" ht="11.25" customHeight="1" outlineLevel="1">
      <c r="B27" s="76" t="s">
        <v>183</v>
      </c>
      <c r="C27" s="21">
        <f>SUMIFS('AGT TB Apr -25'!H:H,'AGT TB Apr -25'!S:S,B27)</f>
        <v>0</v>
      </c>
      <c r="D27" s="21">
        <f>SUMIFS('AGT TB Apr -25'!I:I,'AGT TB Apr -25'!S:S,B27)</f>
        <v>0</v>
      </c>
      <c r="E27" s="21">
        <f>SUMIFS('AGT TB Apr -25'!J:J,'AGT TB Apr -25'!S:S,B27)</f>
        <v>0</v>
      </c>
      <c r="F27" s="21">
        <f>SUMIFS('AGT TB Apr -25'!K:K,'AGT TB Apr -25'!S:S,B27)</f>
        <v>0</v>
      </c>
      <c r="G27" s="21">
        <f>SUMIFS('AGT TB Apr -25'!L:L,'AGT TB Apr -25'!S:S,B27)</f>
        <v>0</v>
      </c>
      <c r="H27" s="252">
        <f t="shared" si="1"/>
        <v>0</v>
      </c>
    </row>
    <row r="28" spans="1:8" ht="11.25" customHeight="1" outlineLevel="1">
      <c r="B28" s="76" t="s">
        <v>600</v>
      </c>
      <c r="C28" s="21">
        <f>SUMIFS('AGT TB Apr -25'!H:H,'AGT TB Apr -25'!S:S,B28)</f>
        <v>0</v>
      </c>
      <c r="D28" s="21">
        <f>SUMIFS('AGT TB Apr -25'!I:I,'AGT TB Apr -25'!S:S,B28)</f>
        <v>0</v>
      </c>
      <c r="E28" s="21">
        <f>SUMIFS('AGT TB Apr -25'!J:J,'AGT TB Apr -25'!S:S,B28)</f>
        <v>0</v>
      </c>
      <c r="F28" s="21">
        <f>SUMIFS('AGT TB Apr -25'!K:K,'AGT TB Apr -25'!S:S,B28)</f>
        <v>0</v>
      </c>
      <c r="G28" s="21">
        <f>SUMIFS('AGT TB Apr -25'!L:L,'AGT TB Apr -25'!S:S,B28)</f>
        <v>0</v>
      </c>
      <c r="H28" s="252">
        <f t="shared" si="1"/>
        <v>0</v>
      </c>
    </row>
    <row r="29" spans="1:8" ht="11.25" customHeight="1" outlineLevel="1">
      <c r="B29" s="76" t="s">
        <v>139</v>
      </c>
      <c r="C29" s="21">
        <f>SUMIFS('AGT TB Apr -25'!H:H,'AGT TB Apr -25'!S:S,B29)</f>
        <v>0</v>
      </c>
      <c r="D29" s="21">
        <f>SUMIFS('AGT TB Apr -25'!I:I,'AGT TB Apr -25'!S:S,B29)</f>
        <v>0</v>
      </c>
      <c r="E29" s="21">
        <f>SUMIFS('AGT TB Apr -25'!J:J,'AGT TB Apr -25'!S:S,B29)</f>
        <v>0</v>
      </c>
      <c r="F29" s="21">
        <f>SUMIFS('AGT TB Apr -25'!K:K,'AGT TB Apr -25'!S:S,B29)</f>
        <v>0</v>
      </c>
      <c r="G29" s="21">
        <f>SUMIFS('AGT TB Apr -25'!L:L,'AGT TB Apr -25'!S:S,B29)</f>
        <v>0</v>
      </c>
      <c r="H29" s="252">
        <f t="shared" si="1"/>
        <v>0</v>
      </c>
    </row>
    <row r="30" spans="1:8" ht="11.25" customHeight="1" outlineLevel="1">
      <c r="B30" s="76" t="s">
        <v>129</v>
      </c>
      <c r="C30" s="21">
        <f>SUMIFS('AGT TB Apr -25'!H:H,'AGT TB Apr -25'!S:S,B30)</f>
        <v>0</v>
      </c>
      <c r="D30" s="21">
        <f>SUMIFS('AGT TB Apr -25'!I:I,'AGT TB Apr -25'!S:S,B30)</f>
        <v>0</v>
      </c>
      <c r="E30" s="21">
        <f>SUMIFS('AGT TB Apr -25'!J:J,'AGT TB Apr -25'!S:S,B30)</f>
        <v>0</v>
      </c>
      <c r="F30" s="21">
        <f>SUMIFS('AGT TB Apr -25'!K:K,'AGT TB Apr -25'!S:S,B30)</f>
        <v>0</v>
      </c>
      <c r="G30" s="21">
        <f>SUMIFS('AGT TB Apr -25'!L:L,'AGT TB Apr -25'!S:S,B30)</f>
        <v>0</v>
      </c>
      <c r="H30" s="252">
        <f t="shared" si="1"/>
        <v>0</v>
      </c>
    </row>
    <row r="31" spans="1:8" ht="11.25" customHeight="1" outlineLevel="1">
      <c r="B31" s="76" t="s">
        <v>1496</v>
      </c>
      <c r="C31" s="21">
        <f>SUMIFS('AGT TB Apr -25'!H:H,'AGT TB Apr -25'!S:S,B31)</f>
        <v>0</v>
      </c>
      <c r="D31" s="21">
        <f>SUMIFS('AGT TB Apr -25'!I:I,'AGT TB Apr -25'!S:S,B31)</f>
        <v>0</v>
      </c>
      <c r="E31" s="21">
        <f>SUMIFS('AGT TB Apr -25'!J:J,'AGT TB Apr -25'!S:S,B31)</f>
        <v>0</v>
      </c>
      <c r="F31" s="21">
        <f>SUMIFS('AGT TB Apr -25'!K:K,'AGT TB Apr -25'!S:S,B31)</f>
        <v>0</v>
      </c>
      <c r="G31" s="21">
        <f>SUMIFS('AGT TB Apr -25'!L:L,'AGT TB Apr -25'!S:S,B31)</f>
        <v>0</v>
      </c>
      <c r="H31" s="252">
        <f t="shared" si="1"/>
        <v>0</v>
      </c>
    </row>
    <row r="32" spans="1:8" ht="11.25" customHeight="1" outlineLevel="1">
      <c r="B32" s="128" t="s">
        <v>647</v>
      </c>
      <c r="C32" s="21">
        <f>SUMIFS('AGT TB Apr -25'!H:H,'AGT TB Apr -25'!S:S,B32)</f>
        <v>0</v>
      </c>
      <c r="D32" s="21">
        <f>SUMIFS('AGT TB Apr -25'!I:I,'AGT TB Apr -25'!S:S,B32)</f>
        <v>0</v>
      </c>
      <c r="E32" s="21">
        <f>SUMIFS('AGT TB Apr -25'!J:J,'AGT TB Apr -25'!S:S,B32)</f>
        <v>0</v>
      </c>
      <c r="F32" s="21">
        <f>SUMIFS('AGT TB Apr -25'!K:K,'AGT TB Apr -25'!S:S,B32)</f>
        <v>0</v>
      </c>
      <c r="G32" s="21">
        <f>SUMIFS('AGT TB Apr -25'!L:L,'AGT TB Apr -25'!S:S,B32)</f>
        <v>0</v>
      </c>
      <c r="H32" s="252">
        <f t="shared" si="1"/>
        <v>0</v>
      </c>
    </row>
    <row r="33" spans="2:8" ht="11.25" customHeight="1" outlineLevel="1">
      <c r="B33" s="76" t="s">
        <v>242</v>
      </c>
      <c r="C33" s="21">
        <f>SUMIFS('AGT TB Apr -25'!H:H,'AGT TB Apr -25'!S:S,B33)</f>
        <v>0</v>
      </c>
      <c r="D33" s="21">
        <f>SUMIFS('AGT TB Apr -25'!I:I,'AGT TB Apr -25'!S:S,B33)</f>
        <v>0</v>
      </c>
      <c r="E33" s="21">
        <f>SUMIFS('AGT TB Apr -25'!J:J,'AGT TB Apr -25'!S:S,B33)</f>
        <v>0</v>
      </c>
      <c r="F33" s="21">
        <f>SUMIFS('AGT TB Apr -25'!K:K,'AGT TB Apr -25'!S:S,B33)</f>
        <v>0</v>
      </c>
      <c r="G33" s="21">
        <f>SUMIFS('AGT TB Apr -25'!L:L,'AGT TB Apr -25'!S:S,B33)</f>
        <v>0</v>
      </c>
      <c r="H33" s="252">
        <f t="shared" si="1"/>
        <v>0</v>
      </c>
    </row>
    <row r="34" spans="2:8" ht="11.25" customHeight="1" outlineLevel="1">
      <c r="B34" s="129" t="s">
        <v>184</v>
      </c>
      <c r="C34" s="21">
        <f>SUMIFS('AGT TB Apr -25'!H:H,'AGT TB Apr -25'!S:S,B34)</f>
        <v>0</v>
      </c>
      <c r="D34" s="21">
        <f>SUMIFS('AGT TB Apr -25'!I:I,'AGT TB Apr -25'!S:S,B34)</f>
        <v>0</v>
      </c>
      <c r="E34" s="21">
        <f>SUMIFS('AGT TB Apr -25'!J:J,'AGT TB Apr -25'!S:S,B34)</f>
        <v>0</v>
      </c>
      <c r="F34" s="21">
        <f>SUMIFS('AGT TB Apr -25'!K:K,'AGT TB Apr -25'!S:S,B34)</f>
        <v>0</v>
      </c>
      <c r="G34" s="21">
        <f>SUMIFS('AGT TB Apr -25'!L:L,'AGT TB Apr -25'!S:S,B34)</f>
        <v>0</v>
      </c>
      <c r="H34" s="252">
        <f t="shared" si="1"/>
        <v>0</v>
      </c>
    </row>
    <row r="35" spans="2:8" ht="11.25" customHeight="1" outlineLevel="1">
      <c r="B35" s="129" t="s">
        <v>214</v>
      </c>
      <c r="C35" s="21">
        <f>SUMIFS('AGT TB Apr -25'!H:H,'AGT TB Apr -25'!S:S,B35)</f>
        <v>0</v>
      </c>
      <c r="D35" s="21">
        <f>SUMIFS('AGT TB Apr -25'!I:I,'AGT TB Apr -25'!S:S,B35)</f>
        <v>0</v>
      </c>
      <c r="E35" s="21">
        <f>SUMIFS('AGT TB Apr -25'!J:J,'AGT TB Apr -25'!S:S,B35)</f>
        <v>0</v>
      </c>
      <c r="F35" s="21">
        <f>SUMIFS('AGT TB Apr -25'!K:K,'AGT TB Apr -25'!S:S,B35)</f>
        <v>0</v>
      </c>
      <c r="G35" s="21">
        <f>SUMIFS('AGT TB Apr -25'!L:L,'AGT TB Apr -25'!S:S,B35)</f>
        <v>0</v>
      </c>
      <c r="H35" s="252">
        <f t="shared" si="1"/>
        <v>0</v>
      </c>
    </row>
    <row r="36" spans="2:8" ht="11.25" customHeight="1" outlineLevel="1">
      <c r="B36" s="129" t="s">
        <v>606</v>
      </c>
      <c r="C36" s="21">
        <f>SUMIFS('AGT TB Apr -25'!H:H,'AGT TB Apr -25'!S:S,B36)</f>
        <v>0</v>
      </c>
      <c r="D36" s="21">
        <f>SUMIFS('AGT TB Apr -25'!I:I,'AGT TB Apr -25'!S:S,B36)</f>
        <v>0</v>
      </c>
      <c r="E36" s="21">
        <f>SUMIFS('AGT TB Apr -25'!J:J,'AGT TB Apr -25'!S:S,B36)</f>
        <v>0</v>
      </c>
      <c r="F36" s="21">
        <f>SUMIFS('AGT TB Apr -25'!K:K,'AGT TB Apr -25'!S:S,B36)</f>
        <v>0</v>
      </c>
      <c r="G36" s="21">
        <f>SUMIFS('AGT TB Apr -25'!L:L,'AGT TB Apr -25'!S:S,B36)</f>
        <v>0</v>
      </c>
      <c r="H36" s="252">
        <f t="shared" si="1"/>
        <v>0</v>
      </c>
    </row>
    <row r="37" spans="2:8" ht="11.25" customHeight="1" outlineLevel="1">
      <c r="B37" s="129" t="s">
        <v>179</v>
      </c>
      <c r="C37" s="21">
        <f>SUMIFS('AGT TB Apr -25'!H:H,'AGT TB Apr -25'!S:S,B37)</f>
        <v>0</v>
      </c>
      <c r="D37" s="21">
        <f>SUMIFS('AGT TB Apr -25'!I:I,'AGT TB Apr -25'!S:S,B37)</f>
        <v>0</v>
      </c>
      <c r="E37" s="21">
        <f>SUMIFS('AGT TB Apr -25'!J:J,'AGT TB Apr -25'!S:S,B37)</f>
        <v>0</v>
      </c>
      <c r="F37" s="21">
        <f>SUMIFS('AGT TB Apr -25'!K:K,'AGT TB Apr -25'!S:S,B37)</f>
        <v>0</v>
      </c>
      <c r="G37" s="21">
        <f>SUMIFS('AGT TB Apr -25'!L:L,'AGT TB Apr -25'!S:S,B37)</f>
        <v>0</v>
      </c>
      <c r="H37" s="252">
        <f t="shared" si="1"/>
        <v>0</v>
      </c>
    </row>
    <row r="38" spans="2:8" ht="11.25" customHeight="1" outlineLevel="1">
      <c r="B38" s="129" t="s">
        <v>685</v>
      </c>
      <c r="C38" s="21">
        <f>SUMIFS('AGT TB Apr -25'!H:H,'AGT TB Apr -25'!S:S,B38)</f>
        <v>0</v>
      </c>
      <c r="D38" s="21">
        <f>SUMIFS('AGT TB Apr -25'!I:I,'AGT TB Apr -25'!S:S,B38)</f>
        <v>0</v>
      </c>
      <c r="E38" s="21">
        <f>SUMIFS('AGT TB Apr -25'!J:J,'AGT TB Apr -25'!S:S,B38)</f>
        <v>0</v>
      </c>
      <c r="F38" s="21">
        <f>SUMIFS('AGT TB Apr -25'!K:K,'AGT TB Apr -25'!S:S,B38)</f>
        <v>0</v>
      </c>
      <c r="G38" s="21">
        <f>SUMIFS('AGT TB Apr -25'!L:L,'AGT TB Apr -25'!S:S,B38)</f>
        <v>0</v>
      </c>
      <c r="H38" s="252">
        <f t="shared" ref="H38:H69" si="8">SUM(C38:G38)</f>
        <v>0</v>
      </c>
    </row>
    <row r="39" spans="2:8" ht="11.25" customHeight="1" outlineLevel="1">
      <c r="B39" s="129" t="s">
        <v>1282</v>
      </c>
      <c r="C39" s="21">
        <f>SUMIFS('AGT TB Apr -25'!H:H,'AGT TB Apr -25'!S:S,B39)</f>
        <v>0</v>
      </c>
      <c r="D39" s="21">
        <f>SUMIFS('AGT TB Apr -25'!I:I,'AGT TB Apr -25'!S:S,B39)</f>
        <v>0</v>
      </c>
      <c r="E39" s="21">
        <f>SUMIFS('AGT TB Apr -25'!J:J,'AGT TB Apr -25'!S:S,B39)</f>
        <v>0</v>
      </c>
      <c r="F39" s="21">
        <f>SUMIFS('AGT TB Apr -25'!K:K,'AGT TB Apr -25'!S:S,B39)</f>
        <v>0</v>
      </c>
      <c r="G39" s="21">
        <f>SUMIFS('AGT TB Apr -25'!L:L,'AGT TB Apr -25'!S:S,B39)</f>
        <v>0</v>
      </c>
      <c r="H39" s="252">
        <f t="shared" si="8"/>
        <v>0</v>
      </c>
    </row>
    <row r="40" spans="2:8" ht="11.25" customHeight="1" outlineLevel="1">
      <c r="B40" s="129" t="s">
        <v>693</v>
      </c>
      <c r="C40" s="21">
        <f>SUMIFS('AGT TB Apr -25'!H:H,'AGT TB Apr -25'!S:S,B40)</f>
        <v>0</v>
      </c>
      <c r="D40" s="21">
        <f>SUMIFS('AGT TB Apr -25'!I:I,'AGT TB Apr -25'!S:S,B40)</f>
        <v>0</v>
      </c>
      <c r="E40" s="21">
        <f>SUMIFS('AGT TB Apr -25'!J:J,'AGT TB Apr -25'!S:S,B40)</f>
        <v>0</v>
      </c>
      <c r="F40" s="21">
        <f>SUMIFS('AGT TB Apr -25'!K:K,'AGT TB Apr -25'!S:S,B40)</f>
        <v>0</v>
      </c>
      <c r="G40" s="21">
        <f>SUMIFS('AGT TB Apr -25'!L:L,'AGT TB Apr -25'!S:S,B40)</f>
        <v>0</v>
      </c>
      <c r="H40" s="252">
        <f t="shared" si="8"/>
        <v>0</v>
      </c>
    </row>
    <row r="41" spans="2:8" s="3" customFormat="1" ht="11.25" customHeight="1">
      <c r="B41" s="106" t="s">
        <v>109</v>
      </c>
      <c r="C41" s="22">
        <f t="shared" ref="C41:G41" si="9">C6-C10-C19+C15+C9</f>
        <v>0</v>
      </c>
      <c r="D41" s="22">
        <f t="shared" si="9"/>
        <v>0</v>
      </c>
      <c r="E41" s="22">
        <f t="shared" si="9"/>
        <v>0</v>
      </c>
      <c r="F41" s="22">
        <f t="shared" si="9"/>
        <v>0</v>
      </c>
      <c r="G41" s="22">
        <f t="shared" si="9"/>
        <v>0</v>
      </c>
      <c r="H41" s="252">
        <f t="shared" si="8"/>
        <v>0</v>
      </c>
    </row>
    <row r="42" spans="2:8" s="3" customFormat="1" ht="11.25" customHeight="1">
      <c r="B42" s="106" t="s">
        <v>158</v>
      </c>
      <c r="C42" s="32" t="e">
        <f t="shared" ref="C42" si="10">C41/C6%</f>
        <v>#DIV/0!</v>
      </c>
      <c r="D42" s="32" t="e">
        <f t="shared" ref="D42:E42" si="11">D41/D6%</f>
        <v>#DIV/0!</v>
      </c>
      <c r="E42" s="32" t="e">
        <f t="shared" si="11"/>
        <v>#DIV/0!</v>
      </c>
      <c r="F42" s="32" t="e">
        <f t="shared" ref="F42:G42" si="12">F41/F6%</f>
        <v>#DIV/0!</v>
      </c>
      <c r="G42" s="32" t="e">
        <f t="shared" si="12"/>
        <v>#DIV/0!</v>
      </c>
      <c r="H42" s="252" t="e">
        <f t="shared" si="8"/>
        <v>#DIV/0!</v>
      </c>
    </row>
    <row r="43" spans="2:8" s="3" customFormat="1" ht="11.25" customHeight="1">
      <c r="B43" s="106" t="s">
        <v>568</v>
      </c>
      <c r="C43" s="22"/>
      <c r="D43" s="22"/>
      <c r="E43" s="22"/>
      <c r="F43" s="22"/>
      <c r="G43" s="22"/>
      <c r="H43" s="22">
        <f t="shared" si="8"/>
        <v>0</v>
      </c>
    </row>
    <row r="44" spans="2:8" s="3" customFormat="1" ht="11.25" customHeight="1">
      <c r="B44" s="106" t="s">
        <v>569</v>
      </c>
      <c r="C44" s="22">
        <f t="shared" ref="C44:G44" si="13">C41+C43</f>
        <v>0</v>
      </c>
      <c r="D44" s="22">
        <f t="shared" si="13"/>
        <v>0</v>
      </c>
      <c r="E44" s="22">
        <f t="shared" si="13"/>
        <v>0</v>
      </c>
      <c r="F44" s="22">
        <f t="shared" si="13"/>
        <v>0</v>
      </c>
      <c r="G44" s="22">
        <f t="shared" si="13"/>
        <v>0</v>
      </c>
      <c r="H44" s="252">
        <f t="shared" si="8"/>
        <v>0</v>
      </c>
    </row>
    <row r="45" spans="2:8" s="3" customFormat="1" ht="11.25" customHeight="1">
      <c r="B45" s="106" t="s">
        <v>570</v>
      </c>
      <c r="C45" s="32" t="e">
        <f t="shared" ref="C45" si="14">C44/C6%</f>
        <v>#DIV/0!</v>
      </c>
      <c r="D45" s="32" t="e">
        <f t="shared" ref="D45:E45" si="15">D44/D6%</f>
        <v>#DIV/0!</v>
      </c>
      <c r="E45" s="32" t="e">
        <f t="shared" si="15"/>
        <v>#DIV/0!</v>
      </c>
      <c r="F45" s="32" t="e">
        <f t="shared" ref="F45:G45" si="16">F44/F6%</f>
        <v>#DIV/0!</v>
      </c>
      <c r="G45" s="32" t="e">
        <f t="shared" si="16"/>
        <v>#DIV/0!</v>
      </c>
      <c r="H45" s="252" t="e">
        <f t="shared" si="8"/>
        <v>#DIV/0!</v>
      </c>
    </row>
    <row r="46" spans="2:8" s="3" customFormat="1" ht="11.25" customHeight="1">
      <c r="B46" s="106" t="s">
        <v>312</v>
      </c>
      <c r="C46" s="22">
        <f t="shared" ref="C46:D46" si="17">SUM(C47:C49)</f>
        <v>0</v>
      </c>
      <c r="D46" s="22">
        <f t="shared" si="17"/>
        <v>0</v>
      </c>
      <c r="E46" s="22">
        <f t="shared" ref="E46:F46" si="18">SUM(E47:E49)</f>
        <v>0</v>
      </c>
      <c r="F46" s="22">
        <f t="shared" si="18"/>
        <v>0</v>
      </c>
      <c r="G46" s="22">
        <f t="shared" ref="G46" si="19">SUM(G47:G49)</f>
        <v>0</v>
      </c>
      <c r="H46" s="252">
        <f t="shared" si="8"/>
        <v>0</v>
      </c>
    </row>
    <row r="47" spans="2:8" s="3" customFormat="1" ht="11.25" customHeight="1" outlineLevel="1">
      <c r="B47" s="75" t="s">
        <v>121</v>
      </c>
      <c r="C47" s="21">
        <f>-SUMIFS('AGT TB Apr -25'!H:H,'AGT TB Apr -25'!S:S,B47)</f>
        <v>0</v>
      </c>
      <c r="D47" s="21">
        <f>-SUMIFS('AGT TB Apr -25'!I:I,'AGT TB Apr -25'!S:S,B47)</f>
        <v>0</v>
      </c>
      <c r="E47" s="21">
        <f>-SUMIFS('AGT TB Apr -25'!J:J,'AGT TB Apr -25'!S:S,B47)</f>
        <v>0</v>
      </c>
      <c r="F47" s="21">
        <f>-SUMIFS('AGT TB Apr -25'!K:K,'AGT TB Apr -25'!S:S,B47)</f>
        <v>0</v>
      </c>
      <c r="G47" s="21">
        <f>-SUMIFS('AGT TB Apr -25'!L:L,'AGT TB Apr -25'!S:S,B47)</f>
        <v>0</v>
      </c>
      <c r="H47" s="252">
        <f t="shared" si="8"/>
        <v>0</v>
      </c>
    </row>
    <row r="48" spans="2:8" s="3" customFormat="1" ht="11.25" customHeight="1" outlineLevel="1">
      <c r="B48" s="75" t="s">
        <v>599</v>
      </c>
      <c r="C48" s="21">
        <f>-SUMIFS('AGT TB Apr -25'!H:H,'AGT TB Apr -25'!S:S,B48)</f>
        <v>0</v>
      </c>
      <c r="D48" s="21">
        <f>-SUMIFS('AGT TB Apr -25'!I:I,'AGT TB Apr -25'!S:S,B48)</f>
        <v>0</v>
      </c>
      <c r="E48" s="21">
        <f>-SUMIFS('AGT TB Apr -25'!J:J,'AGT TB Apr -25'!S:S,B48)</f>
        <v>0</v>
      </c>
      <c r="F48" s="21">
        <f>-SUMIFS('AGT TB Apr -25'!K:K,'AGT TB Apr -25'!S:S,B48)</f>
        <v>0</v>
      </c>
      <c r="G48" s="21">
        <f>-SUMIFS('AGT TB Apr -25'!L:L,'AGT TB Apr -25'!S:S,B48)</f>
        <v>0</v>
      </c>
      <c r="H48" s="252">
        <f t="shared" si="8"/>
        <v>0</v>
      </c>
    </row>
    <row r="49" spans="1:8" s="3" customFormat="1" ht="11.25" customHeight="1" outlineLevel="1">
      <c r="B49" s="75" t="s">
        <v>216</v>
      </c>
      <c r="C49" s="21">
        <f>-SUMIFS('AGT TB Apr -25'!H:H,'AGT TB Apr -25'!S:S,B49)</f>
        <v>0</v>
      </c>
      <c r="D49" s="21">
        <f>-SUMIFS('AGT TB Apr -25'!I:I,'AGT TB Apr -25'!S:S,B49)</f>
        <v>0</v>
      </c>
      <c r="E49" s="21">
        <f>-SUMIFS('AGT TB Apr -25'!J:J,'AGT TB Apr -25'!S:S,B49)</f>
        <v>0</v>
      </c>
      <c r="F49" s="21">
        <f>-SUMIFS('AGT TB Apr -25'!K:K,'AGT TB Apr -25'!S:S,B49)</f>
        <v>0</v>
      </c>
      <c r="G49" s="21">
        <f>-SUMIFS('AGT TB Apr -25'!L:L,'AGT TB Apr -25'!S:S,B49)</f>
        <v>0</v>
      </c>
      <c r="H49" s="252">
        <f t="shared" si="8"/>
        <v>0</v>
      </c>
    </row>
    <row r="50" spans="1:8" s="3" customFormat="1" ht="11.25" customHeight="1">
      <c r="B50" s="106" t="s">
        <v>2</v>
      </c>
      <c r="C50" s="159">
        <f t="shared" ref="C50" si="20">SUM(C51:C59)</f>
        <v>0</v>
      </c>
      <c r="D50" s="159">
        <f t="shared" ref="D50:E50" si="21">SUM(D51:D59)</f>
        <v>0</v>
      </c>
      <c r="E50" s="159">
        <f t="shared" si="21"/>
        <v>0</v>
      </c>
      <c r="F50" s="159">
        <f t="shared" ref="F50:G50" si="22">SUM(F51:F59)</f>
        <v>0</v>
      </c>
      <c r="G50" s="159">
        <f t="shared" si="22"/>
        <v>0</v>
      </c>
      <c r="H50" s="252">
        <f t="shared" si="8"/>
        <v>0</v>
      </c>
    </row>
    <row r="51" spans="1:8" ht="11.25" customHeight="1" outlineLevel="1">
      <c r="B51" s="55" t="s">
        <v>73</v>
      </c>
      <c r="C51" s="21">
        <f>SUMIFS('AGT TB Apr -25'!H:H,'AGT TB Apr -25'!S:S,B51)+C140</f>
        <v>0</v>
      </c>
      <c r="D51" s="21">
        <f>SUMIFS('AGT TB Apr -25'!I:I,'AGT TB Apr -25'!S:S,B51)+D140</f>
        <v>0</v>
      </c>
      <c r="E51" s="21">
        <f>SUMIFS('AGT TB Apr -25'!J:J,'AGT TB Apr -25'!S:S,B51)+E140</f>
        <v>0</v>
      </c>
      <c r="F51" s="21">
        <f>SUMIFS('AGT TB Apr -25'!K:K,'AGT TB Apr -25'!S:S,B51)+F140</f>
        <v>0</v>
      </c>
      <c r="G51" s="21">
        <f>SUMIFS('AGT TB Apr -25'!L:L,'AGT TB Apr -25'!S:S,B51)+G140</f>
        <v>0</v>
      </c>
      <c r="H51" s="252">
        <f t="shared" si="8"/>
        <v>0</v>
      </c>
    </row>
    <row r="52" spans="1:8" ht="11.25" customHeight="1" outlineLevel="1">
      <c r="B52" s="109" t="s">
        <v>32</v>
      </c>
      <c r="C52" s="21">
        <f>SUMIFS('AGT TB Apr -25'!H:H,'AGT TB Apr -25'!S:S,B52)</f>
        <v>0</v>
      </c>
      <c r="D52" s="21">
        <f>SUMIFS('AGT TB Apr -25'!I:I,'AGT TB Apr -25'!S:S,B52)</f>
        <v>0</v>
      </c>
      <c r="E52" s="21">
        <f>SUMIFS('AGT TB Apr -25'!J:J,'AGT TB Apr -25'!S:S,B52)</f>
        <v>0</v>
      </c>
      <c r="F52" s="21">
        <f>SUMIFS('AGT TB Apr -25'!K:K,'AGT TB Apr -25'!S:S,B52)</f>
        <v>0</v>
      </c>
      <c r="G52" s="21">
        <f>SUMIFS('AGT TB Apr -25'!L:L,'AGT TB Apr -25'!S:S,B52)</f>
        <v>0</v>
      </c>
      <c r="H52" s="252">
        <f t="shared" si="8"/>
        <v>0</v>
      </c>
    </row>
    <row r="53" spans="1:8" ht="11.25" customHeight="1" outlineLevel="1">
      <c r="A53" s="1">
        <v>18</v>
      </c>
      <c r="B53" s="109" t="s">
        <v>64</v>
      </c>
      <c r="C53" s="21">
        <f>SUMIFS('AGT TB Apr -25'!H:H,'AGT TB Apr -25'!S:S,B53)</f>
        <v>0</v>
      </c>
      <c r="D53" s="21">
        <f>SUMIFS('AGT TB Apr -25'!I:I,'AGT TB Apr -25'!S:S,B53)</f>
        <v>0</v>
      </c>
      <c r="E53" s="21">
        <f>SUMIFS('AGT TB Apr -25'!J:J,'AGT TB Apr -25'!S:S,B53)</f>
        <v>0</v>
      </c>
      <c r="F53" s="21">
        <f>SUMIFS('AGT TB Apr -25'!K:K,'AGT TB Apr -25'!S:S,B53)</f>
        <v>0</v>
      </c>
      <c r="G53" s="21">
        <f>SUMIFS('AGT TB Apr -25'!L:L,'AGT TB Apr -25'!S:S,B53)</f>
        <v>0</v>
      </c>
      <c r="H53" s="252">
        <f t="shared" si="8"/>
        <v>0</v>
      </c>
    </row>
    <row r="54" spans="1:8" ht="11.25" customHeight="1" outlineLevel="1">
      <c r="A54" s="1">
        <v>38</v>
      </c>
      <c r="B54" s="109" t="s">
        <v>192</v>
      </c>
      <c r="C54" s="21">
        <f>SUMIFS('AGT TB Apr -25'!H:H,'AGT TB Apr -25'!S:S,B54)</f>
        <v>0</v>
      </c>
      <c r="D54" s="21">
        <f>SUMIFS('AGT TB Apr -25'!I:I,'AGT TB Apr -25'!S:S,B54)</f>
        <v>0</v>
      </c>
      <c r="E54" s="21">
        <f>SUMIFS('AGT TB Apr -25'!J:J,'AGT TB Apr -25'!S:S,B54)</f>
        <v>0</v>
      </c>
      <c r="F54" s="21">
        <f>SUMIFS('AGT TB Apr -25'!K:K,'AGT TB Apr -25'!S:S,B54)</f>
        <v>0</v>
      </c>
      <c r="G54" s="21">
        <f>SUMIFS('AGT TB Apr -25'!L:L,'AGT TB Apr -25'!S:S,B54)</f>
        <v>0</v>
      </c>
      <c r="H54" s="252">
        <f t="shared" si="8"/>
        <v>0</v>
      </c>
    </row>
    <row r="55" spans="1:8" ht="11.25" customHeight="1" outlineLevel="1">
      <c r="A55" s="1">
        <v>8</v>
      </c>
      <c r="B55" s="109" t="s">
        <v>128</v>
      </c>
      <c r="C55" s="21">
        <f>SUMIFS('AGT TB Apr -25'!H:H,'AGT TB Apr -25'!S:S,B55)</f>
        <v>0</v>
      </c>
      <c r="D55" s="21">
        <f>SUMIFS('AGT TB Apr -25'!I:I,'AGT TB Apr -25'!S:S,B55)</f>
        <v>0</v>
      </c>
      <c r="E55" s="21">
        <f>SUMIFS('AGT TB Apr -25'!J:J,'AGT TB Apr -25'!S:S,B55)</f>
        <v>0</v>
      </c>
      <c r="F55" s="21">
        <f>SUMIFS('AGT TB Apr -25'!K:K,'AGT TB Apr -25'!S:S,B55)</f>
        <v>0</v>
      </c>
      <c r="G55" s="21">
        <f>SUMIFS('AGT TB Apr -25'!L:L,'AGT TB Apr -25'!S:S,B55)</f>
        <v>0</v>
      </c>
      <c r="H55" s="252">
        <f t="shared" si="8"/>
        <v>0</v>
      </c>
    </row>
    <row r="56" spans="1:8" ht="11.25" customHeight="1" outlineLevel="1">
      <c r="A56" s="1">
        <v>16</v>
      </c>
      <c r="B56" s="109" t="s">
        <v>1248</v>
      </c>
      <c r="C56" s="21">
        <f>SUMIFS('AGT TB Apr -25'!H:H,'AGT TB Apr -25'!S:S,B56)</f>
        <v>0</v>
      </c>
      <c r="D56" s="21">
        <f>SUMIFS('AGT TB Apr -25'!I:I,'AGT TB Apr -25'!S:S,B56)</f>
        <v>0</v>
      </c>
      <c r="E56" s="21">
        <f>SUMIFS('AGT TB Apr -25'!J:J,'AGT TB Apr -25'!S:S,B56)</f>
        <v>0</v>
      </c>
      <c r="F56" s="21">
        <f>SUMIFS('AGT TB Apr -25'!K:K,'AGT TB Apr -25'!S:S,B56)</f>
        <v>0</v>
      </c>
      <c r="G56" s="21">
        <f>SUMIFS('AGT TB Apr -25'!L:L,'AGT TB Apr -25'!S:S,B56)</f>
        <v>0</v>
      </c>
      <c r="H56" s="252">
        <f t="shared" si="8"/>
        <v>0</v>
      </c>
    </row>
    <row r="57" spans="1:8" ht="11.25" customHeight="1" outlineLevel="1">
      <c r="A57" s="1">
        <v>4</v>
      </c>
      <c r="B57" s="109" t="s">
        <v>262</v>
      </c>
      <c r="C57" s="21">
        <f>SUMIFS('AGT TB Apr -25'!H:H,'AGT TB Apr -25'!S:S,B57)</f>
        <v>0</v>
      </c>
      <c r="D57" s="21">
        <f>SUMIFS('AGT TB Apr -25'!I:I,'AGT TB Apr -25'!S:S,B57)</f>
        <v>0</v>
      </c>
      <c r="E57" s="21">
        <f>SUMIFS('AGT TB Apr -25'!J:J,'AGT TB Apr -25'!S:S,B57)</f>
        <v>0</v>
      </c>
      <c r="F57" s="21">
        <f>SUMIFS('AGT TB Apr -25'!K:K,'AGT TB Apr -25'!S:S,B57)</f>
        <v>0</v>
      </c>
      <c r="G57" s="21">
        <f>SUMIFS('AGT TB Apr -25'!L:L,'AGT TB Apr -25'!S:S,B57)</f>
        <v>0</v>
      </c>
      <c r="H57" s="252">
        <f t="shared" si="8"/>
        <v>0</v>
      </c>
    </row>
    <row r="58" spans="1:8" ht="11.25" customHeight="1" outlineLevel="1">
      <c r="B58" s="110" t="s">
        <v>210</v>
      </c>
      <c r="C58" s="21">
        <f>SUMIFS('AGT TB Apr -25'!H:H,'AGT TB Apr -25'!S:S,B58)</f>
        <v>0</v>
      </c>
      <c r="D58" s="21">
        <f>SUMIFS('AGT TB Apr -25'!I:I,'AGT TB Apr -25'!S:S,B58)</f>
        <v>0</v>
      </c>
      <c r="E58" s="21">
        <f>SUMIFS('AGT TB Apr -25'!J:J,'AGT TB Apr -25'!S:S,B58)</f>
        <v>0</v>
      </c>
      <c r="F58" s="21">
        <f>SUMIFS('AGT TB Apr -25'!K:K,'AGT TB Apr -25'!S:S,B58)</f>
        <v>0</v>
      </c>
      <c r="G58" s="21">
        <f>SUMIFS('AGT TB Apr -25'!L:L,'AGT TB Apr -25'!S:S,B58)</f>
        <v>0</v>
      </c>
      <c r="H58" s="252">
        <f t="shared" si="8"/>
        <v>0</v>
      </c>
    </row>
    <row r="59" spans="1:8" ht="11.25" customHeight="1" outlineLevel="1">
      <c r="B59" s="109" t="s">
        <v>291</v>
      </c>
      <c r="C59" s="21">
        <f>SUMIFS('AGT TB Apr -25'!H:H,'AGT TB Apr -25'!S:S,B59)</f>
        <v>0</v>
      </c>
      <c r="D59" s="21">
        <f>SUMIFS('AGT TB Apr -25'!I:I,'AGT TB Apr -25'!S:S,B59)</f>
        <v>0</v>
      </c>
      <c r="E59" s="21">
        <f>SUMIFS('AGT TB Apr -25'!J:J,'AGT TB Apr -25'!S:S,B59)</f>
        <v>0</v>
      </c>
      <c r="F59" s="21">
        <f>SUMIFS('AGT TB Apr -25'!K:K,'AGT TB Apr -25'!S:S,B59)</f>
        <v>0</v>
      </c>
      <c r="G59" s="21">
        <f>SUMIFS('AGT TB Apr -25'!L:L,'AGT TB Apr -25'!S:S,B59)</f>
        <v>0</v>
      </c>
      <c r="H59" s="252">
        <f t="shared" si="8"/>
        <v>0</v>
      </c>
    </row>
    <row r="60" spans="1:8" s="3" customFormat="1" ht="11.25" customHeight="1">
      <c r="B60" s="106" t="s">
        <v>3</v>
      </c>
      <c r="C60" s="160">
        <f t="shared" ref="C60:G60" si="23">SUM(C61:C61)</f>
        <v>0</v>
      </c>
      <c r="D60" s="160">
        <f t="shared" si="23"/>
        <v>0</v>
      </c>
      <c r="E60" s="160">
        <f t="shared" si="23"/>
        <v>0</v>
      </c>
      <c r="F60" s="160">
        <f t="shared" si="23"/>
        <v>0</v>
      </c>
      <c r="G60" s="160">
        <f t="shared" si="23"/>
        <v>0</v>
      </c>
      <c r="H60" s="252">
        <f t="shared" si="8"/>
        <v>0</v>
      </c>
    </row>
    <row r="61" spans="1:8" s="20" customFormat="1" ht="11.25" customHeight="1" outlineLevel="1">
      <c r="B61" s="110" t="s">
        <v>4</v>
      </c>
      <c r="C61" s="21">
        <f>SUMIFS('AGT TB Apr -25'!H:H,'AGT TB Apr -25'!S:S,B61)</f>
        <v>0</v>
      </c>
      <c r="D61" s="21">
        <f>SUMIFS('AGT TB Apr -25'!I:I,'AGT TB Apr -25'!S:S,B61)</f>
        <v>0</v>
      </c>
      <c r="E61" s="21">
        <f>SUMIFS('AGT TB Apr -25'!J:J,'AGT TB Apr -25'!S:S,B61)</f>
        <v>0</v>
      </c>
      <c r="F61" s="21">
        <f>SUMIFS('AGT TB Apr -25'!K:K,'AGT TB Apr -25'!S:S,B61)</f>
        <v>0</v>
      </c>
      <c r="G61" s="21">
        <f>SUMIFS('AGT TB Apr -25'!L:L,'AGT TB Apr -25'!S:S,B61)</f>
        <v>0</v>
      </c>
      <c r="H61" s="252">
        <f t="shared" si="8"/>
        <v>0</v>
      </c>
    </row>
    <row r="62" spans="1:8" s="130" customFormat="1" ht="11.25" customHeight="1">
      <c r="B62" s="111" t="s">
        <v>786</v>
      </c>
      <c r="C62" s="21">
        <f>SUMIFS('AGT TB Apr -25'!H:H,'AGT TB Apr -25'!S:S,B62)</f>
        <v>0</v>
      </c>
      <c r="D62" s="21">
        <f>SUMIFS('AGT TB Apr -25'!I:I,'AGT TB Apr -25'!S:S,B62)</f>
        <v>0</v>
      </c>
      <c r="E62" s="21">
        <f>SUMIFS('AGT TB Apr -25'!J:J,'AGT TB Apr -25'!S:S,B62)</f>
        <v>0</v>
      </c>
      <c r="F62" s="21">
        <f>SUMIFS('AGT TB Apr -25'!K:K,'AGT TB Apr -25'!S:S,B62)</f>
        <v>0</v>
      </c>
      <c r="G62" s="21">
        <f>SUMIFS('AGT TB Apr -25'!L:L,'AGT TB Apr -25'!S:S,B62)</f>
        <v>0</v>
      </c>
      <c r="H62" s="252">
        <f t="shared" si="8"/>
        <v>0</v>
      </c>
    </row>
    <row r="63" spans="1:8" s="3" customFormat="1" ht="11.25" customHeight="1">
      <c r="B63" s="112" t="s">
        <v>5</v>
      </c>
      <c r="C63" s="160">
        <f t="shared" ref="C63:G63" si="24">SUM(C64:C82)</f>
        <v>0</v>
      </c>
      <c r="D63" s="160">
        <f t="shared" si="24"/>
        <v>0</v>
      </c>
      <c r="E63" s="160">
        <f t="shared" si="24"/>
        <v>0</v>
      </c>
      <c r="F63" s="160">
        <f t="shared" si="24"/>
        <v>0</v>
      </c>
      <c r="G63" s="160">
        <f t="shared" si="24"/>
        <v>0</v>
      </c>
      <c r="H63" s="252">
        <f t="shared" si="8"/>
        <v>0</v>
      </c>
    </row>
    <row r="64" spans="1:8" ht="11.25" customHeight="1" outlineLevel="1">
      <c r="B64" s="109" t="s">
        <v>77</v>
      </c>
      <c r="C64" s="21">
        <f>SUMIFS('AGT TB Apr -25'!H:H,'AGT TB Apr -25'!S:S,B64)</f>
        <v>0</v>
      </c>
      <c r="D64" s="21">
        <f>SUMIFS('AGT TB Apr -25'!I:I,'AGT TB Apr -25'!S:S,B64)</f>
        <v>0</v>
      </c>
      <c r="E64" s="21">
        <f>SUMIFS('AGT TB Apr -25'!J:J,'AGT TB Apr -25'!S:S,B64)</f>
        <v>0</v>
      </c>
      <c r="F64" s="21">
        <f>SUMIFS('AGT TB Apr -25'!K:K,'AGT TB Apr -25'!S:S,B64)</f>
        <v>0</v>
      </c>
      <c r="G64" s="21">
        <f>SUMIFS('AGT TB Apr -25'!L:L,'AGT TB Apr -25'!S:S,B64)</f>
        <v>0</v>
      </c>
      <c r="H64" s="252">
        <f t="shared" si="8"/>
        <v>0</v>
      </c>
    </row>
    <row r="65" spans="1:8" ht="11.25" customHeight="1" outlineLevel="1">
      <c r="A65" s="1">
        <v>575000</v>
      </c>
      <c r="B65" s="109" t="s">
        <v>75</v>
      </c>
      <c r="C65" s="21">
        <f>SUMIFS('AGT TB Apr -25'!H:H,'AGT TB Apr -25'!S:S,B65)</f>
        <v>0</v>
      </c>
      <c r="D65" s="21">
        <f>SUMIFS('AGT TB Apr -25'!I:I,'AGT TB Apr -25'!S:S,B65)</f>
        <v>0</v>
      </c>
      <c r="E65" s="21">
        <f>SUMIFS('AGT TB Apr -25'!J:J,'AGT TB Apr -25'!S:S,B65)</f>
        <v>0</v>
      </c>
      <c r="F65" s="21">
        <f>SUMIFS('AGT TB Apr -25'!K:K,'AGT TB Apr -25'!S:S,B65)</f>
        <v>0</v>
      </c>
      <c r="G65" s="21">
        <f>SUMIFS('AGT TB Apr -25'!L:L,'AGT TB Apr -25'!S:S,B65)</f>
        <v>0</v>
      </c>
      <c r="H65" s="252">
        <f t="shared" si="8"/>
        <v>0</v>
      </c>
    </row>
    <row r="66" spans="1:8" ht="11.25" customHeight="1" outlineLevel="1">
      <c r="A66" s="37">
        <f>400000/118%</f>
        <v>338983.05084745766</v>
      </c>
      <c r="B66" s="109" t="s">
        <v>649</v>
      </c>
      <c r="C66" s="21">
        <f>SUMIFS('AGT TB Apr -25'!H:H,'AGT TB Apr -25'!S:S,B66)</f>
        <v>0</v>
      </c>
      <c r="D66" s="21">
        <f>SUMIFS('AGT TB Apr -25'!I:I,'AGT TB Apr -25'!S:S,B66)</f>
        <v>0</v>
      </c>
      <c r="E66" s="21">
        <f>SUMIFS('AGT TB Apr -25'!J:J,'AGT TB Apr -25'!S:S,B66)</f>
        <v>0</v>
      </c>
      <c r="F66" s="21">
        <f>SUMIFS('AGT TB Apr -25'!K:K,'AGT TB Apr -25'!S:S,B66)</f>
        <v>0</v>
      </c>
      <c r="G66" s="21">
        <f>SUMIFS('AGT TB Apr -25'!L:L,'AGT TB Apr -25'!S:S,B66)</f>
        <v>0</v>
      </c>
      <c r="H66" s="252">
        <f t="shared" si="8"/>
        <v>0</v>
      </c>
    </row>
    <row r="67" spans="1:8" ht="11.25" customHeight="1" outlineLevel="1">
      <c r="A67" s="175">
        <f>A65-A66</f>
        <v>236016.94915254234</v>
      </c>
      <c r="B67" s="109" t="s">
        <v>6</v>
      </c>
      <c r="C67" s="21">
        <f>SUMIFS('AGT TB Apr -25'!H:H,'AGT TB Apr -25'!S:S,B67)</f>
        <v>0</v>
      </c>
      <c r="D67" s="21">
        <f>SUMIFS('AGT TB Apr -25'!I:I,'AGT TB Apr -25'!S:S,B67)</f>
        <v>0</v>
      </c>
      <c r="E67" s="21">
        <f>SUMIFS('AGT TB Apr -25'!J:J,'AGT TB Apr -25'!S:S,B67)</f>
        <v>0</v>
      </c>
      <c r="F67" s="21">
        <f>SUMIFS('AGT TB Apr -25'!K:K,'AGT TB Apr -25'!S:S,B67)</f>
        <v>0</v>
      </c>
      <c r="G67" s="21">
        <f>SUMIFS('AGT TB Apr -25'!L:L,'AGT TB Apr -25'!S:S,B67)</f>
        <v>0</v>
      </c>
      <c r="H67" s="252">
        <f t="shared" si="8"/>
        <v>0</v>
      </c>
    </row>
    <row r="68" spans="1:8" ht="11.25" customHeight="1" outlineLevel="1">
      <c r="B68" s="109" t="s">
        <v>76</v>
      </c>
      <c r="C68" s="21">
        <f>SUMIFS('AGT TB Apr -25'!H:H,'AGT TB Apr -25'!S:S,B68)</f>
        <v>0</v>
      </c>
      <c r="D68" s="21">
        <f>SUMIFS('AGT TB Apr -25'!I:I,'AGT TB Apr -25'!S:S,B68)</f>
        <v>0</v>
      </c>
      <c r="E68" s="21">
        <f>SUMIFS('AGT TB Apr -25'!J:J,'AGT TB Apr -25'!S:S,B68)</f>
        <v>0</v>
      </c>
      <c r="F68" s="21">
        <f>SUMIFS('AGT TB Apr -25'!K:K,'AGT TB Apr -25'!S:S,B68)</f>
        <v>0</v>
      </c>
      <c r="G68" s="21">
        <f>SUMIFS('AGT TB Apr -25'!L:L,'AGT TB Apr -25'!S:S,B68)</f>
        <v>0</v>
      </c>
      <c r="H68" s="252">
        <f t="shared" si="8"/>
        <v>0</v>
      </c>
    </row>
    <row r="69" spans="1:8" ht="11.25" customHeight="1" outlineLevel="1">
      <c r="B69" s="109" t="s">
        <v>65</v>
      </c>
      <c r="C69" s="21">
        <f>SUMIFS('AGT TB Apr -25'!H:H,'AGT TB Apr -25'!S:S,B69)</f>
        <v>0</v>
      </c>
      <c r="D69" s="21">
        <f>SUMIFS('AGT TB Apr -25'!I:I,'AGT TB Apr -25'!S:S,B69)</f>
        <v>0</v>
      </c>
      <c r="E69" s="21">
        <f>SUMIFS('AGT TB Apr -25'!J:J,'AGT TB Apr -25'!S:S,B69)</f>
        <v>0</v>
      </c>
      <c r="F69" s="21">
        <f>SUMIFS('AGT TB Apr -25'!K:K,'AGT TB Apr -25'!S:S,B69)</f>
        <v>0</v>
      </c>
      <c r="G69" s="21">
        <f>SUMIFS('AGT TB Apr -25'!L:L,'AGT TB Apr -25'!S:S,B69)</f>
        <v>0</v>
      </c>
      <c r="H69" s="252">
        <f t="shared" si="8"/>
        <v>0</v>
      </c>
    </row>
    <row r="70" spans="1:8" ht="11.25" customHeight="1" outlineLevel="1">
      <c r="B70" s="109" t="s">
        <v>7</v>
      </c>
      <c r="C70" s="21">
        <f>SUMIFS('AGT TB Apr -25'!H:H,'AGT TB Apr -25'!S:S,B70)</f>
        <v>0</v>
      </c>
      <c r="D70" s="21">
        <f>SUMIFS('AGT TB Apr -25'!I:I,'AGT TB Apr -25'!S:S,B70)</f>
        <v>0</v>
      </c>
      <c r="E70" s="21">
        <f>SUMIFS('AGT TB Apr -25'!J:J,'AGT TB Apr -25'!S:S,B70)</f>
        <v>0</v>
      </c>
      <c r="F70" s="21">
        <f>SUMIFS('AGT TB Apr -25'!K:K,'AGT TB Apr -25'!S:S,B70)</f>
        <v>0</v>
      </c>
      <c r="G70" s="21">
        <f>SUMIFS('AGT TB Apr -25'!L:L,'AGT TB Apr -25'!S:S,B70)</f>
        <v>0</v>
      </c>
      <c r="H70" s="252">
        <f t="shared" ref="H70:H101" si="25">SUM(C70:G70)</f>
        <v>0</v>
      </c>
    </row>
    <row r="71" spans="1:8" ht="11.25" customHeight="1" outlineLevel="1">
      <c r="B71" s="109" t="s">
        <v>667</v>
      </c>
      <c r="C71" s="21">
        <f>SUMIFS('AGT TB Apr -25'!H:H,'AGT TB Apr -25'!S:S,B71)</f>
        <v>0</v>
      </c>
      <c r="D71" s="21">
        <f>SUMIFS('AGT TB Apr -25'!I:I,'AGT TB Apr -25'!S:S,B71)</f>
        <v>0</v>
      </c>
      <c r="E71" s="21">
        <f>SUMIFS('AGT TB Apr -25'!J:J,'AGT TB Apr -25'!S:S,B71)</f>
        <v>0</v>
      </c>
      <c r="F71" s="21">
        <f>SUMIFS('AGT TB Apr -25'!K:K,'AGT TB Apr -25'!S:S,B71)</f>
        <v>0</v>
      </c>
      <c r="G71" s="21">
        <f>SUMIFS('AGT TB Apr -25'!L:L,'AGT TB Apr -25'!S:S,B71)</f>
        <v>0</v>
      </c>
      <c r="H71" s="252">
        <f t="shared" si="25"/>
        <v>0</v>
      </c>
    </row>
    <row r="72" spans="1:8" ht="11.25" customHeight="1" outlineLevel="1">
      <c r="B72" s="109" t="s">
        <v>212</v>
      </c>
      <c r="C72" s="21">
        <f>SUMIFS('AGT TB Apr -25'!H:H,'AGT TB Apr -25'!S:S,B72)</f>
        <v>0</v>
      </c>
      <c r="D72" s="21">
        <f>SUMIFS('AGT TB Apr -25'!I:I,'AGT TB Apr -25'!S:S,B72)</f>
        <v>0</v>
      </c>
      <c r="E72" s="21">
        <f>SUMIFS('AGT TB Apr -25'!J:J,'AGT TB Apr -25'!S:S,B72)</f>
        <v>0</v>
      </c>
      <c r="F72" s="21">
        <f>SUMIFS('AGT TB Apr -25'!K:K,'AGT TB Apr -25'!S:S,B72)</f>
        <v>0</v>
      </c>
      <c r="G72" s="21">
        <f>SUMIFS('AGT TB Apr -25'!L:L,'AGT TB Apr -25'!S:S,B72)</f>
        <v>0</v>
      </c>
      <c r="H72" s="252">
        <f t="shared" si="25"/>
        <v>0</v>
      </c>
    </row>
    <row r="73" spans="1:8" ht="11.25" customHeight="1" outlineLevel="1">
      <c r="B73" s="109" t="s">
        <v>33</v>
      </c>
      <c r="C73" s="21">
        <f>SUMIFS('AGT TB Apr -25'!H:H,'AGT TB Apr -25'!S:S,B73)</f>
        <v>0</v>
      </c>
      <c r="D73" s="21">
        <f>SUMIFS('AGT TB Apr -25'!I:I,'AGT TB Apr -25'!S:S,B73)</f>
        <v>0</v>
      </c>
      <c r="E73" s="21">
        <f>SUMIFS('AGT TB Apr -25'!J:J,'AGT TB Apr -25'!S:S,B73)</f>
        <v>0</v>
      </c>
      <c r="F73" s="21">
        <f>SUMIFS('AGT TB Apr -25'!K:K,'AGT TB Apr -25'!S:S,B73)</f>
        <v>0</v>
      </c>
      <c r="G73" s="21">
        <f>SUMIFS('AGT TB Apr -25'!L:L,'AGT TB Apr -25'!S:S,B73)</f>
        <v>0</v>
      </c>
      <c r="H73" s="252">
        <f t="shared" si="25"/>
        <v>0</v>
      </c>
    </row>
    <row r="74" spans="1:8" ht="11.25" customHeight="1" outlineLevel="1">
      <c r="B74" s="109" t="s">
        <v>81</v>
      </c>
      <c r="C74" s="21">
        <f>SUMIFS('AGT TB Apr -25'!H:H,'AGT TB Apr -25'!S:S,B74)</f>
        <v>0</v>
      </c>
      <c r="D74" s="21">
        <f>SUMIFS('AGT TB Apr -25'!I:I,'AGT TB Apr -25'!S:S,B74)</f>
        <v>0</v>
      </c>
      <c r="E74" s="21">
        <f>SUMIFS('AGT TB Apr -25'!J:J,'AGT TB Apr -25'!S:S,B74)</f>
        <v>0</v>
      </c>
      <c r="F74" s="21">
        <f>SUMIFS('AGT TB Apr -25'!K:K,'AGT TB Apr -25'!S:S,B74)</f>
        <v>0</v>
      </c>
      <c r="G74" s="21">
        <f>SUMIFS('AGT TB Apr -25'!L:L,'AGT TB Apr -25'!S:S,B74)</f>
        <v>0</v>
      </c>
      <c r="H74" s="252">
        <f t="shared" si="25"/>
        <v>0</v>
      </c>
    </row>
    <row r="75" spans="1:8" ht="11.25" customHeight="1" outlineLevel="1">
      <c r="B75" s="109" t="s">
        <v>34</v>
      </c>
      <c r="C75" s="21">
        <f>SUMIFS('AGT TB Apr -25'!H:H,'AGT TB Apr -25'!S:S,B75)</f>
        <v>0</v>
      </c>
      <c r="D75" s="21">
        <f>SUMIFS('AGT TB Apr -25'!I:I,'AGT TB Apr -25'!S:S,B75)</f>
        <v>0</v>
      </c>
      <c r="E75" s="21">
        <f>SUMIFS('AGT TB Apr -25'!J:J,'AGT TB Apr -25'!S:S,B75)</f>
        <v>0</v>
      </c>
      <c r="F75" s="21">
        <f>SUMIFS('AGT TB Apr -25'!K:K,'AGT TB Apr -25'!S:S,B75)</f>
        <v>0</v>
      </c>
      <c r="G75" s="21">
        <f>SUMIFS('AGT TB Apr -25'!L:L,'AGT TB Apr -25'!S:S,B75)</f>
        <v>0</v>
      </c>
      <c r="H75" s="252">
        <f t="shared" si="25"/>
        <v>0</v>
      </c>
    </row>
    <row r="76" spans="1:8" ht="11.25" customHeight="1" outlineLevel="1">
      <c r="B76" s="109" t="s">
        <v>113</v>
      </c>
      <c r="C76" s="21">
        <f>SUMIFS('AGT TB Apr -25'!H:H,'AGT TB Apr -25'!S:S,B76)</f>
        <v>0</v>
      </c>
      <c r="D76" s="21">
        <f>SUMIFS('AGT TB Apr -25'!I:I,'AGT TB Apr -25'!S:S,B76)</f>
        <v>0</v>
      </c>
      <c r="E76" s="21">
        <f>SUMIFS('AGT TB Apr -25'!J:J,'AGT TB Apr -25'!S:S,B76)</f>
        <v>0</v>
      </c>
      <c r="F76" s="21">
        <f>SUMIFS('AGT TB Apr -25'!K:K,'AGT TB Apr -25'!S:S,B76)</f>
        <v>0</v>
      </c>
      <c r="G76" s="21">
        <f>SUMIFS('AGT TB Apr -25'!L:L,'AGT TB Apr -25'!S:S,B76)</f>
        <v>0</v>
      </c>
      <c r="H76" s="252">
        <f t="shared" si="25"/>
        <v>0</v>
      </c>
    </row>
    <row r="77" spans="1:8" ht="11.25" customHeight="1" outlineLevel="1">
      <c r="B77" s="109" t="s">
        <v>132</v>
      </c>
      <c r="C77" s="21">
        <f>SUMIFS('AGT TB Apr -25'!H:H,'AGT TB Apr -25'!S:S,B77)</f>
        <v>0</v>
      </c>
      <c r="D77" s="21">
        <f>SUMIFS('AGT TB Apr -25'!I:I,'AGT TB Apr -25'!S:S,B77)</f>
        <v>0</v>
      </c>
      <c r="E77" s="21">
        <f>SUMIFS('AGT TB Apr -25'!J:J,'AGT TB Apr -25'!S:S,B77)</f>
        <v>0</v>
      </c>
      <c r="F77" s="21">
        <f>SUMIFS('AGT TB Apr -25'!K:K,'AGT TB Apr -25'!S:S,B77)</f>
        <v>0</v>
      </c>
      <c r="G77" s="21">
        <f>SUMIFS('AGT TB Apr -25'!L:L,'AGT TB Apr -25'!S:S,B77)</f>
        <v>0</v>
      </c>
      <c r="H77" s="252">
        <f t="shared" si="25"/>
        <v>0</v>
      </c>
    </row>
    <row r="78" spans="1:8" ht="11.25" customHeight="1" outlineLevel="1">
      <c r="B78" s="109" t="s">
        <v>211</v>
      </c>
      <c r="C78" s="21">
        <f>SUMIFS('AGT TB Apr -25'!H:H,'AGT TB Apr -25'!S:S,B78)</f>
        <v>0</v>
      </c>
      <c r="D78" s="21">
        <f>SUMIFS('AGT TB Apr -25'!I:I,'AGT TB Apr -25'!S:S,B78)</f>
        <v>0</v>
      </c>
      <c r="E78" s="21">
        <f>SUMIFS('AGT TB Apr -25'!J:J,'AGT TB Apr -25'!S:S,B78)</f>
        <v>0</v>
      </c>
      <c r="F78" s="21">
        <f>SUMIFS('AGT TB Apr -25'!K:K,'AGT TB Apr -25'!S:S,B78)</f>
        <v>0</v>
      </c>
      <c r="G78" s="21">
        <f>SUMIFS('AGT TB Apr -25'!L:L,'AGT TB Apr -25'!S:S,B78)</f>
        <v>0</v>
      </c>
      <c r="H78" s="252">
        <f t="shared" si="25"/>
        <v>0</v>
      </c>
    </row>
    <row r="79" spans="1:8" ht="11.25" customHeight="1" outlineLevel="1">
      <c r="B79" s="129" t="s">
        <v>275</v>
      </c>
      <c r="C79" s="21">
        <f>SUMIFS('AGT TB Apr -25'!H:H,'AGT TB Apr -25'!S:S,B79)</f>
        <v>0</v>
      </c>
      <c r="D79" s="21">
        <f>SUMIFS('AGT TB Apr -25'!I:I,'AGT TB Apr -25'!S:S,B79)</f>
        <v>0</v>
      </c>
      <c r="E79" s="21">
        <f>SUMIFS('AGT TB Apr -25'!J:J,'AGT TB Apr -25'!S:S,B79)</f>
        <v>0</v>
      </c>
      <c r="F79" s="21">
        <f>SUMIFS('AGT TB Apr -25'!K:K,'AGT TB Apr -25'!S:S,B79)</f>
        <v>0</v>
      </c>
      <c r="G79" s="21">
        <f>SUMIFS('AGT TB Apr -25'!L:L,'AGT TB Apr -25'!S:S,B79)</f>
        <v>0</v>
      </c>
      <c r="H79" s="252">
        <f t="shared" si="25"/>
        <v>0</v>
      </c>
    </row>
    <row r="80" spans="1:8" ht="11.25" customHeight="1" outlineLevel="1">
      <c r="B80" s="113" t="s">
        <v>35</v>
      </c>
      <c r="C80" s="21">
        <f>SUMIFS('AGT TB Apr -25'!H:H,'AGT TB Apr -25'!S:S,B80)</f>
        <v>0</v>
      </c>
      <c r="D80" s="21">
        <f>SUMIFS('AGT TB Apr -25'!I:I,'AGT TB Apr -25'!S:S,B80)</f>
        <v>0</v>
      </c>
      <c r="E80" s="21">
        <f>SUMIFS('AGT TB Apr -25'!J:J,'AGT TB Apr -25'!S:S,B80)</f>
        <v>0</v>
      </c>
      <c r="F80" s="21">
        <f>SUMIFS('AGT TB Apr -25'!K:K,'AGT TB Apr -25'!S:S,B80)</f>
        <v>0</v>
      </c>
      <c r="G80" s="21">
        <f>SUMIFS('AGT TB Apr -25'!L:L,'AGT TB Apr -25'!S:S,B80)</f>
        <v>0</v>
      </c>
      <c r="H80" s="252">
        <f t="shared" si="25"/>
        <v>0</v>
      </c>
    </row>
    <row r="81" spans="2:8" ht="11.25" customHeight="1" outlineLevel="1">
      <c r="B81" s="113" t="s">
        <v>341</v>
      </c>
      <c r="C81" s="21">
        <f>SUMIFS('AGT TB Apr -25'!H:H,'AGT TB Apr -25'!S:S,B81)</f>
        <v>0</v>
      </c>
      <c r="D81" s="21">
        <f>SUMIFS('AGT TB Apr -25'!I:I,'AGT TB Apr -25'!S:S,B81)</f>
        <v>0</v>
      </c>
      <c r="E81" s="21">
        <f>SUMIFS('AGT TB Apr -25'!J:J,'AGT TB Apr -25'!S:S,B81)</f>
        <v>0</v>
      </c>
      <c r="F81" s="21">
        <f>SUMIFS('AGT TB Apr -25'!K:K,'AGT TB Apr -25'!S:S,B81)</f>
        <v>0</v>
      </c>
      <c r="G81" s="21">
        <f>SUMIFS('AGT TB Apr -25'!L:L,'AGT TB Apr -25'!S:S,B81)</f>
        <v>0</v>
      </c>
      <c r="H81" s="252">
        <f t="shared" si="25"/>
        <v>0</v>
      </c>
    </row>
    <row r="82" spans="2:8" ht="11.25" customHeight="1" outlineLevel="1">
      <c r="B82" s="113" t="s">
        <v>342</v>
      </c>
      <c r="C82" s="21">
        <f>SUMIFS('AGT TB Apr -25'!H:H,'AGT TB Apr -25'!S:S,B82)</f>
        <v>0</v>
      </c>
      <c r="D82" s="21">
        <f>SUMIFS('AGT TB Apr -25'!I:I,'AGT TB Apr -25'!S:S,B82)</f>
        <v>0</v>
      </c>
      <c r="E82" s="21">
        <f>SUMIFS('AGT TB Apr -25'!J:J,'AGT TB Apr -25'!S:S,B82)</f>
        <v>0</v>
      </c>
      <c r="F82" s="21">
        <f>SUMIFS('AGT TB Apr -25'!K:K,'AGT TB Apr -25'!S:S,B82)</f>
        <v>0</v>
      </c>
      <c r="G82" s="21">
        <f>SUMIFS('AGT TB Apr -25'!L:L,'AGT TB Apr -25'!S:S,B82)</f>
        <v>0</v>
      </c>
      <c r="H82" s="252">
        <f t="shared" si="25"/>
        <v>0</v>
      </c>
    </row>
    <row r="83" spans="2:8" ht="11.25" customHeight="1">
      <c r="B83" s="112" t="s">
        <v>8</v>
      </c>
      <c r="C83" s="160">
        <f t="shared" ref="C83" si="26">SUM(C84:C86)</f>
        <v>0</v>
      </c>
      <c r="D83" s="160">
        <f t="shared" ref="D83:E83" si="27">SUM(D84:D86)</f>
        <v>0</v>
      </c>
      <c r="E83" s="160">
        <f t="shared" si="27"/>
        <v>0</v>
      </c>
      <c r="F83" s="160">
        <f t="shared" ref="F83:G83" si="28">SUM(F84:F86)</f>
        <v>0</v>
      </c>
      <c r="G83" s="160">
        <f t="shared" si="28"/>
        <v>0</v>
      </c>
      <c r="H83" s="252">
        <f t="shared" si="25"/>
        <v>0</v>
      </c>
    </row>
    <row r="84" spans="2:8" s="20" customFormat="1" ht="11.25" customHeight="1" outlineLevel="1">
      <c r="B84" s="173" t="s">
        <v>84</v>
      </c>
      <c r="C84" s="21">
        <f>SUMIFS('AGT TB Apr -25'!H:H,'AGT TB Apr -25'!S:S,B84)</f>
        <v>0</v>
      </c>
      <c r="D84" s="21">
        <f>SUMIFS('AGT TB Apr -25'!I:I,'AGT TB Apr -25'!S:S,B84)</f>
        <v>0</v>
      </c>
      <c r="E84" s="21">
        <f>SUMIFS('AGT TB Apr -25'!J:J,'AGT TB Apr -25'!S:S,B84)</f>
        <v>0</v>
      </c>
      <c r="F84" s="21">
        <f>SUMIFS('AGT TB Apr -25'!K:K,'AGT TB Apr -25'!S:S,B84)</f>
        <v>0</v>
      </c>
      <c r="G84" s="21">
        <f>SUMIFS('AGT TB Apr -25'!L:L,'AGT TB Apr -25'!S:S,B84)</f>
        <v>0</v>
      </c>
      <c r="H84" s="252">
        <f t="shared" si="25"/>
        <v>0</v>
      </c>
    </row>
    <row r="85" spans="2:8" s="20" customFormat="1" ht="11.25" customHeight="1" outlineLevel="1">
      <c r="B85" s="114" t="s">
        <v>160</v>
      </c>
      <c r="C85" s="21">
        <f>SUMIFS('AGT TB Apr -25'!H:H,'AGT TB Apr -25'!S:S,B85)</f>
        <v>0</v>
      </c>
      <c r="D85" s="21">
        <f>SUMIFS('AGT TB Apr -25'!I:I,'AGT TB Apr -25'!S:S,B85)</f>
        <v>0</v>
      </c>
      <c r="E85" s="21">
        <f>SUMIFS('AGT TB Apr -25'!J:J,'AGT TB Apr -25'!S:S,B85)</f>
        <v>0</v>
      </c>
      <c r="F85" s="21">
        <f>SUMIFS('AGT TB Apr -25'!K:K,'AGT TB Apr -25'!S:S,B85)</f>
        <v>0</v>
      </c>
      <c r="G85" s="21">
        <f>SUMIFS('AGT TB Apr -25'!L:L,'AGT TB Apr -25'!S:S,B85)</f>
        <v>0</v>
      </c>
      <c r="H85" s="252">
        <f t="shared" si="25"/>
        <v>0</v>
      </c>
    </row>
    <row r="86" spans="2:8" s="20" customFormat="1" ht="11.25" customHeight="1" outlineLevel="1">
      <c r="B86" s="114" t="s">
        <v>719</v>
      </c>
      <c r="C86" s="21">
        <f>SUMIFS('AGT TB Apr -25'!H:H,'AGT TB Apr -25'!S:S,B86)</f>
        <v>0</v>
      </c>
      <c r="D86" s="21">
        <f>SUMIFS('AGT TB Apr -25'!I:I,'AGT TB Apr -25'!S:S,B86)</f>
        <v>0</v>
      </c>
      <c r="E86" s="21">
        <f>SUMIFS('AGT TB Apr -25'!J:J,'AGT TB Apr -25'!S:S,B86)</f>
        <v>0</v>
      </c>
      <c r="F86" s="21">
        <f>SUMIFS('AGT TB Apr -25'!K:K,'AGT TB Apr -25'!S:S,B86)</f>
        <v>0</v>
      </c>
      <c r="G86" s="21">
        <f>SUMIFS('AGT TB Apr -25'!L:L,'AGT TB Apr -25'!S:S,B86)</f>
        <v>0</v>
      </c>
      <c r="H86" s="252">
        <f t="shared" si="25"/>
        <v>0</v>
      </c>
    </row>
    <row r="87" spans="2:8" ht="11.25" customHeight="1">
      <c r="B87" s="106" t="s">
        <v>9</v>
      </c>
      <c r="C87" s="160">
        <f t="shared" ref="C87" si="29">SUM(C88:C93)</f>
        <v>0</v>
      </c>
      <c r="D87" s="160">
        <f t="shared" ref="D87:E87" si="30">SUM(D88:D93)</f>
        <v>0</v>
      </c>
      <c r="E87" s="160">
        <f t="shared" si="30"/>
        <v>0</v>
      </c>
      <c r="F87" s="160">
        <f t="shared" ref="F87:G87" si="31">SUM(F88:F93)</f>
        <v>0</v>
      </c>
      <c r="G87" s="160">
        <f t="shared" si="31"/>
        <v>0</v>
      </c>
      <c r="H87" s="252">
        <f t="shared" si="25"/>
        <v>0</v>
      </c>
    </row>
    <row r="88" spans="2:8" s="20" customFormat="1" ht="11.25" customHeight="1" outlineLevel="1">
      <c r="B88" s="113" t="s">
        <v>10</v>
      </c>
      <c r="C88" s="21">
        <f>SUMIFS('AGT TB Apr -25'!H:H,'AGT TB Apr -25'!S:S,B88)</f>
        <v>0</v>
      </c>
      <c r="D88" s="21">
        <f>SUMIFS('AGT TB Apr -25'!I:I,'AGT TB Apr -25'!S:S,B88)</f>
        <v>0</v>
      </c>
      <c r="E88" s="21">
        <f>SUMIFS('AGT TB Apr -25'!J:J,'AGT TB Apr -25'!S:S,B88)</f>
        <v>0</v>
      </c>
      <c r="F88" s="21">
        <f>SUMIFS('AGT TB Apr -25'!K:K,'AGT TB Apr -25'!S:S,B88)</f>
        <v>0</v>
      </c>
      <c r="G88" s="21">
        <f>SUMIFS('AGT TB Apr -25'!L:L,'AGT TB Apr -25'!S:S,B88)</f>
        <v>0</v>
      </c>
      <c r="H88" s="252">
        <f t="shared" si="25"/>
        <v>0</v>
      </c>
    </row>
    <row r="89" spans="2:8" s="20" customFormat="1" ht="11.25" customHeight="1" outlineLevel="1">
      <c r="B89" s="113" t="s">
        <v>114</v>
      </c>
      <c r="C89" s="21">
        <f>SUMIFS('AGT TB Apr -25'!H:H,'AGT TB Apr -25'!S:S,B89)</f>
        <v>0</v>
      </c>
      <c r="D89" s="21">
        <f>SUMIFS('AGT TB Apr -25'!I:I,'AGT TB Apr -25'!S:S,B89)</f>
        <v>0</v>
      </c>
      <c r="E89" s="21">
        <f>SUMIFS('AGT TB Apr -25'!J:J,'AGT TB Apr -25'!S:S,B89)</f>
        <v>0</v>
      </c>
      <c r="F89" s="21">
        <f>SUMIFS('AGT TB Apr -25'!K:K,'AGT TB Apr -25'!S:S,B89)</f>
        <v>0</v>
      </c>
      <c r="G89" s="21">
        <f>SUMIFS('AGT TB Apr -25'!L:L,'AGT TB Apr -25'!S:S,B89)</f>
        <v>0</v>
      </c>
      <c r="H89" s="252">
        <f t="shared" si="25"/>
        <v>0</v>
      </c>
    </row>
    <row r="90" spans="2:8" s="20" customFormat="1" ht="11.25" customHeight="1" outlineLevel="1">
      <c r="B90" s="113" t="s">
        <v>187</v>
      </c>
      <c r="C90" s="21">
        <f>SUMIFS('AGT TB Apr -25'!H:H,'AGT TB Apr -25'!S:S,B90)</f>
        <v>0</v>
      </c>
      <c r="D90" s="21">
        <f>SUMIFS('AGT TB Apr -25'!I:I,'AGT TB Apr -25'!S:S,B90)</f>
        <v>0</v>
      </c>
      <c r="E90" s="21">
        <f>SUMIFS('AGT TB Apr -25'!J:J,'AGT TB Apr -25'!S:S,B90)</f>
        <v>0</v>
      </c>
      <c r="F90" s="21">
        <f>SUMIFS('AGT TB Apr -25'!K:K,'AGT TB Apr -25'!S:S,B90)</f>
        <v>0</v>
      </c>
      <c r="G90" s="21">
        <f>SUMIFS('AGT TB Apr -25'!L:L,'AGT TB Apr -25'!S:S,B90)</f>
        <v>0</v>
      </c>
      <c r="H90" s="252">
        <f t="shared" si="25"/>
        <v>0</v>
      </c>
    </row>
    <row r="91" spans="2:8" s="20" customFormat="1" ht="11.25" customHeight="1" outlineLevel="1">
      <c r="B91" s="113" t="s">
        <v>11</v>
      </c>
      <c r="C91" s="21">
        <f>SUMIFS('AGT TB Apr -25'!H:H,'AGT TB Apr -25'!S:S,B91)</f>
        <v>0</v>
      </c>
      <c r="D91" s="21">
        <f>SUMIFS('AGT TB Apr -25'!I:I,'AGT TB Apr -25'!S:S,B91)</f>
        <v>0</v>
      </c>
      <c r="E91" s="21">
        <f>SUMIFS('AGT TB Apr -25'!J:J,'AGT TB Apr -25'!S:S,B91)</f>
        <v>0</v>
      </c>
      <c r="F91" s="21">
        <f>SUMIFS('AGT TB Apr -25'!K:K,'AGT TB Apr -25'!S:S,B91)</f>
        <v>0</v>
      </c>
      <c r="G91" s="21">
        <f>SUMIFS('AGT TB Apr -25'!L:L,'AGT TB Apr -25'!S:S,B91)</f>
        <v>0</v>
      </c>
      <c r="H91" s="252">
        <f t="shared" si="25"/>
        <v>0</v>
      </c>
    </row>
    <row r="92" spans="2:8" ht="11.25" customHeight="1" outlineLevel="1">
      <c r="B92" s="109" t="s">
        <v>12</v>
      </c>
      <c r="C92" s="21">
        <f>SUMIFS('AGT TB Apr -25'!H:H,'AGT TB Apr -25'!S:S,B92)</f>
        <v>0</v>
      </c>
      <c r="D92" s="21">
        <f>SUMIFS('AGT TB Apr -25'!I:I,'AGT TB Apr -25'!S:S,B92)</f>
        <v>0</v>
      </c>
      <c r="E92" s="21">
        <f>SUMIFS('AGT TB Apr -25'!J:J,'AGT TB Apr -25'!S:S,B92)</f>
        <v>0</v>
      </c>
      <c r="F92" s="21">
        <f>SUMIFS('AGT TB Apr -25'!K:K,'AGT TB Apr -25'!S:S,B92)</f>
        <v>0</v>
      </c>
      <c r="G92" s="21">
        <f>SUMIFS('AGT TB Apr -25'!L:L,'AGT TB Apr -25'!S:S,B92)</f>
        <v>0</v>
      </c>
      <c r="H92" s="252">
        <f t="shared" si="25"/>
        <v>0</v>
      </c>
    </row>
    <row r="93" spans="2:8" ht="11.25" customHeight="1" outlineLevel="1">
      <c r="B93" s="109" t="s">
        <v>36</v>
      </c>
      <c r="C93" s="21">
        <f>SUMIFS('AGT TB Apr -25'!H:H,'AGT TB Apr -25'!S:S,B93)</f>
        <v>0</v>
      </c>
      <c r="D93" s="21">
        <f>SUMIFS('AGT TB Apr -25'!I:I,'AGT TB Apr -25'!S:S,B93)</f>
        <v>0</v>
      </c>
      <c r="E93" s="21">
        <f>SUMIFS('AGT TB Apr -25'!J:J,'AGT TB Apr -25'!S:S,B93)</f>
        <v>0</v>
      </c>
      <c r="F93" s="21">
        <f>SUMIFS('AGT TB Apr -25'!K:K,'AGT TB Apr -25'!S:S,B93)</f>
        <v>0</v>
      </c>
      <c r="G93" s="21">
        <f>SUMIFS('AGT TB Apr -25'!L:L,'AGT TB Apr -25'!S:S,B93)</f>
        <v>0</v>
      </c>
      <c r="H93" s="252">
        <f t="shared" si="25"/>
        <v>0</v>
      </c>
    </row>
    <row r="94" spans="2:8" s="3" customFormat="1" ht="11.25" customHeight="1">
      <c r="B94" s="106" t="s">
        <v>153</v>
      </c>
      <c r="C94" s="160">
        <f t="shared" ref="C94" si="32">SUM(C95:C98)</f>
        <v>0</v>
      </c>
      <c r="D94" s="160">
        <f t="shared" ref="D94:E94" si="33">SUM(D95:D98)</f>
        <v>0</v>
      </c>
      <c r="E94" s="160">
        <f t="shared" si="33"/>
        <v>0</v>
      </c>
      <c r="F94" s="160">
        <f t="shared" ref="F94:G94" si="34">SUM(F95:F98)</f>
        <v>0</v>
      </c>
      <c r="G94" s="160">
        <f t="shared" si="34"/>
        <v>0</v>
      </c>
      <c r="H94" s="252">
        <f t="shared" si="25"/>
        <v>0</v>
      </c>
    </row>
    <row r="95" spans="2:8" ht="11.25" customHeight="1" outlineLevel="1">
      <c r="B95" s="109" t="s">
        <v>66</v>
      </c>
      <c r="C95" s="21">
        <f>SUMIFS('AGT TB Apr -25'!H:H,'AGT TB Apr -25'!S:S,B95)</f>
        <v>0</v>
      </c>
      <c r="D95" s="21">
        <f>SUMIFS('AGT TB Apr -25'!I:I,'AGT TB Apr -25'!S:S,B95)</f>
        <v>0</v>
      </c>
      <c r="E95" s="21">
        <f>SUMIFS('AGT TB Apr -25'!J:J,'AGT TB Apr -25'!S:S,B95)</f>
        <v>0</v>
      </c>
      <c r="F95" s="21">
        <f>SUMIFS('AGT TB Apr -25'!K:K,'AGT TB Apr -25'!S:S,B95)</f>
        <v>0</v>
      </c>
      <c r="G95" s="21">
        <f>SUMIFS('AGT TB Apr -25'!L:L,'AGT TB Apr -25'!S:S,B95)</f>
        <v>0</v>
      </c>
      <c r="H95" s="252">
        <f t="shared" si="25"/>
        <v>0</v>
      </c>
    </row>
    <row r="96" spans="2:8" ht="11.25" customHeight="1" outlineLevel="1">
      <c r="B96" s="109" t="s">
        <v>90</v>
      </c>
      <c r="C96" s="21">
        <f>SUMIFS('AGT TB Apr -25'!H:H,'AGT TB Apr -25'!S:S,B96)</f>
        <v>0</v>
      </c>
      <c r="D96" s="21">
        <f>SUMIFS('AGT TB Apr -25'!I:I,'AGT TB Apr -25'!S:S,B96)</f>
        <v>0</v>
      </c>
      <c r="E96" s="21">
        <f>SUMIFS('AGT TB Apr -25'!J:J,'AGT TB Apr -25'!S:S,B96)</f>
        <v>0</v>
      </c>
      <c r="F96" s="21">
        <f>SUMIFS('AGT TB Apr -25'!K:K,'AGT TB Apr -25'!S:S,B96)</f>
        <v>0</v>
      </c>
      <c r="G96" s="21">
        <f>SUMIFS('AGT TB Apr -25'!L:L,'AGT TB Apr -25'!S:S,B96)</f>
        <v>0</v>
      </c>
      <c r="H96" s="252">
        <f t="shared" si="25"/>
        <v>0</v>
      </c>
    </row>
    <row r="97" spans="2:8" ht="11.25" customHeight="1" outlineLevel="1">
      <c r="B97" s="109" t="s">
        <v>774</v>
      </c>
      <c r="C97" s="21">
        <f>SUMIFS('AGT TB Apr -25'!H:H,'AGT TB Apr -25'!S:S,B97)</f>
        <v>0</v>
      </c>
      <c r="D97" s="21">
        <f>SUMIFS('AGT TB Apr -25'!I:I,'AGT TB Apr -25'!S:S,B97)</f>
        <v>0</v>
      </c>
      <c r="E97" s="21">
        <f>SUMIFS('AGT TB Apr -25'!J:J,'AGT TB Apr -25'!S:S,B97)</f>
        <v>0</v>
      </c>
      <c r="F97" s="21">
        <f>SUMIFS('AGT TB Apr -25'!K:K,'AGT TB Apr -25'!S:S,B97)</f>
        <v>0</v>
      </c>
      <c r="G97" s="21">
        <f>SUMIFS('AGT TB Apr -25'!L:L,'AGT TB Apr -25'!S:S,B97)</f>
        <v>0</v>
      </c>
      <c r="H97" s="252">
        <f t="shared" si="25"/>
        <v>0</v>
      </c>
    </row>
    <row r="98" spans="2:8" ht="11.25" customHeight="1" outlineLevel="1">
      <c r="B98" s="109" t="s">
        <v>13</v>
      </c>
      <c r="C98" s="21">
        <f>SUMIFS('AGT TB Apr -25'!H:H,'AGT TB Apr -25'!S:S,B98)</f>
        <v>0</v>
      </c>
      <c r="D98" s="21">
        <f>SUMIFS('AGT TB Apr -25'!I:I,'AGT TB Apr -25'!S:S,B98)</f>
        <v>0</v>
      </c>
      <c r="E98" s="21">
        <f>SUMIFS('AGT TB Apr -25'!J:J,'AGT TB Apr -25'!S:S,B98)</f>
        <v>0</v>
      </c>
      <c r="F98" s="21">
        <f>SUMIFS('AGT TB Apr -25'!K:K,'AGT TB Apr -25'!S:S,B98)</f>
        <v>0</v>
      </c>
      <c r="G98" s="21">
        <f>SUMIFS('AGT TB Apr -25'!L:L,'AGT TB Apr -25'!S:S,B98)</f>
        <v>0</v>
      </c>
      <c r="H98" s="252">
        <f t="shared" si="25"/>
        <v>0</v>
      </c>
    </row>
    <row r="99" spans="2:8" ht="11.25" customHeight="1">
      <c r="B99" s="77" t="s">
        <v>342</v>
      </c>
      <c r="C99" s="22">
        <f t="shared" ref="C99:D99" si="35">SUM(C100:C109)</f>
        <v>0</v>
      </c>
      <c r="D99" s="22">
        <f t="shared" si="35"/>
        <v>0</v>
      </c>
      <c r="E99" s="22">
        <f t="shared" ref="E99:F99" si="36">SUM(E100:E109)</f>
        <v>0</v>
      </c>
      <c r="F99" s="22">
        <f t="shared" si="36"/>
        <v>0</v>
      </c>
      <c r="G99" s="22">
        <f t="shared" ref="G99" si="37">SUM(G100:G109)</f>
        <v>0</v>
      </c>
      <c r="H99" s="252">
        <f t="shared" si="25"/>
        <v>0</v>
      </c>
    </row>
    <row r="100" spans="2:8" ht="11.25" customHeight="1" outlineLevel="1">
      <c r="B100" s="131" t="s">
        <v>37</v>
      </c>
      <c r="C100" s="21">
        <f>SUMIFS('AGT TB Apr -25'!H:H,'AGT TB Apr -25'!S:S,B100)</f>
        <v>0</v>
      </c>
      <c r="D100" s="21">
        <f>SUMIFS('AGT TB Apr -25'!I:I,'AGT TB Apr -25'!S:S,B100)</f>
        <v>0</v>
      </c>
      <c r="E100" s="21">
        <f>SUMIFS('AGT TB Apr -25'!J:J,'AGT TB Apr -25'!S:S,B100)</f>
        <v>0</v>
      </c>
      <c r="F100" s="21">
        <f>SUMIFS('AGT TB Apr -25'!K:K,'AGT TB Apr -25'!S:S,B100)</f>
        <v>0</v>
      </c>
      <c r="G100" s="21">
        <f>SUMIFS('AGT TB Apr -25'!L:L,'AGT TB Apr -25'!S:S,B100)</f>
        <v>0</v>
      </c>
      <c r="H100" s="252">
        <f t="shared" si="25"/>
        <v>0</v>
      </c>
    </row>
    <row r="101" spans="2:8" ht="11.25" customHeight="1" outlineLevel="1">
      <c r="B101" s="132" t="s">
        <v>38</v>
      </c>
      <c r="C101" s="21">
        <f>SUMIFS('AGT TB Apr -25'!H:H,'AGT TB Apr -25'!S:S,B101)</f>
        <v>0</v>
      </c>
      <c r="D101" s="21">
        <f>SUMIFS('AGT TB Apr -25'!I:I,'AGT TB Apr -25'!S:S,B101)</f>
        <v>0</v>
      </c>
      <c r="E101" s="21">
        <f>SUMIFS('AGT TB Apr -25'!J:J,'AGT TB Apr -25'!S:S,B101)</f>
        <v>0</v>
      </c>
      <c r="F101" s="21">
        <f>SUMIFS('AGT TB Apr -25'!K:K,'AGT TB Apr -25'!S:S,B101)</f>
        <v>0</v>
      </c>
      <c r="G101" s="21">
        <f>SUMIFS('AGT TB Apr -25'!L:L,'AGT TB Apr -25'!S:S,B101)</f>
        <v>0</v>
      </c>
      <c r="H101" s="252">
        <f t="shared" si="25"/>
        <v>0</v>
      </c>
    </row>
    <row r="102" spans="2:8" ht="11.25" customHeight="1" outlineLevel="1">
      <c r="B102" s="132" t="s">
        <v>110</v>
      </c>
      <c r="C102" s="21">
        <f>SUMIFS('AGT TB Apr -25'!H:H,'AGT TB Apr -25'!S:S,B102)</f>
        <v>0</v>
      </c>
      <c r="D102" s="21">
        <f>SUMIFS('AGT TB Apr -25'!I:I,'AGT TB Apr -25'!S:S,B102)</f>
        <v>0</v>
      </c>
      <c r="E102" s="21">
        <f>SUMIFS('AGT TB Apr -25'!J:J,'AGT TB Apr -25'!S:S,B102)</f>
        <v>0</v>
      </c>
      <c r="F102" s="21">
        <f>SUMIFS('AGT TB Apr -25'!K:K,'AGT TB Apr -25'!S:S,B102)</f>
        <v>0</v>
      </c>
      <c r="G102" s="21">
        <f>SUMIFS('AGT TB Apr -25'!L:L,'AGT TB Apr -25'!S:S,B102)</f>
        <v>0</v>
      </c>
      <c r="H102" s="252">
        <f t="shared" ref="H102:H133" si="38">SUM(C102:G102)</f>
        <v>0</v>
      </c>
    </row>
    <row r="103" spans="2:8" ht="11.25" customHeight="1" outlineLevel="1">
      <c r="B103" s="132" t="s">
        <v>39</v>
      </c>
      <c r="C103" s="21">
        <f>SUMIFS('AGT TB Apr -25'!H:H,'AGT TB Apr -25'!S:S,B103)</f>
        <v>0</v>
      </c>
      <c r="D103" s="21">
        <f>SUMIFS('AGT TB Apr -25'!I:I,'AGT TB Apr -25'!S:S,B103)</f>
        <v>0</v>
      </c>
      <c r="E103" s="21">
        <f>SUMIFS('AGT TB Apr -25'!J:J,'AGT TB Apr -25'!S:S,B103)</f>
        <v>0</v>
      </c>
      <c r="F103" s="21">
        <f>SUMIFS('AGT TB Apr -25'!K:K,'AGT TB Apr -25'!S:S,B103)</f>
        <v>0</v>
      </c>
      <c r="G103" s="21">
        <f>SUMIFS('AGT TB Apr -25'!L:L,'AGT TB Apr -25'!S:S,B103)</f>
        <v>0</v>
      </c>
      <c r="H103" s="252">
        <f t="shared" si="38"/>
        <v>0</v>
      </c>
    </row>
    <row r="104" spans="2:8" ht="11.25" customHeight="1" outlineLevel="1">
      <c r="B104" s="132" t="s">
        <v>40</v>
      </c>
      <c r="C104" s="21">
        <f>SUMIFS('AGT TB Apr -25'!H:H,'AGT TB Apr -25'!S:S,B104)</f>
        <v>0</v>
      </c>
      <c r="D104" s="21">
        <f>SUMIFS('AGT TB Apr -25'!I:I,'AGT TB Apr -25'!S:S,B104)</f>
        <v>0</v>
      </c>
      <c r="E104" s="21">
        <f>SUMIFS('AGT TB Apr -25'!J:J,'AGT TB Apr -25'!S:S,B104)</f>
        <v>0</v>
      </c>
      <c r="F104" s="21">
        <f>SUMIFS('AGT TB Apr -25'!K:K,'AGT TB Apr -25'!S:S,B104)</f>
        <v>0</v>
      </c>
      <c r="G104" s="21">
        <f>SUMIFS('AGT TB Apr -25'!L:L,'AGT TB Apr -25'!S:S,B104)</f>
        <v>0</v>
      </c>
      <c r="H104" s="252">
        <f t="shared" si="38"/>
        <v>0</v>
      </c>
    </row>
    <row r="105" spans="2:8" ht="11.25" customHeight="1" outlineLevel="1">
      <c r="B105" s="132" t="s">
        <v>107</v>
      </c>
      <c r="C105" s="21">
        <f>SUMIFS('AGT TB Apr -25'!H:H,'AGT TB Apr -25'!S:S,B105)</f>
        <v>0</v>
      </c>
      <c r="D105" s="21">
        <f>SUMIFS('AGT TB Apr -25'!I:I,'AGT TB Apr -25'!S:S,B105)</f>
        <v>0</v>
      </c>
      <c r="E105" s="21">
        <f>SUMIFS('AGT TB Apr -25'!J:J,'AGT TB Apr -25'!S:S,B105)</f>
        <v>0</v>
      </c>
      <c r="F105" s="21">
        <f>SUMIFS('AGT TB Apr -25'!K:K,'AGT TB Apr -25'!S:S,B105)</f>
        <v>0</v>
      </c>
      <c r="G105" s="21">
        <f>SUMIFS('AGT TB Apr -25'!L:L,'AGT TB Apr -25'!S:S,B105)</f>
        <v>0</v>
      </c>
      <c r="H105" s="252">
        <f t="shared" si="38"/>
        <v>0</v>
      </c>
    </row>
    <row r="106" spans="2:8" ht="11.25" customHeight="1" outlineLevel="1">
      <c r="B106" s="132" t="s">
        <v>699</v>
      </c>
      <c r="C106" s="21">
        <f>SUMIFS('AGT TB Apr -25'!H:H,'AGT TB Apr -25'!S:S,B106)</f>
        <v>0</v>
      </c>
      <c r="D106" s="21">
        <f>SUMIFS('AGT TB Apr -25'!I:I,'AGT TB Apr -25'!S:S,B106)</f>
        <v>0</v>
      </c>
      <c r="E106" s="21">
        <f>SUMIFS('AGT TB Apr -25'!J:J,'AGT TB Apr -25'!S:S,B106)</f>
        <v>0</v>
      </c>
      <c r="F106" s="21">
        <f>SUMIFS('AGT TB Apr -25'!K:K,'AGT TB Apr -25'!S:S,B106)</f>
        <v>0</v>
      </c>
      <c r="G106" s="21">
        <f>SUMIFS('AGT TB Apr -25'!L:L,'AGT TB Apr -25'!S:S,B106)</f>
        <v>0</v>
      </c>
      <c r="H106" s="252">
        <f t="shared" si="38"/>
        <v>0</v>
      </c>
    </row>
    <row r="107" spans="2:8" ht="11.25" customHeight="1" outlineLevel="1">
      <c r="B107" s="132" t="s">
        <v>122</v>
      </c>
      <c r="C107" s="21">
        <f>SUMIFS('AGT TB Apr -25'!H:H,'AGT TB Apr -25'!S:S,B107)</f>
        <v>0</v>
      </c>
      <c r="D107" s="21">
        <f>SUMIFS('AGT TB Apr -25'!I:I,'AGT TB Apr -25'!S:S,B107)</f>
        <v>0</v>
      </c>
      <c r="E107" s="21">
        <f>SUMIFS('AGT TB Apr -25'!J:J,'AGT TB Apr -25'!S:S,B107)</f>
        <v>0</v>
      </c>
      <c r="F107" s="21">
        <f>SUMIFS('AGT TB Apr -25'!K:K,'AGT TB Apr -25'!S:S,B107)</f>
        <v>0</v>
      </c>
      <c r="G107" s="21">
        <f>SUMIFS('AGT TB Apr -25'!L:L,'AGT TB Apr -25'!S:S,B107)</f>
        <v>0</v>
      </c>
      <c r="H107" s="252">
        <f t="shared" si="38"/>
        <v>0</v>
      </c>
    </row>
    <row r="108" spans="2:8" ht="11.25" customHeight="1" outlineLevel="1">
      <c r="B108" s="132" t="s">
        <v>1191</v>
      </c>
      <c r="C108" s="21">
        <f>SUMIFS('AGT TB Apr -25'!H:H,'AGT TB Apr -25'!S:S,B108)</f>
        <v>0</v>
      </c>
      <c r="D108" s="21">
        <f>SUMIFS('AGT TB Apr -25'!I:I,'AGT TB Apr -25'!S:S,B108)</f>
        <v>0</v>
      </c>
      <c r="E108" s="21">
        <f>SUMIFS('AGT TB Apr -25'!J:J,'AGT TB Apr -25'!S:S,B108)</f>
        <v>0</v>
      </c>
      <c r="F108" s="21">
        <f>SUMIFS('AGT TB Apr -25'!K:K,'AGT TB Apr -25'!S:S,B108)</f>
        <v>0</v>
      </c>
      <c r="G108" s="21">
        <f>SUMIFS('AGT TB Apr -25'!L:L,'AGT TB Apr -25'!S:S,B108)</f>
        <v>0</v>
      </c>
      <c r="H108" s="252">
        <f t="shared" si="38"/>
        <v>0</v>
      </c>
    </row>
    <row r="109" spans="2:8" ht="11.25" customHeight="1" outlineLevel="1">
      <c r="B109" s="132" t="s">
        <v>1245</v>
      </c>
      <c r="C109" s="21">
        <f>SUMIFS('AGT TB Apr -25'!H:H,'AGT TB Apr -25'!S:S,B109)</f>
        <v>0</v>
      </c>
      <c r="D109" s="21">
        <f>SUMIFS('AGT TB Apr -25'!I:I,'AGT TB Apr -25'!S:S,B109)</f>
        <v>0</v>
      </c>
      <c r="E109" s="21">
        <f>SUMIFS('AGT TB Apr -25'!J:J,'AGT TB Apr -25'!S:S,B109)</f>
        <v>0</v>
      </c>
      <c r="F109" s="21">
        <f>SUMIFS('AGT TB Apr -25'!K:K,'AGT TB Apr -25'!S:S,B109)</f>
        <v>0</v>
      </c>
      <c r="G109" s="21">
        <f>SUMIFS('AGT TB Apr -25'!L:L,'AGT TB Apr -25'!S:S,B109)</f>
        <v>0</v>
      </c>
      <c r="H109" s="252">
        <f t="shared" si="38"/>
        <v>0</v>
      </c>
    </row>
    <row r="110" spans="2:8" ht="11.25" customHeight="1">
      <c r="B110" s="77" t="s">
        <v>13</v>
      </c>
      <c r="C110" s="160">
        <f t="shared" ref="C110" si="39">SUM(C111:C133)</f>
        <v>0</v>
      </c>
      <c r="D110" s="160">
        <f t="shared" ref="D110:E110" si="40">SUM(D111:D133)</f>
        <v>0</v>
      </c>
      <c r="E110" s="160">
        <f t="shared" si="40"/>
        <v>0</v>
      </c>
      <c r="F110" s="160">
        <f t="shared" ref="F110:G110" si="41">SUM(F111:F133)</f>
        <v>0</v>
      </c>
      <c r="G110" s="160">
        <f t="shared" si="41"/>
        <v>0</v>
      </c>
      <c r="H110" s="252">
        <f t="shared" si="38"/>
        <v>0</v>
      </c>
    </row>
    <row r="111" spans="2:8" ht="11.25" customHeight="1" outlineLevel="1">
      <c r="B111" s="115" t="s">
        <v>193</v>
      </c>
      <c r="C111" s="21">
        <f>SUMIFS('AGT TB Apr -25'!H:H,'AGT TB Apr -25'!S:S,B111)</f>
        <v>0</v>
      </c>
      <c r="D111" s="21">
        <f>SUMIFS('AGT TB Apr -25'!I:I,'AGT TB Apr -25'!S:S,B111)</f>
        <v>0</v>
      </c>
      <c r="E111" s="21">
        <f>SUMIFS('AGT TB Apr -25'!J:J,'AGT TB Apr -25'!S:S,B111)</f>
        <v>0</v>
      </c>
      <c r="F111" s="21">
        <f>SUMIFS('AGT TB Apr -25'!K:K,'AGT TB Apr -25'!S:S,B111)</f>
        <v>0</v>
      </c>
      <c r="G111" s="21">
        <f>SUMIFS('AGT TB Apr -25'!L:L,'AGT TB Apr -25'!S:S,B111)</f>
        <v>0</v>
      </c>
      <c r="H111" s="252">
        <f t="shared" si="38"/>
        <v>0</v>
      </c>
    </row>
    <row r="112" spans="2:8" ht="11.25" customHeight="1" outlineLevel="1">
      <c r="B112" s="115" t="s">
        <v>1275</v>
      </c>
      <c r="C112" s="21">
        <f>SUMIFS('AGT TB Apr -25'!H:H,'AGT TB Apr -25'!S:S,B112)</f>
        <v>0</v>
      </c>
      <c r="D112" s="21">
        <f>SUMIFS('AGT TB Apr -25'!I:I,'AGT TB Apr -25'!S:S,B112)</f>
        <v>0</v>
      </c>
      <c r="E112" s="21">
        <f>SUMIFS('AGT TB Apr -25'!J:J,'AGT TB Apr -25'!S:S,B112)</f>
        <v>0</v>
      </c>
      <c r="F112" s="21">
        <f>SUMIFS('AGT TB Apr -25'!K:K,'AGT TB Apr -25'!S:S,B112)</f>
        <v>0</v>
      </c>
      <c r="G112" s="21">
        <f>SUMIFS('AGT TB Apr -25'!L:L,'AGT TB Apr -25'!S:S,B112)</f>
        <v>0</v>
      </c>
      <c r="H112" s="252">
        <f t="shared" si="38"/>
        <v>0</v>
      </c>
    </row>
    <row r="113" spans="2:8" ht="11.25" customHeight="1" outlineLevel="1">
      <c r="B113" s="115" t="s">
        <v>1249</v>
      </c>
      <c r="C113" s="21">
        <f>SUMIFS('AGT TB Apr -25'!H:H,'AGT TB Apr -25'!S:S,B113)</f>
        <v>0</v>
      </c>
      <c r="D113" s="21">
        <f>SUMIFS('AGT TB Apr -25'!I:I,'AGT TB Apr -25'!S:S,B113)</f>
        <v>0</v>
      </c>
      <c r="E113" s="21">
        <f>SUMIFS('AGT TB Apr -25'!J:J,'AGT TB Apr -25'!S:S,B113)</f>
        <v>0</v>
      </c>
      <c r="F113" s="21">
        <f>SUMIFS('AGT TB Apr -25'!K:K,'AGT TB Apr -25'!S:S,B113)</f>
        <v>0</v>
      </c>
      <c r="G113" s="21">
        <f>SUMIFS('AGT TB Apr -25'!L:L,'AGT TB Apr -25'!S:S,B113)</f>
        <v>0</v>
      </c>
      <c r="H113" s="252">
        <f t="shared" si="38"/>
        <v>0</v>
      </c>
    </row>
    <row r="114" spans="2:8" ht="11.25" customHeight="1" outlineLevel="1">
      <c r="B114" s="115" t="s">
        <v>1207</v>
      </c>
      <c r="C114" s="21">
        <f>SUMIFS('AGT TB Apr -25'!H:H,'AGT TB Apr -25'!S:S,B114)</f>
        <v>0</v>
      </c>
      <c r="D114" s="21">
        <f>SUMIFS('AGT TB Apr -25'!I:I,'AGT TB Apr -25'!S:S,B114)</f>
        <v>0</v>
      </c>
      <c r="E114" s="21">
        <f>SUMIFS('AGT TB Apr -25'!J:J,'AGT TB Apr -25'!S:S,B114)</f>
        <v>0</v>
      </c>
      <c r="F114" s="21">
        <f>SUMIFS('AGT TB Apr -25'!K:K,'AGT TB Apr -25'!S:S,B114)</f>
        <v>0</v>
      </c>
      <c r="G114" s="21">
        <f>SUMIFS('AGT TB Apr -25'!L:L,'AGT TB Apr -25'!S:S,B114)</f>
        <v>0</v>
      </c>
      <c r="H114" s="252">
        <f t="shared" si="38"/>
        <v>0</v>
      </c>
    </row>
    <row r="115" spans="2:8" ht="11.25" customHeight="1" outlineLevel="1">
      <c r="B115" s="115" t="s">
        <v>531</v>
      </c>
      <c r="C115" s="21">
        <f>SUMIFS('AGT TB Apr -25'!H:H,'AGT TB Apr -25'!S:S,B115)</f>
        <v>0</v>
      </c>
      <c r="D115" s="21">
        <f>SUMIFS('AGT TB Apr -25'!I:I,'AGT TB Apr -25'!S:S,B115)</f>
        <v>0</v>
      </c>
      <c r="E115" s="21">
        <f>SUMIFS('AGT TB Apr -25'!J:J,'AGT TB Apr -25'!S:S,B115)</f>
        <v>0</v>
      </c>
      <c r="F115" s="21">
        <f>SUMIFS('AGT TB Apr -25'!K:K,'AGT TB Apr -25'!S:S,B115)</f>
        <v>0</v>
      </c>
      <c r="G115" s="21">
        <f>SUMIFS('AGT TB Apr -25'!L:L,'AGT TB Apr -25'!S:S,B115)</f>
        <v>0</v>
      </c>
      <c r="H115" s="252">
        <f t="shared" si="38"/>
        <v>0</v>
      </c>
    </row>
    <row r="116" spans="2:8" ht="11.25" customHeight="1" outlineLevel="1">
      <c r="B116" s="115" t="s">
        <v>626</v>
      </c>
      <c r="C116" s="21">
        <f>SUMIFS('AGT TB Apr -25'!H:H,'AGT TB Apr -25'!S:S,B116)</f>
        <v>0</v>
      </c>
      <c r="D116" s="21">
        <f>SUMIFS('AGT TB Apr -25'!I:I,'AGT TB Apr -25'!S:S,B116)</f>
        <v>0</v>
      </c>
      <c r="E116" s="21">
        <f>SUMIFS('AGT TB Apr -25'!J:J,'AGT TB Apr -25'!S:S,B116)</f>
        <v>0</v>
      </c>
      <c r="F116" s="21">
        <f>SUMIFS('AGT TB Apr -25'!K:K,'AGT TB Apr -25'!S:S,B116)</f>
        <v>0</v>
      </c>
      <c r="G116" s="21">
        <f>SUMIFS('AGT TB Apr -25'!L:L,'AGT TB Apr -25'!S:S,B116)</f>
        <v>0</v>
      </c>
      <c r="H116" s="252">
        <f t="shared" si="38"/>
        <v>0</v>
      </c>
    </row>
    <row r="117" spans="2:8" ht="11.25" customHeight="1" outlineLevel="1" collapsed="1">
      <c r="B117" s="78" t="s">
        <v>41</v>
      </c>
      <c r="C117" s="21">
        <f>SUMIFS('AGT TB Apr -25'!H:H,'AGT TB Apr -25'!S:S,B117)</f>
        <v>0</v>
      </c>
      <c r="D117" s="21">
        <f>SUMIFS('AGT TB Apr -25'!I:I,'AGT TB Apr -25'!S:S,B117)</f>
        <v>0</v>
      </c>
      <c r="E117" s="21">
        <f>SUMIFS('AGT TB Apr -25'!J:J,'AGT TB Apr -25'!S:S,B117)</f>
        <v>0</v>
      </c>
      <c r="F117" s="21">
        <f>SUMIFS('AGT TB Apr -25'!K:K,'AGT TB Apr -25'!S:S,B117)</f>
        <v>0</v>
      </c>
      <c r="G117" s="21">
        <f>SUMIFS('AGT TB Apr -25'!L:L,'AGT TB Apr -25'!S:S,B117)</f>
        <v>0</v>
      </c>
      <c r="H117" s="252">
        <f t="shared" si="38"/>
        <v>0</v>
      </c>
    </row>
    <row r="118" spans="2:8" ht="11.25" customHeight="1" outlineLevel="1">
      <c r="B118" s="78" t="s">
        <v>737</v>
      </c>
      <c r="C118" s="21">
        <f>SUMIFS('AGT TB Apr -25'!H:H,'AGT TB Apr -25'!S:S,B118)</f>
        <v>0</v>
      </c>
      <c r="D118" s="21">
        <f>SUMIFS('AGT TB Apr -25'!I:I,'AGT TB Apr -25'!S:S,B118)</f>
        <v>0</v>
      </c>
      <c r="E118" s="21">
        <f>SUMIFS('AGT TB Apr -25'!J:J,'AGT TB Apr -25'!S:S,B118)</f>
        <v>0</v>
      </c>
      <c r="F118" s="21">
        <f>SUMIFS('AGT TB Apr -25'!K:K,'AGT TB Apr -25'!S:S,B118)</f>
        <v>0</v>
      </c>
      <c r="G118" s="21">
        <f>SUMIFS('AGT TB Apr -25'!L:L,'AGT TB Apr -25'!S:S,B118)</f>
        <v>0</v>
      </c>
      <c r="H118" s="252">
        <f t="shared" si="38"/>
        <v>0</v>
      </c>
    </row>
    <row r="119" spans="2:8" ht="11.25" customHeight="1" outlineLevel="1">
      <c r="B119" s="78" t="s">
        <v>764</v>
      </c>
      <c r="C119" s="21">
        <f>SUMIFS('AGT TB Apr -25'!H:H,'AGT TB Apr -25'!S:S,B119)</f>
        <v>0</v>
      </c>
      <c r="D119" s="21">
        <f>SUMIFS('AGT TB Apr -25'!I:I,'AGT TB Apr -25'!S:S,B119)</f>
        <v>0</v>
      </c>
      <c r="E119" s="21">
        <f>SUMIFS('AGT TB Apr -25'!J:J,'AGT TB Apr -25'!S:S,B119)</f>
        <v>0</v>
      </c>
      <c r="F119" s="21">
        <f>SUMIFS('AGT TB Apr -25'!K:K,'AGT TB Apr -25'!S:S,B119)</f>
        <v>0</v>
      </c>
      <c r="G119" s="21">
        <f>SUMIFS('AGT TB Apr -25'!L:L,'AGT TB Apr -25'!S:S,B119)</f>
        <v>0</v>
      </c>
      <c r="H119" s="252">
        <f t="shared" si="38"/>
        <v>0</v>
      </c>
    </row>
    <row r="120" spans="2:8" ht="11.25" customHeight="1" outlineLevel="1">
      <c r="B120" s="78" t="s">
        <v>131</v>
      </c>
      <c r="C120" s="21">
        <f>SUMIFS('AGT TB Apr -25'!H:H,'AGT TB Apr -25'!S:S,B120)</f>
        <v>0</v>
      </c>
      <c r="D120" s="21">
        <f>SUMIFS('AGT TB Apr -25'!I:I,'AGT TB Apr -25'!S:S,B120)</f>
        <v>0</v>
      </c>
      <c r="E120" s="21">
        <f>SUMIFS('AGT TB Apr -25'!J:J,'AGT TB Apr -25'!S:S,B120)</f>
        <v>0</v>
      </c>
      <c r="F120" s="21">
        <f>SUMIFS('AGT TB Apr -25'!K:K,'AGT TB Apr -25'!S:S,B120)</f>
        <v>0</v>
      </c>
      <c r="G120" s="21">
        <f>SUMIFS('AGT TB Apr -25'!L:L,'AGT TB Apr -25'!S:S,B120)</f>
        <v>0</v>
      </c>
      <c r="H120" s="252">
        <f t="shared" si="38"/>
        <v>0</v>
      </c>
    </row>
    <row r="121" spans="2:8" ht="11.25" customHeight="1" outlineLevel="1">
      <c r="B121" s="78" t="s">
        <v>14</v>
      </c>
      <c r="C121" s="21">
        <f>SUMIFS('AGT TB Apr -25'!H:H,'AGT TB Apr -25'!S:S,B121)</f>
        <v>0</v>
      </c>
      <c r="D121" s="21">
        <f>SUMIFS('AGT TB Apr -25'!I:I,'AGT TB Apr -25'!S:S,B121)</f>
        <v>0</v>
      </c>
      <c r="E121" s="21">
        <f>SUMIFS('AGT TB Apr -25'!J:J,'AGT TB Apr -25'!S:S,B121)</f>
        <v>0</v>
      </c>
      <c r="F121" s="21">
        <f>SUMIFS('AGT TB Apr -25'!K:K,'AGT TB Apr -25'!S:S,B121)</f>
        <v>0</v>
      </c>
      <c r="G121" s="21">
        <f>SUMIFS('AGT TB Apr -25'!L:L,'AGT TB Apr -25'!S:S,B121)</f>
        <v>0</v>
      </c>
      <c r="H121" s="252">
        <f t="shared" si="38"/>
        <v>0</v>
      </c>
    </row>
    <row r="122" spans="2:8" ht="11.25" customHeight="1" outlineLevel="1">
      <c r="B122" s="78" t="s">
        <v>283</v>
      </c>
      <c r="C122" s="21">
        <f>SUMIFS('AGT TB Apr -25'!H:H,'AGT TB Apr -25'!S:S,B122)</f>
        <v>0</v>
      </c>
      <c r="D122" s="21">
        <f>SUMIFS('AGT TB Apr -25'!I:I,'AGT TB Apr -25'!S:S,B122)</f>
        <v>0</v>
      </c>
      <c r="E122" s="21">
        <f>SUMIFS('AGT TB Apr -25'!J:J,'AGT TB Apr -25'!S:S,B122)</f>
        <v>0</v>
      </c>
      <c r="F122" s="21">
        <f>SUMIFS('AGT TB Apr -25'!K:K,'AGT TB Apr -25'!S:S,B122)</f>
        <v>0</v>
      </c>
      <c r="G122" s="21">
        <f>SUMIFS('AGT TB Apr -25'!L:L,'AGT TB Apr -25'!S:S,B122)</f>
        <v>0</v>
      </c>
      <c r="H122" s="252">
        <f t="shared" si="38"/>
        <v>0</v>
      </c>
    </row>
    <row r="123" spans="2:8" ht="11.25" customHeight="1" outlineLevel="1">
      <c r="B123" s="78" t="s">
        <v>307</v>
      </c>
      <c r="C123" s="21">
        <f>SUMIFS('AGT TB Apr -25'!H:H,'AGT TB Apr -25'!S:S,B123)</f>
        <v>0</v>
      </c>
      <c r="D123" s="21">
        <f>SUMIFS('AGT TB Apr -25'!I:I,'AGT TB Apr -25'!S:S,B123)</f>
        <v>0</v>
      </c>
      <c r="E123" s="21">
        <f>SUMIFS('AGT TB Apr -25'!J:J,'AGT TB Apr -25'!S:S,B123)</f>
        <v>0</v>
      </c>
      <c r="F123" s="21">
        <f>SUMIFS('AGT TB Apr -25'!K:K,'AGT TB Apr -25'!S:S,B123)</f>
        <v>0</v>
      </c>
      <c r="G123" s="21">
        <f>SUMIFS('AGT TB Apr -25'!L:L,'AGT TB Apr -25'!S:S,B123)</f>
        <v>0</v>
      </c>
      <c r="H123" s="252">
        <f t="shared" si="38"/>
        <v>0</v>
      </c>
    </row>
    <row r="124" spans="2:8" ht="11.25" customHeight="1" outlineLevel="1">
      <c r="B124" s="78" t="s">
        <v>308</v>
      </c>
      <c r="C124" s="21">
        <f>SUMIFS('AGT TB Apr -25'!H:H,'AGT TB Apr -25'!S:S,B124)</f>
        <v>0</v>
      </c>
      <c r="D124" s="21">
        <f>SUMIFS('AGT TB Apr -25'!I:I,'AGT TB Apr -25'!S:S,B124)</f>
        <v>0</v>
      </c>
      <c r="E124" s="21">
        <f>SUMIFS('AGT TB Apr -25'!J:J,'AGT TB Apr -25'!S:S,B124)</f>
        <v>0</v>
      </c>
      <c r="F124" s="21">
        <f>SUMIFS('AGT TB Apr -25'!K:K,'AGT TB Apr -25'!S:S,B124)</f>
        <v>0</v>
      </c>
      <c r="G124" s="21">
        <f>SUMIFS('AGT TB Apr -25'!L:L,'AGT TB Apr -25'!S:S,B124)</f>
        <v>0</v>
      </c>
      <c r="H124" s="252">
        <f t="shared" si="38"/>
        <v>0</v>
      </c>
    </row>
    <row r="125" spans="2:8" ht="11.25" customHeight="1" outlineLevel="1">
      <c r="B125" s="78" t="s">
        <v>1823</v>
      </c>
      <c r="C125" s="21">
        <f>SUMIFS('AGT TB Apr -25'!H:H,'AGT TB Apr -25'!S:S,B125)</f>
        <v>0</v>
      </c>
      <c r="D125" s="21">
        <f>SUMIFS('AGT TB Apr -25'!I:I,'AGT TB Apr -25'!S:S,B125)</f>
        <v>0</v>
      </c>
      <c r="E125" s="21">
        <f>SUMIFS('AGT TB Apr -25'!J:J,'AGT TB Apr -25'!S:S,B125)</f>
        <v>0</v>
      </c>
      <c r="F125" s="21">
        <f>SUMIFS('AGT TB Apr -25'!K:K,'AGT TB Apr -25'!S:S,B125)</f>
        <v>0</v>
      </c>
      <c r="G125" s="21">
        <f>SUMIFS('AGT TB Apr -25'!L:L,'AGT TB Apr -25'!S:S,B125)</f>
        <v>0</v>
      </c>
      <c r="H125" s="252">
        <f t="shared" si="38"/>
        <v>0</v>
      </c>
    </row>
    <row r="126" spans="2:8" ht="11.25" customHeight="1" outlineLevel="1">
      <c r="B126" s="78" t="s">
        <v>422</v>
      </c>
      <c r="C126" s="21">
        <f>SUMIFS('AGT TB Apr -25'!H:H,'AGT TB Apr -25'!S:S,B126)</f>
        <v>0</v>
      </c>
      <c r="D126" s="21">
        <f>SUMIFS('AGT TB Apr -25'!I:I,'AGT TB Apr -25'!S:S,B126)</f>
        <v>0</v>
      </c>
      <c r="E126" s="21">
        <f>SUMIFS('AGT TB Apr -25'!J:J,'AGT TB Apr -25'!S:S,B126)</f>
        <v>0</v>
      </c>
      <c r="F126" s="21">
        <f>SUMIFS('AGT TB Apr -25'!K:K,'AGT TB Apr -25'!S:S,B126)</f>
        <v>0</v>
      </c>
      <c r="G126" s="21">
        <f>SUMIFS('AGT TB Apr -25'!L:L,'AGT TB Apr -25'!S:S,B126)</f>
        <v>0</v>
      </c>
      <c r="H126" s="252">
        <f t="shared" si="38"/>
        <v>0</v>
      </c>
    </row>
    <row r="127" spans="2:8" ht="11.25" customHeight="1" outlineLevel="1">
      <c r="B127" s="78" t="s">
        <v>782</v>
      </c>
      <c r="C127" s="21">
        <f>SUMIFS('AGT TB Apr -25'!H:H,'AGT TB Apr -25'!S:S,B127)</f>
        <v>0</v>
      </c>
      <c r="D127" s="21">
        <f>SUMIFS('AGT TB Apr -25'!I:I,'AGT TB Apr -25'!S:S,B127)</f>
        <v>0</v>
      </c>
      <c r="E127" s="21">
        <f>SUMIFS('AGT TB Apr -25'!J:J,'AGT TB Apr -25'!S:S,B127)</f>
        <v>0</v>
      </c>
      <c r="F127" s="21">
        <f>SUMIFS('AGT TB Apr -25'!K:K,'AGT TB Apr -25'!S:S,B127)</f>
        <v>0</v>
      </c>
      <c r="G127" s="21">
        <f>SUMIFS('AGT TB Apr -25'!L:L,'AGT TB Apr -25'!S:S,B127)</f>
        <v>0</v>
      </c>
      <c r="H127" s="252">
        <f t="shared" si="38"/>
        <v>0</v>
      </c>
    </row>
    <row r="128" spans="2:8" ht="11.25" customHeight="1" outlineLevel="1">
      <c r="B128" s="78" t="s">
        <v>761</v>
      </c>
      <c r="C128" s="21">
        <f>SUMIFS('AGT TB Apr -25'!H:H,'AGT TB Apr -25'!S:S,B128)</f>
        <v>0</v>
      </c>
      <c r="D128" s="21">
        <f>SUMIFS('AGT TB Apr -25'!I:I,'AGT TB Apr -25'!S:S,B128)</f>
        <v>0</v>
      </c>
      <c r="E128" s="21">
        <f>SUMIFS('AGT TB Apr -25'!J:J,'AGT TB Apr -25'!S:S,B128)</f>
        <v>0</v>
      </c>
      <c r="F128" s="21">
        <f>SUMIFS('AGT TB Apr -25'!K:K,'AGT TB Apr -25'!S:S,B128)</f>
        <v>0</v>
      </c>
      <c r="G128" s="21">
        <f>SUMIFS('AGT TB Apr -25'!L:L,'AGT TB Apr -25'!S:S,B128)</f>
        <v>0</v>
      </c>
      <c r="H128" s="252">
        <f t="shared" si="38"/>
        <v>0</v>
      </c>
    </row>
    <row r="129" spans="2:8" ht="11.25" customHeight="1" outlineLevel="1">
      <c r="B129" s="78" t="s">
        <v>1246</v>
      </c>
      <c r="C129" s="21">
        <f>SUMIFS('AGT TB Apr -25'!H:H,'AGT TB Apr -25'!S:S,B129)</f>
        <v>0</v>
      </c>
      <c r="D129" s="21">
        <f>SUMIFS('AGT TB Apr -25'!I:I,'AGT TB Apr -25'!S:S,B129)</f>
        <v>0</v>
      </c>
      <c r="E129" s="21">
        <f>SUMIFS('AGT TB Apr -25'!J:J,'AGT TB Apr -25'!S:S,B129)</f>
        <v>0</v>
      </c>
      <c r="F129" s="21">
        <f>SUMIFS('AGT TB Apr -25'!K:K,'AGT TB Apr -25'!S:S,B129)</f>
        <v>0</v>
      </c>
      <c r="G129" s="21">
        <f>SUMIFS('AGT TB Apr -25'!L:L,'AGT TB Apr -25'!S:S,B129)</f>
        <v>0</v>
      </c>
      <c r="H129" s="252">
        <f t="shared" si="38"/>
        <v>0</v>
      </c>
    </row>
    <row r="130" spans="2:8" ht="11.25" customHeight="1" outlineLevel="1">
      <c r="B130" s="78" t="s">
        <v>892</v>
      </c>
      <c r="C130" s="21">
        <f>SUMIFS('AGT TB Apr -25'!H:H,'AGT TB Apr -25'!S:S,B130)</f>
        <v>0</v>
      </c>
      <c r="D130" s="21">
        <f>SUMIFS('AGT TB Apr -25'!I:I,'AGT TB Apr -25'!S:S,B130)</f>
        <v>0</v>
      </c>
      <c r="E130" s="21">
        <f>SUMIFS('AGT TB Apr -25'!J:J,'AGT TB Apr -25'!S:S,B130)</f>
        <v>0</v>
      </c>
      <c r="F130" s="21">
        <f>SUMIFS('AGT TB Apr -25'!K:K,'AGT TB Apr -25'!S:S,B130)</f>
        <v>0</v>
      </c>
      <c r="G130" s="21">
        <f>SUMIFS('AGT TB Apr -25'!L:L,'AGT TB Apr -25'!S:S,B130)</f>
        <v>0</v>
      </c>
      <c r="H130" s="252">
        <f t="shared" si="38"/>
        <v>0</v>
      </c>
    </row>
    <row r="131" spans="2:8" ht="11.25" customHeight="1" outlineLevel="1">
      <c r="B131" s="78" t="s">
        <v>1274</v>
      </c>
      <c r="C131" s="21">
        <f>SUMIFS('AGT TB Apr -25'!H:H,'AGT TB Apr -25'!S:S,B131)</f>
        <v>0</v>
      </c>
      <c r="D131" s="21">
        <f>SUMIFS('AGT TB Apr -25'!I:I,'AGT TB Apr -25'!S:S,B131)</f>
        <v>0</v>
      </c>
      <c r="E131" s="21">
        <f>SUMIFS('AGT TB Apr -25'!J:J,'AGT TB Apr -25'!S:S,B131)</f>
        <v>0</v>
      </c>
      <c r="F131" s="21">
        <f>SUMIFS('AGT TB Apr -25'!K:K,'AGT TB Apr -25'!S:S,B131)</f>
        <v>0</v>
      </c>
      <c r="G131" s="21">
        <f>SUMIFS('AGT TB Apr -25'!L:L,'AGT TB Apr -25'!S:S,B131)</f>
        <v>0</v>
      </c>
      <c r="H131" s="252">
        <f t="shared" si="38"/>
        <v>0</v>
      </c>
    </row>
    <row r="132" spans="2:8" ht="11.25" customHeight="1" outlineLevel="1">
      <c r="B132" s="78" t="s">
        <v>149</v>
      </c>
      <c r="C132" s="21">
        <f>SUMIFS('AGT TB Apr -25'!H:H,'AGT TB Apr -25'!S:S,B132)</f>
        <v>0</v>
      </c>
      <c r="D132" s="21">
        <f>SUMIFS('AGT TB Apr -25'!I:I,'AGT TB Apr -25'!S:S,B132)</f>
        <v>0</v>
      </c>
      <c r="E132" s="21">
        <f>SUMIFS('AGT TB Apr -25'!J:J,'AGT TB Apr -25'!S:S,B132)</f>
        <v>0</v>
      </c>
      <c r="F132" s="21">
        <f>SUMIFS('AGT TB Apr -25'!K:K,'AGT TB Apr -25'!S:S,B132)</f>
        <v>0</v>
      </c>
      <c r="G132" s="21">
        <f>SUMIFS('AGT TB Apr -25'!L:L,'AGT TB Apr -25'!S:S,B132)</f>
        <v>0</v>
      </c>
      <c r="H132" s="252">
        <f t="shared" si="38"/>
        <v>0</v>
      </c>
    </row>
    <row r="133" spans="2:8" ht="11.25" customHeight="1" outlineLevel="1">
      <c r="B133" s="78" t="s">
        <v>801</v>
      </c>
      <c r="C133" s="21">
        <f>SUMIFS('AGT TB Apr -25'!H:H,'AGT TB Apr -25'!S:S,B133)</f>
        <v>0</v>
      </c>
      <c r="D133" s="21">
        <f>SUMIFS('AGT TB Apr -25'!I:I,'AGT TB Apr -25'!S:S,B133)</f>
        <v>0</v>
      </c>
      <c r="E133" s="21">
        <f>SUMIFS('AGT TB Apr -25'!J:J,'AGT TB Apr -25'!S:S,B133)</f>
        <v>0</v>
      </c>
      <c r="F133" s="21">
        <f>SUMIFS('AGT TB Apr -25'!K:K,'AGT TB Apr -25'!S:S,B133)</f>
        <v>0</v>
      </c>
      <c r="G133" s="21">
        <f>SUMIFS('AGT TB Apr -25'!L:L,'AGT TB Apr -25'!S:S,B133)</f>
        <v>0</v>
      </c>
      <c r="H133" s="252">
        <f t="shared" si="38"/>
        <v>0</v>
      </c>
    </row>
    <row r="134" spans="2:8" ht="11.25" customHeight="1">
      <c r="B134" s="77" t="s">
        <v>309</v>
      </c>
      <c r="C134" s="21">
        <f t="shared" ref="C134:D134" si="42">SUM(C135:C136)</f>
        <v>0</v>
      </c>
      <c r="D134" s="21">
        <f t="shared" si="42"/>
        <v>0</v>
      </c>
      <c r="E134" s="21">
        <f t="shared" ref="E134:F134" si="43">SUM(E135:E136)</f>
        <v>0</v>
      </c>
      <c r="F134" s="21">
        <f t="shared" si="43"/>
        <v>0</v>
      </c>
      <c r="G134" s="21">
        <f t="shared" ref="G134" si="44">SUM(G135:G136)</f>
        <v>0</v>
      </c>
      <c r="H134" s="252">
        <f t="shared" ref="H134:H165" si="45">SUM(C134:G134)</f>
        <v>0</v>
      </c>
    </row>
    <row r="135" spans="2:8" ht="11.25" customHeight="1" outlineLevel="1">
      <c r="B135" s="78" t="s">
        <v>311</v>
      </c>
      <c r="C135" s="21">
        <f>SUMIFS('AGT TB Apr -25'!H:H,'AGT TB Apr -25'!S:S,B135)</f>
        <v>0</v>
      </c>
      <c r="D135" s="21">
        <f>SUMIFS('AGT TB Apr -25'!I:I,'AGT TB Apr -25'!S:S,B135)</f>
        <v>0</v>
      </c>
      <c r="E135" s="21">
        <f>SUMIFS('AGT TB Apr -25'!J:J,'AGT TB Apr -25'!S:S,B135)</f>
        <v>0</v>
      </c>
      <c r="F135" s="21">
        <f>SUMIFS('AGT TB Apr -25'!K:K,'AGT TB Apr -25'!S:S,B135)</f>
        <v>0</v>
      </c>
      <c r="G135" s="21">
        <f>SUMIFS('AGT TB Apr -25'!L:L,'AGT TB Apr -25'!S:S,B135)</f>
        <v>0</v>
      </c>
      <c r="H135" s="252">
        <f t="shared" si="45"/>
        <v>0</v>
      </c>
    </row>
    <row r="136" spans="2:8" ht="11.25" customHeight="1" outlineLevel="1">
      <c r="B136" s="78" t="s">
        <v>310</v>
      </c>
      <c r="C136" s="21">
        <f>SUMIFS('AGT TB Apr -25'!H:H,'AGT TB Apr -25'!S:S,B136)</f>
        <v>0</v>
      </c>
      <c r="D136" s="21">
        <f>SUMIFS('AGT TB Apr -25'!I:I,'AGT TB Apr -25'!S:S,B136)</f>
        <v>0</v>
      </c>
      <c r="E136" s="21">
        <f>SUMIFS('AGT TB Apr -25'!J:J,'AGT TB Apr -25'!S:S,B136)</f>
        <v>0</v>
      </c>
      <c r="F136" s="21">
        <f>SUMIFS('AGT TB Apr -25'!K:K,'AGT TB Apr -25'!S:S,B136)</f>
        <v>0</v>
      </c>
      <c r="G136" s="21">
        <f>SUMIFS('AGT TB Apr -25'!L:L,'AGT TB Apr -25'!S:S,B136)</f>
        <v>0</v>
      </c>
      <c r="H136" s="252">
        <f t="shared" si="45"/>
        <v>0</v>
      </c>
    </row>
    <row r="137" spans="2:8" ht="11.25" customHeight="1">
      <c r="B137" s="74" t="s">
        <v>15</v>
      </c>
      <c r="C137" s="22">
        <f t="shared" ref="C137" si="46">+C50+C60+C62+C63+C83+C87+C94+C99+C110+C134</f>
        <v>0</v>
      </c>
      <c r="D137" s="22">
        <f t="shared" ref="D137:E137" si="47">+D50+D60+D62+D63+D83+D87+D94+D99+D110+D134</f>
        <v>0</v>
      </c>
      <c r="E137" s="22">
        <f t="shared" si="47"/>
        <v>0</v>
      </c>
      <c r="F137" s="22">
        <f t="shared" ref="F137:G137" si="48">+F50+F60+F62+F63+F83+F87+F94+F99+F110+F134</f>
        <v>0</v>
      </c>
      <c r="G137" s="22">
        <f t="shared" si="48"/>
        <v>0</v>
      </c>
      <c r="H137" s="252">
        <f t="shared" si="45"/>
        <v>0</v>
      </c>
    </row>
    <row r="138" spans="2:8" ht="12" customHeight="1">
      <c r="B138" s="62"/>
      <c r="C138" s="21"/>
      <c r="D138" s="21"/>
      <c r="E138" s="21"/>
      <c r="F138" s="21"/>
      <c r="G138" s="21"/>
      <c r="H138" s="252">
        <f t="shared" si="45"/>
        <v>0</v>
      </c>
    </row>
    <row r="139" spans="2:8" ht="12" customHeight="1">
      <c r="B139" s="133" t="s">
        <v>16</v>
      </c>
      <c r="C139" s="64">
        <f t="shared" ref="C139" si="49">C41+C46-C137</f>
        <v>0</v>
      </c>
      <c r="D139" s="64">
        <f t="shared" ref="D139:E139" si="50">D41+D46-D137</f>
        <v>0</v>
      </c>
      <c r="E139" s="64">
        <f t="shared" si="50"/>
        <v>0</v>
      </c>
      <c r="F139" s="64">
        <f t="shared" ref="F139:G139" si="51">F41+F46-F137</f>
        <v>0</v>
      </c>
      <c r="G139" s="64">
        <f t="shared" si="51"/>
        <v>0</v>
      </c>
      <c r="H139" s="252">
        <f t="shared" si="45"/>
        <v>0</v>
      </c>
    </row>
    <row r="140" spans="2:8" ht="12" customHeight="1">
      <c r="B140" s="74" t="s">
        <v>571</v>
      </c>
      <c r="C140" s="161"/>
      <c r="D140" s="161"/>
      <c r="E140" s="161"/>
      <c r="F140" s="161"/>
      <c r="G140" s="161"/>
      <c r="H140" s="252">
        <f t="shared" si="45"/>
        <v>0</v>
      </c>
    </row>
    <row r="141" spans="2:8" ht="12" customHeight="1">
      <c r="B141" s="134" t="s">
        <v>572</v>
      </c>
      <c r="C141" s="39">
        <f t="shared" ref="C141" si="52">C139+C140</f>
        <v>0</v>
      </c>
      <c r="D141" s="39">
        <f t="shared" ref="D141:E141" si="53">D139+D140</f>
        <v>0</v>
      </c>
      <c r="E141" s="39">
        <f t="shared" si="53"/>
        <v>0</v>
      </c>
      <c r="F141" s="39">
        <f t="shared" ref="F141:G141" si="54">F139+F140</f>
        <v>0</v>
      </c>
      <c r="G141" s="39">
        <f t="shared" si="54"/>
        <v>0</v>
      </c>
      <c r="H141" s="252">
        <f t="shared" si="45"/>
        <v>0</v>
      </c>
    </row>
    <row r="142" spans="2:8" ht="12" customHeight="1">
      <c r="B142" s="134" t="s">
        <v>205</v>
      </c>
      <c r="C142" s="21">
        <f>SUMIFS('AGT TB Apr -25'!H:H,'AGT TB Apr -25'!S:S,B142)</f>
        <v>0</v>
      </c>
      <c r="D142" s="21">
        <f>SUMIFS('AGT TB Apr -25'!I:I,'AGT TB Apr -25'!S:S,B142)</f>
        <v>0</v>
      </c>
      <c r="E142" s="21">
        <f>SUMIFS('AGT TB Apr -25'!J:J,'AGT TB Apr -25'!S:S,B142)</f>
        <v>0</v>
      </c>
      <c r="F142" s="21">
        <f>SUMIFS('AGT TB Apr -25'!K:K,'AGT TB Apr -25'!S:S,B142)</f>
        <v>0</v>
      </c>
      <c r="G142" s="21">
        <f>SUMIFS('AGT TB Apr -25'!L:L,'AGT TB Apr -25'!S:S,B142)</f>
        <v>0</v>
      </c>
      <c r="H142" s="252">
        <f t="shared" si="45"/>
        <v>0</v>
      </c>
    </row>
    <row r="143" spans="2:8" ht="12" customHeight="1">
      <c r="B143" s="134" t="s">
        <v>315</v>
      </c>
      <c r="C143" s="39">
        <f t="shared" ref="C143:G143" si="55">SUM(C144:C160)</f>
        <v>0</v>
      </c>
      <c r="D143" s="39">
        <f t="shared" si="55"/>
        <v>0</v>
      </c>
      <c r="E143" s="39">
        <f t="shared" si="55"/>
        <v>0</v>
      </c>
      <c r="F143" s="39">
        <f t="shared" si="55"/>
        <v>0</v>
      </c>
      <c r="G143" s="39">
        <f t="shared" si="55"/>
        <v>0</v>
      </c>
      <c r="H143" s="252">
        <f t="shared" si="45"/>
        <v>0</v>
      </c>
    </row>
    <row r="144" spans="2:8" ht="12" customHeight="1" outlineLevel="1">
      <c r="B144" s="135" t="s">
        <v>284</v>
      </c>
      <c r="C144" s="21">
        <f>SUMIFS('AGT TB Apr -25'!H:H,'AGT TB Apr -25'!S:S,B144)</f>
        <v>0</v>
      </c>
      <c r="D144" s="21">
        <f>SUMIFS('AGT TB Apr -25'!I:I,'AGT TB Apr -25'!S:S,B144)</f>
        <v>0</v>
      </c>
      <c r="E144" s="21">
        <f>SUMIFS('AGT TB Apr -25'!J:J,'AGT TB Apr -25'!S:S,B144)</f>
        <v>0</v>
      </c>
      <c r="F144" s="21">
        <f>SUMIFS('AGT TB Apr -25'!K:K,'AGT TB Apr -25'!S:S,B144)</f>
        <v>0</v>
      </c>
      <c r="G144" s="21">
        <f>SUMIFS('AGT TB Apr -25'!L:L,'AGT TB Apr -25'!S:S,B144)</f>
        <v>0</v>
      </c>
      <c r="H144" s="252">
        <f t="shared" si="45"/>
        <v>0</v>
      </c>
    </row>
    <row r="145" spans="1:8" ht="12" customHeight="1" outlineLevel="1">
      <c r="B145" s="135" t="s">
        <v>285</v>
      </c>
      <c r="C145" s="21">
        <f>SUMIFS('AGT TB Apr -25'!H:H,'AGT TB Apr -25'!S:S,B145)</f>
        <v>0</v>
      </c>
      <c r="D145" s="21">
        <f>SUMIFS('AGT TB Apr -25'!I:I,'AGT TB Apr -25'!S:S,B145)</f>
        <v>0</v>
      </c>
      <c r="E145" s="21">
        <f>SUMIFS('AGT TB Apr -25'!J:J,'AGT TB Apr -25'!S:S,B145)</f>
        <v>0</v>
      </c>
      <c r="F145" s="21">
        <f>SUMIFS('AGT TB Apr -25'!K:K,'AGT TB Apr -25'!S:S,B145)</f>
        <v>0</v>
      </c>
      <c r="G145" s="21">
        <f>SUMIFS('AGT TB Apr -25'!L:L,'AGT TB Apr -25'!S:S,B145)</f>
        <v>0</v>
      </c>
      <c r="H145" s="252">
        <f t="shared" si="45"/>
        <v>0</v>
      </c>
    </row>
    <row r="146" spans="1:8" ht="12" customHeight="1" outlineLevel="1">
      <c r="A146" s="12" t="e">
        <f>#REF!-#REF!-#REF!</f>
        <v>#REF!</v>
      </c>
      <c r="B146" s="135" t="s">
        <v>2188</v>
      </c>
      <c r="C146" s="21">
        <f>SUMIFS('AGT TB Apr -25'!H:H,'AGT TB Apr -25'!S:S,B146)</f>
        <v>0</v>
      </c>
      <c r="D146" s="21">
        <f>SUMIFS('AGT TB Apr -25'!I:I,'AGT TB Apr -25'!S:S,B146)</f>
        <v>0</v>
      </c>
      <c r="E146" s="21">
        <f>SUMIFS('AGT TB Apr -25'!J:J,'AGT TB Apr -25'!S:S,B146)</f>
        <v>0</v>
      </c>
      <c r="F146" s="21">
        <f>SUMIFS('AGT TB Apr -25'!K:K,'AGT TB Apr -25'!S:S,B146)</f>
        <v>0</v>
      </c>
      <c r="G146" s="21">
        <f>SUMIFS('AGT TB Apr -25'!L:L,'AGT TB Apr -25'!S:S,B146)</f>
        <v>0</v>
      </c>
      <c r="H146" s="252">
        <f t="shared" si="45"/>
        <v>0</v>
      </c>
    </row>
    <row r="147" spans="1:8" ht="12" customHeight="1" outlineLevel="1">
      <c r="A147" s="12" t="e">
        <f>A146-#REF!</f>
        <v>#REF!</v>
      </c>
      <c r="B147" s="135" t="s">
        <v>281</v>
      </c>
      <c r="C147" s="21">
        <f>SUMIFS('AGT TB Apr -25'!H:H,'AGT TB Apr -25'!S:S,B147)</f>
        <v>0</v>
      </c>
      <c r="D147" s="21">
        <f>SUMIFS('AGT TB Apr -25'!I:I,'AGT TB Apr -25'!S:S,B147)</f>
        <v>0</v>
      </c>
      <c r="E147" s="21">
        <f>SUMIFS('AGT TB Apr -25'!J:J,'AGT TB Apr -25'!S:S,B147)</f>
        <v>0</v>
      </c>
      <c r="F147" s="21">
        <f>SUMIFS('AGT TB Apr -25'!K:K,'AGT TB Apr -25'!S:S,B147)</f>
        <v>0</v>
      </c>
      <c r="G147" s="21">
        <f>SUMIFS('AGT TB Apr -25'!L:L,'AGT TB Apr -25'!S:S,B147)</f>
        <v>0</v>
      </c>
      <c r="H147" s="252">
        <f t="shared" si="45"/>
        <v>0</v>
      </c>
    </row>
    <row r="148" spans="1:8" ht="12" customHeight="1" outlineLevel="1">
      <c r="A148" s="12" t="e">
        <f>#REF!</f>
        <v>#REF!</v>
      </c>
      <c r="B148" s="135" t="s">
        <v>282</v>
      </c>
      <c r="C148" s="21">
        <f>SUMIFS('AGT TB Apr -25'!H:H,'AGT TB Apr -25'!S:S,B148)</f>
        <v>0</v>
      </c>
      <c r="D148" s="21">
        <f>SUMIFS('AGT TB Apr -25'!I:I,'AGT TB Apr -25'!S:S,B148)</f>
        <v>0</v>
      </c>
      <c r="E148" s="21">
        <f>SUMIFS('AGT TB Apr -25'!J:J,'AGT TB Apr -25'!S:S,B148)</f>
        <v>0</v>
      </c>
      <c r="F148" s="21">
        <f>SUMIFS('AGT TB Apr -25'!K:K,'AGT TB Apr -25'!S:S,B148)</f>
        <v>0</v>
      </c>
      <c r="G148" s="21">
        <f>SUMIFS('AGT TB Apr -25'!L:L,'AGT TB Apr -25'!S:S,B148)</f>
        <v>0</v>
      </c>
      <c r="H148" s="252">
        <f t="shared" si="45"/>
        <v>0</v>
      </c>
    </row>
    <row r="149" spans="1:8" ht="12" customHeight="1" outlineLevel="1">
      <c r="A149" s="12" t="e">
        <f>A148-A147</f>
        <v>#REF!</v>
      </c>
      <c r="B149" s="135" t="s">
        <v>1062</v>
      </c>
      <c r="C149" s="21">
        <f>SUMIFS('AGT TB Apr -25'!H:H,'AGT TB Apr -25'!S:S,B149)</f>
        <v>0</v>
      </c>
      <c r="D149" s="21">
        <f>SUMIFS('AGT TB Apr -25'!I:I,'AGT TB Apr -25'!S:S,B149)</f>
        <v>0</v>
      </c>
      <c r="E149" s="21">
        <f>SUMIFS('AGT TB Apr -25'!J:J,'AGT TB Apr -25'!S:S,B149)</f>
        <v>0</v>
      </c>
      <c r="F149" s="21">
        <f>SUMIFS('AGT TB Apr -25'!K:K,'AGT TB Apr -25'!S:S,B149)</f>
        <v>0</v>
      </c>
      <c r="G149" s="21">
        <f>SUMIFS('AGT TB Apr -25'!L:L,'AGT TB Apr -25'!S:S,B149)</f>
        <v>0</v>
      </c>
      <c r="H149" s="252">
        <f t="shared" si="45"/>
        <v>0</v>
      </c>
    </row>
    <row r="150" spans="1:8" ht="12" customHeight="1" outlineLevel="1">
      <c r="B150" s="135" t="s">
        <v>286</v>
      </c>
      <c r="C150" s="21">
        <f>SUMIFS('AGT TB Apr -25'!H:H,'AGT TB Apr -25'!S:S,B150)</f>
        <v>0</v>
      </c>
      <c r="D150" s="21">
        <f>SUMIFS('AGT TB Apr -25'!I:I,'AGT TB Apr -25'!S:S,B150)</f>
        <v>0</v>
      </c>
      <c r="E150" s="21">
        <f>SUMIFS('AGT TB Apr -25'!J:J,'AGT TB Apr -25'!S:S,B150)</f>
        <v>0</v>
      </c>
      <c r="F150" s="21">
        <f>SUMIFS('AGT TB Apr -25'!K:K,'AGT TB Apr -25'!S:S,B150)</f>
        <v>0</v>
      </c>
      <c r="G150" s="21">
        <f>SUMIFS('AGT TB Apr -25'!L:L,'AGT TB Apr -25'!S:S,B150)</f>
        <v>0</v>
      </c>
      <c r="H150" s="252">
        <f t="shared" si="45"/>
        <v>0</v>
      </c>
    </row>
    <row r="151" spans="1:8" ht="12" customHeight="1" outlineLevel="1">
      <c r="B151" s="135" t="s">
        <v>321</v>
      </c>
      <c r="C151" s="21">
        <f>SUMIFS('AGT TB Apr -25'!H:H,'AGT TB Apr -25'!S:S,B151)</f>
        <v>0</v>
      </c>
      <c r="D151" s="21">
        <f>SUMIFS('AGT TB Apr -25'!I:I,'AGT TB Apr -25'!S:S,B151)</f>
        <v>0</v>
      </c>
      <c r="E151" s="21">
        <f>SUMIFS('AGT TB Apr -25'!J:J,'AGT TB Apr -25'!S:S,B151)</f>
        <v>0</v>
      </c>
      <c r="F151" s="21">
        <f>SUMIFS('AGT TB Apr -25'!K:K,'AGT TB Apr -25'!S:S,B151)</f>
        <v>0</v>
      </c>
      <c r="G151" s="21">
        <f>SUMIFS('AGT TB Apr -25'!L:L,'AGT TB Apr -25'!S:S,B151)</f>
        <v>0</v>
      </c>
      <c r="H151" s="252">
        <f t="shared" si="45"/>
        <v>0</v>
      </c>
    </row>
    <row r="152" spans="1:8" ht="12" customHeight="1" outlineLevel="1">
      <c r="B152" s="135" t="s">
        <v>420</v>
      </c>
      <c r="C152" s="21">
        <f>SUMIFS('AGT TB Apr -25'!H:H,'AGT TB Apr -25'!S:S,B152)</f>
        <v>0</v>
      </c>
      <c r="D152" s="21">
        <f>SUMIFS('AGT TB Apr -25'!I:I,'AGT TB Apr -25'!S:S,B152)</f>
        <v>0</v>
      </c>
      <c r="E152" s="21">
        <f>SUMIFS('AGT TB Apr -25'!J:J,'AGT TB Apr -25'!S:S,B152)</f>
        <v>0</v>
      </c>
      <c r="F152" s="21">
        <f>SUMIFS('AGT TB Apr -25'!K:K,'AGT TB Apr -25'!S:S,B152)</f>
        <v>0</v>
      </c>
      <c r="G152" s="21">
        <f>SUMIFS('AGT TB Apr -25'!L:L,'AGT TB Apr -25'!S:S,B152)</f>
        <v>0</v>
      </c>
      <c r="H152" s="252">
        <f t="shared" si="45"/>
        <v>0</v>
      </c>
    </row>
    <row r="153" spans="1:8" ht="12" customHeight="1" outlineLevel="1">
      <c r="B153" s="135" t="s">
        <v>421</v>
      </c>
      <c r="C153" s="21">
        <f>SUMIFS('AGT TB Apr -25'!H:H,'AGT TB Apr -25'!S:S,B153)</f>
        <v>0</v>
      </c>
      <c r="D153" s="21">
        <f>SUMIFS('AGT TB Apr -25'!I:I,'AGT TB Apr -25'!S:S,B153)</f>
        <v>0</v>
      </c>
      <c r="E153" s="21">
        <f>SUMIFS('AGT TB Apr -25'!J:J,'AGT TB Apr -25'!S:S,B153)</f>
        <v>0</v>
      </c>
      <c r="F153" s="21">
        <f>SUMIFS('AGT TB Apr -25'!K:K,'AGT TB Apr -25'!S:S,B153)</f>
        <v>0</v>
      </c>
      <c r="G153" s="21">
        <f>SUMIFS('AGT TB Apr -25'!L:L,'AGT TB Apr -25'!S:S,B153)</f>
        <v>0</v>
      </c>
      <c r="H153" s="252">
        <f t="shared" si="45"/>
        <v>0</v>
      </c>
    </row>
    <row r="154" spans="1:8" ht="12" customHeight="1" outlineLevel="1">
      <c r="B154" s="75" t="s">
        <v>82</v>
      </c>
      <c r="C154" s="21">
        <f>SUMIFS('AGT TB Apr -25'!H:H,'AGT TB Apr -25'!S:S,B154)</f>
        <v>0</v>
      </c>
      <c r="D154" s="21">
        <f>SUMIFS('AGT TB Apr -25'!I:I,'AGT TB Apr -25'!S:S,B154)</f>
        <v>0</v>
      </c>
      <c r="E154" s="21">
        <f>SUMIFS('AGT TB Apr -25'!J:J,'AGT TB Apr -25'!S:S,B154)</f>
        <v>0</v>
      </c>
      <c r="F154" s="21">
        <f>SUMIFS('AGT TB Apr -25'!K:K,'AGT TB Apr -25'!S:S,B154)</f>
        <v>0</v>
      </c>
      <c r="G154" s="21">
        <f>SUMIFS('AGT TB Apr -25'!L:L,'AGT TB Apr -25'!S:S,B154)</f>
        <v>0</v>
      </c>
      <c r="H154" s="252">
        <f t="shared" si="45"/>
        <v>0</v>
      </c>
    </row>
    <row r="155" spans="1:8" ht="12" customHeight="1" outlineLevel="1">
      <c r="B155" s="75" t="s">
        <v>764</v>
      </c>
      <c r="C155" s="21">
        <f>SUMIFS('AGT TB Apr -25'!H:H,'AGT TB Apr -25'!S:S,B155)</f>
        <v>0</v>
      </c>
      <c r="D155" s="21">
        <f>SUMIFS('AGT TB Apr -25'!I:I,'AGT TB Apr -25'!S:S,B155)</f>
        <v>0</v>
      </c>
      <c r="E155" s="21">
        <f>SUMIFS('AGT TB Apr -25'!J:J,'AGT TB Apr -25'!S:S,B155)</f>
        <v>0</v>
      </c>
      <c r="F155" s="21">
        <f>SUMIFS('AGT TB Apr -25'!K:K,'AGT TB Apr -25'!S:S,B155)</f>
        <v>0</v>
      </c>
      <c r="G155" s="21">
        <f>SUMIFS('AGT TB Apr -25'!L:L,'AGT TB Apr -25'!S:S,B155)</f>
        <v>0</v>
      </c>
      <c r="H155" s="252">
        <f t="shared" si="45"/>
        <v>0</v>
      </c>
    </row>
    <row r="156" spans="1:8" ht="12" customHeight="1" outlineLevel="1">
      <c r="B156" s="78" t="s">
        <v>767</v>
      </c>
      <c r="C156" s="21">
        <f>SUMIFS('AGT TB Apr -25'!H:H,'AGT TB Apr -25'!S:S,B156)</f>
        <v>0</v>
      </c>
      <c r="D156" s="21">
        <f>SUMIFS('AGT TB Apr -25'!I:I,'AGT TB Apr -25'!S:S,B156)</f>
        <v>0</v>
      </c>
      <c r="E156" s="21">
        <f>SUMIFS('AGT TB Apr -25'!J:J,'AGT TB Apr -25'!S:S,B156)</f>
        <v>0</v>
      </c>
      <c r="F156" s="21">
        <f>SUMIFS('AGT TB Apr -25'!K:K,'AGT TB Apr -25'!S:S,B156)</f>
        <v>0</v>
      </c>
      <c r="G156" s="21">
        <f>SUMIFS('AGT TB Apr -25'!L:L,'AGT TB Apr -25'!S:S,B156)</f>
        <v>0</v>
      </c>
      <c r="H156" s="252">
        <f t="shared" si="45"/>
        <v>0</v>
      </c>
    </row>
    <row r="157" spans="1:8" ht="12" customHeight="1" outlineLevel="1">
      <c r="B157" s="75" t="s">
        <v>783</v>
      </c>
      <c r="C157" s="21">
        <f>SUMIFS('AGT TB Apr -25'!H:H,'AGT TB Apr -25'!S:S,B157)</f>
        <v>0</v>
      </c>
      <c r="D157" s="21">
        <f>SUMIFS('AGT TB Apr -25'!I:I,'AGT TB Apr -25'!S:S,B157)</f>
        <v>0</v>
      </c>
      <c r="E157" s="21">
        <f>SUMIFS('AGT TB Apr -25'!J:J,'AGT TB Apr -25'!S:S,B157)</f>
        <v>0</v>
      </c>
      <c r="F157" s="21">
        <f>SUMIFS('AGT TB Apr -25'!K:K,'AGT TB Apr -25'!S:S,B157)</f>
        <v>0</v>
      </c>
      <c r="G157" s="21">
        <f>SUMIFS('AGT TB Apr -25'!L:L,'AGT TB Apr -25'!S:S,B157)</f>
        <v>0</v>
      </c>
      <c r="H157" s="252">
        <f t="shared" si="45"/>
        <v>0</v>
      </c>
    </row>
    <row r="158" spans="1:8" ht="12" customHeight="1" outlineLevel="1">
      <c r="B158" s="75" t="s">
        <v>849</v>
      </c>
      <c r="C158" s="21">
        <f>SUMIFS('AGT TB Apr -25'!H:H,'AGT TB Apr -25'!S:S,B158)</f>
        <v>0</v>
      </c>
      <c r="D158" s="21">
        <f>SUMIFS('AGT TB Apr -25'!I:I,'AGT TB Apr -25'!S:S,B158)</f>
        <v>0</v>
      </c>
      <c r="E158" s="21">
        <f>SUMIFS('AGT TB Apr -25'!J:J,'AGT TB Apr -25'!S:S,B158)</f>
        <v>0</v>
      </c>
      <c r="F158" s="21">
        <f>SUMIFS('AGT TB Apr -25'!K:K,'AGT TB Apr -25'!S:S,B158)</f>
        <v>0</v>
      </c>
      <c r="G158" s="21">
        <f>SUMIFS('AGT TB Apr -25'!L:L,'AGT TB Apr -25'!S:S,B158)</f>
        <v>0</v>
      </c>
      <c r="H158" s="252">
        <f t="shared" si="45"/>
        <v>0</v>
      </c>
    </row>
    <row r="159" spans="1:8" ht="12" customHeight="1" outlineLevel="1">
      <c r="B159" s="75" t="s">
        <v>820</v>
      </c>
      <c r="C159" s="21">
        <f>SUMIFS('AGT TB Apr -25'!H:H,'AGT TB Apr -25'!S:S,B159)</f>
        <v>0</v>
      </c>
      <c r="D159" s="21">
        <f>SUMIFS('AGT TB Apr -25'!I:I,'AGT TB Apr -25'!S:S,B159)</f>
        <v>0</v>
      </c>
      <c r="E159" s="21">
        <f>SUMIFS('AGT TB Apr -25'!J:J,'AGT TB Apr -25'!S:S,B159)</f>
        <v>0</v>
      </c>
      <c r="F159" s="21">
        <f>SUMIFS('AGT TB Apr -25'!K:K,'AGT TB Apr -25'!S:S,B159)</f>
        <v>0</v>
      </c>
      <c r="G159" s="21">
        <f>SUMIFS('AGT TB Apr -25'!L:L,'AGT TB Apr -25'!S:S,B159)</f>
        <v>0</v>
      </c>
      <c r="H159" s="252">
        <f t="shared" si="45"/>
        <v>0</v>
      </c>
    </row>
    <row r="160" spans="1:8" s="3" customFormat="1" ht="12" customHeight="1">
      <c r="B160" s="136" t="s">
        <v>769</v>
      </c>
      <c r="C160" s="21">
        <f>SUMIFS('AGT TB Apr -25'!H:H,'AGT TB Apr -25'!S:S,B160)</f>
        <v>0</v>
      </c>
      <c r="D160" s="21">
        <f>SUMIFS('AGT TB Apr -25'!I:I,'AGT TB Apr -25'!S:S,B160)</f>
        <v>0</v>
      </c>
      <c r="E160" s="21">
        <f>SUMIFS('AGT TB Apr -25'!J:J,'AGT TB Apr -25'!S:S,B160)</f>
        <v>0</v>
      </c>
      <c r="F160" s="21">
        <f>SUMIFS('AGT TB Apr -25'!K:K,'AGT TB Apr -25'!S:S,B160)</f>
        <v>0</v>
      </c>
      <c r="G160" s="21">
        <f>SUMIFS('AGT TB Apr -25'!L:L,'AGT TB Apr -25'!S:S,B160)</f>
        <v>0</v>
      </c>
      <c r="H160" s="252">
        <f t="shared" si="45"/>
        <v>0</v>
      </c>
    </row>
    <row r="161" spans="1:8" s="3" customFormat="1" ht="12" customHeight="1">
      <c r="B161" s="79" t="s">
        <v>17</v>
      </c>
      <c r="C161" s="22">
        <f>SUMIFS('AGT TB Apr -25'!H:H,'AGT TB Apr -25'!S:S,B161)</f>
        <v>0</v>
      </c>
      <c r="D161" s="22">
        <f>SUMIFS('AGT TB Apr -25'!I:I,'AGT TB Apr -25'!S:S,B161)</f>
        <v>0</v>
      </c>
      <c r="E161" s="22">
        <f>SUMIFS('AGT TB Apr -25'!J:J,'AGT TB Apr -25'!S:S,B161)</f>
        <v>0</v>
      </c>
      <c r="F161" s="22">
        <f>SUMIFS('AGT TB Apr -25'!K:K,'AGT TB Apr -25'!S:S,B161)</f>
        <v>0</v>
      </c>
      <c r="G161" s="22">
        <f>SUMIFS('AGT TB Apr -25'!L:L,'AGT TB Apr -25'!S:S,B161)</f>
        <v>0</v>
      </c>
      <c r="H161" s="252">
        <f t="shared" si="45"/>
        <v>0</v>
      </c>
    </row>
    <row r="162" spans="1:8" ht="12" customHeight="1">
      <c r="A162" s="12" t="e">
        <f>#REF!</f>
        <v>#REF!</v>
      </c>
      <c r="B162" s="80" t="s">
        <v>19</v>
      </c>
      <c r="C162" s="38">
        <f t="shared" ref="C162:G162" si="56">C141-C143-C142-C161-C160</f>
        <v>0</v>
      </c>
      <c r="D162" s="38">
        <f t="shared" si="56"/>
        <v>0</v>
      </c>
      <c r="E162" s="38">
        <f t="shared" si="56"/>
        <v>0</v>
      </c>
      <c r="F162" s="38">
        <f t="shared" si="56"/>
        <v>0</v>
      </c>
      <c r="G162" s="38">
        <f t="shared" si="56"/>
        <v>0</v>
      </c>
      <c r="H162" s="252">
        <f t="shared" si="45"/>
        <v>0</v>
      </c>
    </row>
    <row r="163" spans="1:8" ht="13.8">
      <c r="B163" s="74" t="s">
        <v>162</v>
      </c>
      <c r="C163" s="58"/>
      <c r="D163" s="58"/>
      <c r="E163" s="58"/>
      <c r="F163" s="58"/>
      <c r="G163" s="58"/>
      <c r="H163" s="252">
        <f t="shared" si="45"/>
        <v>0</v>
      </c>
    </row>
    <row r="164" spans="1:8" ht="13.8">
      <c r="B164" s="74" t="s">
        <v>788</v>
      </c>
      <c r="C164" s="63"/>
      <c r="D164" s="63"/>
      <c r="E164" s="63"/>
      <c r="F164" s="63"/>
      <c r="G164" s="63"/>
      <c r="H164" s="252">
        <f t="shared" si="45"/>
        <v>0</v>
      </c>
    </row>
    <row r="165" spans="1:8" s="3" customFormat="1" ht="13.8">
      <c r="B165" s="80" t="s">
        <v>20</v>
      </c>
      <c r="C165" s="58">
        <f t="shared" ref="C165:G165" si="57">C162-C163-C164</f>
        <v>0</v>
      </c>
      <c r="D165" s="58">
        <f t="shared" si="57"/>
        <v>0</v>
      </c>
      <c r="E165" s="58">
        <f t="shared" si="57"/>
        <v>0</v>
      </c>
      <c r="F165" s="58">
        <f t="shared" si="57"/>
        <v>0</v>
      </c>
      <c r="G165" s="58">
        <f t="shared" si="57"/>
        <v>0</v>
      </c>
      <c r="H165" s="252">
        <f t="shared" si="45"/>
        <v>0</v>
      </c>
    </row>
    <row r="166" spans="1:8" ht="12" hidden="1" customHeight="1">
      <c r="B166" s="75"/>
      <c r="C166" s="102"/>
      <c r="D166" s="102"/>
      <c r="E166" s="102"/>
      <c r="F166" s="102"/>
      <c r="G166" s="102"/>
      <c r="H166" s="252">
        <f t="shared" ref="H166:H172" si="58">SUM(C166:G166)</f>
        <v>0</v>
      </c>
    </row>
    <row r="167" spans="1:8" ht="12" hidden="1" customHeight="1">
      <c r="B167" s="75"/>
      <c r="C167" s="102"/>
      <c r="D167" s="102"/>
      <c r="E167" s="102"/>
      <c r="F167" s="102"/>
      <c r="G167" s="102"/>
      <c r="H167" s="252">
        <f t="shared" si="58"/>
        <v>0</v>
      </c>
    </row>
    <row r="168" spans="1:8" ht="12" hidden="1" customHeight="1">
      <c r="B168" s="75"/>
      <c r="C168" s="103"/>
      <c r="D168" s="103"/>
      <c r="E168" s="103"/>
      <c r="F168" s="103"/>
      <c r="G168" s="103"/>
      <c r="H168" s="252">
        <f t="shared" si="58"/>
        <v>0</v>
      </c>
    </row>
    <row r="169" spans="1:8" ht="12.75" hidden="1" customHeight="1">
      <c r="B169" s="75"/>
      <c r="C169" s="104"/>
      <c r="D169" s="104"/>
      <c r="E169" s="104"/>
      <c r="F169" s="104"/>
      <c r="G169" s="104"/>
      <c r="H169" s="252">
        <f t="shared" si="58"/>
        <v>0</v>
      </c>
    </row>
    <row r="170" spans="1:8" ht="12" customHeight="1">
      <c r="B170" s="80" t="s">
        <v>627</v>
      </c>
      <c r="C170" s="63"/>
      <c r="D170" s="63"/>
      <c r="E170" s="63"/>
      <c r="F170" s="63"/>
      <c r="G170" s="63"/>
      <c r="H170" s="252">
        <f t="shared" si="58"/>
        <v>0</v>
      </c>
    </row>
    <row r="171" spans="1:8" ht="12" customHeight="1">
      <c r="B171" s="81" t="s">
        <v>628</v>
      </c>
      <c r="C171" s="58">
        <f t="shared" ref="C171" si="59">C165+C170</f>
        <v>0</v>
      </c>
      <c r="D171" s="58">
        <f t="shared" ref="D171:E171" si="60">D165+D170</f>
        <v>0</v>
      </c>
      <c r="E171" s="58">
        <f t="shared" si="60"/>
        <v>0</v>
      </c>
      <c r="F171" s="58">
        <f t="shared" ref="F171:G171" si="61">F165+F170</f>
        <v>0</v>
      </c>
      <c r="G171" s="58">
        <f t="shared" si="61"/>
        <v>0</v>
      </c>
      <c r="H171" s="252">
        <f t="shared" si="58"/>
        <v>0</v>
      </c>
    </row>
    <row r="172" spans="1:8" ht="12" customHeight="1" outlineLevel="1">
      <c r="B172" s="71" t="s">
        <v>654</v>
      </c>
      <c r="C172" s="58">
        <f t="shared" ref="C172" si="62">C171-C140</f>
        <v>0</v>
      </c>
      <c r="D172" s="58">
        <f t="shared" ref="D172:E172" si="63">D171-D140</f>
        <v>0</v>
      </c>
      <c r="E172" s="58">
        <f t="shared" si="63"/>
        <v>0</v>
      </c>
      <c r="F172" s="58">
        <f t="shared" ref="F172:G172" si="64">F171-F140</f>
        <v>0</v>
      </c>
      <c r="G172" s="58">
        <f t="shared" si="64"/>
        <v>0</v>
      </c>
      <c r="H172" s="252">
        <f t="shared" si="58"/>
        <v>0</v>
      </c>
    </row>
    <row r="173" spans="1:8" ht="12" customHeight="1" outlineLevel="1">
      <c r="A173" s="12"/>
      <c r="C173" s="57"/>
      <c r="D173" s="57"/>
      <c r="E173" s="57"/>
      <c r="F173" s="57"/>
      <c r="G173" s="57"/>
      <c r="H173" s="57"/>
    </row>
    <row r="174" spans="1:8" ht="12" customHeight="1" outlineLevel="1">
      <c r="B174" s="12"/>
      <c r="C174" s="57">
        <v>54725.19</v>
      </c>
      <c r="D174" s="57">
        <v>54725.19</v>
      </c>
      <c r="E174" s="57">
        <v>54725.19</v>
      </c>
      <c r="F174" s="57">
        <v>54725.19</v>
      </c>
      <c r="G174" s="57">
        <v>54725.19</v>
      </c>
      <c r="H174" s="57"/>
    </row>
    <row r="175" spans="1:8" ht="12" customHeight="1" outlineLevel="1">
      <c r="C175" s="57">
        <f t="shared" ref="C175:G175" si="65">C174+C172</f>
        <v>54725.19</v>
      </c>
      <c r="D175" s="57">
        <f t="shared" si="65"/>
        <v>54725.19</v>
      </c>
      <c r="E175" s="57">
        <f t="shared" si="65"/>
        <v>54725.19</v>
      </c>
      <c r="F175" s="57">
        <f t="shared" si="65"/>
        <v>54725.19</v>
      </c>
      <c r="G175" s="57">
        <f t="shared" si="65"/>
        <v>54725.19</v>
      </c>
      <c r="H175" s="57"/>
    </row>
    <row r="176" spans="1:8" ht="13.8" outlineLevel="1">
      <c r="C176" s="177"/>
      <c r="D176" s="177"/>
      <c r="E176" s="177"/>
      <c r="F176" s="177"/>
      <c r="G176" s="177"/>
      <c r="H176" s="57"/>
    </row>
    <row r="178" spans="2:8" ht="12" customHeight="1">
      <c r="B178" s="3"/>
      <c r="C178" s="34"/>
      <c r="D178" s="34"/>
      <c r="E178" s="34"/>
      <c r="F178" s="34"/>
      <c r="G178" s="34"/>
      <c r="H178" s="34"/>
    </row>
    <row r="180" spans="2:8" ht="12" customHeight="1">
      <c r="B180" s="1" t="s">
        <v>1734</v>
      </c>
      <c r="C180" s="37">
        <f>C171/'AGT TB Apr -25'!$N$1</f>
        <v>0</v>
      </c>
      <c r="D180" s="37">
        <f>D171/'AGT TB Apr -25'!$N$1</f>
        <v>0</v>
      </c>
      <c r="E180" s="37">
        <f>E171/'AGT TB Apr -25'!$N$1</f>
        <v>0</v>
      </c>
      <c r="F180" s="37">
        <f>F171/'AGT TB Apr -25'!$N$1</f>
        <v>0</v>
      </c>
      <c r="G180" s="37">
        <f>G171/'AGT TB Apr -25'!$N$1</f>
        <v>0</v>
      </c>
      <c r="H180" s="252">
        <f>SUM(C180:G180)</f>
        <v>0</v>
      </c>
    </row>
    <row r="181" spans="2:8" s="272" customFormat="1" ht="12" customHeight="1">
      <c r="B181" s="272" t="s">
        <v>653</v>
      </c>
      <c r="C181" s="273">
        <v>43613.39</v>
      </c>
      <c r="D181" s="273">
        <v>17017.04</v>
      </c>
      <c r="E181" s="273">
        <v>-155466.15</v>
      </c>
      <c r="F181" s="273">
        <v>-118530.72</v>
      </c>
      <c r="G181" s="273">
        <v>2995.62</v>
      </c>
      <c r="H181" s="274">
        <f>SUM(C181:G181)</f>
        <v>-210370.82</v>
      </c>
    </row>
    <row r="182" spans="2:8" ht="12" customHeight="1">
      <c r="B182" s="1" t="s">
        <v>1194</v>
      </c>
      <c r="C182" s="37">
        <f>C181*'AGT TB Apr -25'!$N$1</f>
        <v>1133948.1399999999</v>
      </c>
      <c r="D182" s="37">
        <f>D181*'AGT TB Apr -25'!$N$1</f>
        <v>442443.04000000004</v>
      </c>
      <c r="E182" s="37">
        <f>E181*'AGT TB Apr -25'!$N$1</f>
        <v>-4042119.9</v>
      </c>
      <c r="F182" s="37">
        <f>F181*'AGT TB Apr -25'!$N$1</f>
        <v>-3081798.72</v>
      </c>
      <c r="G182" s="37">
        <f>G181*'AGT TB Apr -25'!$N$1</f>
        <v>77886.12</v>
      </c>
      <c r="H182" s="252">
        <f>SUM(C182:G182)</f>
        <v>-5469641.3199999994</v>
      </c>
    </row>
    <row r="183" spans="2:8" ht="12" customHeight="1">
      <c r="B183" s="1" t="s">
        <v>1879</v>
      </c>
      <c r="C183" s="233">
        <f t="shared" ref="C183:G183" si="66">C172-C182</f>
        <v>-1133948.1399999999</v>
      </c>
      <c r="D183" s="233">
        <f t="shared" si="66"/>
        <v>-442443.04000000004</v>
      </c>
      <c r="E183" s="233">
        <f t="shared" si="66"/>
        <v>4042119.9</v>
      </c>
      <c r="F183" s="233">
        <f t="shared" si="66"/>
        <v>3081798.72</v>
      </c>
      <c r="G183" s="233">
        <f t="shared" si="66"/>
        <v>-77886.12</v>
      </c>
      <c r="H183" s="252">
        <f>SUM(C183:G183)</f>
        <v>5469641.3199999994</v>
      </c>
    </row>
    <row r="184" spans="2:8" ht="12" customHeight="1">
      <c r="B184" s="1" t="s">
        <v>1880</v>
      </c>
      <c r="C184" s="175">
        <f t="shared" ref="C184:G184" si="67">C172-C181</f>
        <v>-43613.39</v>
      </c>
      <c r="D184" s="175">
        <f t="shared" si="67"/>
        <v>-17017.04</v>
      </c>
      <c r="E184" s="175">
        <f t="shared" si="67"/>
        <v>155466.15</v>
      </c>
      <c r="F184" s="175">
        <f t="shared" si="67"/>
        <v>118530.72</v>
      </c>
      <c r="G184" s="175">
        <f t="shared" si="67"/>
        <v>-2995.62</v>
      </c>
    </row>
    <row r="185" spans="2:8" ht="12" customHeight="1">
      <c r="B185" s="1" t="s">
        <v>1748</v>
      </c>
      <c r="C185" s="12">
        <f>C180-C181</f>
        <v>-43613.39</v>
      </c>
      <c r="D185" s="12">
        <f t="shared" ref="D185:G185" si="68">D180-D181</f>
        <v>-17017.04</v>
      </c>
      <c r="E185" s="12">
        <f t="shared" si="68"/>
        <v>155466.15</v>
      </c>
      <c r="F185" s="12">
        <f t="shared" si="68"/>
        <v>118530.72</v>
      </c>
      <c r="G185" s="12">
        <f t="shared" si="68"/>
        <v>-2995.62</v>
      </c>
      <c r="H185" s="12"/>
    </row>
    <row r="186" spans="2:8" ht="12" customHeight="1">
      <c r="B186" s="1" t="s">
        <v>1640</v>
      </c>
    </row>
    <row r="187" spans="2:8" ht="12" customHeight="1">
      <c r="C187" s="12"/>
      <c r="D187" s="12"/>
      <c r="E187" s="12"/>
      <c r="F187" s="12"/>
      <c r="G187" s="12"/>
      <c r="H187" s="12"/>
    </row>
    <row r="188" spans="2:8" ht="12" customHeight="1">
      <c r="B188" s="143"/>
      <c r="C188" s="12"/>
      <c r="D188" s="12"/>
      <c r="E188" s="12"/>
      <c r="F188" s="12"/>
      <c r="G188" s="12"/>
      <c r="H188" s="12"/>
    </row>
    <row r="189" spans="2:8" ht="12" customHeight="1">
      <c r="B189" s="1" t="s">
        <v>2190</v>
      </c>
      <c r="C189" s="12">
        <f>C41/'AGT TB Apr -25'!$N$1</f>
        <v>0</v>
      </c>
      <c r="D189" s="12">
        <f>D41/'AGT TB Apr -25'!$N$1</f>
        <v>0</v>
      </c>
      <c r="E189" s="12">
        <f>E41/'AGT TB Apr -25'!$N$1</f>
        <v>0</v>
      </c>
      <c r="F189" s="12">
        <f>F41/'AGT TB Apr -25'!$N$1</f>
        <v>0</v>
      </c>
      <c r="G189" s="12">
        <f>G41/'AGT TB Apr -25'!$N$1</f>
        <v>0</v>
      </c>
      <c r="H189" s="12" t="s">
        <v>2246</v>
      </c>
    </row>
    <row r="190" spans="2:8" s="272" customFormat="1" ht="12" customHeight="1">
      <c r="C190" s="273">
        <v>150223.87</v>
      </c>
      <c r="D190" s="273">
        <v>122931.5</v>
      </c>
      <c r="E190" s="273">
        <v>-17432.849999999999</v>
      </c>
      <c r="F190" s="273">
        <v>-7979.89</v>
      </c>
      <c r="G190" s="273">
        <v>108218.12</v>
      </c>
    </row>
    <row r="191" spans="2:8" ht="12" customHeight="1">
      <c r="C191" s="175">
        <f>C189-C190</f>
        <v>-150223.87</v>
      </c>
      <c r="D191" s="175">
        <f t="shared" ref="D191:G191" si="69">D189-D190</f>
        <v>-122931.5</v>
      </c>
      <c r="E191" s="175">
        <f t="shared" si="69"/>
        <v>17432.849999999999</v>
      </c>
      <c r="F191" s="175">
        <f t="shared" si="69"/>
        <v>7979.89</v>
      </c>
      <c r="G191" s="175">
        <f t="shared" si="69"/>
        <v>-108218.12</v>
      </c>
    </row>
    <row r="192" spans="2:8" ht="12" customHeight="1">
      <c r="C192" s="12"/>
      <c r="H192" s="1" t="s">
        <v>18</v>
      </c>
    </row>
    <row r="193" spans="2:8" ht="12" customHeight="1">
      <c r="B193" s="1" t="s">
        <v>2415</v>
      </c>
      <c r="C193" s="12"/>
      <c r="H193" s="1" t="s">
        <v>2189</v>
      </c>
    </row>
    <row r="194" spans="2:8" ht="12" customHeight="1">
      <c r="C194" s="12"/>
    </row>
    <row r="195" spans="2:8" ht="12" customHeight="1">
      <c r="B195" s="1" t="s">
        <v>1417</v>
      </c>
    </row>
    <row r="196" spans="2:8" ht="12" customHeight="1">
      <c r="C196" s="12"/>
    </row>
    <row r="198" spans="2:8" ht="12" customHeight="1">
      <c r="C198" s="12"/>
    </row>
  </sheetData>
  <mergeCells count="1">
    <mergeCell ref="C4:H4"/>
  </mergeCells>
  <phoneticPr fontId="99" type="noConversion"/>
  <pageMargins left="0.7" right="0.7" top="0.75" bottom="0.75" header="0.3" footer="0.3"/>
  <pageSetup orientation="portrait" horizontalDpi="1200" verticalDpi="1200" r:id="rId1"/>
  <ignoredErrors>
    <ignoredError sqref="B59:B65 I80:XFD89 I179:XFD179 I120:XFD128 B120:B124 K90:XFD90 B143:B145 I185:XFD1048576 B80:B107 I1:XFD7 B3:B7 B133:B141 I91:XFD107 I133:XFD141 I143:XFD148 B179 B73:B78 B115:B117 I115:XFD117 B52:B55 I110:XFD111 B110:B111 I25:XFD56 B25 I73:XFD78 B150:B172 I150:XFD172 I67:XFD70 B67:B70 B27:B30 B32:B38 B187 B10:B23 I9:XFD23 I58:XFD65 B200:B1048576 B126:B128 B40:B50 B147:B148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FEAE-15E4-4480-8F77-36C4A7A62080}">
  <sheetPr codeName="Sheet168"/>
  <dimension ref="A1:AG593"/>
  <sheetViews>
    <sheetView showGridLines="0" tabSelected="1" workbookViewId="0">
      <pane xSplit="3" ySplit="4" topLeftCell="D58" activePane="bottomRight" state="frozen"/>
      <selection activeCell="FJ92" sqref="FJ92"/>
      <selection pane="topRight" activeCell="FJ92" sqref="FJ92"/>
      <selection pane="bottomLeft" activeCell="FJ92" sqref="FJ92"/>
      <selection pane="bottomRight" activeCell="J64" sqref="J64"/>
    </sheetView>
  </sheetViews>
  <sheetFormatPr defaultColWidth="8.6640625" defaultRowHeight="13.8" outlineLevelCol="1"/>
  <cols>
    <col min="1" max="1" width="11.5546875" style="5" bestFit="1" customWidth="1"/>
    <col min="2" max="2" width="7.109375" style="5" customWidth="1"/>
    <col min="3" max="3" width="19.109375" style="5" bestFit="1" customWidth="1"/>
    <col min="4" max="5" width="14.5546875" style="5" customWidth="1"/>
    <col min="6" max="6" width="21.88671875" style="5" customWidth="1"/>
    <col min="7" max="7" width="10.44140625" style="5" customWidth="1" collapsed="1"/>
    <col min="8" max="8" width="28.5546875" style="5" bestFit="1" customWidth="1"/>
    <col min="9" max="9" width="8.88671875" style="5" customWidth="1" outlineLevel="1"/>
    <col min="10" max="10" width="9" style="5" customWidth="1" outlineLevel="1"/>
    <col min="11" max="11" width="11.33203125" style="35" customWidth="1" outlineLevel="1"/>
    <col min="12" max="12" width="14.6640625" style="5" bestFit="1" customWidth="1"/>
    <col min="13" max="14" width="14.6640625" style="5" customWidth="1"/>
    <col min="15" max="15" width="8.6640625" style="5" customWidth="1" outlineLevel="1"/>
    <col min="16" max="17" width="12.5546875" style="5" customWidth="1" outlineLevel="1"/>
    <col min="18" max="18" width="17.88671875" style="5" customWidth="1" outlineLevel="1"/>
    <col min="19" max="19" width="9.109375" style="5" customWidth="1" outlineLevel="1"/>
    <col min="20" max="20" width="9.109375" style="5" customWidth="1"/>
    <col min="21" max="21" width="11.109375" style="5" customWidth="1"/>
    <col min="22" max="22" width="11.109375" style="5" customWidth="1" outlineLevel="1"/>
    <col min="23" max="23" width="14.6640625" style="5" bestFit="1" customWidth="1"/>
    <col min="24" max="25" width="14.6640625" style="5" customWidth="1"/>
    <col min="26" max="26" width="12.109375" style="5" customWidth="1" outlineLevel="1"/>
    <col min="27" max="27" width="13.44140625" style="5" customWidth="1" outlineLevel="1"/>
    <col min="28" max="28" width="8.6640625" style="5" customWidth="1"/>
    <col min="29" max="29" width="13.44140625" style="5" customWidth="1"/>
    <col min="30" max="30" width="14.5546875" style="5" bestFit="1" customWidth="1" outlineLevel="1"/>
    <col min="31" max="31" width="14.5546875" style="235" customWidth="1" outlineLevel="1"/>
    <col min="32" max="32" width="11.33203125" style="5" bestFit="1" customWidth="1"/>
    <col min="33" max="33" width="41.109375" style="5" bestFit="1" customWidth="1"/>
    <col min="34" max="16384" width="8.6640625" style="5"/>
  </cols>
  <sheetData>
    <row r="1" spans="1:33">
      <c r="B1" s="119" t="s">
        <v>293</v>
      </c>
      <c r="F1" s="5">
        <v>-22.83</v>
      </c>
      <c r="H1" s="269">
        <f>'AGT TB Apr -25'!N1</f>
        <v>26</v>
      </c>
      <c r="L1" s="26">
        <f>SUBTOTAL(9,L5:L568)</f>
        <v>0</v>
      </c>
      <c r="M1" s="26"/>
      <c r="N1" s="26"/>
      <c r="W1" s="26">
        <f>SUBTOTAL(9,W5:W568)</f>
        <v>0</v>
      </c>
      <c r="X1" s="26"/>
      <c r="Y1" s="26"/>
      <c r="AC1" s="26">
        <f>SUBTOTAL(9,AC5:AC568)</f>
        <v>0</v>
      </c>
      <c r="AF1" s="26"/>
    </row>
    <row r="2" spans="1:33">
      <c r="B2" s="29" t="s">
        <v>259</v>
      </c>
    </row>
    <row r="3" spans="1:33">
      <c r="B3" s="120"/>
      <c r="C3" s="120"/>
      <c r="D3" s="120"/>
      <c r="E3" s="120"/>
      <c r="F3" s="120"/>
      <c r="G3" s="120"/>
      <c r="H3" s="120"/>
      <c r="I3" s="120"/>
      <c r="J3" s="121" t="s">
        <v>92</v>
      </c>
      <c r="K3" s="190"/>
      <c r="L3" s="121" t="s">
        <v>92</v>
      </c>
      <c r="M3" s="121"/>
      <c r="N3" s="121"/>
      <c r="O3" s="122" t="s">
        <v>141</v>
      </c>
      <c r="P3" s="122"/>
      <c r="Q3" s="122"/>
      <c r="R3" s="122"/>
      <c r="S3" s="122"/>
      <c r="T3" s="122"/>
      <c r="U3" s="41" t="s">
        <v>91</v>
      </c>
      <c r="V3" s="40"/>
      <c r="W3" s="40" t="s">
        <v>91</v>
      </c>
      <c r="X3" s="40"/>
      <c r="Y3" s="40"/>
      <c r="Z3" s="40"/>
      <c r="AA3" s="40"/>
      <c r="AB3" s="40"/>
      <c r="AC3" s="121" t="s">
        <v>147</v>
      </c>
      <c r="AD3" s="121" t="s">
        <v>147</v>
      </c>
      <c r="AE3" s="236"/>
    </row>
    <row r="4" spans="1:33" ht="55.2">
      <c r="B4" s="168" t="s">
        <v>142</v>
      </c>
      <c r="C4" s="257" t="s">
        <v>143</v>
      </c>
      <c r="D4" s="168" t="s">
        <v>142</v>
      </c>
      <c r="E4" s="168" t="s">
        <v>151</v>
      </c>
      <c r="F4" s="255" t="s">
        <v>144</v>
      </c>
      <c r="G4" s="168" t="s">
        <v>74</v>
      </c>
      <c r="H4" s="255" t="s">
        <v>146</v>
      </c>
      <c r="I4" s="123" t="s">
        <v>148</v>
      </c>
      <c r="J4" s="123" t="s">
        <v>55</v>
      </c>
      <c r="K4" s="232" t="s">
        <v>56</v>
      </c>
      <c r="L4" s="258" t="s">
        <v>254</v>
      </c>
      <c r="M4" s="169" t="s">
        <v>1416</v>
      </c>
      <c r="N4" s="169" t="s">
        <v>1543</v>
      </c>
      <c r="O4" s="123" t="s">
        <v>145</v>
      </c>
      <c r="P4" s="257" t="s">
        <v>255</v>
      </c>
      <c r="Q4" s="123" t="s">
        <v>130</v>
      </c>
      <c r="R4" s="124" t="s">
        <v>190</v>
      </c>
      <c r="S4" s="124" t="s">
        <v>292</v>
      </c>
      <c r="T4" s="170" t="s">
        <v>93</v>
      </c>
      <c r="U4" s="165" t="s">
        <v>55</v>
      </c>
      <c r="V4" s="96" t="s">
        <v>56</v>
      </c>
      <c r="W4" s="259" t="s">
        <v>53</v>
      </c>
      <c r="X4" s="165" t="s">
        <v>1415</v>
      </c>
      <c r="Y4" s="165" t="s">
        <v>1418</v>
      </c>
      <c r="Z4" s="96" t="s">
        <v>240</v>
      </c>
      <c r="AA4" s="96" t="s">
        <v>256</v>
      </c>
      <c r="AB4" s="165" t="s">
        <v>234</v>
      </c>
      <c r="AC4" s="168" t="s">
        <v>258</v>
      </c>
      <c r="AD4" s="123" t="s">
        <v>257</v>
      </c>
      <c r="AE4" s="237" t="s">
        <v>1544</v>
      </c>
      <c r="AF4" s="168" t="s">
        <v>1545</v>
      </c>
      <c r="AG4" s="168" t="s">
        <v>0</v>
      </c>
    </row>
    <row r="5" spans="1:33" ht="14.4">
      <c r="A5" s="270"/>
      <c r="B5" s="97">
        <f>EOMONTH(A5,0)</f>
        <v>31</v>
      </c>
      <c r="C5" s="325"/>
      <c r="D5" s="260"/>
      <c r="E5" s="95"/>
      <c r="G5" s="52"/>
      <c r="H5" s="52"/>
      <c r="I5" s="256"/>
      <c r="J5" s="98">
        <f>U5</f>
        <v>0</v>
      </c>
      <c r="K5" s="118" t="e">
        <f>L5/J5</f>
        <v>#DIV/0!</v>
      </c>
      <c r="L5" s="15"/>
      <c r="M5" s="15"/>
      <c r="N5" s="15">
        <f>L5-M5</f>
        <v>0</v>
      </c>
      <c r="O5" s="70" t="e">
        <f>P5/J5</f>
        <v>#DIV/0!</v>
      </c>
      <c r="P5" s="70"/>
      <c r="Q5" s="70">
        <f>N5+P5</f>
        <v>0</v>
      </c>
      <c r="R5" s="70"/>
      <c r="S5" s="70"/>
      <c r="T5" s="70"/>
      <c r="U5" s="15"/>
      <c r="V5" s="70" t="e">
        <f>W5/U5</f>
        <v>#DIV/0!</v>
      </c>
      <c r="W5" s="15"/>
      <c r="X5" s="15"/>
      <c r="Y5" s="15">
        <f>W5-X5</f>
        <v>0</v>
      </c>
      <c r="Z5" s="52"/>
      <c r="AA5" s="98">
        <f>Y5-Z5</f>
        <v>0</v>
      </c>
      <c r="AB5" s="52"/>
      <c r="AC5" s="98">
        <f>Y5-N5</f>
        <v>0</v>
      </c>
      <c r="AD5" s="98">
        <f>AA5-Q5</f>
        <v>0</v>
      </c>
      <c r="AE5" s="238" t="e">
        <f>AC5/Y5</f>
        <v>#DIV/0!</v>
      </c>
      <c r="AF5" s="125" t="e">
        <f>AD5/AA5</f>
        <v>#DIV/0!</v>
      </c>
      <c r="AG5" s="92"/>
    </row>
    <row r="6" spans="1:33" ht="14.4">
      <c r="A6" s="270"/>
      <c r="B6" s="97">
        <f t="shared" ref="B6:B69" si="0">EOMONTH(A6,0)</f>
        <v>31</v>
      </c>
      <c r="C6" s="325"/>
      <c r="D6" s="260"/>
      <c r="E6" s="95"/>
      <c r="G6" s="52"/>
      <c r="H6" s="52"/>
      <c r="I6" s="256"/>
      <c r="J6" s="98">
        <f t="shared" ref="J6:J69" si="1">U6</f>
        <v>0</v>
      </c>
      <c r="K6" s="118" t="e">
        <f t="shared" ref="K6:K69" si="2">L6/J6</f>
        <v>#DIV/0!</v>
      </c>
      <c r="L6" s="15"/>
      <c r="M6" s="15"/>
      <c r="N6" s="15">
        <f t="shared" ref="N6:N69" si="3">L6-M6</f>
        <v>0</v>
      </c>
      <c r="O6" s="70" t="e">
        <f t="shared" ref="O6:O69" si="4">P6/J6</f>
        <v>#DIV/0!</v>
      </c>
      <c r="P6" s="70"/>
      <c r="Q6" s="70">
        <f t="shared" ref="Q6:Q69" si="5">N6+P6</f>
        <v>0</v>
      </c>
      <c r="R6" s="70"/>
      <c r="S6" s="70"/>
      <c r="T6" s="70"/>
      <c r="U6" s="15"/>
      <c r="V6" s="70" t="e">
        <f t="shared" ref="V6:V69" si="6">W6/U6</f>
        <v>#DIV/0!</v>
      </c>
      <c r="W6" s="15"/>
      <c r="X6" s="15"/>
      <c r="Y6" s="15">
        <f t="shared" ref="Y6:Y69" si="7">W6-X6</f>
        <v>0</v>
      </c>
      <c r="Z6" s="52"/>
      <c r="AA6" s="98">
        <f t="shared" ref="AA6:AA69" si="8">Y6-Z6</f>
        <v>0</v>
      </c>
      <c r="AB6" s="52"/>
      <c r="AC6" s="98">
        <f t="shared" ref="AC6:AC69" si="9">Y6-N6</f>
        <v>0</v>
      </c>
      <c r="AD6" s="98">
        <f t="shared" ref="AD6:AD69" si="10">AA6-Q6</f>
        <v>0</v>
      </c>
      <c r="AE6" s="238" t="e">
        <f t="shared" ref="AE6:AE69" si="11">AC6/Y6</f>
        <v>#DIV/0!</v>
      </c>
      <c r="AF6" s="125" t="e">
        <f t="shared" ref="AF6:AF69" si="12">AD6/AA6</f>
        <v>#DIV/0!</v>
      </c>
      <c r="AG6" s="92"/>
    </row>
    <row r="7" spans="1:33" ht="14.4">
      <c r="A7" s="270"/>
      <c r="B7" s="97">
        <f t="shared" si="0"/>
        <v>31</v>
      </c>
      <c r="C7" s="325"/>
      <c r="D7" s="260"/>
      <c r="E7" s="95"/>
      <c r="G7" s="52"/>
      <c r="H7" s="52"/>
      <c r="I7" s="256"/>
      <c r="J7" s="98">
        <f t="shared" si="1"/>
        <v>0</v>
      </c>
      <c r="K7" s="118" t="e">
        <f t="shared" si="2"/>
        <v>#DIV/0!</v>
      </c>
      <c r="L7" s="15"/>
      <c r="M7" s="15"/>
      <c r="N7" s="15">
        <f t="shared" si="3"/>
        <v>0</v>
      </c>
      <c r="O7" s="70" t="e">
        <f t="shared" si="4"/>
        <v>#DIV/0!</v>
      </c>
      <c r="P7" s="70"/>
      <c r="Q7" s="70">
        <f t="shared" si="5"/>
        <v>0</v>
      </c>
      <c r="R7" s="70"/>
      <c r="S7" s="70"/>
      <c r="T7" s="70"/>
      <c r="U7" s="15"/>
      <c r="V7" s="70" t="e">
        <f t="shared" si="6"/>
        <v>#DIV/0!</v>
      </c>
      <c r="W7" s="15"/>
      <c r="X7" s="15"/>
      <c r="Y7" s="15">
        <f t="shared" si="7"/>
        <v>0</v>
      </c>
      <c r="Z7" s="52"/>
      <c r="AA7" s="98">
        <f t="shared" si="8"/>
        <v>0</v>
      </c>
      <c r="AB7" s="52"/>
      <c r="AC7" s="98">
        <f t="shared" si="9"/>
        <v>0</v>
      </c>
      <c r="AD7" s="98">
        <f t="shared" si="10"/>
        <v>0</v>
      </c>
      <c r="AE7" s="238" t="e">
        <f t="shared" si="11"/>
        <v>#DIV/0!</v>
      </c>
      <c r="AF7" s="125" t="e">
        <f t="shared" si="12"/>
        <v>#DIV/0!</v>
      </c>
      <c r="AG7" s="92"/>
    </row>
    <row r="8" spans="1:33" ht="14.4">
      <c r="A8" s="270"/>
      <c r="B8" s="97">
        <f t="shared" si="0"/>
        <v>31</v>
      </c>
      <c r="C8" s="325"/>
      <c r="D8" s="260"/>
      <c r="E8" s="95"/>
      <c r="G8" s="52"/>
      <c r="H8" s="52"/>
      <c r="I8" s="256"/>
      <c r="J8" s="98">
        <f t="shared" si="1"/>
        <v>0</v>
      </c>
      <c r="K8" s="118" t="e">
        <f t="shared" si="2"/>
        <v>#DIV/0!</v>
      </c>
      <c r="L8" s="15"/>
      <c r="M8" s="15"/>
      <c r="N8" s="15">
        <f t="shared" si="3"/>
        <v>0</v>
      </c>
      <c r="O8" s="70" t="e">
        <f t="shared" si="4"/>
        <v>#DIV/0!</v>
      </c>
      <c r="P8" s="70"/>
      <c r="Q8" s="70">
        <f t="shared" si="5"/>
        <v>0</v>
      </c>
      <c r="R8" s="70"/>
      <c r="S8" s="70"/>
      <c r="T8" s="70"/>
      <c r="U8" s="15"/>
      <c r="V8" s="70" t="e">
        <f t="shared" si="6"/>
        <v>#DIV/0!</v>
      </c>
      <c r="W8" s="15"/>
      <c r="X8" s="15"/>
      <c r="Y8" s="15">
        <f t="shared" si="7"/>
        <v>0</v>
      </c>
      <c r="Z8" s="52"/>
      <c r="AA8" s="98">
        <f t="shared" si="8"/>
        <v>0</v>
      </c>
      <c r="AB8" s="52"/>
      <c r="AC8" s="98">
        <f t="shared" si="9"/>
        <v>0</v>
      </c>
      <c r="AD8" s="98">
        <f t="shared" si="10"/>
        <v>0</v>
      </c>
      <c r="AE8" s="238" t="e">
        <f t="shared" si="11"/>
        <v>#DIV/0!</v>
      </c>
      <c r="AF8" s="125" t="e">
        <f t="shared" si="12"/>
        <v>#DIV/0!</v>
      </c>
      <c r="AG8" s="92"/>
    </row>
    <row r="9" spans="1:33" ht="14.4">
      <c r="A9" s="270"/>
      <c r="B9" s="97">
        <f t="shared" si="0"/>
        <v>31</v>
      </c>
      <c r="C9" s="325"/>
      <c r="D9" s="260"/>
      <c r="E9" s="95"/>
      <c r="G9" s="52"/>
      <c r="H9" s="52"/>
      <c r="I9" s="256"/>
      <c r="J9" s="98">
        <f t="shared" si="1"/>
        <v>0</v>
      </c>
      <c r="K9" s="118" t="e">
        <f t="shared" si="2"/>
        <v>#DIV/0!</v>
      </c>
      <c r="L9" s="15"/>
      <c r="M9" s="15"/>
      <c r="N9" s="15">
        <f t="shared" si="3"/>
        <v>0</v>
      </c>
      <c r="O9" s="70" t="e">
        <f t="shared" si="4"/>
        <v>#DIV/0!</v>
      </c>
      <c r="P9" s="70"/>
      <c r="Q9" s="70">
        <f t="shared" si="5"/>
        <v>0</v>
      </c>
      <c r="R9" s="70"/>
      <c r="S9" s="70"/>
      <c r="T9" s="70"/>
      <c r="U9" s="15"/>
      <c r="V9" s="70" t="e">
        <f t="shared" si="6"/>
        <v>#DIV/0!</v>
      </c>
      <c r="W9" s="15"/>
      <c r="X9" s="15"/>
      <c r="Y9" s="15">
        <f t="shared" si="7"/>
        <v>0</v>
      </c>
      <c r="Z9" s="52"/>
      <c r="AA9" s="98">
        <f t="shared" si="8"/>
        <v>0</v>
      </c>
      <c r="AB9" s="52"/>
      <c r="AC9" s="98">
        <f t="shared" si="9"/>
        <v>0</v>
      </c>
      <c r="AD9" s="98">
        <f t="shared" si="10"/>
        <v>0</v>
      </c>
      <c r="AE9" s="238" t="e">
        <f t="shared" si="11"/>
        <v>#DIV/0!</v>
      </c>
      <c r="AF9" s="125" t="e">
        <f t="shared" si="12"/>
        <v>#DIV/0!</v>
      </c>
      <c r="AG9" s="92"/>
    </row>
    <row r="10" spans="1:33" ht="14.4">
      <c r="A10" s="270"/>
      <c r="B10" s="97">
        <f t="shared" si="0"/>
        <v>31</v>
      </c>
      <c r="C10" s="325"/>
      <c r="D10" s="260"/>
      <c r="E10" s="95"/>
      <c r="G10" s="52"/>
      <c r="H10" s="52"/>
      <c r="I10" s="256"/>
      <c r="J10" s="98">
        <f t="shared" si="1"/>
        <v>0</v>
      </c>
      <c r="K10" s="118" t="e">
        <f t="shared" si="2"/>
        <v>#DIV/0!</v>
      </c>
      <c r="L10" s="15"/>
      <c r="M10" s="15"/>
      <c r="N10" s="15">
        <f t="shared" si="3"/>
        <v>0</v>
      </c>
      <c r="O10" s="70" t="e">
        <f t="shared" si="4"/>
        <v>#DIV/0!</v>
      </c>
      <c r="P10" s="70"/>
      <c r="Q10" s="70">
        <f t="shared" si="5"/>
        <v>0</v>
      </c>
      <c r="R10" s="70"/>
      <c r="S10" s="70"/>
      <c r="T10" s="70"/>
      <c r="U10" s="15"/>
      <c r="V10" s="70" t="e">
        <f t="shared" si="6"/>
        <v>#DIV/0!</v>
      </c>
      <c r="W10" s="15"/>
      <c r="X10" s="15"/>
      <c r="Y10" s="15">
        <f t="shared" si="7"/>
        <v>0</v>
      </c>
      <c r="Z10" s="52"/>
      <c r="AA10" s="98">
        <f t="shared" si="8"/>
        <v>0</v>
      </c>
      <c r="AB10" s="52"/>
      <c r="AC10" s="98">
        <f t="shared" si="9"/>
        <v>0</v>
      </c>
      <c r="AD10" s="98">
        <f t="shared" si="10"/>
        <v>0</v>
      </c>
      <c r="AE10" s="238" t="e">
        <f t="shared" si="11"/>
        <v>#DIV/0!</v>
      </c>
      <c r="AF10" s="125" t="e">
        <f t="shared" si="12"/>
        <v>#DIV/0!</v>
      </c>
      <c r="AG10" s="92"/>
    </row>
    <row r="11" spans="1:33" ht="14.4">
      <c r="A11" s="270"/>
      <c r="B11" s="97">
        <f t="shared" si="0"/>
        <v>31</v>
      </c>
      <c r="C11" s="325"/>
      <c r="D11" s="260"/>
      <c r="E11" s="95"/>
      <c r="G11" s="52"/>
      <c r="H11" s="52"/>
      <c r="I11" s="256"/>
      <c r="J11" s="98">
        <f t="shared" si="1"/>
        <v>0</v>
      </c>
      <c r="K11" s="118" t="e">
        <f t="shared" si="2"/>
        <v>#DIV/0!</v>
      </c>
      <c r="L11" s="15"/>
      <c r="M11" s="15"/>
      <c r="N11" s="15">
        <f t="shared" si="3"/>
        <v>0</v>
      </c>
      <c r="O11" s="70" t="e">
        <f t="shared" si="4"/>
        <v>#DIV/0!</v>
      </c>
      <c r="P11" s="70"/>
      <c r="Q11" s="70">
        <f t="shared" si="5"/>
        <v>0</v>
      </c>
      <c r="R11" s="70"/>
      <c r="S11" s="70"/>
      <c r="T11" s="70"/>
      <c r="U11" s="15"/>
      <c r="V11" s="70" t="e">
        <f t="shared" si="6"/>
        <v>#DIV/0!</v>
      </c>
      <c r="W11" s="15"/>
      <c r="X11" s="15"/>
      <c r="Y11" s="15">
        <f t="shared" si="7"/>
        <v>0</v>
      </c>
      <c r="Z11" s="52"/>
      <c r="AA11" s="98">
        <f t="shared" si="8"/>
        <v>0</v>
      </c>
      <c r="AB11" s="52"/>
      <c r="AC11" s="98">
        <f t="shared" si="9"/>
        <v>0</v>
      </c>
      <c r="AD11" s="98">
        <f t="shared" si="10"/>
        <v>0</v>
      </c>
      <c r="AE11" s="238" t="e">
        <f t="shared" si="11"/>
        <v>#DIV/0!</v>
      </c>
      <c r="AF11" s="125" t="e">
        <f t="shared" si="12"/>
        <v>#DIV/0!</v>
      </c>
      <c r="AG11" s="92"/>
    </row>
    <row r="12" spans="1:33" ht="14.4">
      <c r="A12" s="270"/>
      <c r="B12" s="97">
        <f t="shared" si="0"/>
        <v>31</v>
      </c>
      <c r="C12" s="325"/>
      <c r="D12" s="260"/>
      <c r="E12" s="95"/>
      <c r="G12" s="52"/>
      <c r="H12" s="52"/>
      <c r="I12" s="256"/>
      <c r="J12" s="98">
        <f t="shared" si="1"/>
        <v>0</v>
      </c>
      <c r="K12" s="118" t="e">
        <f t="shared" si="2"/>
        <v>#DIV/0!</v>
      </c>
      <c r="L12" s="15"/>
      <c r="M12" s="15"/>
      <c r="N12" s="15">
        <f t="shared" si="3"/>
        <v>0</v>
      </c>
      <c r="O12" s="70" t="e">
        <f t="shared" si="4"/>
        <v>#DIV/0!</v>
      </c>
      <c r="P12" s="70"/>
      <c r="Q12" s="70">
        <f t="shared" si="5"/>
        <v>0</v>
      </c>
      <c r="R12" s="70"/>
      <c r="S12" s="70"/>
      <c r="T12" s="70"/>
      <c r="U12" s="15"/>
      <c r="V12" s="70" t="e">
        <f t="shared" si="6"/>
        <v>#DIV/0!</v>
      </c>
      <c r="W12" s="15"/>
      <c r="X12" s="15"/>
      <c r="Y12" s="15">
        <f t="shared" si="7"/>
        <v>0</v>
      </c>
      <c r="Z12" s="52"/>
      <c r="AA12" s="98">
        <f t="shared" si="8"/>
        <v>0</v>
      </c>
      <c r="AB12" s="52"/>
      <c r="AC12" s="98">
        <f t="shared" si="9"/>
        <v>0</v>
      </c>
      <c r="AD12" s="98">
        <f t="shared" si="10"/>
        <v>0</v>
      </c>
      <c r="AE12" s="238" t="e">
        <f t="shared" si="11"/>
        <v>#DIV/0!</v>
      </c>
      <c r="AF12" s="125" t="e">
        <f t="shared" si="12"/>
        <v>#DIV/0!</v>
      </c>
      <c r="AG12" s="92"/>
    </row>
    <row r="13" spans="1:33" ht="14.4">
      <c r="A13" s="270"/>
      <c r="B13" s="97">
        <f t="shared" si="0"/>
        <v>31</v>
      </c>
      <c r="C13" s="325"/>
      <c r="D13" s="260"/>
      <c r="E13" s="95"/>
      <c r="G13" s="52"/>
      <c r="H13" s="52"/>
      <c r="I13" s="256"/>
      <c r="J13" s="98">
        <f t="shared" si="1"/>
        <v>0</v>
      </c>
      <c r="K13" s="118" t="e">
        <f t="shared" si="2"/>
        <v>#DIV/0!</v>
      </c>
      <c r="L13" s="15"/>
      <c r="M13" s="15"/>
      <c r="N13" s="15">
        <f t="shared" si="3"/>
        <v>0</v>
      </c>
      <c r="O13" s="70" t="e">
        <f t="shared" si="4"/>
        <v>#DIV/0!</v>
      </c>
      <c r="P13" s="70"/>
      <c r="Q13" s="70">
        <f t="shared" si="5"/>
        <v>0</v>
      </c>
      <c r="R13" s="70"/>
      <c r="S13" s="70"/>
      <c r="T13" s="70"/>
      <c r="U13" s="15"/>
      <c r="V13" s="70" t="e">
        <f t="shared" si="6"/>
        <v>#DIV/0!</v>
      </c>
      <c r="W13" s="15"/>
      <c r="X13" s="15"/>
      <c r="Y13" s="15">
        <f t="shared" si="7"/>
        <v>0</v>
      </c>
      <c r="Z13" s="52"/>
      <c r="AA13" s="98">
        <f t="shared" si="8"/>
        <v>0</v>
      </c>
      <c r="AB13" s="52"/>
      <c r="AC13" s="98">
        <f t="shared" si="9"/>
        <v>0</v>
      </c>
      <c r="AD13" s="98">
        <f t="shared" si="10"/>
        <v>0</v>
      </c>
      <c r="AE13" s="238" t="e">
        <f t="shared" si="11"/>
        <v>#DIV/0!</v>
      </c>
      <c r="AF13" s="125" t="e">
        <f t="shared" si="12"/>
        <v>#DIV/0!</v>
      </c>
      <c r="AG13" s="92"/>
    </row>
    <row r="14" spans="1:33" ht="14.4">
      <c r="A14" s="270"/>
      <c r="B14" s="97">
        <f t="shared" si="0"/>
        <v>31</v>
      </c>
      <c r="C14" s="325"/>
      <c r="D14" s="260"/>
      <c r="E14" s="95"/>
      <c r="G14" s="52"/>
      <c r="H14" s="52"/>
      <c r="I14" s="256"/>
      <c r="J14" s="98">
        <f t="shared" si="1"/>
        <v>0</v>
      </c>
      <c r="K14" s="118" t="e">
        <f t="shared" si="2"/>
        <v>#DIV/0!</v>
      </c>
      <c r="L14" s="15"/>
      <c r="M14" s="15"/>
      <c r="N14" s="15">
        <f t="shared" si="3"/>
        <v>0</v>
      </c>
      <c r="O14" s="70" t="e">
        <f t="shared" si="4"/>
        <v>#DIV/0!</v>
      </c>
      <c r="P14" s="70"/>
      <c r="Q14" s="70">
        <f t="shared" si="5"/>
        <v>0</v>
      </c>
      <c r="R14" s="70"/>
      <c r="S14" s="70"/>
      <c r="T14" s="70"/>
      <c r="U14" s="15"/>
      <c r="V14" s="70" t="e">
        <f t="shared" si="6"/>
        <v>#DIV/0!</v>
      </c>
      <c r="W14" s="15"/>
      <c r="X14" s="15"/>
      <c r="Y14" s="15">
        <f t="shared" si="7"/>
        <v>0</v>
      </c>
      <c r="Z14" s="52"/>
      <c r="AA14" s="98">
        <f t="shared" si="8"/>
        <v>0</v>
      </c>
      <c r="AB14" s="52"/>
      <c r="AC14" s="98">
        <f t="shared" si="9"/>
        <v>0</v>
      </c>
      <c r="AD14" s="98">
        <f t="shared" si="10"/>
        <v>0</v>
      </c>
      <c r="AE14" s="238" t="e">
        <f t="shared" si="11"/>
        <v>#DIV/0!</v>
      </c>
      <c r="AF14" s="125" t="e">
        <f t="shared" si="12"/>
        <v>#DIV/0!</v>
      </c>
      <c r="AG14" s="92"/>
    </row>
    <row r="15" spans="1:33" ht="14.4">
      <c r="A15" s="270"/>
      <c r="B15" s="97">
        <f t="shared" si="0"/>
        <v>31</v>
      </c>
      <c r="C15" s="325"/>
      <c r="D15" s="260"/>
      <c r="E15" s="95"/>
      <c r="G15" s="52"/>
      <c r="H15" s="52"/>
      <c r="I15" s="256"/>
      <c r="J15" s="98">
        <f t="shared" si="1"/>
        <v>0</v>
      </c>
      <c r="K15" s="118" t="e">
        <f t="shared" si="2"/>
        <v>#DIV/0!</v>
      </c>
      <c r="L15" s="15"/>
      <c r="M15" s="15"/>
      <c r="N15" s="15">
        <f t="shared" si="3"/>
        <v>0</v>
      </c>
      <c r="O15" s="70" t="e">
        <f t="shared" si="4"/>
        <v>#DIV/0!</v>
      </c>
      <c r="P15" s="70"/>
      <c r="Q15" s="70">
        <f t="shared" si="5"/>
        <v>0</v>
      </c>
      <c r="R15" s="70"/>
      <c r="S15" s="70"/>
      <c r="T15" s="70"/>
      <c r="U15" s="15"/>
      <c r="V15" s="70" t="e">
        <f t="shared" si="6"/>
        <v>#DIV/0!</v>
      </c>
      <c r="W15" s="15"/>
      <c r="X15" s="15"/>
      <c r="Y15" s="15">
        <f t="shared" si="7"/>
        <v>0</v>
      </c>
      <c r="Z15" s="52"/>
      <c r="AA15" s="98">
        <f t="shared" si="8"/>
        <v>0</v>
      </c>
      <c r="AB15" s="52"/>
      <c r="AC15" s="98">
        <f t="shared" si="9"/>
        <v>0</v>
      </c>
      <c r="AD15" s="98">
        <f t="shared" si="10"/>
        <v>0</v>
      </c>
      <c r="AE15" s="238" t="e">
        <f t="shared" si="11"/>
        <v>#DIV/0!</v>
      </c>
      <c r="AF15" s="125" t="e">
        <f t="shared" si="12"/>
        <v>#DIV/0!</v>
      </c>
      <c r="AG15" s="92"/>
    </row>
    <row r="16" spans="1:33" ht="14.4">
      <c r="A16" s="270"/>
      <c r="B16" s="97">
        <f t="shared" si="0"/>
        <v>31</v>
      </c>
      <c r="C16" s="325"/>
      <c r="D16" s="260"/>
      <c r="E16" s="95"/>
      <c r="G16" s="52"/>
      <c r="H16" s="52"/>
      <c r="I16" s="256"/>
      <c r="J16" s="98">
        <f t="shared" si="1"/>
        <v>0</v>
      </c>
      <c r="K16" s="118" t="e">
        <f t="shared" si="2"/>
        <v>#DIV/0!</v>
      </c>
      <c r="L16" s="15"/>
      <c r="M16" s="15"/>
      <c r="N16" s="15">
        <f t="shared" si="3"/>
        <v>0</v>
      </c>
      <c r="O16" s="70" t="e">
        <f t="shared" si="4"/>
        <v>#DIV/0!</v>
      </c>
      <c r="P16" s="70"/>
      <c r="Q16" s="70">
        <f t="shared" si="5"/>
        <v>0</v>
      </c>
      <c r="R16" s="70"/>
      <c r="S16" s="70"/>
      <c r="T16" s="70"/>
      <c r="U16" s="15"/>
      <c r="V16" s="70" t="e">
        <f t="shared" si="6"/>
        <v>#DIV/0!</v>
      </c>
      <c r="W16" s="15"/>
      <c r="X16" s="15"/>
      <c r="Y16" s="15">
        <f t="shared" si="7"/>
        <v>0</v>
      </c>
      <c r="Z16" s="52"/>
      <c r="AA16" s="98">
        <f t="shared" si="8"/>
        <v>0</v>
      </c>
      <c r="AB16" s="52"/>
      <c r="AC16" s="98">
        <f t="shared" si="9"/>
        <v>0</v>
      </c>
      <c r="AD16" s="98">
        <f t="shared" si="10"/>
        <v>0</v>
      </c>
      <c r="AE16" s="238" t="e">
        <f t="shared" si="11"/>
        <v>#DIV/0!</v>
      </c>
      <c r="AF16" s="125" t="e">
        <f t="shared" si="12"/>
        <v>#DIV/0!</v>
      </c>
      <c r="AG16" s="92"/>
    </row>
    <row r="17" spans="1:33" ht="14.4">
      <c r="A17" s="270"/>
      <c r="B17" s="97">
        <f t="shared" si="0"/>
        <v>31</v>
      </c>
      <c r="C17" s="325"/>
      <c r="D17" s="260"/>
      <c r="E17" s="95"/>
      <c r="G17" s="52"/>
      <c r="H17" s="52"/>
      <c r="I17" s="256"/>
      <c r="J17" s="98">
        <f t="shared" si="1"/>
        <v>0</v>
      </c>
      <c r="K17" s="118" t="e">
        <f t="shared" si="2"/>
        <v>#DIV/0!</v>
      </c>
      <c r="L17" s="15"/>
      <c r="M17" s="15"/>
      <c r="N17" s="15">
        <f t="shared" si="3"/>
        <v>0</v>
      </c>
      <c r="O17" s="70" t="e">
        <f t="shared" si="4"/>
        <v>#DIV/0!</v>
      </c>
      <c r="P17" s="70"/>
      <c r="Q17" s="70">
        <f t="shared" si="5"/>
        <v>0</v>
      </c>
      <c r="R17" s="70"/>
      <c r="S17" s="70"/>
      <c r="T17" s="70"/>
      <c r="U17" s="15"/>
      <c r="V17" s="70" t="e">
        <f t="shared" si="6"/>
        <v>#DIV/0!</v>
      </c>
      <c r="W17" s="15"/>
      <c r="X17" s="15"/>
      <c r="Y17" s="15">
        <f t="shared" si="7"/>
        <v>0</v>
      </c>
      <c r="Z17" s="52"/>
      <c r="AA17" s="98">
        <f t="shared" si="8"/>
        <v>0</v>
      </c>
      <c r="AB17" s="52"/>
      <c r="AC17" s="98">
        <f t="shared" si="9"/>
        <v>0</v>
      </c>
      <c r="AD17" s="98">
        <f t="shared" si="10"/>
        <v>0</v>
      </c>
      <c r="AE17" s="238" t="e">
        <f t="shared" si="11"/>
        <v>#DIV/0!</v>
      </c>
      <c r="AF17" s="125" t="e">
        <f t="shared" si="12"/>
        <v>#DIV/0!</v>
      </c>
      <c r="AG17" s="92"/>
    </row>
    <row r="18" spans="1:33" ht="14.4">
      <c r="A18" s="270"/>
      <c r="B18" s="97">
        <f t="shared" si="0"/>
        <v>31</v>
      </c>
      <c r="C18" s="325"/>
      <c r="D18" s="260"/>
      <c r="E18" s="95"/>
      <c r="G18" s="52"/>
      <c r="H18" s="52"/>
      <c r="I18" s="256"/>
      <c r="J18" s="98">
        <f t="shared" si="1"/>
        <v>0</v>
      </c>
      <c r="K18" s="118" t="e">
        <f t="shared" si="2"/>
        <v>#DIV/0!</v>
      </c>
      <c r="L18" s="15"/>
      <c r="M18" s="15"/>
      <c r="N18" s="15">
        <f t="shared" si="3"/>
        <v>0</v>
      </c>
      <c r="O18" s="70" t="e">
        <f t="shared" si="4"/>
        <v>#DIV/0!</v>
      </c>
      <c r="P18" s="70"/>
      <c r="Q18" s="70">
        <f t="shared" si="5"/>
        <v>0</v>
      </c>
      <c r="R18" s="70"/>
      <c r="S18" s="70"/>
      <c r="T18" s="70"/>
      <c r="U18" s="15"/>
      <c r="V18" s="70" t="e">
        <f t="shared" si="6"/>
        <v>#DIV/0!</v>
      </c>
      <c r="W18" s="15"/>
      <c r="X18" s="15"/>
      <c r="Y18" s="15">
        <f t="shared" si="7"/>
        <v>0</v>
      </c>
      <c r="Z18" s="52"/>
      <c r="AA18" s="98">
        <f t="shared" si="8"/>
        <v>0</v>
      </c>
      <c r="AB18" s="52"/>
      <c r="AC18" s="98">
        <f t="shared" si="9"/>
        <v>0</v>
      </c>
      <c r="AD18" s="98">
        <f t="shared" si="10"/>
        <v>0</v>
      </c>
      <c r="AE18" s="238" t="e">
        <f t="shared" si="11"/>
        <v>#DIV/0!</v>
      </c>
      <c r="AF18" s="125" t="e">
        <f t="shared" si="12"/>
        <v>#DIV/0!</v>
      </c>
      <c r="AG18" s="92"/>
    </row>
    <row r="19" spans="1:33" ht="14.4">
      <c r="A19" s="270"/>
      <c r="B19" s="97">
        <f t="shared" si="0"/>
        <v>31</v>
      </c>
      <c r="C19" s="325"/>
      <c r="D19" s="260"/>
      <c r="E19" s="95"/>
      <c r="G19" s="52"/>
      <c r="H19" s="52"/>
      <c r="I19" s="256"/>
      <c r="J19" s="98">
        <f t="shared" si="1"/>
        <v>0</v>
      </c>
      <c r="K19" s="118" t="e">
        <f t="shared" si="2"/>
        <v>#DIV/0!</v>
      </c>
      <c r="L19" s="15"/>
      <c r="M19" s="15"/>
      <c r="N19" s="15">
        <f t="shared" si="3"/>
        <v>0</v>
      </c>
      <c r="O19" s="70" t="e">
        <f t="shared" si="4"/>
        <v>#DIV/0!</v>
      </c>
      <c r="P19" s="70"/>
      <c r="Q19" s="70">
        <f t="shared" si="5"/>
        <v>0</v>
      </c>
      <c r="R19" s="70"/>
      <c r="S19" s="70"/>
      <c r="T19" s="70"/>
      <c r="U19" s="15"/>
      <c r="V19" s="70" t="e">
        <f t="shared" si="6"/>
        <v>#DIV/0!</v>
      </c>
      <c r="W19" s="15"/>
      <c r="X19" s="15"/>
      <c r="Y19" s="15">
        <f t="shared" si="7"/>
        <v>0</v>
      </c>
      <c r="Z19" s="52"/>
      <c r="AA19" s="98">
        <f t="shared" si="8"/>
        <v>0</v>
      </c>
      <c r="AB19" s="52"/>
      <c r="AC19" s="98">
        <f t="shared" si="9"/>
        <v>0</v>
      </c>
      <c r="AD19" s="98">
        <f t="shared" si="10"/>
        <v>0</v>
      </c>
      <c r="AE19" s="238" t="e">
        <f t="shared" si="11"/>
        <v>#DIV/0!</v>
      </c>
      <c r="AF19" s="125" t="e">
        <f t="shared" si="12"/>
        <v>#DIV/0!</v>
      </c>
      <c r="AG19" s="92"/>
    </row>
    <row r="20" spans="1:33" ht="14.4">
      <c r="A20" s="270"/>
      <c r="B20" s="97">
        <f t="shared" si="0"/>
        <v>31</v>
      </c>
      <c r="C20" s="325"/>
      <c r="D20" s="260"/>
      <c r="E20" s="95"/>
      <c r="G20" s="52"/>
      <c r="H20" s="52"/>
      <c r="I20" s="256"/>
      <c r="J20" s="98">
        <f t="shared" si="1"/>
        <v>0</v>
      </c>
      <c r="K20" s="118" t="e">
        <f t="shared" si="2"/>
        <v>#DIV/0!</v>
      </c>
      <c r="L20" s="15"/>
      <c r="M20" s="15"/>
      <c r="N20" s="15">
        <f t="shared" si="3"/>
        <v>0</v>
      </c>
      <c r="O20" s="70" t="e">
        <f t="shared" si="4"/>
        <v>#DIV/0!</v>
      </c>
      <c r="P20" s="70"/>
      <c r="Q20" s="70">
        <f t="shared" si="5"/>
        <v>0</v>
      </c>
      <c r="R20" s="70"/>
      <c r="S20" s="70"/>
      <c r="T20" s="70"/>
      <c r="U20" s="15"/>
      <c r="V20" s="70" t="e">
        <f t="shared" si="6"/>
        <v>#DIV/0!</v>
      </c>
      <c r="W20" s="15"/>
      <c r="X20" s="15"/>
      <c r="Y20" s="15">
        <f t="shared" si="7"/>
        <v>0</v>
      </c>
      <c r="Z20" s="52"/>
      <c r="AA20" s="98">
        <f t="shared" si="8"/>
        <v>0</v>
      </c>
      <c r="AB20" s="52"/>
      <c r="AC20" s="98">
        <f t="shared" si="9"/>
        <v>0</v>
      </c>
      <c r="AD20" s="98">
        <f t="shared" si="10"/>
        <v>0</v>
      </c>
      <c r="AE20" s="238" t="e">
        <f t="shared" si="11"/>
        <v>#DIV/0!</v>
      </c>
      <c r="AF20" s="125" t="e">
        <f t="shared" si="12"/>
        <v>#DIV/0!</v>
      </c>
      <c r="AG20" s="92"/>
    </row>
    <row r="21" spans="1:33" ht="14.4">
      <c r="A21" s="270"/>
      <c r="B21" s="97">
        <f t="shared" si="0"/>
        <v>31</v>
      </c>
      <c r="C21" s="325"/>
      <c r="D21" s="260"/>
      <c r="E21" s="95"/>
      <c r="G21" s="52"/>
      <c r="H21" s="52"/>
      <c r="I21" s="256"/>
      <c r="J21" s="98">
        <f t="shared" si="1"/>
        <v>0</v>
      </c>
      <c r="K21" s="118" t="e">
        <f t="shared" si="2"/>
        <v>#DIV/0!</v>
      </c>
      <c r="L21" s="15"/>
      <c r="M21" s="15"/>
      <c r="N21" s="15">
        <f t="shared" si="3"/>
        <v>0</v>
      </c>
      <c r="O21" s="70" t="e">
        <f t="shared" si="4"/>
        <v>#DIV/0!</v>
      </c>
      <c r="P21" s="70"/>
      <c r="Q21" s="70">
        <f t="shared" si="5"/>
        <v>0</v>
      </c>
      <c r="R21" s="70"/>
      <c r="S21" s="70"/>
      <c r="T21" s="70"/>
      <c r="U21" s="15"/>
      <c r="V21" s="70" t="e">
        <f t="shared" si="6"/>
        <v>#DIV/0!</v>
      </c>
      <c r="W21" s="15"/>
      <c r="X21" s="15"/>
      <c r="Y21" s="15">
        <f t="shared" si="7"/>
        <v>0</v>
      </c>
      <c r="Z21" s="52"/>
      <c r="AA21" s="98">
        <f t="shared" si="8"/>
        <v>0</v>
      </c>
      <c r="AB21" s="52"/>
      <c r="AC21" s="98">
        <f t="shared" si="9"/>
        <v>0</v>
      </c>
      <c r="AD21" s="98">
        <f t="shared" si="10"/>
        <v>0</v>
      </c>
      <c r="AE21" s="238" t="e">
        <f t="shared" si="11"/>
        <v>#DIV/0!</v>
      </c>
      <c r="AF21" s="125" t="e">
        <f t="shared" si="12"/>
        <v>#DIV/0!</v>
      </c>
      <c r="AG21" s="92"/>
    </row>
    <row r="22" spans="1:33" ht="14.4">
      <c r="A22" s="270"/>
      <c r="B22" s="97">
        <f t="shared" si="0"/>
        <v>31</v>
      </c>
      <c r="C22" s="325"/>
      <c r="D22" s="260"/>
      <c r="E22" s="95"/>
      <c r="G22" s="52"/>
      <c r="H22" s="52"/>
      <c r="I22" s="256"/>
      <c r="J22" s="98">
        <f t="shared" si="1"/>
        <v>0</v>
      </c>
      <c r="K22" s="118" t="e">
        <f t="shared" si="2"/>
        <v>#DIV/0!</v>
      </c>
      <c r="L22" s="15"/>
      <c r="M22" s="15"/>
      <c r="N22" s="15">
        <f t="shared" si="3"/>
        <v>0</v>
      </c>
      <c r="O22" s="70" t="e">
        <f t="shared" si="4"/>
        <v>#DIV/0!</v>
      </c>
      <c r="P22" s="70"/>
      <c r="Q22" s="70">
        <f t="shared" si="5"/>
        <v>0</v>
      </c>
      <c r="R22" s="70"/>
      <c r="S22" s="70"/>
      <c r="T22" s="70"/>
      <c r="U22" s="15"/>
      <c r="V22" s="70" t="e">
        <f t="shared" si="6"/>
        <v>#DIV/0!</v>
      </c>
      <c r="W22" s="15"/>
      <c r="X22" s="15"/>
      <c r="Y22" s="15">
        <f t="shared" si="7"/>
        <v>0</v>
      </c>
      <c r="Z22" s="52"/>
      <c r="AA22" s="98">
        <f t="shared" si="8"/>
        <v>0</v>
      </c>
      <c r="AB22" s="52"/>
      <c r="AC22" s="98">
        <f t="shared" si="9"/>
        <v>0</v>
      </c>
      <c r="AD22" s="98">
        <f t="shared" si="10"/>
        <v>0</v>
      </c>
      <c r="AE22" s="238" t="e">
        <f t="shared" si="11"/>
        <v>#DIV/0!</v>
      </c>
      <c r="AF22" s="125" t="e">
        <f t="shared" si="12"/>
        <v>#DIV/0!</v>
      </c>
      <c r="AG22" s="92"/>
    </row>
    <row r="23" spans="1:33" ht="14.4">
      <c r="A23" s="270"/>
      <c r="B23" s="97">
        <f t="shared" si="0"/>
        <v>31</v>
      </c>
      <c r="C23" s="325"/>
      <c r="D23" s="260"/>
      <c r="E23" s="95"/>
      <c r="G23" s="52"/>
      <c r="H23" s="52"/>
      <c r="I23" s="256"/>
      <c r="J23" s="98">
        <f t="shared" si="1"/>
        <v>0</v>
      </c>
      <c r="K23" s="118" t="e">
        <f t="shared" si="2"/>
        <v>#DIV/0!</v>
      </c>
      <c r="L23" s="15"/>
      <c r="M23" s="15"/>
      <c r="N23" s="15">
        <f t="shared" si="3"/>
        <v>0</v>
      </c>
      <c r="O23" s="70" t="e">
        <f t="shared" si="4"/>
        <v>#DIV/0!</v>
      </c>
      <c r="P23" s="70"/>
      <c r="Q23" s="70">
        <f t="shared" si="5"/>
        <v>0</v>
      </c>
      <c r="R23" s="70"/>
      <c r="S23" s="70"/>
      <c r="T23" s="70"/>
      <c r="U23" s="15"/>
      <c r="V23" s="70" t="e">
        <f t="shared" si="6"/>
        <v>#DIV/0!</v>
      </c>
      <c r="W23" s="15"/>
      <c r="X23" s="15"/>
      <c r="Y23" s="15">
        <f t="shared" si="7"/>
        <v>0</v>
      </c>
      <c r="Z23" s="52"/>
      <c r="AA23" s="98">
        <f t="shared" si="8"/>
        <v>0</v>
      </c>
      <c r="AB23" s="52"/>
      <c r="AC23" s="98">
        <f t="shared" si="9"/>
        <v>0</v>
      </c>
      <c r="AD23" s="98">
        <f t="shared" si="10"/>
        <v>0</v>
      </c>
      <c r="AE23" s="238" t="e">
        <f t="shared" si="11"/>
        <v>#DIV/0!</v>
      </c>
      <c r="AF23" s="125" t="e">
        <f t="shared" si="12"/>
        <v>#DIV/0!</v>
      </c>
      <c r="AG23" s="92"/>
    </row>
    <row r="24" spans="1:33" ht="14.4">
      <c r="A24" s="270"/>
      <c r="B24" s="97">
        <f t="shared" si="0"/>
        <v>31</v>
      </c>
      <c r="C24" s="325"/>
      <c r="D24" s="260"/>
      <c r="E24" s="95"/>
      <c r="G24" s="52"/>
      <c r="H24" s="52"/>
      <c r="I24" s="256"/>
      <c r="J24" s="98">
        <f t="shared" si="1"/>
        <v>0</v>
      </c>
      <c r="K24" s="118" t="e">
        <f t="shared" si="2"/>
        <v>#DIV/0!</v>
      </c>
      <c r="L24" s="15"/>
      <c r="M24" s="15"/>
      <c r="N24" s="15">
        <f t="shared" si="3"/>
        <v>0</v>
      </c>
      <c r="O24" s="70" t="e">
        <f t="shared" si="4"/>
        <v>#DIV/0!</v>
      </c>
      <c r="P24" s="70"/>
      <c r="Q24" s="70">
        <f t="shared" si="5"/>
        <v>0</v>
      </c>
      <c r="R24" s="70"/>
      <c r="S24" s="70"/>
      <c r="T24" s="70"/>
      <c r="U24" s="15"/>
      <c r="V24" s="70" t="e">
        <f t="shared" si="6"/>
        <v>#DIV/0!</v>
      </c>
      <c r="W24" s="15"/>
      <c r="X24" s="15"/>
      <c r="Y24" s="15">
        <f t="shared" si="7"/>
        <v>0</v>
      </c>
      <c r="Z24" s="52"/>
      <c r="AA24" s="98">
        <f t="shared" si="8"/>
        <v>0</v>
      </c>
      <c r="AB24" s="52"/>
      <c r="AC24" s="98">
        <f t="shared" si="9"/>
        <v>0</v>
      </c>
      <c r="AD24" s="98">
        <f t="shared" si="10"/>
        <v>0</v>
      </c>
      <c r="AE24" s="238" t="e">
        <f t="shared" si="11"/>
        <v>#DIV/0!</v>
      </c>
      <c r="AF24" s="125" t="e">
        <f t="shared" si="12"/>
        <v>#DIV/0!</v>
      </c>
      <c r="AG24" s="92"/>
    </row>
    <row r="25" spans="1:33" ht="14.4">
      <c r="A25" s="270"/>
      <c r="B25" s="97">
        <f t="shared" si="0"/>
        <v>31</v>
      </c>
      <c r="C25" s="325"/>
      <c r="D25" s="260"/>
      <c r="E25" s="95"/>
      <c r="G25" s="52"/>
      <c r="H25" s="52"/>
      <c r="I25" s="256"/>
      <c r="J25" s="98">
        <f t="shared" si="1"/>
        <v>0</v>
      </c>
      <c r="K25" s="118" t="e">
        <f t="shared" si="2"/>
        <v>#DIV/0!</v>
      </c>
      <c r="L25" s="15"/>
      <c r="M25" s="15"/>
      <c r="N25" s="15">
        <f t="shared" si="3"/>
        <v>0</v>
      </c>
      <c r="O25" s="70" t="e">
        <f t="shared" si="4"/>
        <v>#DIV/0!</v>
      </c>
      <c r="P25" s="70"/>
      <c r="Q25" s="70">
        <f t="shared" si="5"/>
        <v>0</v>
      </c>
      <c r="R25" s="70"/>
      <c r="S25" s="70"/>
      <c r="T25" s="70"/>
      <c r="U25" s="15"/>
      <c r="V25" s="70" t="e">
        <f t="shared" si="6"/>
        <v>#DIV/0!</v>
      </c>
      <c r="W25" s="15"/>
      <c r="X25" s="15"/>
      <c r="Y25" s="15">
        <f t="shared" si="7"/>
        <v>0</v>
      </c>
      <c r="Z25" s="52"/>
      <c r="AA25" s="98">
        <f t="shared" si="8"/>
        <v>0</v>
      </c>
      <c r="AB25" s="52"/>
      <c r="AC25" s="98">
        <f t="shared" si="9"/>
        <v>0</v>
      </c>
      <c r="AD25" s="98">
        <f t="shared" si="10"/>
        <v>0</v>
      </c>
      <c r="AE25" s="238" t="e">
        <f t="shared" si="11"/>
        <v>#DIV/0!</v>
      </c>
      <c r="AF25" s="125" t="e">
        <f t="shared" si="12"/>
        <v>#DIV/0!</v>
      </c>
      <c r="AG25" s="92"/>
    </row>
    <row r="26" spans="1:33" ht="14.4">
      <c r="A26" s="270"/>
      <c r="B26" s="97">
        <f t="shared" si="0"/>
        <v>31</v>
      </c>
      <c r="C26" s="325"/>
      <c r="D26" s="260"/>
      <c r="E26" s="95"/>
      <c r="G26" s="52"/>
      <c r="H26" s="52"/>
      <c r="I26" s="256"/>
      <c r="J26" s="98">
        <f t="shared" si="1"/>
        <v>0</v>
      </c>
      <c r="K26" s="118" t="e">
        <f t="shared" si="2"/>
        <v>#DIV/0!</v>
      </c>
      <c r="L26" s="15"/>
      <c r="M26" s="15"/>
      <c r="N26" s="15">
        <f t="shared" si="3"/>
        <v>0</v>
      </c>
      <c r="O26" s="70" t="e">
        <f t="shared" si="4"/>
        <v>#DIV/0!</v>
      </c>
      <c r="P26" s="70"/>
      <c r="Q26" s="70">
        <f t="shared" si="5"/>
        <v>0</v>
      </c>
      <c r="R26" s="70"/>
      <c r="S26" s="70"/>
      <c r="T26" s="70"/>
      <c r="U26" s="15"/>
      <c r="V26" s="70" t="e">
        <f t="shared" si="6"/>
        <v>#DIV/0!</v>
      </c>
      <c r="W26" s="15"/>
      <c r="X26" s="15"/>
      <c r="Y26" s="15">
        <f t="shared" si="7"/>
        <v>0</v>
      </c>
      <c r="Z26" s="52"/>
      <c r="AA26" s="98">
        <f t="shared" si="8"/>
        <v>0</v>
      </c>
      <c r="AB26" s="52"/>
      <c r="AC26" s="98">
        <f t="shared" si="9"/>
        <v>0</v>
      </c>
      <c r="AD26" s="98">
        <f t="shared" si="10"/>
        <v>0</v>
      </c>
      <c r="AE26" s="238" t="e">
        <f t="shared" si="11"/>
        <v>#DIV/0!</v>
      </c>
      <c r="AF26" s="125" t="e">
        <f t="shared" si="12"/>
        <v>#DIV/0!</v>
      </c>
      <c r="AG26" s="92"/>
    </row>
    <row r="27" spans="1:33" ht="14.4">
      <c r="A27" s="270"/>
      <c r="B27" s="97">
        <f t="shared" si="0"/>
        <v>31</v>
      </c>
      <c r="C27" s="325"/>
      <c r="D27" s="260"/>
      <c r="E27" s="95"/>
      <c r="G27" s="52"/>
      <c r="H27" s="52"/>
      <c r="I27" s="256"/>
      <c r="J27" s="98">
        <f t="shared" si="1"/>
        <v>0</v>
      </c>
      <c r="K27" s="118" t="e">
        <f t="shared" si="2"/>
        <v>#DIV/0!</v>
      </c>
      <c r="L27" s="15"/>
      <c r="M27" s="15"/>
      <c r="N27" s="15">
        <f t="shared" si="3"/>
        <v>0</v>
      </c>
      <c r="O27" s="70" t="e">
        <f t="shared" si="4"/>
        <v>#N/A</v>
      </c>
      <c r="P27" s="70" t="e">
        <f>VLOOKUP(C27,'[1]Profit and Loss agt new'!$D$17:$E$52,2,)</f>
        <v>#N/A</v>
      </c>
      <c r="Q27" s="70" t="e">
        <f t="shared" si="5"/>
        <v>#N/A</v>
      </c>
      <c r="R27" s="70"/>
      <c r="S27" s="70"/>
      <c r="T27" s="70"/>
      <c r="U27" s="15"/>
      <c r="V27" s="70" t="e">
        <f t="shared" si="6"/>
        <v>#DIV/0!</v>
      </c>
      <c r="W27" s="15"/>
      <c r="X27" s="15"/>
      <c r="Y27" s="15">
        <f t="shared" si="7"/>
        <v>0</v>
      </c>
      <c r="Z27" s="52"/>
      <c r="AA27" s="98">
        <f t="shared" si="8"/>
        <v>0</v>
      </c>
      <c r="AB27" s="52"/>
      <c r="AC27" s="98">
        <f t="shared" si="9"/>
        <v>0</v>
      </c>
      <c r="AD27" s="98" t="e">
        <f t="shared" si="10"/>
        <v>#N/A</v>
      </c>
      <c r="AE27" s="238" t="e">
        <f t="shared" si="11"/>
        <v>#DIV/0!</v>
      </c>
      <c r="AF27" s="125" t="e">
        <f t="shared" si="12"/>
        <v>#N/A</v>
      </c>
      <c r="AG27" s="92"/>
    </row>
    <row r="28" spans="1:33" ht="14.4">
      <c r="A28" s="270"/>
      <c r="B28" s="97">
        <f t="shared" si="0"/>
        <v>31</v>
      </c>
      <c r="C28" s="325"/>
      <c r="D28" s="260"/>
      <c r="E28" s="95"/>
      <c r="G28" s="52"/>
      <c r="H28" s="52"/>
      <c r="I28" s="256"/>
      <c r="J28" s="98">
        <f t="shared" si="1"/>
        <v>0</v>
      </c>
      <c r="K28" s="118" t="e">
        <f t="shared" si="2"/>
        <v>#DIV/0!</v>
      </c>
      <c r="L28" s="15"/>
      <c r="M28" s="15"/>
      <c r="N28" s="15">
        <f t="shared" si="3"/>
        <v>0</v>
      </c>
      <c r="O28" s="70" t="e">
        <f t="shared" si="4"/>
        <v>#DIV/0!</v>
      </c>
      <c r="P28" s="70"/>
      <c r="Q28" s="70">
        <f t="shared" si="5"/>
        <v>0</v>
      </c>
      <c r="R28" s="70"/>
      <c r="S28" s="70"/>
      <c r="T28" s="70"/>
      <c r="U28" s="15"/>
      <c r="V28" s="70" t="e">
        <f t="shared" si="6"/>
        <v>#DIV/0!</v>
      </c>
      <c r="W28" s="15"/>
      <c r="X28" s="15"/>
      <c r="Y28" s="15">
        <f t="shared" si="7"/>
        <v>0</v>
      </c>
      <c r="Z28" s="52"/>
      <c r="AA28" s="98">
        <f t="shared" si="8"/>
        <v>0</v>
      </c>
      <c r="AB28" s="52"/>
      <c r="AC28" s="98">
        <f t="shared" si="9"/>
        <v>0</v>
      </c>
      <c r="AD28" s="98">
        <f t="shared" si="10"/>
        <v>0</v>
      </c>
      <c r="AE28" s="238" t="e">
        <f t="shared" si="11"/>
        <v>#DIV/0!</v>
      </c>
      <c r="AF28" s="125" t="e">
        <f t="shared" si="12"/>
        <v>#DIV/0!</v>
      </c>
      <c r="AG28" s="92"/>
    </row>
    <row r="29" spans="1:33" ht="14.4">
      <c r="A29" s="270"/>
      <c r="B29" s="97">
        <f t="shared" si="0"/>
        <v>31</v>
      </c>
      <c r="C29" s="325"/>
      <c r="D29" s="260"/>
      <c r="E29" s="95"/>
      <c r="G29" s="52"/>
      <c r="H29" s="52"/>
      <c r="I29" s="256"/>
      <c r="J29" s="98">
        <f t="shared" si="1"/>
        <v>0</v>
      </c>
      <c r="K29" s="118" t="e">
        <f t="shared" si="2"/>
        <v>#DIV/0!</v>
      </c>
      <c r="L29" s="15"/>
      <c r="M29" s="15"/>
      <c r="N29" s="15">
        <f t="shared" si="3"/>
        <v>0</v>
      </c>
      <c r="O29" s="70" t="e">
        <f t="shared" si="4"/>
        <v>#DIV/0!</v>
      </c>
      <c r="P29" s="70"/>
      <c r="Q29" s="70">
        <f t="shared" si="5"/>
        <v>0</v>
      </c>
      <c r="R29" s="70"/>
      <c r="S29" s="70"/>
      <c r="T29" s="70"/>
      <c r="U29" s="15"/>
      <c r="V29" s="70" t="e">
        <f t="shared" si="6"/>
        <v>#DIV/0!</v>
      </c>
      <c r="W29" s="15"/>
      <c r="X29" s="15"/>
      <c r="Y29" s="15">
        <f t="shared" si="7"/>
        <v>0</v>
      </c>
      <c r="Z29" s="52"/>
      <c r="AA29" s="98">
        <f t="shared" si="8"/>
        <v>0</v>
      </c>
      <c r="AB29" s="52"/>
      <c r="AC29" s="98">
        <f t="shared" si="9"/>
        <v>0</v>
      </c>
      <c r="AD29" s="98">
        <f t="shared" si="10"/>
        <v>0</v>
      </c>
      <c r="AE29" s="238" t="e">
        <f t="shared" si="11"/>
        <v>#DIV/0!</v>
      </c>
      <c r="AF29" s="125" t="e">
        <f t="shared" si="12"/>
        <v>#DIV/0!</v>
      </c>
      <c r="AG29" s="92"/>
    </row>
    <row r="30" spans="1:33" ht="14.4">
      <c r="A30" s="270"/>
      <c r="B30" s="97">
        <f t="shared" si="0"/>
        <v>31</v>
      </c>
      <c r="C30" s="325"/>
      <c r="D30" s="260"/>
      <c r="E30" s="95"/>
      <c r="G30" s="52"/>
      <c r="H30" s="52"/>
      <c r="I30" s="256"/>
      <c r="J30" s="98">
        <f t="shared" si="1"/>
        <v>0</v>
      </c>
      <c r="K30" s="118" t="e">
        <f t="shared" si="2"/>
        <v>#DIV/0!</v>
      </c>
      <c r="L30" s="15"/>
      <c r="M30" s="15"/>
      <c r="N30" s="15">
        <f t="shared" si="3"/>
        <v>0</v>
      </c>
      <c r="O30" s="70" t="e">
        <f t="shared" si="4"/>
        <v>#DIV/0!</v>
      </c>
      <c r="P30" s="70"/>
      <c r="Q30" s="70">
        <f t="shared" si="5"/>
        <v>0</v>
      </c>
      <c r="R30" s="70"/>
      <c r="S30" s="70"/>
      <c r="T30" s="70"/>
      <c r="U30" s="15"/>
      <c r="V30" s="70" t="e">
        <f t="shared" si="6"/>
        <v>#DIV/0!</v>
      </c>
      <c r="W30" s="15"/>
      <c r="X30" s="15"/>
      <c r="Y30" s="15">
        <f t="shared" si="7"/>
        <v>0</v>
      </c>
      <c r="Z30" s="52"/>
      <c r="AA30" s="98">
        <f t="shared" si="8"/>
        <v>0</v>
      </c>
      <c r="AB30" s="52"/>
      <c r="AC30" s="98">
        <f t="shared" si="9"/>
        <v>0</v>
      </c>
      <c r="AD30" s="98">
        <f t="shared" si="10"/>
        <v>0</v>
      </c>
      <c r="AE30" s="238" t="e">
        <f t="shared" si="11"/>
        <v>#DIV/0!</v>
      </c>
      <c r="AF30" s="125" t="e">
        <f t="shared" si="12"/>
        <v>#DIV/0!</v>
      </c>
      <c r="AG30" s="92"/>
    </row>
    <row r="31" spans="1:33" ht="14.4">
      <c r="A31" s="270"/>
      <c r="B31" s="97">
        <f t="shared" si="0"/>
        <v>31</v>
      </c>
      <c r="C31" s="325"/>
      <c r="D31" s="260"/>
      <c r="E31" s="95"/>
      <c r="G31" s="52"/>
      <c r="H31" s="52"/>
      <c r="I31" s="256"/>
      <c r="J31" s="98">
        <f t="shared" si="1"/>
        <v>0</v>
      </c>
      <c r="K31" s="118" t="e">
        <f t="shared" si="2"/>
        <v>#DIV/0!</v>
      </c>
      <c r="L31" s="15"/>
      <c r="M31" s="15"/>
      <c r="N31" s="15">
        <f t="shared" si="3"/>
        <v>0</v>
      </c>
      <c r="O31" s="70" t="e">
        <f t="shared" si="4"/>
        <v>#DIV/0!</v>
      </c>
      <c r="P31" s="70"/>
      <c r="Q31" s="70">
        <f t="shared" si="5"/>
        <v>0</v>
      </c>
      <c r="R31" s="70"/>
      <c r="S31" s="70"/>
      <c r="T31" s="70"/>
      <c r="U31" s="15"/>
      <c r="V31" s="70" t="e">
        <f t="shared" si="6"/>
        <v>#DIV/0!</v>
      </c>
      <c r="W31" s="15"/>
      <c r="X31" s="15"/>
      <c r="Y31" s="15">
        <f t="shared" si="7"/>
        <v>0</v>
      </c>
      <c r="Z31" s="52"/>
      <c r="AA31" s="98">
        <f t="shared" si="8"/>
        <v>0</v>
      </c>
      <c r="AB31" s="52"/>
      <c r="AC31" s="98">
        <f t="shared" si="9"/>
        <v>0</v>
      </c>
      <c r="AD31" s="98">
        <f t="shared" si="10"/>
        <v>0</v>
      </c>
      <c r="AE31" s="238" t="e">
        <f t="shared" si="11"/>
        <v>#DIV/0!</v>
      </c>
      <c r="AF31" s="125" t="e">
        <f t="shared" si="12"/>
        <v>#DIV/0!</v>
      </c>
      <c r="AG31" s="92"/>
    </row>
    <row r="32" spans="1:33" ht="14.4">
      <c r="A32" s="270"/>
      <c r="B32" s="97">
        <f t="shared" si="0"/>
        <v>31</v>
      </c>
      <c r="C32" s="325"/>
      <c r="D32" s="260"/>
      <c r="E32" s="95"/>
      <c r="G32" s="52"/>
      <c r="H32" s="52"/>
      <c r="I32" s="256"/>
      <c r="J32" s="98">
        <f t="shared" si="1"/>
        <v>0</v>
      </c>
      <c r="K32" s="118" t="e">
        <f t="shared" si="2"/>
        <v>#DIV/0!</v>
      </c>
      <c r="L32" s="15"/>
      <c r="M32" s="15"/>
      <c r="N32" s="15">
        <f t="shared" si="3"/>
        <v>0</v>
      </c>
      <c r="O32" s="70" t="e">
        <f t="shared" si="4"/>
        <v>#DIV/0!</v>
      </c>
      <c r="P32" s="70"/>
      <c r="Q32" s="70">
        <f t="shared" si="5"/>
        <v>0</v>
      </c>
      <c r="R32" s="70"/>
      <c r="S32" s="70"/>
      <c r="T32" s="70"/>
      <c r="U32" s="15"/>
      <c r="V32" s="70" t="e">
        <f t="shared" si="6"/>
        <v>#DIV/0!</v>
      </c>
      <c r="W32" s="15"/>
      <c r="X32" s="15"/>
      <c r="Y32" s="15">
        <f t="shared" si="7"/>
        <v>0</v>
      </c>
      <c r="Z32" s="52"/>
      <c r="AA32" s="98">
        <f t="shared" si="8"/>
        <v>0</v>
      </c>
      <c r="AB32" s="52"/>
      <c r="AC32" s="98">
        <f t="shared" si="9"/>
        <v>0</v>
      </c>
      <c r="AD32" s="98">
        <f t="shared" si="10"/>
        <v>0</v>
      </c>
      <c r="AE32" s="238" t="e">
        <f t="shared" si="11"/>
        <v>#DIV/0!</v>
      </c>
      <c r="AF32" s="125" t="e">
        <f t="shared" si="12"/>
        <v>#DIV/0!</v>
      </c>
      <c r="AG32" s="92"/>
    </row>
    <row r="33" spans="1:33" ht="14.4">
      <c r="A33" s="270"/>
      <c r="B33" s="97">
        <f t="shared" si="0"/>
        <v>31</v>
      </c>
      <c r="C33" s="325"/>
      <c r="D33" s="260"/>
      <c r="E33" s="95"/>
      <c r="G33" s="52"/>
      <c r="H33" s="52"/>
      <c r="I33" s="256"/>
      <c r="J33" s="98">
        <f t="shared" si="1"/>
        <v>0</v>
      </c>
      <c r="K33" s="118" t="e">
        <f t="shared" si="2"/>
        <v>#DIV/0!</v>
      </c>
      <c r="L33" s="15"/>
      <c r="M33" s="15"/>
      <c r="N33" s="15">
        <f t="shared" si="3"/>
        <v>0</v>
      </c>
      <c r="O33" s="70" t="e">
        <f t="shared" si="4"/>
        <v>#DIV/0!</v>
      </c>
      <c r="P33" s="70"/>
      <c r="Q33" s="70">
        <f t="shared" si="5"/>
        <v>0</v>
      </c>
      <c r="R33" s="70"/>
      <c r="S33" s="70"/>
      <c r="T33" s="70"/>
      <c r="U33" s="15"/>
      <c r="V33" s="70" t="e">
        <f t="shared" si="6"/>
        <v>#DIV/0!</v>
      </c>
      <c r="W33" s="15"/>
      <c r="X33" s="15"/>
      <c r="Y33" s="15">
        <f t="shared" si="7"/>
        <v>0</v>
      </c>
      <c r="Z33" s="52"/>
      <c r="AA33" s="98">
        <f t="shared" si="8"/>
        <v>0</v>
      </c>
      <c r="AB33" s="52"/>
      <c r="AC33" s="98">
        <f t="shared" si="9"/>
        <v>0</v>
      </c>
      <c r="AD33" s="98">
        <f t="shared" si="10"/>
        <v>0</v>
      </c>
      <c r="AE33" s="238" t="e">
        <f t="shared" si="11"/>
        <v>#DIV/0!</v>
      </c>
      <c r="AF33" s="125" t="e">
        <f t="shared" si="12"/>
        <v>#DIV/0!</v>
      </c>
      <c r="AG33" s="92"/>
    </row>
    <row r="34" spans="1:33" ht="14.4">
      <c r="A34" s="270"/>
      <c r="B34" s="97">
        <f t="shared" si="0"/>
        <v>31</v>
      </c>
      <c r="C34" s="325"/>
      <c r="D34" s="260"/>
      <c r="E34" s="95"/>
      <c r="G34" s="52"/>
      <c r="H34" s="52"/>
      <c r="I34" s="256"/>
      <c r="J34" s="98">
        <f t="shared" si="1"/>
        <v>0</v>
      </c>
      <c r="K34" s="118" t="e">
        <f t="shared" si="2"/>
        <v>#DIV/0!</v>
      </c>
      <c r="L34" s="15"/>
      <c r="M34" s="15"/>
      <c r="N34" s="15">
        <f t="shared" si="3"/>
        <v>0</v>
      </c>
      <c r="O34" s="70" t="e">
        <f t="shared" si="4"/>
        <v>#DIV/0!</v>
      </c>
      <c r="P34" s="70"/>
      <c r="Q34" s="70">
        <f t="shared" si="5"/>
        <v>0</v>
      </c>
      <c r="R34" s="70"/>
      <c r="S34" s="70"/>
      <c r="T34" s="70"/>
      <c r="U34" s="15"/>
      <c r="V34" s="70" t="e">
        <f t="shared" si="6"/>
        <v>#DIV/0!</v>
      </c>
      <c r="W34" s="15"/>
      <c r="X34" s="15"/>
      <c r="Y34" s="15">
        <f t="shared" si="7"/>
        <v>0</v>
      </c>
      <c r="Z34" s="52"/>
      <c r="AA34" s="98">
        <f t="shared" si="8"/>
        <v>0</v>
      </c>
      <c r="AB34" s="52"/>
      <c r="AC34" s="98">
        <f t="shared" si="9"/>
        <v>0</v>
      </c>
      <c r="AD34" s="98">
        <f t="shared" si="10"/>
        <v>0</v>
      </c>
      <c r="AE34" s="238" t="e">
        <f t="shared" si="11"/>
        <v>#DIV/0!</v>
      </c>
      <c r="AF34" s="125" t="e">
        <f t="shared" si="12"/>
        <v>#DIV/0!</v>
      </c>
      <c r="AG34" s="92"/>
    </row>
    <row r="35" spans="1:33" ht="14.4">
      <c r="A35" s="270"/>
      <c r="B35" s="97">
        <f t="shared" si="0"/>
        <v>31</v>
      </c>
      <c r="C35" s="325"/>
      <c r="D35" s="260"/>
      <c r="E35" s="95"/>
      <c r="G35" s="52"/>
      <c r="H35" s="52"/>
      <c r="I35" s="256"/>
      <c r="J35" s="98">
        <f t="shared" si="1"/>
        <v>0</v>
      </c>
      <c r="K35" s="118" t="e">
        <f t="shared" si="2"/>
        <v>#DIV/0!</v>
      </c>
      <c r="L35" s="15"/>
      <c r="M35" s="15"/>
      <c r="N35" s="15">
        <f t="shared" si="3"/>
        <v>0</v>
      </c>
      <c r="O35" s="70" t="e">
        <f t="shared" si="4"/>
        <v>#DIV/0!</v>
      </c>
      <c r="P35" s="70"/>
      <c r="Q35" s="70">
        <f t="shared" si="5"/>
        <v>0</v>
      </c>
      <c r="R35" s="70"/>
      <c r="S35" s="70"/>
      <c r="T35" s="70"/>
      <c r="U35" s="15"/>
      <c r="V35" s="70" t="e">
        <f t="shared" si="6"/>
        <v>#DIV/0!</v>
      </c>
      <c r="W35" s="15"/>
      <c r="X35" s="15"/>
      <c r="Y35" s="15">
        <f t="shared" si="7"/>
        <v>0</v>
      </c>
      <c r="Z35" s="52"/>
      <c r="AA35" s="98">
        <f t="shared" si="8"/>
        <v>0</v>
      </c>
      <c r="AB35" s="52"/>
      <c r="AC35" s="98">
        <f t="shared" si="9"/>
        <v>0</v>
      </c>
      <c r="AD35" s="98">
        <f t="shared" si="10"/>
        <v>0</v>
      </c>
      <c r="AE35" s="238" t="e">
        <f t="shared" si="11"/>
        <v>#DIV/0!</v>
      </c>
      <c r="AF35" s="125" t="e">
        <f t="shared" si="12"/>
        <v>#DIV/0!</v>
      </c>
      <c r="AG35" s="92"/>
    </row>
    <row r="36" spans="1:33" ht="14.4">
      <c r="A36" s="270"/>
      <c r="B36" s="97">
        <f t="shared" si="0"/>
        <v>31</v>
      </c>
      <c r="C36" s="325"/>
      <c r="D36" s="260"/>
      <c r="E36" s="95"/>
      <c r="G36" s="52"/>
      <c r="H36" s="52"/>
      <c r="I36" s="256"/>
      <c r="J36" s="98">
        <f t="shared" si="1"/>
        <v>0</v>
      </c>
      <c r="K36" s="118" t="e">
        <f t="shared" si="2"/>
        <v>#DIV/0!</v>
      </c>
      <c r="L36" s="15"/>
      <c r="M36" s="15"/>
      <c r="N36" s="15">
        <f t="shared" si="3"/>
        <v>0</v>
      </c>
      <c r="O36" s="70" t="e">
        <f t="shared" si="4"/>
        <v>#DIV/0!</v>
      </c>
      <c r="P36" s="70"/>
      <c r="Q36" s="70">
        <f t="shared" si="5"/>
        <v>0</v>
      </c>
      <c r="R36" s="70"/>
      <c r="S36" s="70"/>
      <c r="T36" s="70"/>
      <c r="U36" s="15"/>
      <c r="V36" s="70" t="e">
        <f t="shared" si="6"/>
        <v>#DIV/0!</v>
      </c>
      <c r="W36" s="15"/>
      <c r="X36" s="15"/>
      <c r="Y36" s="15">
        <f t="shared" si="7"/>
        <v>0</v>
      </c>
      <c r="Z36" s="52"/>
      <c r="AA36" s="98">
        <f t="shared" si="8"/>
        <v>0</v>
      </c>
      <c r="AB36" s="52"/>
      <c r="AC36" s="98">
        <f t="shared" si="9"/>
        <v>0</v>
      </c>
      <c r="AD36" s="98">
        <f t="shared" si="10"/>
        <v>0</v>
      </c>
      <c r="AE36" s="238" t="e">
        <f t="shared" si="11"/>
        <v>#DIV/0!</v>
      </c>
      <c r="AF36" s="125" t="e">
        <f t="shared" si="12"/>
        <v>#DIV/0!</v>
      </c>
      <c r="AG36" s="92"/>
    </row>
    <row r="37" spans="1:33" ht="14.4">
      <c r="A37" s="270"/>
      <c r="B37" s="97">
        <f t="shared" si="0"/>
        <v>31</v>
      </c>
      <c r="C37" s="325"/>
      <c r="D37" s="260"/>
      <c r="E37" s="95"/>
      <c r="G37" s="52"/>
      <c r="H37" s="52"/>
      <c r="I37" s="256"/>
      <c r="J37" s="98">
        <f t="shared" si="1"/>
        <v>0</v>
      </c>
      <c r="K37" s="118" t="e">
        <f t="shared" si="2"/>
        <v>#DIV/0!</v>
      </c>
      <c r="L37" s="15"/>
      <c r="M37" s="15"/>
      <c r="N37" s="15">
        <f t="shared" si="3"/>
        <v>0</v>
      </c>
      <c r="O37" s="70" t="e">
        <f t="shared" si="4"/>
        <v>#DIV/0!</v>
      </c>
      <c r="P37" s="70"/>
      <c r="Q37" s="70">
        <f t="shared" si="5"/>
        <v>0</v>
      </c>
      <c r="R37" s="70"/>
      <c r="S37" s="70"/>
      <c r="T37" s="70"/>
      <c r="U37" s="15"/>
      <c r="V37" s="70" t="e">
        <f t="shared" si="6"/>
        <v>#DIV/0!</v>
      </c>
      <c r="W37" s="15"/>
      <c r="X37" s="15"/>
      <c r="Y37" s="15">
        <f t="shared" si="7"/>
        <v>0</v>
      </c>
      <c r="Z37" s="52"/>
      <c r="AA37" s="98">
        <f t="shared" si="8"/>
        <v>0</v>
      </c>
      <c r="AB37" s="52"/>
      <c r="AC37" s="98">
        <f t="shared" si="9"/>
        <v>0</v>
      </c>
      <c r="AD37" s="98">
        <f t="shared" si="10"/>
        <v>0</v>
      </c>
      <c r="AE37" s="238" t="e">
        <f t="shared" si="11"/>
        <v>#DIV/0!</v>
      </c>
      <c r="AF37" s="125" t="e">
        <f t="shared" si="12"/>
        <v>#DIV/0!</v>
      </c>
      <c r="AG37" s="92"/>
    </row>
    <row r="38" spans="1:33" ht="14.4">
      <c r="A38" s="270"/>
      <c r="B38" s="97">
        <f t="shared" si="0"/>
        <v>31</v>
      </c>
      <c r="C38" s="325"/>
      <c r="D38" s="260"/>
      <c r="E38" s="95"/>
      <c r="G38" s="52"/>
      <c r="H38" s="52"/>
      <c r="I38" s="256"/>
      <c r="J38" s="98">
        <f t="shared" si="1"/>
        <v>0</v>
      </c>
      <c r="K38" s="118" t="e">
        <f t="shared" si="2"/>
        <v>#DIV/0!</v>
      </c>
      <c r="L38" s="15"/>
      <c r="M38" s="15"/>
      <c r="N38" s="15">
        <f t="shared" si="3"/>
        <v>0</v>
      </c>
      <c r="O38" s="70" t="e">
        <f t="shared" si="4"/>
        <v>#DIV/0!</v>
      </c>
      <c r="P38" s="70"/>
      <c r="Q38" s="70">
        <f t="shared" si="5"/>
        <v>0</v>
      </c>
      <c r="R38" s="70"/>
      <c r="S38" s="70"/>
      <c r="T38" s="70"/>
      <c r="U38" s="15"/>
      <c r="V38" s="70" t="e">
        <f t="shared" si="6"/>
        <v>#DIV/0!</v>
      </c>
      <c r="W38" s="15"/>
      <c r="X38" s="15"/>
      <c r="Y38" s="15">
        <f t="shared" si="7"/>
        <v>0</v>
      </c>
      <c r="Z38" s="52"/>
      <c r="AA38" s="98">
        <f t="shared" si="8"/>
        <v>0</v>
      </c>
      <c r="AB38" s="52"/>
      <c r="AC38" s="98">
        <f t="shared" si="9"/>
        <v>0</v>
      </c>
      <c r="AD38" s="98">
        <f t="shared" si="10"/>
        <v>0</v>
      </c>
      <c r="AE38" s="238" t="e">
        <f t="shared" si="11"/>
        <v>#DIV/0!</v>
      </c>
      <c r="AF38" s="125" t="e">
        <f t="shared" si="12"/>
        <v>#DIV/0!</v>
      </c>
      <c r="AG38" s="92"/>
    </row>
    <row r="39" spans="1:33" ht="14.4">
      <c r="A39" s="270"/>
      <c r="B39" s="97">
        <f t="shared" si="0"/>
        <v>31</v>
      </c>
      <c r="C39" s="325"/>
      <c r="D39" s="260"/>
      <c r="E39" s="95"/>
      <c r="G39" s="52"/>
      <c r="H39" s="52"/>
      <c r="I39" s="256"/>
      <c r="J39" s="98">
        <f t="shared" si="1"/>
        <v>0</v>
      </c>
      <c r="K39" s="118" t="e">
        <f t="shared" si="2"/>
        <v>#DIV/0!</v>
      </c>
      <c r="L39" s="15"/>
      <c r="M39" s="15"/>
      <c r="N39" s="15">
        <f t="shared" si="3"/>
        <v>0</v>
      </c>
      <c r="O39" s="70" t="e">
        <f t="shared" si="4"/>
        <v>#DIV/0!</v>
      </c>
      <c r="P39" s="70"/>
      <c r="Q39" s="70">
        <f t="shared" si="5"/>
        <v>0</v>
      </c>
      <c r="R39" s="70"/>
      <c r="S39" s="70"/>
      <c r="T39" s="70"/>
      <c r="U39" s="15"/>
      <c r="V39" s="70" t="e">
        <f t="shared" si="6"/>
        <v>#DIV/0!</v>
      </c>
      <c r="W39" s="15"/>
      <c r="X39" s="15"/>
      <c r="Y39" s="15">
        <f t="shared" si="7"/>
        <v>0</v>
      </c>
      <c r="Z39" s="52"/>
      <c r="AA39" s="98">
        <f t="shared" si="8"/>
        <v>0</v>
      </c>
      <c r="AB39" s="52"/>
      <c r="AC39" s="98">
        <f t="shared" si="9"/>
        <v>0</v>
      </c>
      <c r="AD39" s="98">
        <f t="shared" si="10"/>
        <v>0</v>
      </c>
      <c r="AE39" s="238" t="e">
        <f t="shared" si="11"/>
        <v>#DIV/0!</v>
      </c>
      <c r="AF39" s="125" t="e">
        <f t="shared" si="12"/>
        <v>#DIV/0!</v>
      </c>
      <c r="AG39" s="92"/>
    </row>
    <row r="40" spans="1:33" ht="14.4">
      <c r="A40" s="270"/>
      <c r="B40" s="97">
        <f t="shared" si="0"/>
        <v>31</v>
      </c>
      <c r="C40" s="325"/>
      <c r="D40" s="260"/>
      <c r="E40" s="95"/>
      <c r="G40" s="52"/>
      <c r="H40" s="52"/>
      <c r="I40" s="256"/>
      <c r="J40" s="98">
        <f t="shared" si="1"/>
        <v>0</v>
      </c>
      <c r="K40" s="118" t="e">
        <f t="shared" si="2"/>
        <v>#DIV/0!</v>
      </c>
      <c r="L40" s="15"/>
      <c r="M40" s="15"/>
      <c r="N40" s="15">
        <f t="shared" si="3"/>
        <v>0</v>
      </c>
      <c r="O40" s="70" t="e">
        <f t="shared" si="4"/>
        <v>#DIV/0!</v>
      </c>
      <c r="P40" s="70"/>
      <c r="Q40" s="70">
        <f t="shared" si="5"/>
        <v>0</v>
      </c>
      <c r="R40" s="70"/>
      <c r="S40" s="70"/>
      <c r="T40" s="70"/>
      <c r="U40" s="15"/>
      <c r="V40" s="70" t="e">
        <f t="shared" si="6"/>
        <v>#DIV/0!</v>
      </c>
      <c r="W40" s="15"/>
      <c r="X40" s="15"/>
      <c r="Y40" s="15">
        <f t="shared" si="7"/>
        <v>0</v>
      </c>
      <c r="Z40" s="52"/>
      <c r="AA40" s="98">
        <f t="shared" si="8"/>
        <v>0</v>
      </c>
      <c r="AB40" s="52"/>
      <c r="AC40" s="98">
        <f t="shared" si="9"/>
        <v>0</v>
      </c>
      <c r="AD40" s="98">
        <f t="shared" si="10"/>
        <v>0</v>
      </c>
      <c r="AE40" s="238" t="e">
        <f t="shared" si="11"/>
        <v>#DIV/0!</v>
      </c>
      <c r="AF40" s="125" t="e">
        <f t="shared" si="12"/>
        <v>#DIV/0!</v>
      </c>
      <c r="AG40" s="92"/>
    </row>
    <row r="41" spans="1:33" ht="14.4">
      <c r="A41" s="270"/>
      <c r="B41" s="97">
        <f t="shared" si="0"/>
        <v>31</v>
      </c>
      <c r="C41" s="325"/>
      <c r="D41" s="260"/>
      <c r="E41" s="95"/>
      <c r="G41" s="52"/>
      <c r="H41" s="52"/>
      <c r="I41" s="256"/>
      <c r="J41" s="98">
        <f t="shared" si="1"/>
        <v>0</v>
      </c>
      <c r="K41" s="118" t="e">
        <f t="shared" si="2"/>
        <v>#DIV/0!</v>
      </c>
      <c r="L41" s="15"/>
      <c r="M41" s="15"/>
      <c r="N41" s="15">
        <f t="shared" si="3"/>
        <v>0</v>
      </c>
      <c r="O41" s="70" t="e">
        <f t="shared" si="4"/>
        <v>#DIV/0!</v>
      </c>
      <c r="P41" s="70"/>
      <c r="Q41" s="70">
        <f t="shared" si="5"/>
        <v>0</v>
      </c>
      <c r="R41" s="70"/>
      <c r="S41" s="70"/>
      <c r="T41" s="70"/>
      <c r="U41" s="15"/>
      <c r="V41" s="70" t="e">
        <f t="shared" si="6"/>
        <v>#DIV/0!</v>
      </c>
      <c r="W41" s="15"/>
      <c r="X41" s="15"/>
      <c r="Y41" s="15">
        <f t="shared" si="7"/>
        <v>0</v>
      </c>
      <c r="Z41" s="52"/>
      <c r="AA41" s="98">
        <f t="shared" si="8"/>
        <v>0</v>
      </c>
      <c r="AB41" s="52"/>
      <c r="AC41" s="98">
        <f t="shared" si="9"/>
        <v>0</v>
      </c>
      <c r="AD41" s="98">
        <f t="shared" si="10"/>
        <v>0</v>
      </c>
      <c r="AE41" s="238" t="e">
        <f t="shared" si="11"/>
        <v>#DIV/0!</v>
      </c>
      <c r="AF41" s="125" t="e">
        <f t="shared" si="12"/>
        <v>#DIV/0!</v>
      </c>
      <c r="AG41" s="92"/>
    </row>
    <row r="42" spans="1:33" ht="14.4">
      <c r="A42" s="270"/>
      <c r="B42" s="97">
        <f t="shared" si="0"/>
        <v>31</v>
      </c>
      <c r="C42" s="325"/>
      <c r="D42" s="260"/>
      <c r="E42" s="95"/>
      <c r="G42" s="52"/>
      <c r="H42" s="52"/>
      <c r="I42" s="256"/>
      <c r="J42" s="98">
        <f t="shared" si="1"/>
        <v>0</v>
      </c>
      <c r="K42" s="118" t="e">
        <f t="shared" si="2"/>
        <v>#DIV/0!</v>
      </c>
      <c r="L42" s="15"/>
      <c r="M42" s="15"/>
      <c r="N42" s="15">
        <f t="shared" si="3"/>
        <v>0</v>
      </c>
      <c r="O42" s="70" t="e">
        <f t="shared" si="4"/>
        <v>#DIV/0!</v>
      </c>
      <c r="P42" s="70"/>
      <c r="Q42" s="70">
        <f t="shared" si="5"/>
        <v>0</v>
      </c>
      <c r="R42" s="70"/>
      <c r="S42" s="70"/>
      <c r="T42" s="70"/>
      <c r="U42" s="15"/>
      <c r="V42" s="70" t="e">
        <f t="shared" si="6"/>
        <v>#DIV/0!</v>
      </c>
      <c r="W42" s="15"/>
      <c r="X42" s="15"/>
      <c r="Y42" s="15">
        <f t="shared" si="7"/>
        <v>0</v>
      </c>
      <c r="Z42" s="52"/>
      <c r="AA42" s="98">
        <f t="shared" si="8"/>
        <v>0</v>
      </c>
      <c r="AB42" s="52"/>
      <c r="AC42" s="98">
        <f t="shared" si="9"/>
        <v>0</v>
      </c>
      <c r="AD42" s="98">
        <f t="shared" si="10"/>
        <v>0</v>
      </c>
      <c r="AE42" s="238" t="e">
        <f t="shared" si="11"/>
        <v>#DIV/0!</v>
      </c>
      <c r="AF42" s="125" t="e">
        <f t="shared" si="12"/>
        <v>#DIV/0!</v>
      </c>
      <c r="AG42" s="92"/>
    </row>
    <row r="43" spans="1:33" ht="14.4">
      <c r="A43" s="270"/>
      <c r="B43" s="97">
        <f t="shared" si="0"/>
        <v>31</v>
      </c>
      <c r="C43" s="325"/>
      <c r="D43" s="260"/>
      <c r="E43" s="95"/>
      <c r="G43" s="52"/>
      <c r="H43" s="52"/>
      <c r="I43" s="256"/>
      <c r="J43" s="98">
        <f t="shared" si="1"/>
        <v>0</v>
      </c>
      <c r="K43" s="118" t="e">
        <f t="shared" si="2"/>
        <v>#DIV/0!</v>
      </c>
      <c r="L43" s="15"/>
      <c r="M43" s="15"/>
      <c r="N43" s="15">
        <f t="shared" si="3"/>
        <v>0</v>
      </c>
      <c r="O43" s="70" t="e">
        <f t="shared" si="4"/>
        <v>#DIV/0!</v>
      </c>
      <c r="P43" s="70"/>
      <c r="Q43" s="70">
        <f t="shared" si="5"/>
        <v>0</v>
      </c>
      <c r="R43" s="70"/>
      <c r="S43" s="70"/>
      <c r="T43" s="70"/>
      <c r="U43" s="15"/>
      <c r="V43" s="70" t="e">
        <f t="shared" si="6"/>
        <v>#DIV/0!</v>
      </c>
      <c r="W43" s="15"/>
      <c r="X43" s="15"/>
      <c r="Y43" s="15">
        <f t="shared" si="7"/>
        <v>0</v>
      </c>
      <c r="Z43" s="52"/>
      <c r="AA43" s="98">
        <f t="shared" si="8"/>
        <v>0</v>
      </c>
      <c r="AB43" s="52"/>
      <c r="AC43" s="98">
        <f t="shared" si="9"/>
        <v>0</v>
      </c>
      <c r="AD43" s="98">
        <f t="shared" si="10"/>
        <v>0</v>
      </c>
      <c r="AE43" s="238" t="e">
        <f t="shared" si="11"/>
        <v>#DIV/0!</v>
      </c>
      <c r="AF43" s="125" t="e">
        <f t="shared" si="12"/>
        <v>#DIV/0!</v>
      </c>
      <c r="AG43" s="92"/>
    </row>
    <row r="44" spans="1:33" ht="14.4">
      <c r="A44" s="270"/>
      <c r="B44" s="97">
        <f t="shared" si="0"/>
        <v>31</v>
      </c>
      <c r="C44" s="325"/>
      <c r="D44" s="260"/>
      <c r="E44" s="95"/>
      <c r="G44" s="52"/>
      <c r="H44" s="52"/>
      <c r="I44" s="256"/>
      <c r="J44" s="98">
        <f t="shared" si="1"/>
        <v>0</v>
      </c>
      <c r="K44" s="118" t="e">
        <f t="shared" si="2"/>
        <v>#DIV/0!</v>
      </c>
      <c r="L44" s="15"/>
      <c r="M44" s="15"/>
      <c r="N44" s="15">
        <f t="shared" si="3"/>
        <v>0</v>
      </c>
      <c r="O44" s="70" t="e">
        <f t="shared" si="4"/>
        <v>#DIV/0!</v>
      </c>
      <c r="P44" s="70"/>
      <c r="Q44" s="70">
        <f t="shared" si="5"/>
        <v>0</v>
      </c>
      <c r="R44" s="70"/>
      <c r="S44" s="70"/>
      <c r="T44" s="70"/>
      <c r="U44" s="15"/>
      <c r="V44" s="70" t="e">
        <f t="shared" si="6"/>
        <v>#DIV/0!</v>
      </c>
      <c r="W44" s="15"/>
      <c r="X44" s="15"/>
      <c r="Y44" s="15">
        <f t="shared" si="7"/>
        <v>0</v>
      </c>
      <c r="Z44" s="52"/>
      <c r="AA44" s="98">
        <f t="shared" si="8"/>
        <v>0</v>
      </c>
      <c r="AB44" s="52"/>
      <c r="AC44" s="98">
        <f t="shared" si="9"/>
        <v>0</v>
      </c>
      <c r="AD44" s="98">
        <f t="shared" si="10"/>
        <v>0</v>
      </c>
      <c r="AE44" s="238" t="e">
        <f t="shared" si="11"/>
        <v>#DIV/0!</v>
      </c>
      <c r="AF44" s="125" t="e">
        <f t="shared" si="12"/>
        <v>#DIV/0!</v>
      </c>
      <c r="AG44" s="92"/>
    </row>
    <row r="45" spans="1:33" ht="14.4">
      <c r="A45" s="270"/>
      <c r="B45" s="97">
        <f t="shared" si="0"/>
        <v>31</v>
      </c>
      <c r="C45" s="325"/>
      <c r="D45" s="260"/>
      <c r="E45" s="95"/>
      <c r="G45" s="52"/>
      <c r="H45" s="52"/>
      <c r="I45" s="256"/>
      <c r="J45" s="98">
        <f t="shared" si="1"/>
        <v>0</v>
      </c>
      <c r="K45" s="118" t="e">
        <f t="shared" si="2"/>
        <v>#DIV/0!</v>
      </c>
      <c r="L45" s="15"/>
      <c r="M45" s="15"/>
      <c r="N45" s="15">
        <f t="shared" si="3"/>
        <v>0</v>
      </c>
      <c r="O45" s="70" t="e">
        <f t="shared" si="4"/>
        <v>#DIV/0!</v>
      </c>
      <c r="P45" s="70"/>
      <c r="Q45" s="70">
        <f t="shared" si="5"/>
        <v>0</v>
      </c>
      <c r="R45" s="70"/>
      <c r="S45" s="70"/>
      <c r="T45" s="70"/>
      <c r="U45" s="15"/>
      <c r="V45" s="70" t="e">
        <f t="shared" si="6"/>
        <v>#DIV/0!</v>
      </c>
      <c r="W45" s="15"/>
      <c r="X45" s="15"/>
      <c r="Y45" s="15">
        <f t="shared" si="7"/>
        <v>0</v>
      </c>
      <c r="Z45" s="52"/>
      <c r="AA45" s="98">
        <f t="shared" si="8"/>
        <v>0</v>
      </c>
      <c r="AB45" s="52"/>
      <c r="AC45" s="98">
        <f t="shared" si="9"/>
        <v>0</v>
      </c>
      <c r="AD45" s="98">
        <f t="shared" si="10"/>
        <v>0</v>
      </c>
      <c r="AE45" s="238" t="e">
        <f t="shared" si="11"/>
        <v>#DIV/0!</v>
      </c>
      <c r="AF45" s="125" t="e">
        <f t="shared" si="12"/>
        <v>#DIV/0!</v>
      </c>
      <c r="AG45" s="92"/>
    </row>
    <row r="46" spans="1:33" ht="14.4">
      <c r="A46" s="270"/>
      <c r="B46" s="97">
        <f t="shared" si="0"/>
        <v>31</v>
      </c>
      <c r="C46" s="325"/>
      <c r="D46" s="260"/>
      <c r="E46" s="95"/>
      <c r="G46" s="52"/>
      <c r="H46" s="52"/>
      <c r="I46" s="256"/>
      <c r="J46" s="98">
        <f t="shared" si="1"/>
        <v>0</v>
      </c>
      <c r="K46" s="118" t="e">
        <f t="shared" si="2"/>
        <v>#DIV/0!</v>
      </c>
      <c r="L46" s="15"/>
      <c r="M46" s="15"/>
      <c r="N46" s="15">
        <f t="shared" si="3"/>
        <v>0</v>
      </c>
      <c r="O46" s="70" t="e">
        <f t="shared" si="4"/>
        <v>#DIV/0!</v>
      </c>
      <c r="P46" s="70"/>
      <c r="Q46" s="70">
        <f t="shared" si="5"/>
        <v>0</v>
      </c>
      <c r="R46" s="70"/>
      <c r="S46" s="70"/>
      <c r="T46" s="70"/>
      <c r="U46" s="15"/>
      <c r="V46" s="70" t="e">
        <f t="shared" si="6"/>
        <v>#DIV/0!</v>
      </c>
      <c r="W46" s="15"/>
      <c r="X46" s="15"/>
      <c r="Y46" s="15">
        <f t="shared" si="7"/>
        <v>0</v>
      </c>
      <c r="Z46" s="52"/>
      <c r="AA46" s="98">
        <f t="shared" si="8"/>
        <v>0</v>
      </c>
      <c r="AB46" s="52"/>
      <c r="AC46" s="98">
        <f t="shared" si="9"/>
        <v>0</v>
      </c>
      <c r="AD46" s="98">
        <f t="shared" si="10"/>
        <v>0</v>
      </c>
      <c r="AE46" s="238" t="e">
        <f t="shared" si="11"/>
        <v>#DIV/0!</v>
      </c>
      <c r="AF46" s="125" t="e">
        <f t="shared" si="12"/>
        <v>#DIV/0!</v>
      </c>
      <c r="AG46" s="92"/>
    </row>
    <row r="47" spans="1:33" ht="14.4">
      <c r="A47" s="270"/>
      <c r="B47" s="97">
        <f t="shared" si="0"/>
        <v>31</v>
      </c>
      <c r="C47" s="325"/>
      <c r="D47" s="260"/>
      <c r="E47" s="95"/>
      <c r="G47" s="52"/>
      <c r="H47" s="52"/>
      <c r="I47" s="256"/>
      <c r="J47" s="98">
        <f t="shared" si="1"/>
        <v>0</v>
      </c>
      <c r="K47" s="118" t="e">
        <f t="shared" si="2"/>
        <v>#DIV/0!</v>
      </c>
      <c r="L47" s="15"/>
      <c r="M47" s="15"/>
      <c r="N47" s="15">
        <f t="shared" si="3"/>
        <v>0</v>
      </c>
      <c r="O47" s="70" t="e">
        <f t="shared" si="4"/>
        <v>#DIV/0!</v>
      </c>
      <c r="P47" s="70"/>
      <c r="Q47" s="70">
        <f t="shared" si="5"/>
        <v>0</v>
      </c>
      <c r="R47" s="70"/>
      <c r="S47" s="70"/>
      <c r="T47" s="70"/>
      <c r="U47" s="15"/>
      <c r="V47" s="70" t="e">
        <f t="shared" si="6"/>
        <v>#DIV/0!</v>
      </c>
      <c r="W47" s="15"/>
      <c r="X47" s="15"/>
      <c r="Y47" s="15">
        <f t="shared" si="7"/>
        <v>0</v>
      </c>
      <c r="Z47" s="52"/>
      <c r="AA47" s="98">
        <f t="shared" si="8"/>
        <v>0</v>
      </c>
      <c r="AB47" s="52"/>
      <c r="AC47" s="98">
        <f t="shared" si="9"/>
        <v>0</v>
      </c>
      <c r="AD47" s="98">
        <f t="shared" si="10"/>
        <v>0</v>
      </c>
      <c r="AE47" s="238" t="e">
        <f t="shared" si="11"/>
        <v>#DIV/0!</v>
      </c>
      <c r="AF47" s="125" t="e">
        <f t="shared" si="12"/>
        <v>#DIV/0!</v>
      </c>
      <c r="AG47" s="92"/>
    </row>
    <row r="48" spans="1:33" ht="14.4">
      <c r="A48" s="270"/>
      <c r="B48" s="97">
        <f t="shared" si="0"/>
        <v>31</v>
      </c>
      <c r="C48" s="325"/>
      <c r="D48" s="260"/>
      <c r="E48" s="95"/>
      <c r="G48" s="52"/>
      <c r="H48" s="52"/>
      <c r="I48" s="256"/>
      <c r="J48" s="98">
        <f t="shared" si="1"/>
        <v>0</v>
      </c>
      <c r="K48" s="118" t="e">
        <f t="shared" si="2"/>
        <v>#DIV/0!</v>
      </c>
      <c r="L48" s="15"/>
      <c r="M48" s="15"/>
      <c r="N48" s="15">
        <f t="shared" si="3"/>
        <v>0</v>
      </c>
      <c r="O48" s="70" t="e">
        <f t="shared" si="4"/>
        <v>#DIV/0!</v>
      </c>
      <c r="P48" s="70"/>
      <c r="Q48" s="70">
        <f t="shared" si="5"/>
        <v>0</v>
      </c>
      <c r="R48" s="70"/>
      <c r="S48" s="70"/>
      <c r="T48" s="70"/>
      <c r="U48" s="15"/>
      <c r="V48" s="70" t="e">
        <f t="shared" si="6"/>
        <v>#DIV/0!</v>
      </c>
      <c r="W48" s="15"/>
      <c r="X48" s="15"/>
      <c r="Y48" s="15">
        <f t="shared" si="7"/>
        <v>0</v>
      </c>
      <c r="Z48" s="52"/>
      <c r="AA48" s="98">
        <f t="shared" si="8"/>
        <v>0</v>
      </c>
      <c r="AB48" s="52"/>
      <c r="AC48" s="98">
        <f t="shared" si="9"/>
        <v>0</v>
      </c>
      <c r="AD48" s="98">
        <f t="shared" si="10"/>
        <v>0</v>
      </c>
      <c r="AE48" s="238" t="e">
        <f t="shared" si="11"/>
        <v>#DIV/0!</v>
      </c>
      <c r="AF48" s="125" t="e">
        <f t="shared" si="12"/>
        <v>#DIV/0!</v>
      </c>
      <c r="AG48" s="92"/>
    </row>
    <row r="49" spans="1:33" ht="14.4">
      <c r="A49" s="270"/>
      <c r="B49" s="97">
        <f t="shared" si="0"/>
        <v>31</v>
      </c>
      <c r="C49" s="325"/>
      <c r="D49" s="260"/>
      <c r="E49" s="95"/>
      <c r="G49" s="52"/>
      <c r="H49" s="52"/>
      <c r="I49" s="256"/>
      <c r="J49" s="98">
        <f t="shared" si="1"/>
        <v>0</v>
      </c>
      <c r="K49" s="118" t="e">
        <f t="shared" si="2"/>
        <v>#DIV/0!</v>
      </c>
      <c r="L49" s="15"/>
      <c r="M49" s="15"/>
      <c r="N49" s="15">
        <f t="shared" si="3"/>
        <v>0</v>
      </c>
      <c r="O49" s="70" t="e">
        <f t="shared" si="4"/>
        <v>#DIV/0!</v>
      </c>
      <c r="P49" s="70"/>
      <c r="Q49" s="70">
        <f t="shared" si="5"/>
        <v>0</v>
      </c>
      <c r="R49" s="70"/>
      <c r="S49" s="70"/>
      <c r="T49" s="70"/>
      <c r="U49" s="15"/>
      <c r="V49" s="70" t="e">
        <f t="shared" si="6"/>
        <v>#DIV/0!</v>
      </c>
      <c r="W49" s="15"/>
      <c r="X49" s="15"/>
      <c r="Y49" s="15">
        <f t="shared" si="7"/>
        <v>0</v>
      </c>
      <c r="Z49" s="52"/>
      <c r="AA49" s="98">
        <f t="shared" si="8"/>
        <v>0</v>
      </c>
      <c r="AB49" s="52"/>
      <c r="AC49" s="98">
        <f t="shared" si="9"/>
        <v>0</v>
      </c>
      <c r="AD49" s="98">
        <f t="shared" si="10"/>
        <v>0</v>
      </c>
      <c r="AE49" s="238" t="e">
        <f t="shared" si="11"/>
        <v>#DIV/0!</v>
      </c>
      <c r="AF49" s="125" t="e">
        <f t="shared" si="12"/>
        <v>#DIV/0!</v>
      </c>
      <c r="AG49" s="92"/>
    </row>
    <row r="50" spans="1:33" ht="14.4">
      <c r="A50" s="270"/>
      <c r="B50" s="97">
        <f t="shared" si="0"/>
        <v>31</v>
      </c>
      <c r="C50" s="325"/>
      <c r="D50" s="260"/>
      <c r="E50" s="95"/>
      <c r="G50" s="52"/>
      <c r="H50" s="52"/>
      <c r="I50" s="256"/>
      <c r="J50" s="98">
        <f t="shared" si="1"/>
        <v>0</v>
      </c>
      <c r="K50" s="118" t="e">
        <f t="shared" si="2"/>
        <v>#DIV/0!</v>
      </c>
      <c r="L50" s="15"/>
      <c r="M50" s="15"/>
      <c r="N50" s="15">
        <f t="shared" si="3"/>
        <v>0</v>
      </c>
      <c r="O50" s="70" t="e">
        <f t="shared" si="4"/>
        <v>#DIV/0!</v>
      </c>
      <c r="P50" s="70"/>
      <c r="Q50" s="70">
        <f t="shared" si="5"/>
        <v>0</v>
      </c>
      <c r="R50" s="70"/>
      <c r="S50" s="70"/>
      <c r="T50" s="70"/>
      <c r="U50" s="15"/>
      <c r="V50" s="70" t="e">
        <f t="shared" si="6"/>
        <v>#DIV/0!</v>
      </c>
      <c r="W50" s="15"/>
      <c r="X50" s="15"/>
      <c r="Y50" s="15">
        <f t="shared" si="7"/>
        <v>0</v>
      </c>
      <c r="Z50" s="52"/>
      <c r="AA50" s="98">
        <f t="shared" si="8"/>
        <v>0</v>
      </c>
      <c r="AB50" s="52"/>
      <c r="AC50" s="98">
        <f t="shared" si="9"/>
        <v>0</v>
      </c>
      <c r="AD50" s="98">
        <f t="shared" si="10"/>
        <v>0</v>
      </c>
      <c r="AE50" s="238" t="e">
        <f t="shared" si="11"/>
        <v>#DIV/0!</v>
      </c>
      <c r="AF50" s="125" t="e">
        <f t="shared" si="12"/>
        <v>#DIV/0!</v>
      </c>
      <c r="AG50" s="92"/>
    </row>
    <row r="51" spans="1:33" ht="14.4">
      <c r="A51" s="270"/>
      <c r="B51" s="97">
        <f t="shared" si="0"/>
        <v>31</v>
      </c>
      <c r="C51" s="325"/>
      <c r="D51" s="260"/>
      <c r="E51" s="95"/>
      <c r="G51" s="52"/>
      <c r="H51" s="52"/>
      <c r="I51" s="256"/>
      <c r="J51" s="98">
        <f t="shared" si="1"/>
        <v>0</v>
      </c>
      <c r="K51" s="118" t="e">
        <f t="shared" si="2"/>
        <v>#DIV/0!</v>
      </c>
      <c r="L51" s="15"/>
      <c r="M51" s="15"/>
      <c r="N51" s="15">
        <f t="shared" si="3"/>
        <v>0</v>
      </c>
      <c r="O51" s="70" t="e">
        <f t="shared" si="4"/>
        <v>#DIV/0!</v>
      </c>
      <c r="P51" s="70"/>
      <c r="Q51" s="70">
        <f t="shared" si="5"/>
        <v>0</v>
      </c>
      <c r="R51" s="70"/>
      <c r="S51" s="70"/>
      <c r="T51" s="70"/>
      <c r="U51" s="15"/>
      <c r="V51" s="70" t="e">
        <f t="shared" si="6"/>
        <v>#DIV/0!</v>
      </c>
      <c r="W51" s="15"/>
      <c r="X51" s="15"/>
      <c r="Y51" s="15">
        <f t="shared" si="7"/>
        <v>0</v>
      </c>
      <c r="Z51" s="52"/>
      <c r="AA51" s="98">
        <f t="shared" si="8"/>
        <v>0</v>
      </c>
      <c r="AB51" s="52"/>
      <c r="AC51" s="98">
        <f t="shared" si="9"/>
        <v>0</v>
      </c>
      <c r="AD51" s="98">
        <f t="shared" si="10"/>
        <v>0</v>
      </c>
      <c r="AE51" s="238" t="e">
        <f t="shared" si="11"/>
        <v>#DIV/0!</v>
      </c>
      <c r="AF51" s="125" t="e">
        <f t="shared" si="12"/>
        <v>#DIV/0!</v>
      </c>
      <c r="AG51" s="92"/>
    </row>
    <row r="52" spans="1:33" ht="14.4">
      <c r="A52" s="270"/>
      <c r="B52" s="97">
        <f t="shared" si="0"/>
        <v>31</v>
      </c>
      <c r="C52" s="325"/>
      <c r="D52" s="260"/>
      <c r="E52" s="95"/>
      <c r="G52" s="52"/>
      <c r="H52" s="52"/>
      <c r="I52" s="256"/>
      <c r="J52" s="98">
        <f t="shared" si="1"/>
        <v>0</v>
      </c>
      <c r="K52" s="118" t="e">
        <f t="shared" si="2"/>
        <v>#DIV/0!</v>
      </c>
      <c r="L52" s="15"/>
      <c r="M52" s="15"/>
      <c r="N52" s="15">
        <f t="shared" si="3"/>
        <v>0</v>
      </c>
      <c r="O52" s="70" t="e">
        <f t="shared" si="4"/>
        <v>#DIV/0!</v>
      </c>
      <c r="P52" s="70"/>
      <c r="Q52" s="70">
        <f t="shared" si="5"/>
        <v>0</v>
      </c>
      <c r="R52" s="70"/>
      <c r="S52" s="70"/>
      <c r="T52" s="70"/>
      <c r="U52" s="15"/>
      <c r="V52" s="70" t="e">
        <f t="shared" si="6"/>
        <v>#DIV/0!</v>
      </c>
      <c r="W52" s="15"/>
      <c r="X52" s="15"/>
      <c r="Y52" s="15">
        <f t="shared" si="7"/>
        <v>0</v>
      </c>
      <c r="Z52" s="52"/>
      <c r="AA52" s="98">
        <f t="shared" si="8"/>
        <v>0</v>
      </c>
      <c r="AB52" s="52"/>
      <c r="AC52" s="98">
        <f t="shared" si="9"/>
        <v>0</v>
      </c>
      <c r="AD52" s="98">
        <f t="shared" si="10"/>
        <v>0</v>
      </c>
      <c r="AE52" s="238" t="e">
        <f t="shared" si="11"/>
        <v>#DIV/0!</v>
      </c>
      <c r="AF52" s="125" t="e">
        <f t="shared" si="12"/>
        <v>#DIV/0!</v>
      </c>
      <c r="AG52" s="92"/>
    </row>
    <row r="53" spans="1:33" ht="14.4">
      <c r="A53" s="270"/>
      <c r="B53" s="97">
        <f t="shared" si="0"/>
        <v>31</v>
      </c>
      <c r="C53" s="325"/>
      <c r="D53" s="260"/>
      <c r="E53" s="95"/>
      <c r="G53" s="52"/>
      <c r="H53" s="52"/>
      <c r="I53" s="256"/>
      <c r="J53" s="98">
        <f t="shared" si="1"/>
        <v>0</v>
      </c>
      <c r="K53" s="118" t="e">
        <f t="shared" si="2"/>
        <v>#DIV/0!</v>
      </c>
      <c r="L53" s="15"/>
      <c r="M53" s="15"/>
      <c r="N53" s="15">
        <f t="shared" si="3"/>
        <v>0</v>
      </c>
      <c r="O53" s="70" t="e">
        <f t="shared" si="4"/>
        <v>#DIV/0!</v>
      </c>
      <c r="P53" s="70"/>
      <c r="Q53" s="70">
        <f t="shared" si="5"/>
        <v>0</v>
      </c>
      <c r="R53" s="70"/>
      <c r="S53" s="70"/>
      <c r="T53" s="70"/>
      <c r="U53" s="15"/>
      <c r="V53" s="70" t="e">
        <f t="shared" si="6"/>
        <v>#DIV/0!</v>
      </c>
      <c r="W53" s="15"/>
      <c r="X53" s="15"/>
      <c r="Y53" s="15">
        <f t="shared" si="7"/>
        <v>0</v>
      </c>
      <c r="Z53" s="52"/>
      <c r="AA53" s="98">
        <f t="shared" si="8"/>
        <v>0</v>
      </c>
      <c r="AB53" s="52"/>
      <c r="AC53" s="98">
        <f t="shared" si="9"/>
        <v>0</v>
      </c>
      <c r="AD53" s="98">
        <f t="shared" si="10"/>
        <v>0</v>
      </c>
      <c r="AE53" s="238" t="e">
        <f t="shared" si="11"/>
        <v>#DIV/0!</v>
      </c>
      <c r="AF53" s="125" t="e">
        <f t="shared" si="12"/>
        <v>#DIV/0!</v>
      </c>
      <c r="AG53" s="92"/>
    </row>
    <row r="54" spans="1:33" ht="14.4">
      <c r="A54" s="270"/>
      <c r="B54" s="97">
        <f t="shared" si="0"/>
        <v>31</v>
      </c>
      <c r="C54" s="325"/>
      <c r="D54" s="260"/>
      <c r="E54" s="95"/>
      <c r="G54" s="52"/>
      <c r="H54" s="52"/>
      <c r="I54" s="256"/>
      <c r="J54" s="98">
        <f t="shared" si="1"/>
        <v>0</v>
      </c>
      <c r="K54" s="118" t="e">
        <f t="shared" si="2"/>
        <v>#DIV/0!</v>
      </c>
      <c r="L54" s="15"/>
      <c r="M54" s="15"/>
      <c r="N54" s="15">
        <f t="shared" si="3"/>
        <v>0</v>
      </c>
      <c r="O54" s="70" t="e">
        <f t="shared" si="4"/>
        <v>#DIV/0!</v>
      </c>
      <c r="P54" s="70"/>
      <c r="Q54" s="70">
        <f t="shared" si="5"/>
        <v>0</v>
      </c>
      <c r="R54" s="70"/>
      <c r="S54" s="70"/>
      <c r="T54" s="70"/>
      <c r="U54" s="15"/>
      <c r="V54" s="70" t="e">
        <f t="shared" si="6"/>
        <v>#DIV/0!</v>
      </c>
      <c r="W54" s="15"/>
      <c r="X54" s="15"/>
      <c r="Y54" s="15">
        <f t="shared" si="7"/>
        <v>0</v>
      </c>
      <c r="Z54" s="52"/>
      <c r="AA54" s="98">
        <f t="shared" si="8"/>
        <v>0</v>
      </c>
      <c r="AB54" s="52"/>
      <c r="AC54" s="98">
        <f t="shared" si="9"/>
        <v>0</v>
      </c>
      <c r="AD54" s="98">
        <f t="shared" si="10"/>
        <v>0</v>
      </c>
      <c r="AE54" s="238" t="e">
        <f t="shared" si="11"/>
        <v>#DIV/0!</v>
      </c>
      <c r="AF54" s="125" t="e">
        <f t="shared" si="12"/>
        <v>#DIV/0!</v>
      </c>
      <c r="AG54" s="92"/>
    </row>
    <row r="55" spans="1:33" ht="14.4">
      <c r="A55" s="270"/>
      <c r="B55" s="97">
        <f t="shared" si="0"/>
        <v>31</v>
      </c>
      <c r="C55" s="325"/>
      <c r="D55" s="260"/>
      <c r="E55" s="95"/>
      <c r="G55" s="52"/>
      <c r="H55" s="52"/>
      <c r="I55" s="256"/>
      <c r="J55" s="98">
        <f t="shared" si="1"/>
        <v>0</v>
      </c>
      <c r="K55" s="118" t="e">
        <f t="shared" si="2"/>
        <v>#DIV/0!</v>
      </c>
      <c r="L55" s="15"/>
      <c r="M55" s="15"/>
      <c r="N55" s="15">
        <f t="shared" si="3"/>
        <v>0</v>
      </c>
      <c r="O55" s="70" t="e">
        <f t="shared" si="4"/>
        <v>#DIV/0!</v>
      </c>
      <c r="P55" s="70"/>
      <c r="Q55" s="70">
        <f t="shared" si="5"/>
        <v>0</v>
      </c>
      <c r="R55" s="70"/>
      <c r="S55" s="70"/>
      <c r="T55" s="70"/>
      <c r="U55" s="15"/>
      <c r="V55" s="70" t="e">
        <f t="shared" si="6"/>
        <v>#DIV/0!</v>
      </c>
      <c r="W55" s="15"/>
      <c r="X55" s="15"/>
      <c r="Y55" s="15">
        <f t="shared" si="7"/>
        <v>0</v>
      </c>
      <c r="Z55" s="52"/>
      <c r="AA55" s="98">
        <f t="shared" si="8"/>
        <v>0</v>
      </c>
      <c r="AB55" s="52"/>
      <c r="AC55" s="98">
        <f t="shared" si="9"/>
        <v>0</v>
      </c>
      <c r="AD55" s="98">
        <f t="shared" si="10"/>
        <v>0</v>
      </c>
      <c r="AE55" s="238" t="e">
        <f t="shared" si="11"/>
        <v>#DIV/0!</v>
      </c>
      <c r="AF55" s="125" t="e">
        <f t="shared" si="12"/>
        <v>#DIV/0!</v>
      </c>
      <c r="AG55" s="92"/>
    </row>
    <row r="56" spans="1:33" ht="14.4">
      <c r="A56" s="270"/>
      <c r="B56" s="97">
        <f t="shared" si="0"/>
        <v>31</v>
      </c>
      <c r="C56" s="325"/>
      <c r="D56" s="260"/>
      <c r="E56" s="95"/>
      <c r="G56" s="52"/>
      <c r="H56" s="52"/>
      <c r="I56" s="256"/>
      <c r="J56" s="98">
        <f t="shared" si="1"/>
        <v>0</v>
      </c>
      <c r="K56" s="118" t="e">
        <f t="shared" si="2"/>
        <v>#DIV/0!</v>
      </c>
      <c r="L56" s="15"/>
      <c r="M56" s="15"/>
      <c r="N56" s="15">
        <f t="shared" si="3"/>
        <v>0</v>
      </c>
      <c r="O56" s="70" t="e">
        <f t="shared" si="4"/>
        <v>#DIV/0!</v>
      </c>
      <c r="P56" s="70"/>
      <c r="Q56" s="70">
        <f t="shared" si="5"/>
        <v>0</v>
      </c>
      <c r="R56" s="70"/>
      <c r="S56" s="70"/>
      <c r="T56" s="70"/>
      <c r="U56" s="15"/>
      <c r="V56" s="70" t="e">
        <f t="shared" si="6"/>
        <v>#DIV/0!</v>
      </c>
      <c r="W56" s="15"/>
      <c r="X56" s="15"/>
      <c r="Y56" s="15">
        <f t="shared" si="7"/>
        <v>0</v>
      </c>
      <c r="Z56" s="52"/>
      <c r="AA56" s="98">
        <f t="shared" si="8"/>
        <v>0</v>
      </c>
      <c r="AB56" s="52"/>
      <c r="AC56" s="98">
        <f t="shared" si="9"/>
        <v>0</v>
      </c>
      <c r="AD56" s="98">
        <f t="shared" si="10"/>
        <v>0</v>
      </c>
      <c r="AE56" s="238" t="e">
        <f t="shared" si="11"/>
        <v>#DIV/0!</v>
      </c>
      <c r="AF56" s="125" t="e">
        <f t="shared" si="12"/>
        <v>#DIV/0!</v>
      </c>
      <c r="AG56" s="92"/>
    </row>
    <row r="57" spans="1:33" ht="14.4">
      <c r="A57" s="270"/>
      <c r="B57" s="97">
        <f t="shared" si="0"/>
        <v>31</v>
      </c>
      <c r="C57" s="325"/>
      <c r="D57" s="260"/>
      <c r="E57" s="95"/>
      <c r="G57" s="52"/>
      <c r="H57" s="52"/>
      <c r="I57" s="256"/>
      <c r="J57" s="98">
        <f t="shared" si="1"/>
        <v>0</v>
      </c>
      <c r="K57" s="118" t="e">
        <f t="shared" si="2"/>
        <v>#DIV/0!</v>
      </c>
      <c r="L57" s="15"/>
      <c r="M57" s="15"/>
      <c r="N57" s="15">
        <f t="shared" si="3"/>
        <v>0</v>
      </c>
      <c r="O57" s="70" t="e">
        <f t="shared" si="4"/>
        <v>#DIV/0!</v>
      </c>
      <c r="P57" s="70"/>
      <c r="Q57" s="70">
        <f t="shared" si="5"/>
        <v>0</v>
      </c>
      <c r="R57" s="70"/>
      <c r="S57" s="70"/>
      <c r="T57" s="70"/>
      <c r="U57" s="15"/>
      <c r="V57" s="70" t="e">
        <f t="shared" si="6"/>
        <v>#DIV/0!</v>
      </c>
      <c r="W57" s="15"/>
      <c r="X57" s="15"/>
      <c r="Y57" s="15">
        <f t="shared" si="7"/>
        <v>0</v>
      </c>
      <c r="Z57" s="52"/>
      <c r="AA57" s="98">
        <f t="shared" si="8"/>
        <v>0</v>
      </c>
      <c r="AB57" s="52"/>
      <c r="AC57" s="98">
        <f t="shared" si="9"/>
        <v>0</v>
      </c>
      <c r="AD57" s="98">
        <f t="shared" si="10"/>
        <v>0</v>
      </c>
      <c r="AE57" s="238" t="e">
        <f t="shared" si="11"/>
        <v>#DIV/0!</v>
      </c>
      <c r="AF57" s="125" t="e">
        <f t="shared" si="12"/>
        <v>#DIV/0!</v>
      </c>
      <c r="AG57" s="92"/>
    </row>
    <row r="58" spans="1:33" ht="14.4">
      <c r="A58" s="270"/>
      <c r="B58" s="97">
        <f t="shared" si="0"/>
        <v>31</v>
      </c>
      <c r="C58" s="325"/>
      <c r="D58" s="260"/>
      <c r="E58" s="95"/>
      <c r="G58" s="52"/>
      <c r="H58" s="52"/>
      <c r="I58" s="256"/>
      <c r="J58" s="98">
        <f t="shared" si="1"/>
        <v>0</v>
      </c>
      <c r="K58" s="118" t="e">
        <f t="shared" si="2"/>
        <v>#DIV/0!</v>
      </c>
      <c r="L58" s="15"/>
      <c r="M58" s="15"/>
      <c r="N58" s="15">
        <f t="shared" si="3"/>
        <v>0</v>
      </c>
      <c r="O58" s="70" t="e">
        <f t="shared" si="4"/>
        <v>#DIV/0!</v>
      </c>
      <c r="P58" s="70"/>
      <c r="Q58" s="70">
        <f t="shared" si="5"/>
        <v>0</v>
      </c>
      <c r="R58" s="70"/>
      <c r="S58" s="70"/>
      <c r="T58" s="70"/>
      <c r="U58" s="15"/>
      <c r="V58" s="70" t="e">
        <f t="shared" si="6"/>
        <v>#DIV/0!</v>
      </c>
      <c r="W58" s="15"/>
      <c r="X58" s="15"/>
      <c r="Y58" s="15">
        <f t="shared" si="7"/>
        <v>0</v>
      </c>
      <c r="Z58" s="52"/>
      <c r="AA58" s="98">
        <f t="shared" si="8"/>
        <v>0</v>
      </c>
      <c r="AB58" s="52"/>
      <c r="AC58" s="98">
        <f t="shared" si="9"/>
        <v>0</v>
      </c>
      <c r="AD58" s="98">
        <f t="shared" si="10"/>
        <v>0</v>
      </c>
      <c r="AE58" s="238" t="e">
        <f t="shared" si="11"/>
        <v>#DIV/0!</v>
      </c>
      <c r="AF58" s="125" t="e">
        <f t="shared" si="12"/>
        <v>#DIV/0!</v>
      </c>
      <c r="AG58" s="92"/>
    </row>
    <row r="59" spans="1:33" ht="14.4">
      <c r="A59" s="270"/>
      <c r="B59" s="97">
        <f t="shared" si="0"/>
        <v>31</v>
      </c>
      <c r="C59" s="325"/>
      <c r="D59" s="260"/>
      <c r="E59" s="95"/>
      <c r="G59" s="52"/>
      <c r="H59" s="52"/>
      <c r="I59" s="256"/>
      <c r="J59" s="98">
        <f t="shared" si="1"/>
        <v>0</v>
      </c>
      <c r="K59" s="118" t="e">
        <f t="shared" si="2"/>
        <v>#DIV/0!</v>
      </c>
      <c r="L59" s="15"/>
      <c r="M59" s="15"/>
      <c r="N59" s="15">
        <f t="shared" si="3"/>
        <v>0</v>
      </c>
      <c r="O59" s="70" t="e">
        <f t="shared" si="4"/>
        <v>#DIV/0!</v>
      </c>
      <c r="P59" s="70"/>
      <c r="Q59" s="70">
        <f t="shared" si="5"/>
        <v>0</v>
      </c>
      <c r="R59" s="70"/>
      <c r="S59" s="70"/>
      <c r="T59" s="70"/>
      <c r="U59" s="15"/>
      <c r="V59" s="70" t="e">
        <f t="shared" si="6"/>
        <v>#DIV/0!</v>
      </c>
      <c r="W59" s="15"/>
      <c r="X59" s="15"/>
      <c r="Y59" s="15">
        <f t="shared" si="7"/>
        <v>0</v>
      </c>
      <c r="Z59" s="52"/>
      <c r="AA59" s="98">
        <f t="shared" si="8"/>
        <v>0</v>
      </c>
      <c r="AB59" s="52"/>
      <c r="AC59" s="98">
        <f t="shared" si="9"/>
        <v>0</v>
      </c>
      <c r="AD59" s="98">
        <f t="shared" si="10"/>
        <v>0</v>
      </c>
      <c r="AE59" s="238" t="e">
        <f t="shared" si="11"/>
        <v>#DIV/0!</v>
      </c>
      <c r="AF59" s="125" t="e">
        <f t="shared" si="12"/>
        <v>#DIV/0!</v>
      </c>
      <c r="AG59" s="92"/>
    </row>
    <row r="60" spans="1:33" ht="14.4">
      <c r="A60" s="270"/>
      <c r="B60" s="97">
        <f t="shared" si="0"/>
        <v>31</v>
      </c>
      <c r="C60" s="325"/>
      <c r="D60" s="260"/>
      <c r="E60" s="95"/>
      <c r="G60" s="52"/>
      <c r="H60" s="52"/>
      <c r="I60" s="256"/>
      <c r="J60" s="98">
        <f t="shared" si="1"/>
        <v>0</v>
      </c>
      <c r="K60" s="118" t="e">
        <f t="shared" si="2"/>
        <v>#DIV/0!</v>
      </c>
      <c r="L60" s="15"/>
      <c r="M60" s="15"/>
      <c r="N60" s="15">
        <f t="shared" si="3"/>
        <v>0</v>
      </c>
      <c r="O60" s="70" t="e">
        <f t="shared" si="4"/>
        <v>#DIV/0!</v>
      </c>
      <c r="P60" s="70"/>
      <c r="Q60" s="70">
        <f t="shared" si="5"/>
        <v>0</v>
      </c>
      <c r="R60" s="70"/>
      <c r="S60" s="70"/>
      <c r="T60" s="70"/>
      <c r="U60" s="15"/>
      <c r="V60" s="70" t="e">
        <f t="shared" si="6"/>
        <v>#DIV/0!</v>
      </c>
      <c r="W60" s="15"/>
      <c r="X60" s="15"/>
      <c r="Y60" s="15">
        <f t="shared" si="7"/>
        <v>0</v>
      </c>
      <c r="Z60" s="52"/>
      <c r="AA60" s="98">
        <f t="shared" si="8"/>
        <v>0</v>
      </c>
      <c r="AB60" s="52"/>
      <c r="AC60" s="98">
        <f t="shared" si="9"/>
        <v>0</v>
      </c>
      <c r="AD60" s="98">
        <f t="shared" si="10"/>
        <v>0</v>
      </c>
      <c r="AE60" s="238" t="e">
        <f t="shared" si="11"/>
        <v>#DIV/0!</v>
      </c>
      <c r="AF60" s="125" t="e">
        <f t="shared" si="12"/>
        <v>#DIV/0!</v>
      </c>
      <c r="AG60" s="92"/>
    </row>
    <row r="61" spans="1:33" ht="14.4">
      <c r="A61" s="270"/>
      <c r="B61" s="97">
        <f t="shared" si="0"/>
        <v>31</v>
      </c>
      <c r="C61" s="325"/>
      <c r="D61" s="260"/>
      <c r="E61" s="95"/>
      <c r="G61" s="52"/>
      <c r="H61" s="52"/>
      <c r="I61" s="256"/>
      <c r="J61" s="98">
        <f t="shared" si="1"/>
        <v>0</v>
      </c>
      <c r="K61" s="118" t="e">
        <f t="shared" si="2"/>
        <v>#DIV/0!</v>
      </c>
      <c r="L61" s="15"/>
      <c r="M61" s="15"/>
      <c r="N61" s="15">
        <f t="shared" si="3"/>
        <v>0</v>
      </c>
      <c r="O61" s="70" t="e">
        <f t="shared" si="4"/>
        <v>#DIV/0!</v>
      </c>
      <c r="P61" s="70"/>
      <c r="Q61" s="70">
        <f t="shared" si="5"/>
        <v>0</v>
      </c>
      <c r="R61" s="70"/>
      <c r="S61" s="70"/>
      <c r="T61" s="70"/>
      <c r="U61" s="15"/>
      <c r="V61" s="70" t="e">
        <f t="shared" si="6"/>
        <v>#DIV/0!</v>
      </c>
      <c r="W61" s="15"/>
      <c r="X61" s="15"/>
      <c r="Y61" s="15">
        <f t="shared" si="7"/>
        <v>0</v>
      </c>
      <c r="Z61" s="52"/>
      <c r="AA61" s="98">
        <f t="shared" si="8"/>
        <v>0</v>
      </c>
      <c r="AB61" s="52"/>
      <c r="AC61" s="98">
        <f t="shared" si="9"/>
        <v>0</v>
      </c>
      <c r="AD61" s="98">
        <f t="shared" si="10"/>
        <v>0</v>
      </c>
      <c r="AE61" s="238" t="e">
        <f t="shared" si="11"/>
        <v>#DIV/0!</v>
      </c>
      <c r="AF61" s="125" t="e">
        <f t="shared" si="12"/>
        <v>#DIV/0!</v>
      </c>
      <c r="AG61" s="92"/>
    </row>
    <row r="62" spans="1:33" ht="14.4">
      <c r="A62" s="270"/>
      <c r="B62" s="97">
        <f t="shared" si="0"/>
        <v>31</v>
      </c>
      <c r="C62" s="325"/>
      <c r="D62" s="260"/>
      <c r="E62" s="95"/>
      <c r="G62" s="52"/>
      <c r="H62" s="52"/>
      <c r="I62" s="256"/>
      <c r="J62" s="98">
        <f t="shared" si="1"/>
        <v>0</v>
      </c>
      <c r="K62" s="118" t="e">
        <f t="shared" si="2"/>
        <v>#DIV/0!</v>
      </c>
      <c r="L62" s="15"/>
      <c r="M62" s="15"/>
      <c r="N62" s="15">
        <f t="shared" si="3"/>
        <v>0</v>
      </c>
      <c r="O62" s="70" t="e">
        <f t="shared" si="4"/>
        <v>#DIV/0!</v>
      </c>
      <c r="P62" s="70"/>
      <c r="Q62" s="70">
        <f t="shared" si="5"/>
        <v>0</v>
      </c>
      <c r="R62" s="70"/>
      <c r="S62" s="70"/>
      <c r="T62" s="70"/>
      <c r="U62" s="15"/>
      <c r="V62" s="70" t="e">
        <f t="shared" si="6"/>
        <v>#DIV/0!</v>
      </c>
      <c r="W62" s="15"/>
      <c r="X62" s="15"/>
      <c r="Y62" s="15">
        <f t="shared" si="7"/>
        <v>0</v>
      </c>
      <c r="Z62" s="52"/>
      <c r="AA62" s="98">
        <f t="shared" si="8"/>
        <v>0</v>
      </c>
      <c r="AB62" s="52"/>
      <c r="AC62" s="98">
        <f t="shared" si="9"/>
        <v>0</v>
      </c>
      <c r="AD62" s="98">
        <f t="shared" si="10"/>
        <v>0</v>
      </c>
      <c r="AE62" s="238" t="e">
        <f t="shared" si="11"/>
        <v>#DIV/0!</v>
      </c>
      <c r="AF62" s="125" t="e">
        <f t="shared" si="12"/>
        <v>#DIV/0!</v>
      </c>
      <c r="AG62" s="92"/>
    </row>
    <row r="63" spans="1:33" ht="14.4">
      <c r="A63" s="270"/>
      <c r="B63" s="97">
        <f t="shared" si="0"/>
        <v>31</v>
      </c>
      <c r="C63" s="325"/>
      <c r="D63" s="260"/>
      <c r="E63" s="95"/>
      <c r="G63" s="52"/>
      <c r="H63" s="52"/>
      <c r="I63" s="256"/>
      <c r="J63" s="98">
        <f t="shared" si="1"/>
        <v>0</v>
      </c>
      <c r="K63" s="118" t="e">
        <f t="shared" si="2"/>
        <v>#DIV/0!</v>
      </c>
      <c r="L63" s="15"/>
      <c r="M63" s="15"/>
      <c r="N63" s="15">
        <f t="shared" si="3"/>
        <v>0</v>
      </c>
      <c r="O63" s="70" t="e">
        <f t="shared" si="4"/>
        <v>#DIV/0!</v>
      </c>
      <c r="P63" s="70"/>
      <c r="Q63" s="70">
        <f t="shared" si="5"/>
        <v>0</v>
      </c>
      <c r="R63" s="70"/>
      <c r="S63" s="70"/>
      <c r="T63" s="70"/>
      <c r="U63" s="15"/>
      <c r="V63" s="70" t="e">
        <f t="shared" si="6"/>
        <v>#DIV/0!</v>
      </c>
      <c r="W63" s="15"/>
      <c r="X63" s="15"/>
      <c r="Y63" s="15">
        <f t="shared" si="7"/>
        <v>0</v>
      </c>
      <c r="Z63" s="52"/>
      <c r="AA63" s="98">
        <f t="shared" si="8"/>
        <v>0</v>
      </c>
      <c r="AB63" s="52"/>
      <c r="AC63" s="98">
        <f t="shared" si="9"/>
        <v>0</v>
      </c>
      <c r="AD63" s="98">
        <f t="shared" si="10"/>
        <v>0</v>
      </c>
      <c r="AE63" s="238" t="e">
        <f t="shared" si="11"/>
        <v>#DIV/0!</v>
      </c>
      <c r="AF63" s="125" t="e">
        <f t="shared" si="12"/>
        <v>#DIV/0!</v>
      </c>
      <c r="AG63" s="92"/>
    </row>
    <row r="64" spans="1:33" ht="14.4">
      <c r="A64" s="270"/>
      <c r="B64" s="97">
        <f t="shared" si="0"/>
        <v>31</v>
      </c>
      <c r="C64" s="325"/>
      <c r="D64" s="260"/>
      <c r="E64" s="95"/>
      <c r="G64" s="52"/>
      <c r="H64" s="52"/>
      <c r="I64" s="256"/>
      <c r="J64" s="98">
        <f t="shared" si="1"/>
        <v>0</v>
      </c>
      <c r="K64" s="118" t="e">
        <f t="shared" si="2"/>
        <v>#DIV/0!</v>
      </c>
      <c r="L64" s="15"/>
      <c r="M64" s="15"/>
      <c r="N64" s="15">
        <f t="shared" si="3"/>
        <v>0</v>
      </c>
      <c r="O64" s="70" t="e">
        <f t="shared" si="4"/>
        <v>#DIV/0!</v>
      </c>
      <c r="P64" s="70"/>
      <c r="Q64" s="70">
        <f t="shared" si="5"/>
        <v>0</v>
      </c>
      <c r="R64" s="70"/>
      <c r="S64" s="70"/>
      <c r="T64" s="70"/>
      <c r="U64" s="15"/>
      <c r="V64" s="70" t="e">
        <f t="shared" si="6"/>
        <v>#DIV/0!</v>
      </c>
      <c r="W64" s="15"/>
      <c r="X64" s="15"/>
      <c r="Y64" s="15">
        <f t="shared" si="7"/>
        <v>0</v>
      </c>
      <c r="Z64" s="52"/>
      <c r="AA64" s="98">
        <f t="shared" si="8"/>
        <v>0</v>
      </c>
      <c r="AB64" s="52"/>
      <c r="AC64" s="98">
        <f t="shared" si="9"/>
        <v>0</v>
      </c>
      <c r="AD64" s="98">
        <f t="shared" si="10"/>
        <v>0</v>
      </c>
      <c r="AE64" s="238" t="e">
        <f t="shared" si="11"/>
        <v>#DIV/0!</v>
      </c>
      <c r="AF64" s="125" t="e">
        <f t="shared" si="12"/>
        <v>#DIV/0!</v>
      </c>
      <c r="AG64" s="92"/>
    </row>
    <row r="65" spans="1:33" ht="14.4">
      <c r="A65" s="270"/>
      <c r="B65" s="97">
        <f t="shared" si="0"/>
        <v>31</v>
      </c>
      <c r="C65" s="325"/>
      <c r="D65" s="260"/>
      <c r="E65" s="95"/>
      <c r="G65" s="52"/>
      <c r="H65" s="52"/>
      <c r="I65" s="256"/>
      <c r="J65" s="98">
        <f t="shared" si="1"/>
        <v>0</v>
      </c>
      <c r="K65" s="118" t="e">
        <f t="shared" si="2"/>
        <v>#DIV/0!</v>
      </c>
      <c r="L65" s="15"/>
      <c r="M65" s="15"/>
      <c r="N65" s="15">
        <f t="shared" si="3"/>
        <v>0</v>
      </c>
      <c r="O65" s="70" t="e">
        <f t="shared" si="4"/>
        <v>#DIV/0!</v>
      </c>
      <c r="P65" s="70"/>
      <c r="Q65" s="70">
        <f t="shared" si="5"/>
        <v>0</v>
      </c>
      <c r="R65" s="70"/>
      <c r="S65" s="70"/>
      <c r="T65" s="70"/>
      <c r="U65" s="15"/>
      <c r="V65" s="70" t="e">
        <f t="shared" si="6"/>
        <v>#DIV/0!</v>
      </c>
      <c r="W65" s="15"/>
      <c r="X65" s="15"/>
      <c r="Y65" s="15">
        <f t="shared" si="7"/>
        <v>0</v>
      </c>
      <c r="Z65" s="52"/>
      <c r="AA65" s="98">
        <f t="shared" si="8"/>
        <v>0</v>
      </c>
      <c r="AB65" s="52"/>
      <c r="AC65" s="98">
        <f t="shared" si="9"/>
        <v>0</v>
      </c>
      <c r="AD65" s="98">
        <f t="shared" si="10"/>
        <v>0</v>
      </c>
      <c r="AE65" s="238" t="e">
        <f t="shared" si="11"/>
        <v>#DIV/0!</v>
      </c>
      <c r="AF65" s="125" t="e">
        <f t="shared" si="12"/>
        <v>#DIV/0!</v>
      </c>
      <c r="AG65" s="92"/>
    </row>
    <row r="66" spans="1:33" ht="14.4">
      <c r="A66" s="270"/>
      <c r="B66" s="97">
        <f t="shared" si="0"/>
        <v>31</v>
      </c>
      <c r="C66" s="325"/>
      <c r="D66" s="260"/>
      <c r="E66" s="95"/>
      <c r="G66" s="52"/>
      <c r="H66" s="52"/>
      <c r="I66" s="256"/>
      <c r="J66" s="98">
        <f t="shared" si="1"/>
        <v>0</v>
      </c>
      <c r="K66" s="118" t="e">
        <f t="shared" si="2"/>
        <v>#DIV/0!</v>
      </c>
      <c r="L66" s="15"/>
      <c r="M66" s="15"/>
      <c r="N66" s="15">
        <f t="shared" si="3"/>
        <v>0</v>
      </c>
      <c r="O66" s="70" t="e">
        <f t="shared" si="4"/>
        <v>#DIV/0!</v>
      </c>
      <c r="P66" s="70"/>
      <c r="Q66" s="70">
        <f t="shared" si="5"/>
        <v>0</v>
      </c>
      <c r="R66" s="70"/>
      <c r="S66" s="70"/>
      <c r="T66" s="70"/>
      <c r="U66" s="15"/>
      <c r="V66" s="70" t="e">
        <f t="shared" si="6"/>
        <v>#DIV/0!</v>
      </c>
      <c r="W66" s="15"/>
      <c r="X66" s="15"/>
      <c r="Y66" s="15">
        <f t="shared" si="7"/>
        <v>0</v>
      </c>
      <c r="Z66" s="52"/>
      <c r="AA66" s="98">
        <f t="shared" si="8"/>
        <v>0</v>
      </c>
      <c r="AB66" s="52"/>
      <c r="AC66" s="98">
        <f t="shared" si="9"/>
        <v>0</v>
      </c>
      <c r="AD66" s="98">
        <f t="shared" si="10"/>
        <v>0</v>
      </c>
      <c r="AE66" s="238" t="e">
        <f t="shared" si="11"/>
        <v>#DIV/0!</v>
      </c>
      <c r="AF66" s="125" t="e">
        <f t="shared" si="12"/>
        <v>#DIV/0!</v>
      </c>
      <c r="AG66" s="92"/>
    </row>
    <row r="67" spans="1:33" ht="14.4">
      <c r="A67" s="270"/>
      <c r="B67" s="97">
        <f t="shared" si="0"/>
        <v>31</v>
      </c>
      <c r="C67" s="325"/>
      <c r="D67" s="260"/>
      <c r="E67" s="95"/>
      <c r="G67" s="52"/>
      <c r="H67" s="52"/>
      <c r="I67" s="256"/>
      <c r="J67" s="98">
        <f t="shared" si="1"/>
        <v>0</v>
      </c>
      <c r="K67" s="118" t="e">
        <f t="shared" si="2"/>
        <v>#DIV/0!</v>
      </c>
      <c r="L67" s="15"/>
      <c r="M67" s="15"/>
      <c r="N67" s="15">
        <f t="shared" si="3"/>
        <v>0</v>
      </c>
      <c r="O67" s="70" t="e">
        <f t="shared" si="4"/>
        <v>#DIV/0!</v>
      </c>
      <c r="P67" s="70"/>
      <c r="Q67" s="70">
        <f t="shared" si="5"/>
        <v>0</v>
      </c>
      <c r="R67" s="70"/>
      <c r="S67" s="70"/>
      <c r="T67" s="70"/>
      <c r="U67" s="15"/>
      <c r="V67" s="70" t="e">
        <f t="shared" si="6"/>
        <v>#DIV/0!</v>
      </c>
      <c r="W67" s="15"/>
      <c r="X67" s="15"/>
      <c r="Y67" s="15">
        <f t="shared" si="7"/>
        <v>0</v>
      </c>
      <c r="Z67" s="52"/>
      <c r="AA67" s="98">
        <f t="shared" si="8"/>
        <v>0</v>
      </c>
      <c r="AB67" s="52"/>
      <c r="AC67" s="98">
        <f t="shared" si="9"/>
        <v>0</v>
      </c>
      <c r="AD67" s="98">
        <f t="shared" si="10"/>
        <v>0</v>
      </c>
      <c r="AE67" s="238" t="e">
        <f t="shared" si="11"/>
        <v>#DIV/0!</v>
      </c>
      <c r="AF67" s="125" t="e">
        <f t="shared" si="12"/>
        <v>#DIV/0!</v>
      </c>
      <c r="AG67" s="92"/>
    </row>
    <row r="68" spans="1:33" ht="14.4">
      <c r="A68" s="270"/>
      <c r="B68" s="97">
        <f t="shared" si="0"/>
        <v>31</v>
      </c>
      <c r="C68" s="325"/>
      <c r="D68" s="260"/>
      <c r="E68" s="95"/>
      <c r="G68" s="52"/>
      <c r="H68" s="52"/>
      <c r="I68" s="256"/>
      <c r="J68" s="98">
        <f t="shared" si="1"/>
        <v>0</v>
      </c>
      <c r="K68" s="118" t="e">
        <f t="shared" si="2"/>
        <v>#DIV/0!</v>
      </c>
      <c r="L68" s="15"/>
      <c r="M68" s="15"/>
      <c r="N68" s="15">
        <f t="shared" si="3"/>
        <v>0</v>
      </c>
      <c r="O68" s="70" t="e">
        <f t="shared" si="4"/>
        <v>#DIV/0!</v>
      </c>
      <c r="P68" s="70"/>
      <c r="Q68" s="70">
        <f t="shared" si="5"/>
        <v>0</v>
      </c>
      <c r="R68" s="70"/>
      <c r="S68" s="70"/>
      <c r="T68" s="70"/>
      <c r="U68" s="15"/>
      <c r="V68" s="70" t="e">
        <f t="shared" si="6"/>
        <v>#DIV/0!</v>
      </c>
      <c r="W68" s="15"/>
      <c r="X68" s="15"/>
      <c r="Y68" s="15">
        <f t="shared" si="7"/>
        <v>0</v>
      </c>
      <c r="Z68" s="52"/>
      <c r="AA68" s="98">
        <f t="shared" si="8"/>
        <v>0</v>
      </c>
      <c r="AB68" s="52"/>
      <c r="AC68" s="98">
        <f t="shared" si="9"/>
        <v>0</v>
      </c>
      <c r="AD68" s="98">
        <f t="shared" si="10"/>
        <v>0</v>
      </c>
      <c r="AE68" s="238" t="e">
        <f t="shared" si="11"/>
        <v>#DIV/0!</v>
      </c>
      <c r="AF68" s="125" t="e">
        <f t="shared" si="12"/>
        <v>#DIV/0!</v>
      </c>
      <c r="AG68" s="92"/>
    </row>
    <row r="69" spans="1:33" ht="14.4">
      <c r="A69" s="270"/>
      <c r="B69" s="97">
        <f t="shared" si="0"/>
        <v>31</v>
      </c>
      <c r="C69" s="325"/>
      <c r="D69" s="260"/>
      <c r="E69" s="95"/>
      <c r="G69" s="52"/>
      <c r="H69" s="52"/>
      <c r="I69" s="256"/>
      <c r="J69" s="98">
        <f t="shared" si="1"/>
        <v>0</v>
      </c>
      <c r="K69" s="118" t="e">
        <f t="shared" si="2"/>
        <v>#DIV/0!</v>
      </c>
      <c r="L69" s="15"/>
      <c r="M69" s="15"/>
      <c r="N69" s="15">
        <f t="shared" si="3"/>
        <v>0</v>
      </c>
      <c r="O69" s="70" t="e">
        <f t="shared" si="4"/>
        <v>#DIV/0!</v>
      </c>
      <c r="P69" s="70"/>
      <c r="Q69" s="70">
        <f t="shared" si="5"/>
        <v>0</v>
      </c>
      <c r="R69" s="70"/>
      <c r="S69" s="70"/>
      <c r="T69" s="70"/>
      <c r="U69" s="15"/>
      <c r="V69" s="70" t="e">
        <f t="shared" si="6"/>
        <v>#DIV/0!</v>
      </c>
      <c r="W69" s="15"/>
      <c r="X69" s="15"/>
      <c r="Y69" s="15">
        <f t="shared" si="7"/>
        <v>0</v>
      </c>
      <c r="Z69" s="52"/>
      <c r="AA69" s="98">
        <f t="shared" si="8"/>
        <v>0</v>
      </c>
      <c r="AB69" s="52"/>
      <c r="AC69" s="98">
        <f t="shared" si="9"/>
        <v>0</v>
      </c>
      <c r="AD69" s="98">
        <f t="shared" si="10"/>
        <v>0</v>
      </c>
      <c r="AE69" s="238" t="e">
        <f t="shared" si="11"/>
        <v>#DIV/0!</v>
      </c>
      <c r="AF69" s="125" t="e">
        <f t="shared" si="12"/>
        <v>#DIV/0!</v>
      </c>
      <c r="AG69" s="92"/>
    </row>
    <row r="70" spans="1:33" ht="14.4">
      <c r="A70" s="270"/>
      <c r="B70" s="97">
        <f t="shared" ref="B70:B133" si="13">EOMONTH(A70,0)</f>
        <v>31</v>
      </c>
      <c r="C70" s="325"/>
      <c r="D70" s="260"/>
      <c r="E70" s="95"/>
      <c r="G70" s="52"/>
      <c r="H70" s="52"/>
      <c r="I70" s="256"/>
      <c r="J70" s="98">
        <f t="shared" ref="J70:J133" si="14">U70</f>
        <v>0</v>
      </c>
      <c r="K70" s="118" t="e">
        <f t="shared" ref="K70:K133" si="15">L70/J70</f>
        <v>#DIV/0!</v>
      </c>
      <c r="L70" s="15"/>
      <c r="M70" s="15"/>
      <c r="N70" s="15">
        <f t="shared" ref="N70:N133" si="16">L70-M70</f>
        <v>0</v>
      </c>
      <c r="O70" s="70" t="e">
        <f t="shared" ref="O70:O133" si="17">P70/J70</f>
        <v>#DIV/0!</v>
      </c>
      <c r="P70" s="70"/>
      <c r="Q70" s="70">
        <f t="shared" ref="Q70:Q133" si="18">N70+P70</f>
        <v>0</v>
      </c>
      <c r="R70" s="70"/>
      <c r="S70" s="70"/>
      <c r="T70" s="70"/>
      <c r="U70" s="15"/>
      <c r="V70" s="70" t="e">
        <f t="shared" ref="V70:V133" si="19">W70/U70</f>
        <v>#DIV/0!</v>
      </c>
      <c r="W70" s="15"/>
      <c r="X70" s="15"/>
      <c r="Y70" s="15">
        <f t="shared" ref="Y70:Y133" si="20">W70-X70</f>
        <v>0</v>
      </c>
      <c r="Z70" s="52"/>
      <c r="AA70" s="98">
        <f t="shared" ref="AA70:AA133" si="21">Y70-Z70</f>
        <v>0</v>
      </c>
      <c r="AB70" s="52"/>
      <c r="AC70" s="98">
        <f t="shared" ref="AC70:AC133" si="22">Y70-N70</f>
        <v>0</v>
      </c>
      <c r="AD70" s="98">
        <f t="shared" ref="AD70:AD133" si="23">AA70-Q70</f>
        <v>0</v>
      </c>
      <c r="AE70" s="238" t="e">
        <f t="shared" ref="AE70:AE133" si="24">AC70/Y70</f>
        <v>#DIV/0!</v>
      </c>
      <c r="AF70" s="125" t="e">
        <f t="shared" ref="AF70:AF133" si="25">AD70/AA70</f>
        <v>#DIV/0!</v>
      </c>
      <c r="AG70" s="92"/>
    </row>
    <row r="71" spans="1:33" ht="14.4">
      <c r="A71" s="270"/>
      <c r="B71" s="97">
        <f t="shared" si="13"/>
        <v>31</v>
      </c>
      <c r="C71" s="325"/>
      <c r="D71" s="260"/>
      <c r="E71" s="95"/>
      <c r="G71" s="52"/>
      <c r="H71" s="52"/>
      <c r="I71" s="256"/>
      <c r="J71" s="98">
        <f t="shared" si="14"/>
        <v>0</v>
      </c>
      <c r="K71" s="118" t="e">
        <f t="shared" si="15"/>
        <v>#DIV/0!</v>
      </c>
      <c r="L71" s="15"/>
      <c r="M71" s="15"/>
      <c r="N71" s="15">
        <f t="shared" si="16"/>
        <v>0</v>
      </c>
      <c r="O71" s="70" t="e">
        <f t="shared" si="17"/>
        <v>#DIV/0!</v>
      </c>
      <c r="P71" s="70"/>
      <c r="Q71" s="70">
        <f t="shared" si="18"/>
        <v>0</v>
      </c>
      <c r="R71" s="70"/>
      <c r="S71" s="70"/>
      <c r="T71" s="70"/>
      <c r="U71" s="15"/>
      <c r="V71" s="70" t="e">
        <f t="shared" si="19"/>
        <v>#DIV/0!</v>
      </c>
      <c r="W71" s="15"/>
      <c r="X71" s="15"/>
      <c r="Y71" s="15">
        <f t="shared" si="20"/>
        <v>0</v>
      </c>
      <c r="Z71" s="52"/>
      <c r="AA71" s="98">
        <f t="shared" si="21"/>
        <v>0</v>
      </c>
      <c r="AB71" s="52"/>
      <c r="AC71" s="98">
        <f t="shared" si="22"/>
        <v>0</v>
      </c>
      <c r="AD71" s="98">
        <f t="shared" si="23"/>
        <v>0</v>
      </c>
      <c r="AE71" s="238" t="e">
        <f t="shared" si="24"/>
        <v>#DIV/0!</v>
      </c>
      <c r="AF71" s="125" t="e">
        <f t="shared" si="25"/>
        <v>#DIV/0!</v>
      </c>
      <c r="AG71" s="92"/>
    </row>
    <row r="72" spans="1:33" ht="14.4">
      <c r="A72" s="270"/>
      <c r="B72" s="97">
        <f t="shared" si="13"/>
        <v>31</v>
      </c>
      <c r="C72" s="325"/>
      <c r="D72" s="260"/>
      <c r="E72" s="95"/>
      <c r="G72" s="52"/>
      <c r="H72" s="52"/>
      <c r="I72" s="256"/>
      <c r="J72" s="98">
        <f t="shared" si="14"/>
        <v>0</v>
      </c>
      <c r="K72" s="118" t="e">
        <f t="shared" si="15"/>
        <v>#DIV/0!</v>
      </c>
      <c r="L72" s="15"/>
      <c r="M72" s="15"/>
      <c r="N72" s="15">
        <f t="shared" si="16"/>
        <v>0</v>
      </c>
      <c r="O72" s="70" t="e">
        <f t="shared" si="17"/>
        <v>#DIV/0!</v>
      </c>
      <c r="P72" s="70"/>
      <c r="Q72" s="70">
        <f t="shared" si="18"/>
        <v>0</v>
      </c>
      <c r="R72" s="70"/>
      <c r="S72" s="70"/>
      <c r="T72" s="70"/>
      <c r="U72" s="15"/>
      <c r="V72" s="70" t="e">
        <f t="shared" si="19"/>
        <v>#DIV/0!</v>
      </c>
      <c r="W72" s="15"/>
      <c r="X72" s="15"/>
      <c r="Y72" s="15">
        <f t="shared" si="20"/>
        <v>0</v>
      </c>
      <c r="Z72" s="52"/>
      <c r="AA72" s="98">
        <f t="shared" si="21"/>
        <v>0</v>
      </c>
      <c r="AB72" s="52"/>
      <c r="AC72" s="98">
        <f t="shared" si="22"/>
        <v>0</v>
      </c>
      <c r="AD72" s="98">
        <f t="shared" si="23"/>
        <v>0</v>
      </c>
      <c r="AE72" s="238" t="e">
        <f t="shared" si="24"/>
        <v>#DIV/0!</v>
      </c>
      <c r="AF72" s="125" t="e">
        <f t="shared" si="25"/>
        <v>#DIV/0!</v>
      </c>
      <c r="AG72" s="92"/>
    </row>
    <row r="73" spans="1:33" ht="14.4">
      <c r="A73" s="270"/>
      <c r="B73" s="97">
        <f t="shared" si="13"/>
        <v>31</v>
      </c>
      <c r="C73" s="325"/>
      <c r="D73" s="260"/>
      <c r="E73" s="95"/>
      <c r="G73" s="52"/>
      <c r="H73" s="52"/>
      <c r="I73" s="256"/>
      <c r="J73" s="98">
        <f t="shared" si="14"/>
        <v>0</v>
      </c>
      <c r="K73" s="118" t="e">
        <f t="shared" si="15"/>
        <v>#DIV/0!</v>
      </c>
      <c r="L73" s="15"/>
      <c r="M73" s="15"/>
      <c r="N73" s="15">
        <f t="shared" si="16"/>
        <v>0</v>
      </c>
      <c r="O73" s="70" t="e">
        <f t="shared" si="17"/>
        <v>#DIV/0!</v>
      </c>
      <c r="P73" s="70"/>
      <c r="Q73" s="70">
        <f t="shared" si="18"/>
        <v>0</v>
      </c>
      <c r="R73" s="70"/>
      <c r="S73" s="70"/>
      <c r="T73" s="70"/>
      <c r="U73" s="15"/>
      <c r="V73" s="70" t="e">
        <f t="shared" si="19"/>
        <v>#DIV/0!</v>
      </c>
      <c r="W73" s="15"/>
      <c r="X73" s="15"/>
      <c r="Y73" s="15">
        <f t="shared" si="20"/>
        <v>0</v>
      </c>
      <c r="Z73" s="52"/>
      <c r="AA73" s="98">
        <f t="shared" si="21"/>
        <v>0</v>
      </c>
      <c r="AB73" s="52"/>
      <c r="AC73" s="98">
        <f t="shared" si="22"/>
        <v>0</v>
      </c>
      <c r="AD73" s="98">
        <f t="shared" si="23"/>
        <v>0</v>
      </c>
      <c r="AE73" s="238" t="e">
        <f t="shared" si="24"/>
        <v>#DIV/0!</v>
      </c>
      <c r="AF73" s="125" t="e">
        <f t="shared" si="25"/>
        <v>#DIV/0!</v>
      </c>
      <c r="AG73" s="92"/>
    </row>
    <row r="74" spans="1:33" ht="14.4">
      <c r="A74" s="270"/>
      <c r="B74" s="97">
        <f t="shared" si="13"/>
        <v>31</v>
      </c>
      <c r="C74" s="325"/>
      <c r="D74" s="260"/>
      <c r="E74" s="95"/>
      <c r="G74" s="52"/>
      <c r="H74" s="52"/>
      <c r="I74" s="256"/>
      <c r="J74" s="98">
        <f t="shared" si="14"/>
        <v>0</v>
      </c>
      <c r="K74" s="118" t="e">
        <f t="shared" si="15"/>
        <v>#DIV/0!</v>
      </c>
      <c r="L74" s="15"/>
      <c r="M74" s="15"/>
      <c r="N74" s="15">
        <f t="shared" si="16"/>
        <v>0</v>
      </c>
      <c r="O74" s="70" t="e">
        <f t="shared" si="17"/>
        <v>#DIV/0!</v>
      </c>
      <c r="P74" s="70"/>
      <c r="Q74" s="70">
        <f t="shared" si="18"/>
        <v>0</v>
      </c>
      <c r="R74" s="70"/>
      <c r="S74" s="70"/>
      <c r="T74" s="70"/>
      <c r="U74" s="15"/>
      <c r="V74" s="70" t="e">
        <f t="shared" si="19"/>
        <v>#DIV/0!</v>
      </c>
      <c r="W74" s="15"/>
      <c r="X74" s="15"/>
      <c r="Y74" s="15">
        <f t="shared" si="20"/>
        <v>0</v>
      </c>
      <c r="Z74" s="52"/>
      <c r="AA74" s="98">
        <f t="shared" si="21"/>
        <v>0</v>
      </c>
      <c r="AB74" s="52"/>
      <c r="AC74" s="98">
        <f t="shared" si="22"/>
        <v>0</v>
      </c>
      <c r="AD74" s="98">
        <f t="shared" si="23"/>
        <v>0</v>
      </c>
      <c r="AE74" s="238" t="e">
        <f t="shared" si="24"/>
        <v>#DIV/0!</v>
      </c>
      <c r="AF74" s="125" t="e">
        <f t="shared" si="25"/>
        <v>#DIV/0!</v>
      </c>
      <c r="AG74" s="92"/>
    </row>
    <row r="75" spans="1:33" ht="14.4">
      <c r="A75" s="270"/>
      <c r="B75" s="97">
        <f t="shared" si="13"/>
        <v>31</v>
      </c>
      <c r="C75" s="325"/>
      <c r="D75" s="260"/>
      <c r="E75" s="95"/>
      <c r="G75" s="52"/>
      <c r="H75" s="52"/>
      <c r="I75" s="256"/>
      <c r="J75" s="98">
        <f t="shared" si="14"/>
        <v>0</v>
      </c>
      <c r="K75" s="118" t="e">
        <f t="shared" si="15"/>
        <v>#DIV/0!</v>
      </c>
      <c r="L75" s="15"/>
      <c r="M75" s="15"/>
      <c r="N75" s="15">
        <f t="shared" si="16"/>
        <v>0</v>
      </c>
      <c r="O75" s="70" t="e">
        <f t="shared" si="17"/>
        <v>#DIV/0!</v>
      </c>
      <c r="P75" s="70"/>
      <c r="Q75" s="70">
        <f t="shared" si="18"/>
        <v>0</v>
      </c>
      <c r="R75" s="70"/>
      <c r="S75" s="70"/>
      <c r="T75" s="70"/>
      <c r="U75" s="15"/>
      <c r="V75" s="70" t="e">
        <f t="shared" si="19"/>
        <v>#DIV/0!</v>
      </c>
      <c r="W75" s="15"/>
      <c r="X75" s="15"/>
      <c r="Y75" s="15">
        <f t="shared" si="20"/>
        <v>0</v>
      </c>
      <c r="Z75" s="52"/>
      <c r="AA75" s="98">
        <f t="shared" si="21"/>
        <v>0</v>
      </c>
      <c r="AB75" s="52"/>
      <c r="AC75" s="98">
        <f t="shared" si="22"/>
        <v>0</v>
      </c>
      <c r="AD75" s="98">
        <f t="shared" si="23"/>
        <v>0</v>
      </c>
      <c r="AE75" s="238" t="e">
        <f t="shared" si="24"/>
        <v>#DIV/0!</v>
      </c>
      <c r="AF75" s="125" t="e">
        <f t="shared" si="25"/>
        <v>#DIV/0!</v>
      </c>
      <c r="AG75" s="92"/>
    </row>
    <row r="76" spans="1:33" ht="14.4">
      <c r="A76" s="270"/>
      <c r="B76" s="97">
        <f t="shared" si="13"/>
        <v>31</v>
      </c>
      <c r="C76" s="325"/>
      <c r="D76" s="260"/>
      <c r="E76" s="95"/>
      <c r="G76" s="52"/>
      <c r="H76" s="52"/>
      <c r="I76" s="256"/>
      <c r="J76" s="98">
        <f t="shared" si="14"/>
        <v>0</v>
      </c>
      <c r="K76" s="118" t="e">
        <f t="shared" si="15"/>
        <v>#DIV/0!</v>
      </c>
      <c r="L76" s="15"/>
      <c r="M76" s="15"/>
      <c r="N76" s="15">
        <f t="shared" si="16"/>
        <v>0</v>
      </c>
      <c r="O76" s="70" t="e">
        <f t="shared" si="17"/>
        <v>#DIV/0!</v>
      </c>
      <c r="P76" s="70"/>
      <c r="Q76" s="70">
        <f t="shared" si="18"/>
        <v>0</v>
      </c>
      <c r="R76" s="70"/>
      <c r="S76" s="70"/>
      <c r="T76" s="70"/>
      <c r="U76" s="15"/>
      <c r="V76" s="70" t="e">
        <f t="shared" si="19"/>
        <v>#DIV/0!</v>
      </c>
      <c r="W76" s="15"/>
      <c r="X76" s="15"/>
      <c r="Y76" s="15">
        <f t="shared" si="20"/>
        <v>0</v>
      </c>
      <c r="Z76" s="52"/>
      <c r="AA76" s="98">
        <f t="shared" si="21"/>
        <v>0</v>
      </c>
      <c r="AB76" s="52"/>
      <c r="AC76" s="98">
        <f t="shared" si="22"/>
        <v>0</v>
      </c>
      <c r="AD76" s="98">
        <f t="shared" si="23"/>
        <v>0</v>
      </c>
      <c r="AE76" s="238" t="e">
        <f t="shared" si="24"/>
        <v>#DIV/0!</v>
      </c>
      <c r="AF76" s="125" t="e">
        <f t="shared" si="25"/>
        <v>#DIV/0!</v>
      </c>
      <c r="AG76" s="92"/>
    </row>
    <row r="77" spans="1:33" ht="14.4">
      <c r="A77" s="270"/>
      <c r="B77" s="97">
        <f t="shared" si="13"/>
        <v>31</v>
      </c>
      <c r="C77" s="325"/>
      <c r="D77" s="260"/>
      <c r="E77" s="95"/>
      <c r="G77" s="52"/>
      <c r="H77" s="52"/>
      <c r="I77" s="256"/>
      <c r="J77" s="98">
        <f t="shared" si="14"/>
        <v>0</v>
      </c>
      <c r="K77" s="118" t="e">
        <f t="shared" si="15"/>
        <v>#DIV/0!</v>
      </c>
      <c r="L77" s="15"/>
      <c r="M77" s="15"/>
      <c r="N77" s="15">
        <f t="shared" si="16"/>
        <v>0</v>
      </c>
      <c r="O77" s="70" t="e">
        <f t="shared" si="17"/>
        <v>#N/A</v>
      </c>
      <c r="P77" s="70" t="e">
        <f>VLOOKUP(C77,'[1]Profit and Loss agt new'!$D$17:$E$52,2,)</f>
        <v>#N/A</v>
      </c>
      <c r="Q77" s="70" t="e">
        <f t="shared" si="18"/>
        <v>#N/A</v>
      </c>
      <c r="R77" s="70"/>
      <c r="S77" s="70"/>
      <c r="T77" s="70"/>
      <c r="U77" s="15"/>
      <c r="V77" s="70" t="e">
        <f t="shared" si="19"/>
        <v>#DIV/0!</v>
      </c>
      <c r="W77" s="15"/>
      <c r="X77" s="15"/>
      <c r="Y77" s="15">
        <f t="shared" si="20"/>
        <v>0</v>
      </c>
      <c r="Z77" s="52"/>
      <c r="AA77" s="98">
        <f t="shared" si="21"/>
        <v>0</v>
      </c>
      <c r="AB77" s="52"/>
      <c r="AC77" s="98">
        <f t="shared" si="22"/>
        <v>0</v>
      </c>
      <c r="AD77" s="98" t="e">
        <f t="shared" si="23"/>
        <v>#N/A</v>
      </c>
      <c r="AE77" s="238" t="e">
        <f t="shared" si="24"/>
        <v>#DIV/0!</v>
      </c>
      <c r="AF77" s="125" t="e">
        <f t="shared" si="25"/>
        <v>#N/A</v>
      </c>
      <c r="AG77" s="92"/>
    </row>
    <row r="78" spans="1:33" ht="14.4">
      <c r="A78" s="270"/>
      <c r="B78" s="97">
        <f t="shared" si="13"/>
        <v>31</v>
      </c>
      <c r="C78" s="325"/>
      <c r="D78" s="260"/>
      <c r="E78" s="95"/>
      <c r="G78" s="52"/>
      <c r="H78" s="52"/>
      <c r="I78" s="256"/>
      <c r="J78" s="98">
        <f t="shared" si="14"/>
        <v>0</v>
      </c>
      <c r="K78" s="118" t="e">
        <f t="shared" si="15"/>
        <v>#DIV/0!</v>
      </c>
      <c r="L78" s="15"/>
      <c r="M78" s="15"/>
      <c r="N78" s="15">
        <f t="shared" si="16"/>
        <v>0</v>
      </c>
      <c r="O78" s="70" t="e">
        <f t="shared" si="17"/>
        <v>#DIV/0!</v>
      </c>
      <c r="P78" s="70"/>
      <c r="Q78" s="70">
        <f t="shared" si="18"/>
        <v>0</v>
      </c>
      <c r="R78" s="70"/>
      <c r="S78" s="70"/>
      <c r="T78" s="70"/>
      <c r="U78" s="15"/>
      <c r="V78" s="70" t="e">
        <f t="shared" si="19"/>
        <v>#DIV/0!</v>
      </c>
      <c r="W78" s="15"/>
      <c r="X78" s="15"/>
      <c r="Y78" s="15">
        <f t="shared" si="20"/>
        <v>0</v>
      </c>
      <c r="Z78" s="52"/>
      <c r="AA78" s="98">
        <f t="shared" si="21"/>
        <v>0</v>
      </c>
      <c r="AB78" s="52"/>
      <c r="AC78" s="98">
        <f t="shared" si="22"/>
        <v>0</v>
      </c>
      <c r="AD78" s="98">
        <f t="shared" si="23"/>
        <v>0</v>
      </c>
      <c r="AE78" s="238" t="e">
        <f t="shared" si="24"/>
        <v>#DIV/0!</v>
      </c>
      <c r="AF78" s="125" t="e">
        <f t="shared" si="25"/>
        <v>#DIV/0!</v>
      </c>
      <c r="AG78" s="92"/>
    </row>
    <row r="79" spans="1:33" ht="14.4">
      <c r="A79" s="270"/>
      <c r="B79" s="97">
        <f t="shared" si="13"/>
        <v>31</v>
      </c>
      <c r="C79" s="325"/>
      <c r="D79" s="260"/>
      <c r="E79" s="95"/>
      <c r="G79" s="52"/>
      <c r="H79" s="52"/>
      <c r="I79" s="256"/>
      <c r="J79" s="98">
        <f t="shared" si="14"/>
        <v>0</v>
      </c>
      <c r="K79" s="118" t="e">
        <f t="shared" si="15"/>
        <v>#DIV/0!</v>
      </c>
      <c r="L79" s="15"/>
      <c r="M79" s="15"/>
      <c r="N79" s="15">
        <f t="shared" si="16"/>
        <v>0</v>
      </c>
      <c r="O79" s="70" t="e">
        <f t="shared" si="17"/>
        <v>#DIV/0!</v>
      </c>
      <c r="P79" s="70"/>
      <c r="Q79" s="70">
        <f t="shared" si="18"/>
        <v>0</v>
      </c>
      <c r="R79" s="70"/>
      <c r="S79" s="70"/>
      <c r="T79" s="70"/>
      <c r="U79" s="15"/>
      <c r="V79" s="70" t="e">
        <f t="shared" si="19"/>
        <v>#DIV/0!</v>
      </c>
      <c r="W79" s="15"/>
      <c r="X79" s="15"/>
      <c r="Y79" s="15">
        <f t="shared" si="20"/>
        <v>0</v>
      </c>
      <c r="Z79" s="52"/>
      <c r="AA79" s="98">
        <f t="shared" si="21"/>
        <v>0</v>
      </c>
      <c r="AB79" s="52"/>
      <c r="AC79" s="98">
        <f t="shared" si="22"/>
        <v>0</v>
      </c>
      <c r="AD79" s="98">
        <f t="shared" si="23"/>
        <v>0</v>
      </c>
      <c r="AE79" s="238" t="e">
        <f t="shared" si="24"/>
        <v>#DIV/0!</v>
      </c>
      <c r="AF79" s="125" t="e">
        <f t="shared" si="25"/>
        <v>#DIV/0!</v>
      </c>
      <c r="AG79" s="92"/>
    </row>
    <row r="80" spans="1:33" ht="14.4">
      <c r="A80" s="270"/>
      <c r="B80" s="97">
        <f t="shared" si="13"/>
        <v>31</v>
      </c>
      <c r="C80" s="325"/>
      <c r="D80" s="260"/>
      <c r="E80" s="95"/>
      <c r="G80" s="52"/>
      <c r="H80" s="52"/>
      <c r="I80" s="256"/>
      <c r="J80" s="98">
        <f t="shared" si="14"/>
        <v>0</v>
      </c>
      <c r="K80" s="118" t="e">
        <f t="shared" si="15"/>
        <v>#DIV/0!</v>
      </c>
      <c r="L80" s="15"/>
      <c r="M80" s="15"/>
      <c r="N80" s="15">
        <f t="shared" si="16"/>
        <v>0</v>
      </c>
      <c r="O80" s="70" t="e">
        <f t="shared" si="17"/>
        <v>#DIV/0!</v>
      </c>
      <c r="P80" s="70"/>
      <c r="Q80" s="70">
        <f t="shared" si="18"/>
        <v>0</v>
      </c>
      <c r="R80" s="70"/>
      <c r="S80" s="70"/>
      <c r="T80" s="70"/>
      <c r="U80" s="15"/>
      <c r="V80" s="70" t="e">
        <f t="shared" si="19"/>
        <v>#DIV/0!</v>
      </c>
      <c r="W80" s="15"/>
      <c r="X80" s="15"/>
      <c r="Y80" s="15">
        <f t="shared" si="20"/>
        <v>0</v>
      </c>
      <c r="Z80" s="52"/>
      <c r="AA80" s="98">
        <f t="shared" si="21"/>
        <v>0</v>
      </c>
      <c r="AB80" s="52"/>
      <c r="AC80" s="98">
        <f t="shared" si="22"/>
        <v>0</v>
      </c>
      <c r="AD80" s="98">
        <f t="shared" si="23"/>
        <v>0</v>
      </c>
      <c r="AE80" s="238" t="e">
        <f t="shared" si="24"/>
        <v>#DIV/0!</v>
      </c>
      <c r="AF80" s="125" t="e">
        <f t="shared" si="25"/>
        <v>#DIV/0!</v>
      </c>
      <c r="AG80" s="92"/>
    </row>
    <row r="81" spans="1:33" ht="14.4">
      <c r="A81" s="270"/>
      <c r="B81" s="97">
        <f t="shared" si="13"/>
        <v>31</v>
      </c>
      <c r="C81" s="325"/>
      <c r="D81" s="260"/>
      <c r="E81" s="95"/>
      <c r="G81" s="52"/>
      <c r="H81" s="52"/>
      <c r="I81" s="256"/>
      <c r="J81" s="98">
        <f t="shared" si="14"/>
        <v>0</v>
      </c>
      <c r="K81" s="118" t="e">
        <f t="shared" si="15"/>
        <v>#DIV/0!</v>
      </c>
      <c r="L81" s="15"/>
      <c r="M81" s="15"/>
      <c r="N81" s="15">
        <f t="shared" si="16"/>
        <v>0</v>
      </c>
      <c r="O81" s="70" t="e">
        <f t="shared" si="17"/>
        <v>#DIV/0!</v>
      </c>
      <c r="P81" s="70"/>
      <c r="Q81" s="70">
        <f t="shared" si="18"/>
        <v>0</v>
      </c>
      <c r="R81" s="70"/>
      <c r="S81" s="70"/>
      <c r="T81" s="70"/>
      <c r="U81" s="15"/>
      <c r="V81" s="70" t="e">
        <f t="shared" si="19"/>
        <v>#DIV/0!</v>
      </c>
      <c r="W81" s="15"/>
      <c r="X81" s="15"/>
      <c r="Y81" s="15">
        <f t="shared" si="20"/>
        <v>0</v>
      </c>
      <c r="Z81" s="52"/>
      <c r="AA81" s="98">
        <f t="shared" si="21"/>
        <v>0</v>
      </c>
      <c r="AB81" s="52"/>
      <c r="AC81" s="98">
        <f t="shared" si="22"/>
        <v>0</v>
      </c>
      <c r="AD81" s="98">
        <f t="shared" si="23"/>
        <v>0</v>
      </c>
      <c r="AE81" s="238" t="e">
        <f t="shared" si="24"/>
        <v>#DIV/0!</v>
      </c>
      <c r="AF81" s="125" t="e">
        <f t="shared" si="25"/>
        <v>#DIV/0!</v>
      </c>
      <c r="AG81" s="92"/>
    </row>
    <row r="82" spans="1:33" ht="14.4">
      <c r="A82" s="270"/>
      <c r="B82" s="97">
        <f t="shared" si="13"/>
        <v>31</v>
      </c>
      <c r="C82" s="325"/>
      <c r="D82" s="260"/>
      <c r="E82" s="95"/>
      <c r="G82" s="52"/>
      <c r="H82" s="52"/>
      <c r="I82" s="256"/>
      <c r="J82" s="98">
        <f t="shared" si="14"/>
        <v>0</v>
      </c>
      <c r="K82" s="118" t="e">
        <f t="shared" si="15"/>
        <v>#DIV/0!</v>
      </c>
      <c r="L82" s="15"/>
      <c r="M82" s="15"/>
      <c r="N82" s="15">
        <f t="shared" si="16"/>
        <v>0</v>
      </c>
      <c r="O82" s="70" t="e">
        <f t="shared" si="17"/>
        <v>#DIV/0!</v>
      </c>
      <c r="P82" s="70"/>
      <c r="Q82" s="70">
        <f t="shared" si="18"/>
        <v>0</v>
      </c>
      <c r="R82" s="70"/>
      <c r="S82" s="70"/>
      <c r="T82" s="70"/>
      <c r="U82" s="15"/>
      <c r="V82" s="70" t="e">
        <f t="shared" si="19"/>
        <v>#DIV/0!</v>
      </c>
      <c r="W82" s="15"/>
      <c r="X82" s="15"/>
      <c r="Y82" s="15">
        <f t="shared" si="20"/>
        <v>0</v>
      </c>
      <c r="Z82" s="52"/>
      <c r="AA82" s="98">
        <f t="shared" si="21"/>
        <v>0</v>
      </c>
      <c r="AB82" s="52"/>
      <c r="AC82" s="98">
        <f t="shared" si="22"/>
        <v>0</v>
      </c>
      <c r="AD82" s="98">
        <f t="shared" si="23"/>
        <v>0</v>
      </c>
      <c r="AE82" s="238" t="e">
        <f t="shared" si="24"/>
        <v>#DIV/0!</v>
      </c>
      <c r="AF82" s="125" t="e">
        <f t="shared" si="25"/>
        <v>#DIV/0!</v>
      </c>
      <c r="AG82" s="92"/>
    </row>
    <row r="83" spans="1:33" ht="14.4">
      <c r="A83" s="270"/>
      <c r="B83" s="97">
        <f t="shared" si="13"/>
        <v>31</v>
      </c>
      <c r="C83" s="325"/>
      <c r="D83" s="260"/>
      <c r="E83" s="95"/>
      <c r="G83" s="52"/>
      <c r="H83" s="52"/>
      <c r="I83" s="256"/>
      <c r="J83" s="98">
        <f t="shared" si="14"/>
        <v>0</v>
      </c>
      <c r="K83" s="118" t="e">
        <f t="shared" si="15"/>
        <v>#DIV/0!</v>
      </c>
      <c r="L83" s="15"/>
      <c r="M83" s="15"/>
      <c r="N83" s="15">
        <f t="shared" si="16"/>
        <v>0</v>
      </c>
      <c r="O83" s="70" t="e">
        <f t="shared" si="17"/>
        <v>#DIV/0!</v>
      </c>
      <c r="P83" s="70"/>
      <c r="Q83" s="70">
        <f t="shared" si="18"/>
        <v>0</v>
      </c>
      <c r="R83" s="70"/>
      <c r="S83" s="70"/>
      <c r="T83" s="70"/>
      <c r="U83" s="15"/>
      <c r="V83" s="70" t="e">
        <f t="shared" si="19"/>
        <v>#DIV/0!</v>
      </c>
      <c r="W83" s="15"/>
      <c r="X83" s="15"/>
      <c r="Y83" s="15">
        <f t="shared" si="20"/>
        <v>0</v>
      </c>
      <c r="Z83" s="52"/>
      <c r="AA83" s="98">
        <f t="shared" si="21"/>
        <v>0</v>
      </c>
      <c r="AB83" s="52"/>
      <c r="AC83" s="98">
        <f t="shared" si="22"/>
        <v>0</v>
      </c>
      <c r="AD83" s="98">
        <f t="shared" si="23"/>
        <v>0</v>
      </c>
      <c r="AE83" s="238" t="e">
        <f t="shared" si="24"/>
        <v>#DIV/0!</v>
      </c>
      <c r="AF83" s="125" t="e">
        <f t="shared" si="25"/>
        <v>#DIV/0!</v>
      </c>
      <c r="AG83" s="92"/>
    </row>
    <row r="84" spans="1:33" ht="14.4">
      <c r="A84" s="270"/>
      <c r="B84" s="97">
        <f t="shared" si="13"/>
        <v>31</v>
      </c>
      <c r="C84" s="325"/>
      <c r="D84" s="260"/>
      <c r="E84" s="95"/>
      <c r="G84" s="52"/>
      <c r="H84" s="52"/>
      <c r="I84" s="256"/>
      <c r="J84" s="98">
        <f t="shared" si="14"/>
        <v>0</v>
      </c>
      <c r="K84" s="118" t="e">
        <f t="shared" si="15"/>
        <v>#DIV/0!</v>
      </c>
      <c r="L84" s="15"/>
      <c r="M84" s="15"/>
      <c r="N84" s="15">
        <f t="shared" si="16"/>
        <v>0</v>
      </c>
      <c r="O84" s="70" t="e">
        <f t="shared" si="17"/>
        <v>#DIV/0!</v>
      </c>
      <c r="P84" s="70"/>
      <c r="Q84" s="70">
        <f t="shared" si="18"/>
        <v>0</v>
      </c>
      <c r="R84" s="70"/>
      <c r="S84" s="70"/>
      <c r="T84" s="70"/>
      <c r="U84" s="15"/>
      <c r="V84" s="70" t="e">
        <f t="shared" si="19"/>
        <v>#DIV/0!</v>
      </c>
      <c r="W84" s="15"/>
      <c r="X84" s="15"/>
      <c r="Y84" s="15">
        <f t="shared" si="20"/>
        <v>0</v>
      </c>
      <c r="Z84" s="52"/>
      <c r="AA84" s="98">
        <f t="shared" si="21"/>
        <v>0</v>
      </c>
      <c r="AB84" s="52"/>
      <c r="AC84" s="98">
        <f t="shared" si="22"/>
        <v>0</v>
      </c>
      <c r="AD84" s="98">
        <f t="shared" si="23"/>
        <v>0</v>
      </c>
      <c r="AE84" s="238" t="e">
        <f t="shared" si="24"/>
        <v>#DIV/0!</v>
      </c>
      <c r="AF84" s="125" t="e">
        <f t="shared" si="25"/>
        <v>#DIV/0!</v>
      </c>
      <c r="AG84" s="92"/>
    </row>
    <row r="85" spans="1:33" ht="14.4">
      <c r="A85" s="270"/>
      <c r="B85" s="97">
        <f t="shared" si="13"/>
        <v>31</v>
      </c>
      <c r="C85" s="325"/>
      <c r="D85" s="260"/>
      <c r="E85" s="95"/>
      <c r="G85" s="52"/>
      <c r="H85" s="52"/>
      <c r="I85" s="256"/>
      <c r="J85" s="98">
        <f t="shared" si="14"/>
        <v>0</v>
      </c>
      <c r="K85" s="118" t="e">
        <f t="shared" si="15"/>
        <v>#DIV/0!</v>
      </c>
      <c r="L85" s="15"/>
      <c r="M85" s="15"/>
      <c r="N85" s="15">
        <f t="shared" si="16"/>
        <v>0</v>
      </c>
      <c r="O85" s="70" t="e">
        <f t="shared" si="17"/>
        <v>#DIV/0!</v>
      </c>
      <c r="P85" s="70"/>
      <c r="Q85" s="70">
        <f t="shared" si="18"/>
        <v>0</v>
      </c>
      <c r="R85" s="70"/>
      <c r="S85" s="70"/>
      <c r="T85" s="70"/>
      <c r="U85" s="15"/>
      <c r="V85" s="70" t="e">
        <f t="shared" si="19"/>
        <v>#DIV/0!</v>
      </c>
      <c r="W85" s="15"/>
      <c r="X85" s="15"/>
      <c r="Y85" s="15">
        <f t="shared" si="20"/>
        <v>0</v>
      </c>
      <c r="Z85" s="52"/>
      <c r="AA85" s="98">
        <f t="shared" si="21"/>
        <v>0</v>
      </c>
      <c r="AB85" s="52"/>
      <c r="AC85" s="98">
        <f t="shared" si="22"/>
        <v>0</v>
      </c>
      <c r="AD85" s="98">
        <f t="shared" si="23"/>
        <v>0</v>
      </c>
      <c r="AE85" s="238" t="e">
        <f t="shared" si="24"/>
        <v>#DIV/0!</v>
      </c>
      <c r="AF85" s="125" t="e">
        <f t="shared" si="25"/>
        <v>#DIV/0!</v>
      </c>
      <c r="AG85" s="92"/>
    </row>
    <row r="86" spans="1:33" ht="14.4">
      <c r="A86" s="270"/>
      <c r="B86" s="97">
        <f t="shared" si="13"/>
        <v>31</v>
      </c>
      <c r="C86" s="325"/>
      <c r="D86" s="260"/>
      <c r="E86" s="95"/>
      <c r="G86" s="52"/>
      <c r="H86" s="52"/>
      <c r="I86" s="256"/>
      <c r="J86" s="98">
        <f t="shared" si="14"/>
        <v>0</v>
      </c>
      <c r="K86" s="118" t="e">
        <f t="shared" si="15"/>
        <v>#DIV/0!</v>
      </c>
      <c r="L86" s="15"/>
      <c r="M86" s="15"/>
      <c r="N86" s="15">
        <f t="shared" si="16"/>
        <v>0</v>
      </c>
      <c r="O86" s="70" t="e">
        <f t="shared" si="17"/>
        <v>#DIV/0!</v>
      </c>
      <c r="P86" s="70"/>
      <c r="Q86" s="70">
        <f t="shared" si="18"/>
        <v>0</v>
      </c>
      <c r="R86" s="70"/>
      <c r="S86" s="70"/>
      <c r="T86" s="70"/>
      <c r="U86" s="15"/>
      <c r="V86" s="70" t="e">
        <f t="shared" si="19"/>
        <v>#DIV/0!</v>
      </c>
      <c r="W86" s="15"/>
      <c r="X86" s="15"/>
      <c r="Y86" s="15">
        <f t="shared" si="20"/>
        <v>0</v>
      </c>
      <c r="Z86" s="52"/>
      <c r="AA86" s="98">
        <f t="shared" si="21"/>
        <v>0</v>
      </c>
      <c r="AB86" s="52"/>
      <c r="AC86" s="98">
        <f t="shared" si="22"/>
        <v>0</v>
      </c>
      <c r="AD86" s="98">
        <f t="shared" si="23"/>
        <v>0</v>
      </c>
      <c r="AE86" s="238" t="e">
        <f t="shared" si="24"/>
        <v>#DIV/0!</v>
      </c>
      <c r="AF86" s="125" t="e">
        <f t="shared" si="25"/>
        <v>#DIV/0!</v>
      </c>
      <c r="AG86" s="92"/>
    </row>
    <row r="87" spans="1:33" ht="14.4">
      <c r="A87" s="270"/>
      <c r="B87" s="97">
        <f t="shared" si="13"/>
        <v>31</v>
      </c>
      <c r="C87" s="325"/>
      <c r="D87" s="260"/>
      <c r="E87" s="95"/>
      <c r="G87" s="52"/>
      <c r="H87" s="52"/>
      <c r="I87" s="256"/>
      <c r="J87" s="98">
        <f t="shared" si="14"/>
        <v>0</v>
      </c>
      <c r="K87" s="118" t="e">
        <f t="shared" si="15"/>
        <v>#DIV/0!</v>
      </c>
      <c r="L87" s="15"/>
      <c r="M87" s="15"/>
      <c r="N87" s="15">
        <f t="shared" si="16"/>
        <v>0</v>
      </c>
      <c r="O87" s="70" t="e">
        <f t="shared" si="17"/>
        <v>#DIV/0!</v>
      </c>
      <c r="P87" s="70"/>
      <c r="Q87" s="70">
        <f t="shared" si="18"/>
        <v>0</v>
      </c>
      <c r="R87" s="70"/>
      <c r="S87" s="70"/>
      <c r="T87" s="70"/>
      <c r="U87" s="15"/>
      <c r="V87" s="70" t="e">
        <f t="shared" si="19"/>
        <v>#DIV/0!</v>
      </c>
      <c r="W87" s="15"/>
      <c r="X87" s="15"/>
      <c r="Y87" s="15">
        <f t="shared" si="20"/>
        <v>0</v>
      </c>
      <c r="Z87" s="52"/>
      <c r="AA87" s="98">
        <f t="shared" si="21"/>
        <v>0</v>
      </c>
      <c r="AB87" s="52"/>
      <c r="AC87" s="98">
        <f t="shared" si="22"/>
        <v>0</v>
      </c>
      <c r="AD87" s="98">
        <f t="shared" si="23"/>
        <v>0</v>
      </c>
      <c r="AE87" s="238" t="e">
        <f t="shared" si="24"/>
        <v>#DIV/0!</v>
      </c>
      <c r="AF87" s="125" t="e">
        <f t="shared" si="25"/>
        <v>#DIV/0!</v>
      </c>
      <c r="AG87" s="92"/>
    </row>
    <row r="88" spans="1:33" ht="14.4">
      <c r="A88" s="270"/>
      <c r="B88" s="97">
        <f t="shared" si="13"/>
        <v>31</v>
      </c>
      <c r="C88" s="325"/>
      <c r="D88" s="260"/>
      <c r="E88" s="95"/>
      <c r="G88" s="52"/>
      <c r="H88" s="52"/>
      <c r="I88" s="256"/>
      <c r="J88" s="98">
        <f t="shared" si="14"/>
        <v>0</v>
      </c>
      <c r="K88" s="118" t="e">
        <f t="shared" si="15"/>
        <v>#DIV/0!</v>
      </c>
      <c r="L88" s="15"/>
      <c r="M88" s="15"/>
      <c r="N88" s="15">
        <f t="shared" si="16"/>
        <v>0</v>
      </c>
      <c r="O88" s="70" t="e">
        <f t="shared" si="17"/>
        <v>#DIV/0!</v>
      </c>
      <c r="P88" s="70"/>
      <c r="Q88" s="70">
        <f t="shared" si="18"/>
        <v>0</v>
      </c>
      <c r="R88" s="70"/>
      <c r="S88" s="70"/>
      <c r="T88" s="70"/>
      <c r="U88" s="15"/>
      <c r="V88" s="70" t="e">
        <f t="shared" si="19"/>
        <v>#DIV/0!</v>
      </c>
      <c r="W88" s="15"/>
      <c r="X88" s="15"/>
      <c r="Y88" s="15">
        <f t="shared" si="20"/>
        <v>0</v>
      </c>
      <c r="Z88" s="52"/>
      <c r="AA88" s="98">
        <f t="shared" si="21"/>
        <v>0</v>
      </c>
      <c r="AB88" s="52"/>
      <c r="AC88" s="98">
        <f t="shared" si="22"/>
        <v>0</v>
      </c>
      <c r="AD88" s="98">
        <f t="shared" si="23"/>
        <v>0</v>
      </c>
      <c r="AE88" s="238" t="e">
        <f t="shared" si="24"/>
        <v>#DIV/0!</v>
      </c>
      <c r="AF88" s="125" t="e">
        <f t="shared" si="25"/>
        <v>#DIV/0!</v>
      </c>
      <c r="AG88" s="92"/>
    </row>
    <row r="89" spans="1:33" ht="14.4">
      <c r="A89" s="270"/>
      <c r="B89" s="97">
        <f t="shared" si="13"/>
        <v>31</v>
      </c>
      <c r="C89" s="325"/>
      <c r="D89" s="260"/>
      <c r="E89" s="95"/>
      <c r="G89" s="52"/>
      <c r="H89" s="52"/>
      <c r="I89" s="256"/>
      <c r="J89" s="98">
        <f t="shared" si="14"/>
        <v>0</v>
      </c>
      <c r="K89" s="118" t="e">
        <f t="shared" si="15"/>
        <v>#DIV/0!</v>
      </c>
      <c r="L89" s="15"/>
      <c r="M89" s="15"/>
      <c r="N89" s="15">
        <f t="shared" si="16"/>
        <v>0</v>
      </c>
      <c r="O89" s="70" t="e">
        <f t="shared" si="17"/>
        <v>#DIV/0!</v>
      </c>
      <c r="P89" s="70"/>
      <c r="Q89" s="70">
        <f t="shared" si="18"/>
        <v>0</v>
      </c>
      <c r="R89" s="70"/>
      <c r="S89" s="70"/>
      <c r="T89" s="70"/>
      <c r="U89" s="15"/>
      <c r="V89" s="70" t="e">
        <f t="shared" si="19"/>
        <v>#DIV/0!</v>
      </c>
      <c r="W89" s="15"/>
      <c r="X89" s="15"/>
      <c r="Y89" s="15">
        <f t="shared" si="20"/>
        <v>0</v>
      </c>
      <c r="Z89" s="52"/>
      <c r="AA89" s="98">
        <f t="shared" si="21"/>
        <v>0</v>
      </c>
      <c r="AB89" s="52"/>
      <c r="AC89" s="98">
        <f t="shared" si="22"/>
        <v>0</v>
      </c>
      <c r="AD89" s="98">
        <f t="shared" si="23"/>
        <v>0</v>
      </c>
      <c r="AE89" s="238" t="e">
        <f t="shared" si="24"/>
        <v>#DIV/0!</v>
      </c>
      <c r="AF89" s="125" t="e">
        <f t="shared" si="25"/>
        <v>#DIV/0!</v>
      </c>
      <c r="AG89" s="92"/>
    </row>
    <row r="90" spans="1:33" ht="14.4">
      <c r="A90" s="270"/>
      <c r="B90" s="97">
        <f t="shared" si="13"/>
        <v>31</v>
      </c>
      <c r="C90" s="325"/>
      <c r="D90" s="260"/>
      <c r="E90" s="95"/>
      <c r="G90" s="52"/>
      <c r="H90" s="52"/>
      <c r="I90" s="256"/>
      <c r="J90" s="98">
        <f t="shared" si="14"/>
        <v>0</v>
      </c>
      <c r="K90" s="118" t="e">
        <f t="shared" si="15"/>
        <v>#DIV/0!</v>
      </c>
      <c r="L90" s="15"/>
      <c r="M90" s="15"/>
      <c r="N90" s="15">
        <f t="shared" si="16"/>
        <v>0</v>
      </c>
      <c r="O90" s="70" t="e">
        <f t="shared" si="17"/>
        <v>#DIV/0!</v>
      </c>
      <c r="P90" s="70"/>
      <c r="Q90" s="70">
        <f t="shared" si="18"/>
        <v>0</v>
      </c>
      <c r="R90" s="70"/>
      <c r="S90" s="70"/>
      <c r="T90" s="70"/>
      <c r="U90" s="15"/>
      <c r="V90" s="70" t="e">
        <f t="shared" si="19"/>
        <v>#DIV/0!</v>
      </c>
      <c r="W90" s="15"/>
      <c r="X90" s="15"/>
      <c r="Y90" s="15">
        <f t="shared" si="20"/>
        <v>0</v>
      </c>
      <c r="Z90" s="52"/>
      <c r="AA90" s="98">
        <f t="shared" si="21"/>
        <v>0</v>
      </c>
      <c r="AB90" s="52"/>
      <c r="AC90" s="98">
        <f t="shared" si="22"/>
        <v>0</v>
      </c>
      <c r="AD90" s="98">
        <f t="shared" si="23"/>
        <v>0</v>
      </c>
      <c r="AE90" s="238" t="e">
        <f t="shared" si="24"/>
        <v>#DIV/0!</v>
      </c>
      <c r="AF90" s="125" t="e">
        <f t="shared" si="25"/>
        <v>#DIV/0!</v>
      </c>
      <c r="AG90" s="92"/>
    </row>
    <row r="91" spans="1:33" ht="14.4">
      <c r="A91" s="270"/>
      <c r="B91" s="97">
        <f t="shared" si="13"/>
        <v>31</v>
      </c>
      <c r="C91" s="325"/>
      <c r="D91" s="260"/>
      <c r="E91" s="95"/>
      <c r="G91" s="52"/>
      <c r="H91" s="52"/>
      <c r="I91" s="256"/>
      <c r="J91" s="98">
        <f t="shared" si="14"/>
        <v>0</v>
      </c>
      <c r="K91" s="118" t="e">
        <f t="shared" si="15"/>
        <v>#DIV/0!</v>
      </c>
      <c r="L91" s="15"/>
      <c r="M91" s="15"/>
      <c r="N91" s="15">
        <f t="shared" si="16"/>
        <v>0</v>
      </c>
      <c r="O91" s="70" t="e">
        <f t="shared" si="17"/>
        <v>#DIV/0!</v>
      </c>
      <c r="P91" s="70"/>
      <c r="Q91" s="70">
        <f t="shared" si="18"/>
        <v>0</v>
      </c>
      <c r="R91" s="70"/>
      <c r="S91" s="70"/>
      <c r="T91" s="70"/>
      <c r="U91" s="15"/>
      <c r="V91" s="70" t="e">
        <f t="shared" si="19"/>
        <v>#DIV/0!</v>
      </c>
      <c r="W91" s="15"/>
      <c r="X91" s="15"/>
      <c r="Y91" s="15">
        <f t="shared" si="20"/>
        <v>0</v>
      </c>
      <c r="Z91" s="52"/>
      <c r="AA91" s="98">
        <f t="shared" si="21"/>
        <v>0</v>
      </c>
      <c r="AB91" s="52"/>
      <c r="AC91" s="98">
        <f t="shared" si="22"/>
        <v>0</v>
      </c>
      <c r="AD91" s="98">
        <f t="shared" si="23"/>
        <v>0</v>
      </c>
      <c r="AE91" s="238" t="e">
        <f t="shared" si="24"/>
        <v>#DIV/0!</v>
      </c>
      <c r="AF91" s="125" t="e">
        <f t="shared" si="25"/>
        <v>#DIV/0!</v>
      </c>
      <c r="AG91" s="92"/>
    </row>
    <row r="92" spans="1:33" ht="14.4">
      <c r="A92" s="270"/>
      <c r="B92" s="97">
        <f t="shared" si="13"/>
        <v>31</v>
      </c>
      <c r="C92" s="325"/>
      <c r="D92" s="260"/>
      <c r="E92" s="95"/>
      <c r="G92" s="52"/>
      <c r="H92" s="52"/>
      <c r="I92" s="256"/>
      <c r="J92" s="98">
        <f t="shared" si="14"/>
        <v>0</v>
      </c>
      <c r="K92" s="118" t="e">
        <f t="shared" si="15"/>
        <v>#DIV/0!</v>
      </c>
      <c r="L92" s="15"/>
      <c r="M92" s="15"/>
      <c r="N92" s="15">
        <f t="shared" si="16"/>
        <v>0</v>
      </c>
      <c r="O92" s="70" t="e">
        <f t="shared" si="17"/>
        <v>#DIV/0!</v>
      </c>
      <c r="P92" s="70"/>
      <c r="Q92" s="70">
        <f t="shared" si="18"/>
        <v>0</v>
      </c>
      <c r="R92" s="70"/>
      <c r="S92" s="70"/>
      <c r="T92" s="70"/>
      <c r="U92" s="15"/>
      <c r="V92" s="70" t="e">
        <f t="shared" si="19"/>
        <v>#DIV/0!</v>
      </c>
      <c r="W92" s="15"/>
      <c r="X92" s="15"/>
      <c r="Y92" s="15">
        <f t="shared" si="20"/>
        <v>0</v>
      </c>
      <c r="Z92" s="52"/>
      <c r="AA92" s="98">
        <f t="shared" si="21"/>
        <v>0</v>
      </c>
      <c r="AB92" s="52"/>
      <c r="AC92" s="98">
        <f t="shared" si="22"/>
        <v>0</v>
      </c>
      <c r="AD92" s="98">
        <f t="shared" si="23"/>
        <v>0</v>
      </c>
      <c r="AE92" s="238" t="e">
        <f t="shared" si="24"/>
        <v>#DIV/0!</v>
      </c>
      <c r="AF92" s="125" t="e">
        <f t="shared" si="25"/>
        <v>#DIV/0!</v>
      </c>
      <c r="AG92" s="92"/>
    </row>
    <row r="93" spans="1:33" ht="14.4">
      <c r="A93" s="270"/>
      <c r="B93" s="97">
        <f t="shared" si="13"/>
        <v>31</v>
      </c>
      <c r="C93" s="325"/>
      <c r="D93" s="260"/>
      <c r="E93" s="95"/>
      <c r="G93" s="52"/>
      <c r="H93" s="52"/>
      <c r="I93" s="256"/>
      <c r="J93" s="98">
        <f t="shared" si="14"/>
        <v>0</v>
      </c>
      <c r="K93" s="118" t="e">
        <f t="shared" si="15"/>
        <v>#DIV/0!</v>
      </c>
      <c r="L93" s="15"/>
      <c r="M93" s="15"/>
      <c r="N93" s="15">
        <f t="shared" si="16"/>
        <v>0</v>
      </c>
      <c r="O93" s="70" t="e">
        <f t="shared" si="17"/>
        <v>#DIV/0!</v>
      </c>
      <c r="P93" s="70"/>
      <c r="Q93" s="70">
        <f t="shared" si="18"/>
        <v>0</v>
      </c>
      <c r="R93" s="70"/>
      <c r="S93" s="70"/>
      <c r="T93" s="70"/>
      <c r="U93" s="15"/>
      <c r="V93" s="70" t="e">
        <f t="shared" si="19"/>
        <v>#DIV/0!</v>
      </c>
      <c r="W93" s="15"/>
      <c r="X93" s="15"/>
      <c r="Y93" s="15">
        <f t="shared" si="20"/>
        <v>0</v>
      </c>
      <c r="Z93" s="52"/>
      <c r="AA93" s="98">
        <f t="shared" si="21"/>
        <v>0</v>
      </c>
      <c r="AB93" s="52"/>
      <c r="AC93" s="98">
        <f t="shared" si="22"/>
        <v>0</v>
      </c>
      <c r="AD93" s="98">
        <f t="shared" si="23"/>
        <v>0</v>
      </c>
      <c r="AE93" s="238" t="e">
        <f t="shared" si="24"/>
        <v>#DIV/0!</v>
      </c>
      <c r="AF93" s="125" t="e">
        <f t="shared" si="25"/>
        <v>#DIV/0!</v>
      </c>
      <c r="AG93" s="92"/>
    </row>
    <row r="94" spans="1:33" ht="14.4">
      <c r="A94" s="270"/>
      <c r="B94" s="97">
        <f t="shared" si="13"/>
        <v>31</v>
      </c>
      <c r="C94" s="325"/>
      <c r="D94" s="260"/>
      <c r="E94" s="95"/>
      <c r="G94" s="52"/>
      <c r="H94" s="52"/>
      <c r="I94" s="256"/>
      <c r="J94" s="98">
        <f t="shared" si="14"/>
        <v>0</v>
      </c>
      <c r="K94" s="118" t="e">
        <f t="shared" si="15"/>
        <v>#DIV/0!</v>
      </c>
      <c r="L94" s="15"/>
      <c r="M94" s="15"/>
      <c r="N94" s="15">
        <f t="shared" si="16"/>
        <v>0</v>
      </c>
      <c r="O94" s="70" t="e">
        <f t="shared" si="17"/>
        <v>#DIV/0!</v>
      </c>
      <c r="P94" s="70"/>
      <c r="Q94" s="70">
        <f t="shared" si="18"/>
        <v>0</v>
      </c>
      <c r="R94" s="70"/>
      <c r="S94" s="70"/>
      <c r="T94" s="70"/>
      <c r="U94" s="15"/>
      <c r="V94" s="70" t="e">
        <f t="shared" si="19"/>
        <v>#DIV/0!</v>
      </c>
      <c r="W94" s="15"/>
      <c r="X94" s="15"/>
      <c r="Y94" s="15">
        <f t="shared" si="20"/>
        <v>0</v>
      </c>
      <c r="Z94" s="52"/>
      <c r="AA94" s="98">
        <f t="shared" si="21"/>
        <v>0</v>
      </c>
      <c r="AB94" s="52"/>
      <c r="AC94" s="98">
        <f t="shared" si="22"/>
        <v>0</v>
      </c>
      <c r="AD94" s="98">
        <f t="shared" si="23"/>
        <v>0</v>
      </c>
      <c r="AE94" s="238" t="e">
        <f t="shared" si="24"/>
        <v>#DIV/0!</v>
      </c>
      <c r="AF94" s="125" t="e">
        <f t="shared" si="25"/>
        <v>#DIV/0!</v>
      </c>
      <c r="AG94" s="92"/>
    </row>
    <row r="95" spans="1:33" ht="14.4">
      <c r="A95" s="270"/>
      <c r="B95" s="97">
        <f t="shared" si="13"/>
        <v>31</v>
      </c>
      <c r="C95" s="325"/>
      <c r="D95" s="260"/>
      <c r="E95" s="95"/>
      <c r="G95" s="52"/>
      <c r="H95" s="52"/>
      <c r="I95" s="256"/>
      <c r="J95" s="98">
        <f t="shared" si="14"/>
        <v>0</v>
      </c>
      <c r="K95" s="118" t="e">
        <f t="shared" si="15"/>
        <v>#DIV/0!</v>
      </c>
      <c r="L95" s="15"/>
      <c r="M95" s="15"/>
      <c r="N95" s="15">
        <f t="shared" si="16"/>
        <v>0</v>
      </c>
      <c r="O95" s="70" t="e">
        <f t="shared" si="17"/>
        <v>#DIV/0!</v>
      </c>
      <c r="P95" s="70"/>
      <c r="Q95" s="70">
        <f t="shared" si="18"/>
        <v>0</v>
      </c>
      <c r="R95" s="70"/>
      <c r="S95" s="70"/>
      <c r="T95" s="70"/>
      <c r="U95" s="15"/>
      <c r="V95" s="70" t="e">
        <f t="shared" si="19"/>
        <v>#DIV/0!</v>
      </c>
      <c r="W95" s="15"/>
      <c r="X95" s="15"/>
      <c r="Y95" s="15">
        <f t="shared" si="20"/>
        <v>0</v>
      </c>
      <c r="Z95" s="52"/>
      <c r="AA95" s="98">
        <f t="shared" si="21"/>
        <v>0</v>
      </c>
      <c r="AB95" s="52"/>
      <c r="AC95" s="98">
        <f t="shared" si="22"/>
        <v>0</v>
      </c>
      <c r="AD95" s="98">
        <f t="shared" si="23"/>
        <v>0</v>
      </c>
      <c r="AE95" s="238" t="e">
        <f t="shared" si="24"/>
        <v>#DIV/0!</v>
      </c>
      <c r="AF95" s="125" t="e">
        <f t="shared" si="25"/>
        <v>#DIV/0!</v>
      </c>
      <c r="AG95" s="92"/>
    </row>
    <row r="96" spans="1:33" ht="14.4">
      <c r="A96" s="270"/>
      <c r="B96" s="97">
        <f t="shared" si="13"/>
        <v>31</v>
      </c>
      <c r="C96" s="325"/>
      <c r="D96" s="260"/>
      <c r="E96" s="95"/>
      <c r="G96" s="52"/>
      <c r="H96" s="52"/>
      <c r="I96" s="256"/>
      <c r="J96" s="98">
        <f t="shared" si="14"/>
        <v>0</v>
      </c>
      <c r="K96" s="118" t="e">
        <f t="shared" si="15"/>
        <v>#DIV/0!</v>
      </c>
      <c r="L96" s="15"/>
      <c r="M96" s="15"/>
      <c r="N96" s="15">
        <f t="shared" si="16"/>
        <v>0</v>
      </c>
      <c r="O96" s="70" t="e">
        <f t="shared" si="17"/>
        <v>#DIV/0!</v>
      </c>
      <c r="P96" s="70"/>
      <c r="Q96" s="70">
        <f t="shared" si="18"/>
        <v>0</v>
      </c>
      <c r="R96" s="70"/>
      <c r="S96" s="70"/>
      <c r="T96" s="70"/>
      <c r="U96" s="15"/>
      <c r="V96" s="70" t="e">
        <f t="shared" si="19"/>
        <v>#DIV/0!</v>
      </c>
      <c r="W96" s="15"/>
      <c r="X96" s="15"/>
      <c r="Y96" s="15">
        <f t="shared" si="20"/>
        <v>0</v>
      </c>
      <c r="Z96" s="52"/>
      <c r="AA96" s="98">
        <f t="shared" si="21"/>
        <v>0</v>
      </c>
      <c r="AB96" s="52"/>
      <c r="AC96" s="98">
        <f t="shared" si="22"/>
        <v>0</v>
      </c>
      <c r="AD96" s="98">
        <f t="shared" si="23"/>
        <v>0</v>
      </c>
      <c r="AE96" s="238" t="e">
        <f t="shared" si="24"/>
        <v>#DIV/0!</v>
      </c>
      <c r="AF96" s="125" t="e">
        <f t="shared" si="25"/>
        <v>#DIV/0!</v>
      </c>
      <c r="AG96" s="92"/>
    </row>
    <row r="97" spans="1:33" ht="14.4">
      <c r="A97" s="270"/>
      <c r="B97" s="97">
        <f t="shared" si="13"/>
        <v>31</v>
      </c>
      <c r="C97" s="325"/>
      <c r="D97" s="260"/>
      <c r="E97" s="95"/>
      <c r="G97" s="52"/>
      <c r="H97" s="52"/>
      <c r="I97" s="256"/>
      <c r="J97" s="98">
        <f t="shared" si="14"/>
        <v>0</v>
      </c>
      <c r="K97" s="118" t="e">
        <f t="shared" si="15"/>
        <v>#DIV/0!</v>
      </c>
      <c r="L97" s="15"/>
      <c r="M97" s="15"/>
      <c r="N97" s="15">
        <f t="shared" si="16"/>
        <v>0</v>
      </c>
      <c r="O97" s="70" t="e">
        <f t="shared" si="17"/>
        <v>#DIV/0!</v>
      </c>
      <c r="P97" s="70"/>
      <c r="Q97" s="70">
        <f t="shared" si="18"/>
        <v>0</v>
      </c>
      <c r="R97" s="70"/>
      <c r="S97" s="70"/>
      <c r="T97" s="70"/>
      <c r="U97" s="15"/>
      <c r="V97" s="70" t="e">
        <f t="shared" si="19"/>
        <v>#DIV/0!</v>
      </c>
      <c r="W97" s="15"/>
      <c r="X97" s="15"/>
      <c r="Y97" s="15">
        <f t="shared" si="20"/>
        <v>0</v>
      </c>
      <c r="Z97" s="52"/>
      <c r="AA97" s="98">
        <f t="shared" si="21"/>
        <v>0</v>
      </c>
      <c r="AB97" s="52"/>
      <c r="AC97" s="98">
        <f t="shared" si="22"/>
        <v>0</v>
      </c>
      <c r="AD97" s="98">
        <f t="shared" si="23"/>
        <v>0</v>
      </c>
      <c r="AE97" s="238" t="e">
        <f t="shared" si="24"/>
        <v>#DIV/0!</v>
      </c>
      <c r="AF97" s="125" t="e">
        <f t="shared" si="25"/>
        <v>#DIV/0!</v>
      </c>
      <c r="AG97" s="92"/>
    </row>
    <row r="98" spans="1:33" ht="14.4">
      <c r="A98" s="270"/>
      <c r="B98" s="97">
        <f t="shared" si="13"/>
        <v>31</v>
      </c>
      <c r="C98" s="325"/>
      <c r="D98" s="260"/>
      <c r="E98" s="95"/>
      <c r="G98" s="52"/>
      <c r="H98" s="52"/>
      <c r="I98" s="256"/>
      <c r="J98" s="98">
        <f t="shared" si="14"/>
        <v>0</v>
      </c>
      <c r="K98" s="118" t="e">
        <f t="shared" si="15"/>
        <v>#DIV/0!</v>
      </c>
      <c r="L98" s="15"/>
      <c r="M98" s="15"/>
      <c r="N98" s="15">
        <f t="shared" si="16"/>
        <v>0</v>
      </c>
      <c r="O98" s="70" t="e">
        <f t="shared" si="17"/>
        <v>#DIV/0!</v>
      </c>
      <c r="P98" s="70"/>
      <c r="Q98" s="70">
        <f t="shared" si="18"/>
        <v>0</v>
      </c>
      <c r="R98" s="70"/>
      <c r="S98" s="70"/>
      <c r="T98" s="70"/>
      <c r="U98" s="15"/>
      <c r="V98" s="70" t="e">
        <f t="shared" si="19"/>
        <v>#DIV/0!</v>
      </c>
      <c r="W98" s="15"/>
      <c r="X98" s="15"/>
      <c r="Y98" s="15">
        <f t="shared" si="20"/>
        <v>0</v>
      </c>
      <c r="Z98" s="52"/>
      <c r="AA98" s="98">
        <f t="shared" si="21"/>
        <v>0</v>
      </c>
      <c r="AB98" s="52"/>
      <c r="AC98" s="98">
        <f t="shared" si="22"/>
        <v>0</v>
      </c>
      <c r="AD98" s="98">
        <f t="shared" si="23"/>
        <v>0</v>
      </c>
      <c r="AE98" s="238" t="e">
        <f t="shared" si="24"/>
        <v>#DIV/0!</v>
      </c>
      <c r="AF98" s="125" t="e">
        <f t="shared" si="25"/>
        <v>#DIV/0!</v>
      </c>
      <c r="AG98" s="92"/>
    </row>
    <row r="99" spans="1:33" ht="14.4">
      <c r="A99" s="270"/>
      <c r="B99" s="97">
        <f t="shared" si="13"/>
        <v>31</v>
      </c>
      <c r="C99" s="325"/>
      <c r="D99" s="260"/>
      <c r="E99" s="95"/>
      <c r="G99" s="52"/>
      <c r="H99" s="52"/>
      <c r="I99" s="256"/>
      <c r="J99" s="98">
        <f t="shared" si="14"/>
        <v>0</v>
      </c>
      <c r="K99" s="118" t="e">
        <f t="shared" si="15"/>
        <v>#DIV/0!</v>
      </c>
      <c r="L99" s="15"/>
      <c r="M99" s="15"/>
      <c r="N99" s="15">
        <f t="shared" si="16"/>
        <v>0</v>
      </c>
      <c r="O99" s="70" t="e">
        <f t="shared" si="17"/>
        <v>#DIV/0!</v>
      </c>
      <c r="P99" s="70"/>
      <c r="Q99" s="70">
        <f t="shared" si="18"/>
        <v>0</v>
      </c>
      <c r="R99" s="70"/>
      <c r="S99" s="70"/>
      <c r="T99" s="70"/>
      <c r="U99" s="15"/>
      <c r="V99" s="70" t="e">
        <f t="shared" si="19"/>
        <v>#DIV/0!</v>
      </c>
      <c r="W99" s="15"/>
      <c r="X99" s="15"/>
      <c r="Y99" s="15">
        <f t="shared" si="20"/>
        <v>0</v>
      </c>
      <c r="Z99" s="52"/>
      <c r="AA99" s="98">
        <f t="shared" si="21"/>
        <v>0</v>
      </c>
      <c r="AB99" s="52"/>
      <c r="AC99" s="98">
        <f t="shared" si="22"/>
        <v>0</v>
      </c>
      <c r="AD99" s="98">
        <f t="shared" si="23"/>
        <v>0</v>
      </c>
      <c r="AE99" s="238" t="e">
        <f t="shared" si="24"/>
        <v>#DIV/0!</v>
      </c>
      <c r="AF99" s="125" t="e">
        <f t="shared" si="25"/>
        <v>#DIV/0!</v>
      </c>
      <c r="AG99" s="92"/>
    </row>
    <row r="100" spans="1:33" ht="14.4">
      <c r="A100" s="270"/>
      <c r="B100" s="97">
        <f t="shared" si="13"/>
        <v>31</v>
      </c>
      <c r="C100" s="325"/>
      <c r="D100" s="260"/>
      <c r="E100" s="95"/>
      <c r="G100" s="52"/>
      <c r="H100" s="52"/>
      <c r="I100" s="256"/>
      <c r="J100" s="98">
        <f t="shared" si="14"/>
        <v>0</v>
      </c>
      <c r="K100" s="118" t="e">
        <f t="shared" si="15"/>
        <v>#DIV/0!</v>
      </c>
      <c r="L100" s="15"/>
      <c r="M100" s="15"/>
      <c r="N100" s="15">
        <f t="shared" si="16"/>
        <v>0</v>
      </c>
      <c r="O100" s="70" t="e">
        <f t="shared" si="17"/>
        <v>#DIV/0!</v>
      </c>
      <c r="P100" s="70"/>
      <c r="Q100" s="70">
        <f t="shared" si="18"/>
        <v>0</v>
      </c>
      <c r="R100" s="70"/>
      <c r="S100" s="70"/>
      <c r="T100" s="70"/>
      <c r="U100" s="15"/>
      <c r="V100" s="70" t="e">
        <f t="shared" si="19"/>
        <v>#DIV/0!</v>
      </c>
      <c r="W100" s="15"/>
      <c r="X100" s="15"/>
      <c r="Y100" s="15">
        <f t="shared" si="20"/>
        <v>0</v>
      </c>
      <c r="Z100" s="52"/>
      <c r="AA100" s="98">
        <f t="shared" si="21"/>
        <v>0</v>
      </c>
      <c r="AB100" s="52"/>
      <c r="AC100" s="98">
        <f t="shared" si="22"/>
        <v>0</v>
      </c>
      <c r="AD100" s="98">
        <f t="shared" si="23"/>
        <v>0</v>
      </c>
      <c r="AE100" s="238" t="e">
        <f t="shared" si="24"/>
        <v>#DIV/0!</v>
      </c>
      <c r="AF100" s="125" t="e">
        <f t="shared" si="25"/>
        <v>#DIV/0!</v>
      </c>
      <c r="AG100" s="92"/>
    </row>
    <row r="101" spans="1:33" ht="14.4">
      <c r="A101" s="270"/>
      <c r="B101" s="97">
        <f t="shared" si="13"/>
        <v>31</v>
      </c>
      <c r="C101" s="325"/>
      <c r="D101" s="260"/>
      <c r="E101" s="95"/>
      <c r="G101" s="52"/>
      <c r="H101" s="52"/>
      <c r="I101" s="256"/>
      <c r="J101" s="98">
        <f t="shared" si="14"/>
        <v>0</v>
      </c>
      <c r="K101" s="118" t="e">
        <f t="shared" si="15"/>
        <v>#DIV/0!</v>
      </c>
      <c r="L101" s="15"/>
      <c r="M101" s="15"/>
      <c r="N101" s="15">
        <f t="shared" si="16"/>
        <v>0</v>
      </c>
      <c r="O101" s="70" t="e">
        <f t="shared" si="17"/>
        <v>#DIV/0!</v>
      </c>
      <c r="P101" s="70"/>
      <c r="Q101" s="70">
        <f t="shared" si="18"/>
        <v>0</v>
      </c>
      <c r="R101" s="70"/>
      <c r="S101" s="70"/>
      <c r="T101" s="70"/>
      <c r="U101" s="15"/>
      <c r="V101" s="70" t="e">
        <f t="shared" si="19"/>
        <v>#DIV/0!</v>
      </c>
      <c r="W101" s="15"/>
      <c r="X101" s="15"/>
      <c r="Y101" s="15">
        <f t="shared" si="20"/>
        <v>0</v>
      </c>
      <c r="Z101" s="52"/>
      <c r="AA101" s="98">
        <f t="shared" si="21"/>
        <v>0</v>
      </c>
      <c r="AB101" s="52"/>
      <c r="AC101" s="98">
        <f t="shared" si="22"/>
        <v>0</v>
      </c>
      <c r="AD101" s="98">
        <f t="shared" si="23"/>
        <v>0</v>
      </c>
      <c r="AE101" s="238" t="e">
        <f t="shared" si="24"/>
        <v>#DIV/0!</v>
      </c>
      <c r="AF101" s="125" t="e">
        <f t="shared" si="25"/>
        <v>#DIV/0!</v>
      </c>
      <c r="AG101" s="92"/>
    </row>
    <row r="102" spans="1:33" ht="14.4">
      <c r="A102" s="270"/>
      <c r="B102" s="97">
        <f t="shared" si="13"/>
        <v>31</v>
      </c>
      <c r="C102" s="325"/>
      <c r="D102" s="260"/>
      <c r="E102" s="95"/>
      <c r="G102" s="52"/>
      <c r="H102" s="52"/>
      <c r="I102" s="256"/>
      <c r="J102" s="98">
        <f t="shared" si="14"/>
        <v>0</v>
      </c>
      <c r="K102" s="118" t="e">
        <f t="shared" si="15"/>
        <v>#DIV/0!</v>
      </c>
      <c r="L102" s="15"/>
      <c r="M102" s="15"/>
      <c r="N102" s="15">
        <f t="shared" si="16"/>
        <v>0</v>
      </c>
      <c r="O102" s="70" t="e">
        <f t="shared" si="17"/>
        <v>#DIV/0!</v>
      </c>
      <c r="P102" s="70"/>
      <c r="Q102" s="70">
        <f t="shared" si="18"/>
        <v>0</v>
      </c>
      <c r="R102" s="70"/>
      <c r="S102" s="70"/>
      <c r="T102" s="70"/>
      <c r="U102" s="15"/>
      <c r="V102" s="70" t="e">
        <f t="shared" si="19"/>
        <v>#DIV/0!</v>
      </c>
      <c r="W102" s="15"/>
      <c r="X102" s="15"/>
      <c r="Y102" s="15">
        <f t="shared" si="20"/>
        <v>0</v>
      </c>
      <c r="Z102" s="52"/>
      <c r="AA102" s="98">
        <f t="shared" si="21"/>
        <v>0</v>
      </c>
      <c r="AB102" s="52"/>
      <c r="AC102" s="98">
        <f t="shared" si="22"/>
        <v>0</v>
      </c>
      <c r="AD102" s="98">
        <f t="shared" si="23"/>
        <v>0</v>
      </c>
      <c r="AE102" s="238" t="e">
        <f t="shared" si="24"/>
        <v>#DIV/0!</v>
      </c>
      <c r="AF102" s="125" t="e">
        <f t="shared" si="25"/>
        <v>#DIV/0!</v>
      </c>
      <c r="AG102" s="92"/>
    </row>
    <row r="103" spans="1:33" ht="14.4">
      <c r="A103" s="270"/>
      <c r="B103" s="97">
        <f t="shared" si="13"/>
        <v>31</v>
      </c>
      <c r="C103" s="325"/>
      <c r="D103" s="260"/>
      <c r="E103" s="95"/>
      <c r="G103" s="52"/>
      <c r="H103" s="52"/>
      <c r="I103" s="256"/>
      <c r="J103" s="98">
        <f t="shared" si="14"/>
        <v>0</v>
      </c>
      <c r="K103" s="118" t="e">
        <f t="shared" si="15"/>
        <v>#DIV/0!</v>
      </c>
      <c r="L103" s="15"/>
      <c r="M103" s="15"/>
      <c r="N103" s="15">
        <f t="shared" si="16"/>
        <v>0</v>
      </c>
      <c r="O103" s="70" t="e">
        <f t="shared" si="17"/>
        <v>#DIV/0!</v>
      </c>
      <c r="P103" s="70"/>
      <c r="Q103" s="70">
        <f t="shared" si="18"/>
        <v>0</v>
      </c>
      <c r="R103" s="70"/>
      <c r="S103" s="70"/>
      <c r="T103" s="70"/>
      <c r="U103" s="15"/>
      <c r="V103" s="70" t="e">
        <f t="shared" si="19"/>
        <v>#DIV/0!</v>
      </c>
      <c r="W103" s="15"/>
      <c r="X103" s="15"/>
      <c r="Y103" s="15">
        <f t="shared" si="20"/>
        <v>0</v>
      </c>
      <c r="Z103" s="52"/>
      <c r="AA103" s="98">
        <f t="shared" si="21"/>
        <v>0</v>
      </c>
      <c r="AB103" s="52"/>
      <c r="AC103" s="98">
        <f t="shared" si="22"/>
        <v>0</v>
      </c>
      <c r="AD103" s="98">
        <f t="shared" si="23"/>
        <v>0</v>
      </c>
      <c r="AE103" s="238" t="e">
        <f t="shared" si="24"/>
        <v>#DIV/0!</v>
      </c>
      <c r="AF103" s="125" t="e">
        <f t="shared" si="25"/>
        <v>#DIV/0!</v>
      </c>
      <c r="AG103" s="92"/>
    </row>
    <row r="104" spans="1:33" ht="14.4">
      <c r="A104" s="270"/>
      <c r="B104" s="97">
        <f t="shared" si="13"/>
        <v>31</v>
      </c>
      <c r="C104" s="325"/>
      <c r="D104" s="260"/>
      <c r="E104" s="95"/>
      <c r="G104" s="52"/>
      <c r="H104" s="52"/>
      <c r="I104" s="256"/>
      <c r="J104" s="98">
        <f t="shared" si="14"/>
        <v>0</v>
      </c>
      <c r="K104" s="118" t="e">
        <f t="shared" si="15"/>
        <v>#DIV/0!</v>
      </c>
      <c r="L104" s="15"/>
      <c r="M104" s="15"/>
      <c r="N104" s="15">
        <f t="shared" si="16"/>
        <v>0</v>
      </c>
      <c r="O104" s="70" t="e">
        <f t="shared" si="17"/>
        <v>#DIV/0!</v>
      </c>
      <c r="P104" s="70"/>
      <c r="Q104" s="70">
        <f t="shared" si="18"/>
        <v>0</v>
      </c>
      <c r="R104" s="70"/>
      <c r="S104" s="70"/>
      <c r="T104" s="70"/>
      <c r="U104" s="15"/>
      <c r="V104" s="70" t="e">
        <f t="shared" si="19"/>
        <v>#DIV/0!</v>
      </c>
      <c r="W104" s="15"/>
      <c r="X104" s="15"/>
      <c r="Y104" s="15">
        <f t="shared" si="20"/>
        <v>0</v>
      </c>
      <c r="Z104" s="52"/>
      <c r="AA104" s="98">
        <f t="shared" si="21"/>
        <v>0</v>
      </c>
      <c r="AB104" s="52"/>
      <c r="AC104" s="98">
        <f t="shared" si="22"/>
        <v>0</v>
      </c>
      <c r="AD104" s="98">
        <f t="shared" si="23"/>
        <v>0</v>
      </c>
      <c r="AE104" s="238" t="e">
        <f t="shared" si="24"/>
        <v>#DIV/0!</v>
      </c>
      <c r="AF104" s="125" t="e">
        <f t="shared" si="25"/>
        <v>#DIV/0!</v>
      </c>
      <c r="AG104" s="92"/>
    </row>
    <row r="105" spans="1:33" ht="14.4">
      <c r="A105" s="270"/>
      <c r="B105" s="97">
        <f t="shared" si="13"/>
        <v>31</v>
      </c>
      <c r="C105" s="325"/>
      <c r="D105" s="260"/>
      <c r="E105" s="95"/>
      <c r="G105" s="52"/>
      <c r="H105" s="52"/>
      <c r="I105" s="256"/>
      <c r="J105" s="98">
        <f t="shared" si="14"/>
        <v>0</v>
      </c>
      <c r="K105" s="118" t="e">
        <f t="shared" si="15"/>
        <v>#DIV/0!</v>
      </c>
      <c r="L105" s="15"/>
      <c r="M105" s="15"/>
      <c r="N105" s="15">
        <f t="shared" si="16"/>
        <v>0</v>
      </c>
      <c r="O105" s="70" t="e">
        <f t="shared" si="17"/>
        <v>#DIV/0!</v>
      </c>
      <c r="P105" s="70"/>
      <c r="Q105" s="70">
        <f t="shared" si="18"/>
        <v>0</v>
      </c>
      <c r="R105" s="70"/>
      <c r="S105" s="70"/>
      <c r="T105" s="70"/>
      <c r="U105" s="15"/>
      <c r="V105" s="70" t="e">
        <f t="shared" si="19"/>
        <v>#DIV/0!</v>
      </c>
      <c r="W105" s="15"/>
      <c r="X105" s="15"/>
      <c r="Y105" s="15">
        <f t="shared" si="20"/>
        <v>0</v>
      </c>
      <c r="Z105" s="52"/>
      <c r="AA105" s="98">
        <f t="shared" si="21"/>
        <v>0</v>
      </c>
      <c r="AB105" s="52"/>
      <c r="AC105" s="98">
        <f t="shared" si="22"/>
        <v>0</v>
      </c>
      <c r="AD105" s="98">
        <f t="shared" si="23"/>
        <v>0</v>
      </c>
      <c r="AE105" s="238" t="e">
        <f t="shared" si="24"/>
        <v>#DIV/0!</v>
      </c>
      <c r="AF105" s="125" t="e">
        <f t="shared" si="25"/>
        <v>#DIV/0!</v>
      </c>
      <c r="AG105" s="92"/>
    </row>
    <row r="106" spans="1:33" ht="14.4">
      <c r="A106" s="270"/>
      <c r="B106" s="97">
        <f t="shared" si="13"/>
        <v>31</v>
      </c>
      <c r="C106" s="325"/>
      <c r="D106" s="260"/>
      <c r="E106" s="95"/>
      <c r="G106" s="52"/>
      <c r="H106" s="52"/>
      <c r="I106" s="256"/>
      <c r="J106" s="98">
        <f t="shared" si="14"/>
        <v>0</v>
      </c>
      <c r="K106" s="118" t="e">
        <f t="shared" si="15"/>
        <v>#DIV/0!</v>
      </c>
      <c r="L106" s="15"/>
      <c r="M106" s="15"/>
      <c r="N106" s="15">
        <f t="shared" si="16"/>
        <v>0</v>
      </c>
      <c r="O106" s="70" t="e">
        <f t="shared" si="17"/>
        <v>#DIV/0!</v>
      </c>
      <c r="P106" s="70"/>
      <c r="Q106" s="70">
        <f t="shared" si="18"/>
        <v>0</v>
      </c>
      <c r="R106" s="70"/>
      <c r="S106" s="70"/>
      <c r="T106" s="70"/>
      <c r="U106" s="15"/>
      <c r="V106" s="70" t="e">
        <f t="shared" si="19"/>
        <v>#DIV/0!</v>
      </c>
      <c r="W106" s="15"/>
      <c r="X106" s="15"/>
      <c r="Y106" s="15">
        <f t="shared" si="20"/>
        <v>0</v>
      </c>
      <c r="Z106" s="52"/>
      <c r="AA106" s="98">
        <f t="shared" si="21"/>
        <v>0</v>
      </c>
      <c r="AB106" s="52"/>
      <c r="AC106" s="98">
        <f t="shared" si="22"/>
        <v>0</v>
      </c>
      <c r="AD106" s="98">
        <f t="shared" si="23"/>
        <v>0</v>
      </c>
      <c r="AE106" s="238" t="e">
        <f t="shared" si="24"/>
        <v>#DIV/0!</v>
      </c>
      <c r="AF106" s="125" t="e">
        <f t="shared" si="25"/>
        <v>#DIV/0!</v>
      </c>
      <c r="AG106" s="92"/>
    </row>
    <row r="107" spans="1:33" ht="14.4">
      <c r="A107" s="270"/>
      <c r="B107" s="97">
        <f t="shared" si="13"/>
        <v>31</v>
      </c>
      <c r="C107" s="325"/>
      <c r="D107" s="260"/>
      <c r="E107" s="95"/>
      <c r="G107" s="52"/>
      <c r="H107" s="52"/>
      <c r="I107" s="256"/>
      <c r="J107" s="98">
        <f t="shared" si="14"/>
        <v>0</v>
      </c>
      <c r="K107" s="118" t="e">
        <f t="shared" si="15"/>
        <v>#DIV/0!</v>
      </c>
      <c r="L107" s="15"/>
      <c r="M107" s="15"/>
      <c r="N107" s="15">
        <f t="shared" si="16"/>
        <v>0</v>
      </c>
      <c r="O107" s="70" t="e">
        <f t="shared" si="17"/>
        <v>#DIV/0!</v>
      </c>
      <c r="P107" s="70"/>
      <c r="Q107" s="70">
        <f t="shared" si="18"/>
        <v>0</v>
      </c>
      <c r="R107" s="70"/>
      <c r="S107" s="70"/>
      <c r="T107" s="70"/>
      <c r="U107" s="15"/>
      <c r="V107" s="70" t="e">
        <f t="shared" si="19"/>
        <v>#DIV/0!</v>
      </c>
      <c r="W107" s="15"/>
      <c r="X107" s="15"/>
      <c r="Y107" s="15">
        <f t="shared" si="20"/>
        <v>0</v>
      </c>
      <c r="Z107" s="52"/>
      <c r="AA107" s="98">
        <f t="shared" si="21"/>
        <v>0</v>
      </c>
      <c r="AB107" s="52"/>
      <c r="AC107" s="98">
        <f t="shared" si="22"/>
        <v>0</v>
      </c>
      <c r="AD107" s="98">
        <f t="shared" si="23"/>
        <v>0</v>
      </c>
      <c r="AE107" s="238" t="e">
        <f t="shared" si="24"/>
        <v>#DIV/0!</v>
      </c>
      <c r="AF107" s="125" t="e">
        <f t="shared" si="25"/>
        <v>#DIV/0!</v>
      </c>
      <c r="AG107" s="92"/>
    </row>
    <row r="108" spans="1:33" ht="14.4">
      <c r="A108" s="270"/>
      <c r="B108" s="97">
        <f t="shared" si="13"/>
        <v>31</v>
      </c>
      <c r="C108" s="325"/>
      <c r="D108" s="260"/>
      <c r="E108" s="95"/>
      <c r="G108" s="52"/>
      <c r="H108" s="52"/>
      <c r="I108" s="256"/>
      <c r="J108" s="98">
        <f t="shared" si="14"/>
        <v>0</v>
      </c>
      <c r="K108" s="118" t="e">
        <f t="shared" si="15"/>
        <v>#DIV/0!</v>
      </c>
      <c r="L108" s="15"/>
      <c r="M108" s="15"/>
      <c r="N108" s="15">
        <f t="shared" si="16"/>
        <v>0</v>
      </c>
      <c r="O108" s="70" t="e">
        <f t="shared" si="17"/>
        <v>#DIV/0!</v>
      </c>
      <c r="P108" s="70"/>
      <c r="Q108" s="70">
        <f t="shared" si="18"/>
        <v>0</v>
      </c>
      <c r="R108" s="70"/>
      <c r="S108" s="70"/>
      <c r="T108" s="70"/>
      <c r="U108" s="15"/>
      <c r="V108" s="70" t="e">
        <f t="shared" si="19"/>
        <v>#DIV/0!</v>
      </c>
      <c r="W108" s="15"/>
      <c r="X108" s="15"/>
      <c r="Y108" s="15">
        <f t="shared" si="20"/>
        <v>0</v>
      </c>
      <c r="Z108" s="52"/>
      <c r="AA108" s="98">
        <f t="shared" si="21"/>
        <v>0</v>
      </c>
      <c r="AB108" s="52"/>
      <c r="AC108" s="98">
        <f t="shared" si="22"/>
        <v>0</v>
      </c>
      <c r="AD108" s="98">
        <f t="shared" si="23"/>
        <v>0</v>
      </c>
      <c r="AE108" s="238" t="e">
        <f t="shared" si="24"/>
        <v>#DIV/0!</v>
      </c>
      <c r="AF108" s="125" t="e">
        <f t="shared" si="25"/>
        <v>#DIV/0!</v>
      </c>
      <c r="AG108" s="92"/>
    </row>
    <row r="109" spans="1:33" ht="14.4">
      <c r="A109" s="270"/>
      <c r="B109" s="97">
        <f t="shared" si="13"/>
        <v>31</v>
      </c>
      <c r="C109" s="325"/>
      <c r="D109" s="260"/>
      <c r="E109" s="95"/>
      <c r="G109" s="52"/>
      <c r="H109" s="52"/>
      <c r="I109" s="256"/>
      <c r="J109" s="98">
        <f t="shared" si="14"/>
        <v>0</v>
      </c>
      <c r="K109" s="118" t="e">
        <f t="shared" si="15"/>
        <v>#DIV/0!</v>
      </c>
      <c r="L109" s="15"/>
      <c r="M109" s="15"/>
      <c r="N109" s="15">
        <f t="shared" si="16"/>
        <v>0</v>
      </c>
      <c r="O109" s="70" t="e">
        <f t="shared" si="17"/>
        <v>#DIV/0!</v>
      </c>
      <c r="P109" s="70"/>
      <c r="Q109" s="70">
        <f t="shared" si="18"/>
        <v>0</v>
      </c>
      <c r="R109" s="70"/>
      <c r="S109" s="70"/>
      <c r="T109" s="70"/>
      <c r="U109" s="15"/>
      <c r="V109" s="70" t="e">
        <f t="shared" si="19"/>
        <v>#DIV/0!</v>
      </c>
      <c r="W109" s="15"/>
      <c r="X109" s="15"/>
      <c r="Y109" s="15">
        <f t="shared" si="20"/>
        <v>0</v>
      </c>
      <c r="Z109" s="52"/>
      <c r="AA109" s="98">
        <f t="shared" si="21"/>
        <v>0</v>
      </c>
      <c r="AB109" s="52"/>
      <c r="AC109" s="98">
        <f t="shared" si="22"/>
        <v>0</v>
      </c>
      <c r="AD109" s="98">
        <f t="shared" si="23"/>
        <v>0</v>
      </c>
      <c r="AE109" s="238" t="e">
        <f t="shared" si="24"/>
        <v>#DIV/0!</v>
      </c>
      <c r="AF109" s="125" t="e">
        <f t="shared" si="25"/>
        <v>#DIV/0!</v>
      </c>
      <c r="AG109" s="92"/>
    </row>
    <row r="110" spans="1:33" ht="14.4">
      <c r="A110" s="270"/>
      <c r="B110" s="97">
        <f t="shared" si="13"/>
        <v>31</v>
      </c>
      <c r="C110" s="325"/>
      <c r="D110" s="260"/>
      <c r="E110" s="95"/>
      <c r="G110" s="52"/>
      <c r="H110" s="52"/>
      <c r="I110" s="256"/>
      <c r="J110" s="98">
        <f t="shared" si="14"/>
        <v>0</v>
      </c>
      <c r="K110" s="118" t="e">
        <f t="shared" si="15"/>
        <v>#DIV/0!</v>
      </c>
      <c r="L110" s="15"/>
      <c r="M110" s="15"/>
      <c r="N110" s="15">
        <f t="shared" si="16"/>
        <v>0</v>
      </c>
      <c r="O110" s="70" t="e">
        <f t="shared" si="17"/>
        <v>#DIV/0!</v>
      </c>
      <c r="P110" s="70"/>
      <c r="Q110" s="70">
        <f t="shared" si="18"/>
        <v>0</v>
      </c>
      <c r="R110" s="70"/>
      <c r="S110" s="70"/>
      <c r="T110" s="70"/>
      <c r="U110" s="15"/>
      <c r="V110" s="70" t="e">
        <f t="shared" si="19"/>
        <v>#DIV/0!</v>
      </c>
      <c r="W110" s="15"/>
      <c r="X110" s="15"/>
      <c r="Y110" s="15">
        <f t="shared" si="20"/>
        <v>0</v>
      </c>
      <c r="Z110" s="52"/>
      <c r="AA110" s="98">
        <f t="shared" si="21"/>
        <v>0</v>
      </c>
      <c r="AB110" s="52"/>
      <c r="AC110" s="98">
        <f t="shared" si="22"/>
        <v>0</v>
      </c>
      <c r="AD110" s="98">
        <f t="shared" si="23"/>
        <v>0</v>
      </c>
      <c r="AE110" s="238" t="e">
        <f t="shared" si="24"/>
        <v>#DIV/0!</v>
      </c>
      <c r="AF110" s="125" t="e">
        <f t="shared" si="25"/>
        <v>#DIV/0!</v>
      </c>
      <c r="AG110" s="92"/>
    </row>
    <row r="111" spans="1:33" ht="14.4">
      <c r="A111" s="270"/>
      <c r="B111" s="97">
        <f t="shared" si="13"/>
        <v>31</v>
      </c>
      <c r="C111" s="325"/>
      <c r="D111" s="260"/>
      <c r="E111" s="95"/>
      <c r="G111" s="52"/>
      <c r="H111" s="52"/>
      <c r="I111" s="256"/>
      <c r="J111" s="98">
        <f t="shared" si="14"/>
        <v>0</v>
      </c>
      <c r="K111" s="118" t="e">
        <f t="shared" si="15"/>
        <v>#DIV/0!</v>
      </c>
      <c r="L111" s="15"/>
      <c r="M111" s="15"/>
      <c r="N111" s="15">
        <f t="shared" si="16"/>
        <v>0</v>
      </c>
      <c r="O111" s="70" t="e">
        <f t="shared" si="17"/>
        <v>#DIV/0!</v>
      </c>
      <c r="P111" s="70"/>
      <c r="Q111" s="70">
        <f t="shared" si="18"/>
        <v>0</v>
      </c>
      <c r="R111" s="70"/>
      <c r="S111" s="70"/>
      <c r="T111" s="70"/>
      <c r="U111" s="15"/>
      <c r="V111" s="70" t="e">
        <f t="shared" si="19"/>
        <v>#DIV/0!</v>
      </c>
      <c r="W111" s="15"/>
      <c r="X111" s="15"/>
      <c r="Y111" s="15">
        <f t="shared" si="20"/>
        <v>0</v>
      </c>
      <c r="Z111" s="52"/>
      <c r="AA111" s="98">
        <f t="shared" si="21"/>
        <v>0</v>
      </c>
      <c r="AB111" s="52"/>
      <c r="AC111" s="98">
        <f t="shared" si="22"/>
        <v>0</v>
      </c>
      <c r="AD111" s="98">
        <f t="shared" si="23"/>
        <v>0</v>
      </c>
      <c r="AE111" s="238" t="e">
        <f t="shared" si="24"/>
        <v>#DIV/0!</v>
      </c>
      <c r="AF111" s="125" t="e">
        <f t="shared" si="25"/>
        <v>#DIV/0!</v>
      </c>
      <c r="AG111" s="92"/>
    </row>
    <row r="112" spans="1:33" ht="14.4">
      <c r="A112" s="270"/>
      <c r="B112" s="97">
        <f t="shared" si="13"/>
        <v>31</v>
      </c>
      <c r="C112" s="325"/>
      <c r="D112" s="260"/>
      <c r="E112" s="95"/>
      <c r="G112" s="52"/>
      <c r="H112" s="52"/>
      <c r="I112" s="256"/>
      <c r="J112" s="98">
        <f t="shared" si="14"/>
        <v>0</v>
      </c>
      <c r="K112" s="118" t="e">
        <f t="shared" si="15"/>
        <v>#DIV/0!</v>
      </c>
      <c r="L112" s="15"/>
      <c r="M112" s="15"/>
      <c r="N112" s="15">
        <f t="shared" si="16"/>
        <v>0</v>
      </c>
      <c r="O112" s="70" t="e">
        <f t="shared" si="17"/>
        <v>#DIV/0!</v>
      </c>
      <c r="P112" s="70"/>
      <c r="Q112" s="70">
        <f t="shared" si="18"/>
        <v>0</v>
      </c>
      <c r="R112" s="70"/>
      <c r="S112" s="70"/>
      <c r="T112" s="70"/>
      <c r="U112" s="15"/>
      <c r="V112" s="70" t="e">
        <f t="shared" si="19"/>
        <v>#DIV/0!</v>
      </c>
      <c r="W112" s="15"/>
      <c r="X112" s="15"/>
      <c r="Y112" s="15">
        <f t="shared" si="20"/>
        <v>0</v>
      </c>
      <c r="Z112" s="52"/>
      <c r="AA112" s="98">
        <f t="shared" si="21"/>
        <v>0</v>
      </c>
      <c r="AB112" s="52"/>
      <c r="AC112" s="98">
        <f t="shared" si="22"/>
        <v>0</v>
      </c>
      <c r="AD112" s="98">
        <f t="shared" si="23"/>
        <v>0</v>
      </c>
      <c r="AE112" s="238" t="e">
        <f t="shared" si="24"/>
        <v>#DIV/0!</v>
      </c>
      <c r="AF112" s="125" t="e">
        <f t="shared" si="25"/>
        <v>#DIV/0!</v>
      </c>
      <c r="AG112" s="92"/>
    </row>
    <row r="113" spans="1:33" ht="14.4">
      <c r="A113" s="270"/>
      <c r="B113" s="97">
        <f t="shared" si="13"/>
        <v>31</v>
      </c>
      <c r="C113" s="325"/>
      <c r="D113" s="260"/>
      <c r="E113" s="95"/>
      <c r="G113" s="52"/>
      <c r="H113" s="52"/>
      <c r="I113" s="256"/>
      <c r="J113" s="98">
        <f t="shared" si="14"/>
        <v>0</v>
      </c>
      <c r="K113" s="118" t="e">
        <f t="shared" si="15"/>
        <v>#DIV/0!</v>
      </c>
      <c r="L113" s="15"/>
      <c r="M113" s="15"/>
      <c r="N113" s="15">
        <f t="shared" si="16"/>
        <v>0</v>
      </c>
      <c r="O113" s="70" t="e">
        <f t="shared" si="17"/>
        <v>#DIV/0!</v>
      </c>
      <c r="P113" s="70"/>
      <c r="Q113" s="70">
        <f t="shared" si="18"/>
        <v>0</v>
      </c>
      <c r="R113" s="70"/>
      <c r="S113" s="70"/>
      <c r="T113" s="70"/>
      <c r="U113" s="15"/>
      <c r="V113" s="70" t="e">
        <f t="shared" si="19"/>
        <v>#DIV/0!</v>
      </c>
      <c r="W113" s="15"/>
      <c r="X113" s="15"/>
      <c r="Y113" s="15">
        <f t="shared" si="20"/>
        <v>0</v>
      </c>
      <c r="Z113" s="52"/>
      <c r="AA113" s="98">
        <f t="shared" si="21"/>
        <v>0</v>
      </c>
      <c r="AB113" s="52"/>
      <c r="AC113" s="98">
        <f t="shared" si="22"/>
        <v>0</v>
      </c>
      <c r="AD113" s="98">
        <f t="shared" si="23"/>
        <v>0</v>
      </c>
      <c r="AE113" s="238" t="e">
        <f t="shared" si="24"/>
        <v>#DIV/0!</v>
      </c>
      <c r="AF113" s="125" t="e">
        <f t="shared" si="25"/>
        <v>#DIV/0!</v>
      </c>
      <c r="AG113" s="92"/>
    </row>
    <row r="114" spans="1:33" ht="14.4">
      <c r="A114" s="270"/>
      <c r="B114" s="97">
        <f t="shared" si="13"/>
        <v>31</v>
      </c>
      <c r="C114" s="325"/>
      <c r="D114" s="260"/>
      <c r="E114" s="95"/>
      <c r="G114" s="52"/>
      <c r="H114" s="52"/>
      <c r="I114" s="256"/>
      <c r="J114" s="98">
        <f t="shared" si="14"/>
        <v>0</v>
      </c>
      <c r="K114" s="118" t="e">
        <f t="shared" si="15"/>
        <v>#DIV/0!</v>
      </c>
      <c r="L114" s="15"/>
      <c r="M114" s="15"/>
      <c r="N114" s="15">
        <f t="shared" si="16"/>
        <v>0</v>
      </c>
      <c r="O114" s="70" t="e">
        <f t="shared" si="17"/>
        <v>#DIV/0!</v>
      </c>
      <c r="P114" s="70"/>
      <c r="Q114" s="70">
        <f t="shared" si="18"/>
        <v>0</v>
      </c>
      <c r="R114" s="70"/>
      <c r="S114" s="70"/>
      <c r="T114" s="70"/>
      <c r="U114" s="15"/>
      <c r="V114" s="70" t="e">
        <f t="shared" si="19"/>
        <v>#DIV/0!</v>
      </c>
      <c r="W114" s="15"/>
      <c r="X114" s="15"/>
      <c r="Y114" s="15">
        <f t="shared" si="20"/>
        <v>0</v>
      </c>
      <c r="Z114" s="52"/>
      <c r="AA114" s="98">
        <f t="shared" si="21"/>
        <v>0</v>
      </c>
      <c r="AB114" s="52"/>
      <c r="AC114" s="98">
        <f t="shared" si="22"/>
        <v>0</v>
      </c>
      <c r="AD114" s="98">
        <f t="shared" si="23"/>
        <v>0</v>
      </c>
      <c r="AE114" s="238" t="e">
        <f t="shared" si="24"/>
        <v>#DIV/0!</v>
      </c>
      <c r="AF114" s="125" t="e">
        <f t="shared" si="25"/>
        <v>#DIV/0!</v>
      </c>
      <c r="AG114" s="92"/>
    </row>
    <row r="115" spans="1:33" ht="14.4">
      <c r="A115" s="270"/>
      <c r="B115" s="97">
        <f t="shared" si="13"/>
        <v>31</v>
      </c>
      <c r="C115" s="325"/>
      <c r="D115" s="260"/>
      <c r="E115" s="95"/>
      <c r="G115" s="52"/>
      <c r="H115" s="52"/>
      <c r="I115" s="256"/>
      <c r="J115" s="98">
        <f t="shared" si="14"/>
        <v>0</v>
      </c>
      <c r="K115" s="118" t="e">
        <f t="shared" si="15"/>
        <v>#DIV/0!</v>
      </c>
      <c r="L115" s="15"/>
      <c r="M115" s="15"/>
      <c r="N115" s="15">
        <f t="shared" si="16"/>
        <v>0</v>
      </c>
      <c r="O115" s="70" t="e">
        <f t="shared" si="17"/>
        <v>#DIV/0!</v>
      </c>
      <c r="P115" s="70"/>
      <c r="Q115" s="70">
        <f t="shared" si="18"/>
        <v>0</v>
      </c>
      <c r="R115" s="70"/>
      <c r="S115" s="70"/>
      <c r="T115" s="70"/>
      <c r="U115" s="15"/>
      <c r="V115" s="70" t="e">
        <f t="shared" si="19"/>
        <v>#DIV/0!</v>
      </c>
      <c r="W115" s="15"/>
      <c r="X115" s="15"/>
      <c r="Y115" s="15">
        <f t="shared" si="20"/>
        <v>0</v>
      </c>
      <c r="Z115" s="52"/>
      <c r="AA115" s="98">
        <f t="shared" si="21"/>
        <v>0</v>
      </c>
      <c r="AB115" s="52"/>
      <c r="AC115" s="98">
        <f t="shared" si="22"/>
        <v>0</v>
      </c>
      <c r="AD115" s="98">
        <f t="shared" si="23"/>
        <v>0</v>
      </c>
      <c r="AE115" s="238" t="e">
        <f t="shared" si="24"/>
        <v>#DIV/0!</v>
      </c>
      <c r="AF115" s="125" t="e">
        <f t="shared" si="25"/>
        <v>#DIV/0!</v>
      </c>
      <c r="AG115" s="92"/>
    </row>
    <row r="116" spans="1:33" ht="14.4">
      <c r="A116" s="270"/>
      <c r="B116" s="97">
        <f t="shared" si="13"/>
        <v>31</v>
      </c>
      <c r="C116" s="325"/>
      <c r="D116" s="260"/>
      <c r="E116" s="95"/>
      <c r="G116" s="52"/>
      <c r="H116" s="52"/>
      <c r="I116" s="256"/>
      <c r="J116" s="98">
        <f t="shared" si="14"/>
        <v>0</v>
      </c>
      <c r="K116" s="118" t="e">
        <f t="shared" si="15"/>
        <v>#DIV/0!</v>
      </c>
      <c r="L116" s="15"/>
      <c r="M116" s="15"/>
      <c r="N116" s="15">
        <f t="shared" si="16"/>
        <v>0</v>
      </c>
      <c r="O116" s="70" t="e">
        <f t="shared" si="17"/>
        <v>#DIV/0!</v>
      </c>
      <c r="P116" s="70"/>
      <c r="Q116" s="70">
        <f t="shared" si="18"/>
        <v>0</v>
      </c>
      <c r="R116" s="70"/>
      <c r="S116" s="70"/>
      <c r="T116" s="70"/>
      <c r="U116" s="15"/>
      <c r="V116" s="70" t="e">
        <f t="shared" si="19"/>
        <v>#DIV/0!</v>
      </c>
      <c r="W116" s="15"/>
      <c r="X116" s="15"/>
      <c r="Y116" s="15">
        <f t="shared" si="20"/>
        <v>0</v>
      </c>
      <c r="Z116" s="52"/>
      <c r="AA116" s="98">
        <f t="shared" si="21"/>
        <v>0</v>
      </c>
      <c r="AB116" s="52"/>
      <c r="AC116" s="98">
        <f t="shared" si="22"/>
        <v>0</v>
      </c>
      <c r="AD116" s="98">
        <f t="shared" si="23"/>
        <v>0</v>
      </c>
      <c r="AE116" s="238" t="e">
        <f t="shared" si="24"/>
        <v>#DIV/0!</v>
      </c>
      <c r="AF116" s="125" t="e">
        <f t="shared" si="25"/>
        <v>#DIV/0!</v>
      </c>
      <c r="AG116" s="92"/>
    </row>
    <row r="117" spans="1:33" ht="14.4">
      <c r="A117" s="270"/>
      <c r="B117" s="97">
        <f t="shared" si="13"/>
        <v>31</v>
      </c>
      <c r="C117" s="325"/>
      <c r="D117" s="260"/>
      <c r="E117" s="95"/>
      <c r="G117" s="52"/>
      <c r="H117" s="52"/>
      <c r="I117" s="256"/>
      <c r="J117" s="98">
        <f t="shared" si="14"/>
        <v>0</v>
      </c>
      <c r="K117" s="118" t="e">
        <f t="shared" si="15"/>
        <v>#DIV/0!</v>
      </c>
      <c r="L117" s="15"/>
      <c r="M117" s="15"/>
      <c r="N117" s="15">
        <f t="shared" si="16"/>
        <v>0</v>
      </c>
      <c r="O117" s="70" t="e">
        <f t="shared" si="17"/>
        <v>#DIV/0!</v>
      </c>
      <c r="P117" s="70"/>
      <c r="Q117" s="70">
        <f t="shared" si="18"/>
        <v>0</v>
      </c>
      <c r="R117" s="70"/>
      <c r="S117" s="70"/>
      <c r="T117" s="70"/>
      <c r="U117" s="15"/>
      <c r="V117" s="70" t="e">
        <f t="shared" si="19"/>
        <v>#DIV/0!</v>
      </c>
      <c r="W117" s="15"/>
      <c r="X117" s="15"/>
      <c r="Y117" s="15">
        <f t="shared" si="20"/>
        <v>0</v>
      </c>
      <c r="Z117" s="52"/>
      <c r="AA117" s="98">
        <f t="shared" si="21"/>
        <v>0</v>
      </c>
      <c r="AB117" s="52"/>
      <c r="AC117" s="98">
        <f t="shared" si="22"/>
        <v>0</v>
      </c>
      <c r="AD117" s="98">
        <f t="shared" si="23"/>
        <v>0</v>
      </c>
      <c r="AE117" s="238" t="e">
        <f t="shared" si="24"/>
        <v>#DIV/0!</v>
      </c>
      <c r="AF117" s="125" t="e">
        <f t="shared" si="25"/>
        <v>#DIV/0!</v>
      </c>
      <c r="AG117" s="92"/>
    </row>
    <row r="118" spans="1:33" ht="14.4">
      <c r="A118" s="270"/>
      <c r="B118" s="97">
        <f t="shared" si="13"/>
        <v>31</v>
      </c>
      <c r="C118" s="325"/>
      <c r="D118" s="260"/>
      <c r="E118" s="95"/>
      <c r="G118" s="52"/>
      <c r="H118" s="52"/>
      <c r="I118" s="256"/>
      <c r="J118" s="98">
        <f t="shared" si="14"/>
        <v>0</v>
      </c>
      <c r="K118" s="118" t="e">
        <f t="shared" si="15"/>
        <v>#DIV/0!</v>
      </c>
      <c r="L118" s="15"/>
      <c r="M118" s="15"/>
      <c r="N118" s="15">
        <f t="shared" si="16"/>
        <v>0</v>
      </c>
      <c r="O118" s="70" t="e">
        <f t="shared" si="17"/>
        <v>#DIV/0!</v>
      </c>
      <c r="P118" s="70"/>
      <c r="Q118" s="70">
        <f t="shared" si="18"/>
        <v>0</v>
      </c>
      <c r="R118" s="70"/>
      <c r="S118" s="70"/>
      <c r="T118" s="70"/>
      <c r="U118" s="15"/>
      <c r="V118" s="70" t="e">
        <f t="shared" si="19"/>
        <v>#DIV/0!</v>
      </c>
      <c r="W118" s="15"/>
      <c r="X118" s="15"/>
      <c r="Y118" s="15">
        <f t="shared" si="20"/>
        <v>0</v>
      </c>
      <c r="Z118" s="52"/>
      <c r="AA118" s="98">
        <f t="shared" si="21"/>
        <v>0</v>
      </c>
      <c r="AB118" s="52"/>
      <c r="AC118" s="98">
        <f t="shared" si="22"/>
        <v>0</v>
      </c>
      <c r="AD118" s="98">
        <f t="shared" si="23"/>
        <v>0</v>
      </c>
      <c r="AE118" s="238" t="e">
        <f t="shared" si="24"/>
        <v>#DIV/0!</v>
      </c>
      <c r="AF118" s="125" t="e">
        <f t="shared" si="25"/>
        <v>#DIV/0!</v>
      </c>
      <c r="AG118" s="92"/>
    </row>
    <row r="119" spans="1:33" ht="14.4">
      <c r="A119" s="270"/>
      <c r="B119" s="97">
        <f t="shared" si="13"/>
        <v>31</v>
      </c>
      <c r="C119" s="325"/>
      <c r="D119" s="260"/>
      <c r="E119" s="95"/>
      <c r="G119" s="52"/>
      <c r="H119" s="52"/>
      <c r="I119" s="256"/>
      <c r="J119" s="98">
        <f t="shared" si="14"/>
        <v>0</v>
      </c>
      <c r="K119" s="118" t="e">
        <f t="shared" si="15"/>
        <v>#DIV/0!</v>
      </c>
      <c r="L119" s="15"/>
      <c r="M119" s="15"/>
      <c r="N119" s="15">
        <f t="shared" si="16"/>
        <v>0</v>
      </c>
      <c r="O119" s="70" t="e">
        <f t="shared" si="17"/>
        <v>#DIV/0!</v>
      </c>
      <c r="P119" s="70"/>
      <c r="Q119" s="70">
        <f t="shared" si="18"/>
        <v>0</v>
      </c>
      <c r="R119" s="70"/>
      <c r="S119" s="70"/>
      <c r="T119" s="70"/>
      <c r="U119" s="15"/>
      <c r="V119" s="70" t="e">
        <f t="shared" si="19"/>
        <v>#DIV/0!</v>
      </c>
      <c r="W119" s="15"/>
      <c r="X119" s="15"/>
      <c r="Y119" s="15">
        <f t="shared" si="20"/>
        <v>0</v>
      </c>
      <c r="Z119" s="52"/>
      <c r="AA119" s="98">
        <f t="shared" si="21"/>
        <v>0</v>
      </c>
      <c r="AB119" s="52"/>
      <c r="AC119" s="98">
        <f t="shared" si="22"/>
        <v>0</v>
      </c>
      <c r="AD119" s="98">
        <f t="shared" si="23"/>
        <v>0</v>
      </c>
      <c r="AE119" s="238" t="e">
        <f t="shared" si="24"/>
        <v>#DIV/0!</v>
      </c>
      <c r="AF119" s="125" t="e">
        <f t="shared" si="25"/>
        <v>#DIV/0!</v>
      </c>
      <c r="AG119" s="92"/>
    </row>
    <row r="120" spans="1:33" ht="14.4">
      <c r="A120" s="270"/>
      <c r="B120" s="97">
        <f t="shared" si="13"/>
        <v>31</v>
      </c>
      <c r="C120" s="325"/>
      <c r="D120" s="260"/>
      <c r="E120" s="95"/>
      <c r="G120" s="52"/>
      <c r="H120" s="52"/>
      <c r="I120" s="256"/>
      <c r="J120" s="98">
        <f t="shared" si="14"/>
        <v>0</v>
      </c>
      <c r="K120" s="118" t="e">
        <f t="shared" si="15"/>
        <v>#DIV/0!</v>
      </c>
      <c r="L120" s="15"/>
      <c r="M120" s="15"/>
      <c r="N120" s="15">
        <f t="shared" si="16"/>
        <v>0</v>
      </c>
      <c r="O120" s="70" t="e">
        <f t="shared" si="17"/>
        <v>#DIV/0!</v>
      </c>
      <c r="P120" s="70"/>
      <c r="Q120" s="70">
        <f t="shared" si="18"/>
        <v>0</v>
      </c>
      <c r="R120" s="70"/>
      <c r="S120" s="70"/>
      <c r="T120" s="70"/>
      <c r="U120" s="15"/>
      <c r="V120" s="70" t="e">
        <f t="shared" si="19"/>
        <v>#DIV/0!</v>
      </c>
      <c r="W120" s="15"/>
      <c r="X120" s="15"/>
      <c r="Y120" s="15">
        <f t="shared" si="20"/>
        <v>0</v>
      </c>
      <c r="Z120" s="52"/>
      <c r="AA120" s="98">
        <f t="shared" si="21"/>
        <v>0</v>
      </c>
      <c r="AB120" s="52"/>
      <c r="AC120" s="98">
        <f t="shared" si="22"/>
        <v>0</v>
      </c>
      <c r="AD120" s="98">
        <f t="shared" si="23"/>
        <v>0</v>
      </c>
      <c r="AE120" s="238" t="e">
        <f t="shared" si="24"/>
        <v>#DIV/0!</v>
      </c>
      <c r="AF120" s="125" t="e">
        <f t="shared" si="25"/>
        <v>#DIV/0!</v>
      </c>
      <c r="AG120" s="92"/>
    </row>
    <row r="121" spans="1:33" ht="14.4">
      <c r="A121" s="270"/>
      <c r="B121" s="97">
        <f t="shared" si="13"/>
        <v>31</v>
      </c>
      <c r="C121" s="325"/>
      <c r="D121" s="260"/>
      <c r="E121" s="95"/>
      <c r="G121" s="52"/>
      <c r="H121" s="52"/>
      <c r="I121" s="256"/>
      <c r="J121" s="98">
        <f t="shared" si="14"/>
        <v>0</v>
      </c>
      <c r="K121" s="118" t="e">
        <f t="shared" si="15"/>
        <v>#DIV/0!</v>
      </c>
      <c r="L121" s="15"/>
      <c r="M121" s="15"/>
      <c r="N121" s="15">
        <f t="shared" si="16"/>
        <v>0</v>
      </c>
      <c r="O121" s="70" t="e">
        <f t="shared" si="17"/>
        <v>#DIV/0!</v>
      </c>
      <c r="P121" s="70"/>
      <c r="Q121" s="70">
        <f t="shared" si="18"/>
        <v>0</v>
      </c>
      <c r="R121" s="70"/>
      <c r="S121" s="70"/>
      <c r="T121" s="70"/>
      <c r="U121" s="15"/>
      <c r="V121" s="70" t="e">
        <f t="shared" si="19"/>
        <v>#DIV/0!</v>
      </c>
      <c r="W121" s="15"/>
      <c r="X121" s="15"/>
      <c r="Y121" s="15">
        <f t="shared" si="20"/>
        <v>0</v>
      </c>
      <c r="Z121" s="52"/>
      <c r="AA121" s="98">
        <f t="shared" si="21"/>
        <v>0</v>
      </c>
      <c r="AB121" s="52"/>
      <c r="AC121" s="98">
        <f t="shared" si="22"/>
        <v>0</v>
      </c>
      <c r="AD121" s="98">
        <f t="shared" si="23"/>
        <v>0</v>
      </c>
      <c r="AE121" s="238" t="e">
        <f t="shared" si="24"/>
        <v>#DIV/0!</v>
      </c>
      <c r="AF121" s="125" t="e">
        <f t="shared" si="25"/>
        <v>#DIV/0!</v>
      </c>
      <c r="AG121" s="92"/>
    </row>
    <row r="122" spans="1:33" ht="14.4">
      <c r="A122" s="270"/>
      <c r="B122" s="97">
        <f t="shared" si="13"/>
        <v>31</v>
      </c>
      <c r="C122" s="325"/>
      <c r="D122" s="260"/>
      <c r="E122" s="95"/>
      <c r="G122" s="52"/>
      <c r="H122" s="52"/>
      <c r="I122" s="256"/>
      <c r="J122" s="98">
        <f t="shared" si="14"/>
        <v>0</v>
      </c>
      <c r="K122" s="118" t="e">
        <f t="shared" si="15"/>
        <v>#DIV/0!</v>
      </c>
      <c r="L122" s="15"/>
      <c r="M122" s="15"/>
      <c r="N122" s="15">
        <f t="shared" si="16"/>
        <v>0</v>
      </c>
      <c r="O122" s="70" t="e">
        <f t="shared" si="17"/>
        <v>#DIV/0!</v>
      </c>
      <c r="P122" s="70"/>
      <c r="Q122" s="70">
        <f t="shared" si="18"/>
        <v>0</v>
      </c>
      <c r="R122" s="70"/>
      <c r="S122" s="70"/>
      <c r="T122" s="70"/>
      <c r="U122" s="15"/>
      <c r="V122" s="70" t="e">
        <f t="shared" si="19"/>
        <v>#DIV/0!</v>
      </c>
      <c r="W122" s="15"/>
      <c r="X122" s="15"/>
      <c r="Y122" s="15">
        <f t="shared" si="20"/>
        <v>0</v>
      </c>
      <c r="Z122" s="52"/>
      <c r="AA122" s="98">
        <f t="shared" si="21"/>
        <v>0</v>
      </c>
      <c r="AB122" s="52"/>
      <c r="AC122" s="98">
        <f t="shared" si="22"/>
        <v>0</v>
      </c>
      <c r="AD122" s="98">
        <f t="shared" si="23"/>
        <v>0</v>
      </c>
      <c r="AE122" s="238" t="e">
        <f t="shared" si="24"/>
        <v>#DIV/0!</v>
      </c>
      <c r="AF122" s="125" t="e">
        <f t="shared" si="25"/>
        <v>#DIV/0!</v>
      </c>
      <c r="AG122" s="92"/>
    </row>
    <row r="123" spans="1:33" ht="14.4">
      <c r="A123" s="270"/>
      <c r="B123" s="97">
        <f t="shared" si="13"/>
        <v>31</v>
      </c>
      <c r="C123" s="325"/>
      <c r="D123" s="260"/>
      <c r="E123" s="95"/>
      <c r="G123" s="52"/>
      <c r="H123" s="52"/>
      <c r="I123" s="256"/>
      <c r="J123" s="98">
        <f t="shared" si="14"/>
        <v>0</v>
      </c>
      <c r="K123" s="118" t="e">
        <f t="shared" si="15"/>
        <v>#DIV/0!</v>
      </c>
      <c r="L123" s="15"/>
      <c r="M123" s="15"/>
      <c r="N123" s="15">
        <f t="shared" si="16"/>
        <v>0</v>
      </c>
      <c r="O123" s="70" t="e">
        <f t="shared" si="17"/>
        <v>#DIV/0!</v>
      </c>
      <c r="P123" s="70"/>
      <c r="Q123" s="70">
        <f t="shared" si="18"/>
        <v>0</v>
      </c>
      <c r="R123" s="70"/>
      <c r="S123" s="70"/>
      <c r="T123" s="70"/>
      <c r="U123" s="15"/>
      <c r="V123" s="70" t="e">
        <f t="shared" si="19"/>
        <v>#DIV/0!</v>
      </c>
      <c r="W123" s="15"/>
      <c r="X123" s="15"/>
      <c r="Y123" s="15">
        <f t="shared" si="20"/>
        <v>0</v>
      </c>
      <c r="Z123" s="52"/>
      <c r="AA123" s="98">
        <f t="shared" si="21"/>
        <v>0</v>
      </c>
      <c r="AB123" s="52"/>
      <c r="AC123" s="98">
        <f t="shared" si="22"/>
        <v>0</v>
      </c>
      <c r="AD123" s="98">
        <f t="shared" si="23"/>
        <v>0</v>
      </c>
      <c r="AE123" s="238" t="e">
        <f t="shared" si="24"/>
        <v>#DIV/0!</v>
      </c>
      <c r="AF123" s="125" t="e">
        <f t="shared" si="25"/>
        <v>#DIV/0!</v>
      </c>
      <c r="AG123" s="92"/>
    </row>
    <row r="124" spans="1:33" ht="14.4">
      <c r="A124" s="270"/>
      <c r="B124" s="97">
        <f t="shared" si="13"/>
        <v>31</v>
      </c>
      <c r="C124" s="325"/>
      <c r="D124" s="260"/>
      <c r="E124" s="95"/>
      <c r="G124" s="52"/>
      <c r="H124" s="52"/>
      <c r="I124" s="256"/>
      <c r="J124" s="98">
        <f t="shared" si="14"/>
        <v>0</v>
      </c>
      <c r="K124" s="118" t="e">
        <f t="shared" si="15"/>
        <v>#DIV/0!</v>
      </c>
      <c r="L124" s="15"/>
      <c r="M124" s="15"/>
      <c r="N124" s="15">
        <f t="shared" si="16"/>
        <v>0</v>
      </c>
      <c r="O124" s="70" t="e">
        <f t="shared" si="17"/>
        <v>#DIV/0!</v>
      </c>
      <c r="P124" s="70"/>
      <c r="Q124" s="70">
        <f t="shared" si="18"/>
        <v>0</v>
      </c>
      <c r="R124" s="70"/>
      <c r="S124" s="70"/>
      <c r="T124" s="70"/>
      <c r="U124" s="15"/>
      <c r="V124" s="70" t="e">
        <f t="shared" si="19"/>
        <v>#DIV/0!</v>
      </c>
      <c r="W124" s="15"/>
      <c r="X124" s="15"/>
      <c r="Y124" s="15">
        <f t="shared" si="20"/>
        <v>0</v>
      </c>
      <c r="Z124" s="52"/>
      <c r="AA124" s="98">
        <f t="shared" si="21"/>
        <v>0</v>
      </c>
      <c r="AB124" s="52"/>
      <c r="AC124" s="98">
        <f t="shared" si="22"/>
        <v>0</v>
      </c>
      <c r="AD124" s="98">
        <f t="shared" si="23"/>
        <v>0</v>
      </c>
      <c r="AE124" s="238" t="e">
        <f t="shared" si="24"/>
        <v>#DIV/0!</v>
      </c>
      <c r="AF124" s="125" t="e">
        <f t="shared" si="25"/>
        <v>#DIV/0!</v>
      </c>
      <c r="AG124" s="92"/>
    </row>
    <row r="125" spans="1:33" ht="14.4">
      <c r="A125" s="270"/>
      <c r="B125" s="97">
        <f t="shared" si="13"/>
        <v>31</v>
      </c>
      <c r="C125" s="325"/>
      <c r="D125" s="260"/>
      <c r="E125" s="95"/>
      <c r="G125" s="52"/>
      <c r="H125" s="52"/>
      <c r="I125" s="256"/>
      <c r="J125" s="98">
        <f t="shared" si="14"/>
        <v>0</v>
      </c>
      <c r="K125" s="118" t="e">
        <f t="shared" si="15"/>
        <v>#DIV/0!</v>
      </c>
      <c r="L125" s="15"/>
      <c r="M125" s="15"/>
      <c r="N125" s="15">
        <f t="shared" si="16"/>
        <v>0</v>
      </c>
      <c r="O125" s="70" t="e">
        <f t="shared" si="17"/>
        <v>#DIV/0!</v>
      </c>
      <c r="P125" s="70"/>
      <c r="Q125" s="70">
        <f t="shared" si="18"/>
        <v>0</v>
      </c>
      <c r="R125" s="70"/>
      <c r="S125" s="70"/>
      <c r="T125" s="70"/>
      <c r="U125" s="15"/>
      <c r="V125" s="70" t="e">
        <f t="shared" si="19"/>
        <v>#DIV/0!</v>
      </c>
      <c r="W125" s="15"/>
      <c r="X125" s="15"/>
      <c r="Y125" s="15">
        <f t="shared" si="20"/>
        <v>0</v>
      </c>
      <c r="Z125" s="52"/>
      <c r="AA125" s="98">
        <f t="shared" si="21"/>
        <v>0</v>
      </c>
      <c r="AB125" s="52"/>
      <c r="AC125" s="98">
        <f t="shared" si="22"/>
        <v>0</v>
      </c>
      <c r="AD125" s="98">
        <f t="shared" si="23"/>
        <v>0</v>
      </c>
      <c r="AE125" s="238" t="e">
        <f t="shared" si="24"/>
        <v>#DIV/0!</v>
      </c>
      <c r="AF125" s="125" t="e">
        <f t="shared" si="25"/>
        <v>#DIV/0!</v>
      </c>
      <c r="AG125" s="92"/>
    </row>
    <row r="126" spans="1:33" ht="14.4">
      <c r="A126" s="270"/>
      <c r="B126" s="97">
        <f t="shared" si="13"/>
        <v>31</v>
      </c>
      <c r="C126" s="325"/>
      <c r="D126" s="260"/>
      <c r="E126" s="95"/>
      <c r="G126" s="52"/>
      <c r="H126" s="52"/>
      <c r="I126" s="256"/>
      <c r="J126" s="98">
        <f t="shared" si="14"/>
        <v>0</v>
      </c>
      <c r="K126" s="118" t="e">
        <f t="shared" si="15"/>
        <v>#DIV/0!</v>
      </c>
      <c r="L126" s="15"/>
      <c r="M126" s="15"/>
      <c r="N126" s="15">
        <f t="shared" si="16"/>
        <v>0</v>
      </c>
      <c r="O126" s="70" t="e">
        <f t="shared" si="17"/>
        <v>#DIV/0!</v>
      </c>
      <c r="P126" s="70"/>
      <c r="Q126" s="70">
        <f t="shared" si="18"/>
        <v>0</v>
      </c>
      <c r="R126" s="70"/>
      <c r="S126" s="70"/>
      <c r="T126" s="70"/>
      <c r="U126" s="15"/>
      <c r="V126" s="70" t="e">
        <f t="shared" si="19"/>
        <v>#DIV/0!</v>
      </c>
      <c r="W126" s="15"/>
      <c r="X126" s="15"/>
      <c r="Y126" s="15">
        <f t="shared" si="20"/>
        <v>0</v>
      </c>
      <c r="Z126" s="52"/>
      <c r="AA126" s="98">
        <f t="shared" si="21"/>
        <v>0</v>
      </c>
      <c r="AB126" s="52"/>
      <c r="AC126" s="98">
        <f t="shared" si="22"/>
        <v>0</v>
      </c>
      <c r="AD126" s="98">
        <f t="shared" si="23"/>
        <v>0</v>
      </c>
      <c r="AE126" s="238" t="e">
        <f t="shared" si="24"/>
        <v>#DIV/0!</v>
      </c>
      <c r="AF126" s="125" t="e">
        <f t="shared" si="25"/>
        <v>#DIV/0!</v>
      </c>
      <c r="AG126" s="92"/>
    </row>
    <row r="127" spans="1:33" ht="14.4">
      <c r="A127" s="270"/>
      <c r="B127" s="97">
        <f t="shared" si="13"/>
        <v>31</v>
      </c>
      <c r="C127" s="325"/>
      <c r="D127" s="260"/>
      <c r="E127" s="95"/>
      <c r="G127" s="52"/>
      <c r="H127" s="52"/>
      <c r="I127" s="256"/>
      <c r="J127" s="98">
        <f t="shared" si="14"/>
        <v>0</v>
      </c>
      <c r="K127" s="118" t="e">
        <f t="shared" si="15"/>
        <v>#DIV/0!</v>
      </c>
      <c r="L127" s="15"/>
      <c r="M127" s="15"/>
      <c r="N127" s="15">
        <f t="shared" si="16"/>
        <v>0</v>
      </c>
      <c r="O127" s="70" t="e">
        <f t="shared" si="17"/>
        <v>#DIV/0!</v>
      </c>
      <c r="P127" s="70"/>
      <c r="Q127" s="70">
        <f t="shared" si="18"/>
        <v>0</v>
      </c>
      <c r="R127" s="70"/>
      <c r="S127" s="70"/>
      <c r="T127" s="70"/>
      <c r="U127" s="15"/>
      <c r="V127" s="70" t="e">
        <f t="shared" si="19"/>
        <v>#DIV/0!</v>
      </c>
      <c r="W127" s="15"/>
      <c r="X127" s="15"/>
      <c r="Y127" s="15">
        <f t="shared" si="20"/>
        <v>0</v>
      </c>
      <c r="Z127" s="52"/>
      <c r="AA127" s="98">
        <f t="shared" si="21"/>
        <v>0</v>
      </c>
      <c r="AB127" s="52"/>
      <c r="AC127" s="98">
        <f t="shared" si="22"/>
        <v>0</v>
      </c>
      <c r="AD127" s="98">
        <f t="shared" si="23"/>
        <v>0</v>
      </c>
      <c r="AE127" s="238" t="e">
        <f t="shared" si="24"/>
        <v>#DIV/0!</v>
      </c>
      <c r="AF127" s="125" t="e">
        <f t="shared" si="25"/>
        <v>#DIV/0!</v>
      </c>
      <c r="AG127" s="92"/>
    </row>
    <row r="128" spans="1:33" ht="14.4">
      <c r="A128" s="270"/>
      <c r="B128" s="97">
        <f t="shared" si="13"/>
        <v>31</v>
      </c>
      <c r="C128" s="325"/>
      <c r="D128" s="260"/>
      <c r="E128" s="95"/>
      <c r="G128" s="52"/>
      <c r="H128" s="52"/>
      <c r="I128" s="256"/>
      <c r="J128" s="98">
        <f t="shared" si="14"/>
        <v>0</v>
      </c>
      <c r="K128" s="118" t="e">
        <f t="shared" si="15"/>
        <v>#DIV/0!</v>
      </c>
      <c r="L128" s="15"/>
      <c r="M128" s="15"/>
      <c r="N128" s="15">
        <f t="shared" si="16"/>
        <v>0</v>
      </c>
      <c r="O128" s="70" t="e">
        <f t="shared" si="17"/>
        <v>#DIV/0!</v>
      </c>
      <c r="P128" s="70"/>
      <c r="Q128" s="70">
        <f t="shared" si="18"/>
        <v>0</v>
      </c>
      <c r="R128" s="70"/>
      <c r="S128" s="70"/>
      <c r="T128" s="70"/>
      <c r="U128" s="15"/>
      <c r="V128" s="70" t="e">
        <f t="shared" si="19"/>
        <v>#DIV/0!</v>
      </c>
      <c r="W128" s="15"/>
      <c r="X128" s="15"/>
      <c r="Y128" s="15">
        <f t="shared" si="20"/>
        <v>0</v>
      </c>
      <c r="Z128" s="52"/>
      <c r="AA128" s="98">
        <f t="shared" si="21"/>
        <v>0</v>
      </c>
      <c r="AB128" s="52"/>
      <c r="AC128" s="98">
        <f t="shared" si="22"/>
        <v>0</v>
      </c>
      <c r="AD128" s="98">
        <f t="shared" si="23"/>
        <v>0</v>
      </c>
      <c r="AE128" s="238" t="e">
        <f t="shared" si="24"/>
        <v>#DIV/0!</v>
      </c>
      <c r="AF128" s="125" t="e">
        <f t="shared" si="25"/>
        <v>#DIV/0!</v>
      </c>
      <c r="AG128" s="92"/>
    </row>
    <row r="129" spans="1:33" ht="14.4">
      <c r="A129" s="270"/>
      <c r="B129" s="97">
        <f t="shared" si="13"/>
        <v>31</v>
      </c>
      <c r="C129" s="325"/>
      <c r="D129" s="260"/>
      <c r="E129" s="95"/>
      <c r="G129" s="52"/>
      <c r="H129" s="52"/>
      <c r="I129" s="256"/>
      <c r="J129" s="98">
        <f t="shared" si="14"/>
        <v>0</v>
      </c>
      <c r="K129" s="118" t="e">
        <f t="shared" si="15"/>
        <v>#DIV/0!</v>
      </c>
      <c r="L129" s="15"/>
      <c r="M129" s="15"/>
      <c r="N129" s="15">
        <f t="shared" si="16"/>
        <v>0</v>
      </c>
      <c r="O129" s="70" t="e">
        <f t="shared" si="17"/>
        <v>#DIV/0!</v>
      </c>
      <c r="P129" s="70"/>
      <c r="Q129" s="70">
        <f t="shared" si="18"/>
        <v>0</v>
      </c>
      <c r="R129" s="70"/>
      <c r="S129" s="70"/>
      <c r="T129" s="70"/>
      <c r="U129" s="15"/>
      <c r="V129" s="70" t="e">
        <f t="shared" si="19"/>
        <v>#DIV/0!</v>
      </c>
      <c r="W129" s="15"/>
      <c r="X129" s="15"/>
      <c r="Y129" s="15">
        <f t="shared" si="20"/>
        <v>0</v>
      </c>
      <c r="Z129" s="52"/>
      <c r="AA129" s="98">
        <f t="shared" si="21"/>
        <v>0</v>
      </c>
      <c r="AB129" s="52"/>
      <c r="AC129" s="98">
        <f t="shared" si="22"/>
        <v>0</v>
      </c>
      <c r="AD129" s="98">
        <f t="shared" si="23"/>
        <v>0</v>
      </c>
      <c r="AE129" s="238" t="e">
        <f t="shared" si="24"/>
        <v>#DIV/0!</v>
      </c>
      <c r="AF129" s="125" t="e">
        <f t="shared" si="25"/>
        <v>#DIV/0!</v>
      </c>
      <c r="AG129" s="92"/>
    </row>
    <row r="130" spans="1:33" ht="14.4">
      <c r="A130" s="270"/>
      <c r="B130" s="97">
        <f t="shared" si="13"/>
        <v>31</v>
      </c>
      <c r="C130" s="325"/>
      <c r="D130" s="260"/>
      <c r="E130" s="95"/>
      <c r="G130" s="52"/>
      <c r="H130" s="52"/>
      <c r="I130" s="256"/>
      <c r="J130" s="98">
        <f t="shared" si="14"/>
        <v>0</v>
      </c>
      <c r="K130" s="118" t="e">
        <f t="shared" si="15"/>
        <v>#DIV/0!</v>
      </c>
      <c r="L130" s="15"/>
      <c r="M130" s="15"/>
      <c r="N130" s="15">
        <f t="shared" si="16"/>
        <v>0</v>
      </c>
      <c r="O130" s="70" t="e">
        <f t="shared" si="17"/>
        <v>#DIV/0!</v>
      </c>
      <c r="P130" s="70"/>
      <c r="Q130" s="70">
        <f t="shared" si="18"/>
        <v>0</v>
      </c>
      <c r="R130" s="70"/>
      <c r="S130" s="70"/>
      <c r="T130" s="70"/>
      <c r="U130" s="15"/>
      <c r="V130" s="70" t="e">
        <f t="shared" si="19"/>
        <v>#DIV/0!</v>
      </c>
      <c r="W130" s="15"/>
      <c r="X130" s="15"/>
      <c r="Y130" s="15">
        <f t="shared" si="20"/>
        <v>0</v>
      </c>
      <c r="Z130" s="52"/>
      <c r="AA130" s="98">
        <f t="shared" si="21"/>
        <v>0</v>
      </c>
      <c r="AB130" s="52"/>
      <c r="AC130" s="98">
        <f t="shared" si="22"/>
        <v>0</v>
      </c>
      <c r="AD130" s="98">
        <f t="shared" si="23"/>
        <v>0</v>
      </c>
      <c r="AE130" s="238" t="e">
        <f t="shared" si="24"/>
        <v>#DIV/0!</v>
      </c>
      <c r="AF130" s="125" t="e">
        <f t="shared" si="25"/>
        <v>#DIV/0!</v>
      </c>
      <c r="AG130" s="92"/>
    </row>
    <row r="131" spans="1:33" ht="14.4">
      <c r="A131" s="270"/>
      <c r="B131" s="97">
        <f t="shared" si="13"/>
        <v>31</v>
      </c>
      <c r="C131" s="325"/>
      <c r="D131" s="260"/>
      <c r="E131" s="95"/>
      <c r="G131" s="52"/>
      <c r="H131" s="52"/>
      <c r="I131" s="256"/>
      <c r="J131" s="98">
        <f t="shared" si="14"/>
        <v>0</v>
      </c>
      <c r="K131" s="118" t="e">
        <f t="shared" si="15"/>
        <v>#DIV/0!</v>
      </c>
      <c r="L131" s="15"/>
      <c r="M131" s="15"/>
      <c r="N131" s="15">
        <f t="shared" si="16"/>
        <v>0</v>
      </c>
      <c r="O131" s="70" t="e">
        <f t="shared" si="17"/>
        <v>#DIV/0!</v>
      </c>
      <c r="P131" s="70"/>
      <c r="Q131" s="70">
        <f t="shared" si="18"/>
        <v>0</v>
      </c>
      <c r="R131" s="70"/>
      <c r="S131" s="70"/>
      <c r="T131" s="70"/>
      <c r="U131" s="15"/>
      <c r="V131" s="70" t="e">
        <f t="shared" si="19"/>
        <v>#DIV/0!</v>
      </c>
      <c r="W131" s="15"/>
      <c r="X131" s="15"/>
      <c r="Y131" s="15">
        <f t="shared" si="20"/>
        <v>0</v>
      </c>
      <c r="Z131" s="52"/>
      <c r="AA131" s="98">
        <f t="shared" si="21"/>
        <v>0</v>
      </c>
      <c r="AB131" s="52"/>
      <c r="AC131" s="98">
        <f t="shared" si="22"/>
        <v>0</v>
      </c>
      <c r="AD131" s="98">
        <f t="shared" si="23"/>
        <v>0</v>
      </c>
      <c r="AE131" s="238" t="e">
        <f t="shared" si="24"/>
        <v>#DIV/0!</v>
      </c>
      <c r="AF131" s="125" t="e">
        <f t="shared" si="25"/>
        <v>#DIV/0!</v>
      </c>
      <c r="AG131" s="92"/>
    </row>
    <row r="132" spans="1:33" ht="14.4">
      <c r="A132" s="270"/>
      <c r="B132" s="97">
        <f t="shared" si="13"/>
        <v>31</v>
      </c>
      <c r="C132" s="325"/>
      <c r="D132" s="260"/>
      <c r="E132" s="95"/>
      <c r="G132" s="52"/>
      <c r="H132" s="52"/>
      <c r="I132" s="256"/>
      <c r="J132" s="98">
        <f t="shared" si="14"/>
        <v>0</v>
      </c>
      <c r="K132" s="118" t="e">
        <f t="shared" si="15"/>
        <v>#DIV/0!</v>
      </c>
      <c r="L132" s="15"/>
      <c r="M132" s="15"/>
      <c r="N132" s="15">
        <f t="shared" si="16"/>
        <v>0</v>
      </c>
      <c r="O132" s="70" t="e">
        <f t="shared" si="17"/>
        <v>#DIV/0!</v>
      </c>
      <c r="P132" s="70"/>
      <c r="Q132" s="70">
        <f t="shared" si="18"/>
        <v>0</v>
      </c>
      <c r="R132" s="70"/>
      <c r="S132" s="70"/>
      <c r="T132" s="70"/>
      <c r="U132" s="15"/>
      <c r="V132" s="70" t="e">
        <f t="shared" si="19"/>
        <v>#DIV/0!</v>
      </c>
      <c r="W132" s="15"/>
      <c r="X132" s="15"/>
      <c r="Y132" s="15">
        <f t="shared" si="20"/>
        <v>0</v>
      </c>
      <c r="Z132" s="52"/>
      <c r="AA132" s="98">
        <f t="shared" si="21"/>
        <v>0</v>
      </c>
      <c r="AB132" s="52"/>
      <c r="AC132" s="98">
        <f t="shared" si="22"/>
        <v>0</v>
      </c>
      <c r="AD132" s="98">
        <f t="shared" si="23"/>
        <v>0</v>
      </c>
      <c r="AE132" s="238" t="e">
        <f t="shared" si="24"/>
        <v>#DIV/0!</v>
      </c>
      <c r="AF132" s="125" t="e">
        <f t="shared" si="25"/>
        <v>#DIV/0!</v>
      </c>
      <c r="AG132" s="92"/>
    </row>
    <row r="133" spans="1:33" ht="14.4">
      <c r="A133" s="270"/>
      <c r="B133" s="97">
        <f t="shared" si="13"/>
        <v>31</v>
      </c>
      <c r="C133" s="325"/>
      <c r="D133" s="260"/>
      <c r="E133" s="95"/>
      <c r="G133" s="52"/>
      <c r="H133" s="52"/>
      <c r="I133" s="256"/>
      <c r="J133" s="98">
        <f t="shared" si="14"/>
        <v>0</v>
      </c>
      <c r="K133" s="118" t="e">
        <f t="shared" si="15"/>
        <v>#DIV/0!</v>
      </c>
      <c r="L133" s="15"/>
      <c r="M133" s="15"/>
      <c r="N133" s="15">
        <f t="shared" si="16"/>
        <v>0</v>
      </c>
      <c r="O133" s="70" t="e">
        <f t="shared" si="17"/>
        <v>#DIV/0!</v>
      </c>
      <c r="P133" s="70"/>
      <c r="Q133" s="70">
        <f t="shared" si="18"/>
        <v>0</v>
      </c>
      <c r="R133" s="70"/>
      <c r="S133" s="70"/>
      <c r="T133" s="70"/>
      <c r="U133" s="15"/>
      <c r="V133" s="70" t="e">
        <f t="shared" si="19"/>
        <v>#DIV/0!</v>
      </c>
      <c r="W133" s="15"/>
      <c r="X133" s="15"/>
      <c r="Y133" s="15">
        <f t="shared" si="20"/>
        <v>0</v>
      </c>
      <c r="Z133" s="52"/>
      <c r="AA133" s="98">
        <f t="shared" si="21"/>
        <v>0</v>
      </c>
      <c r="AB133" s="52"/>
      <c r="AC133" s="98">
        <f t="shared" si="22"/>
        <v>0</v>
      </c>
      <c r="AD133" s="98">
        <f t="shared" si="23"/>
        <v>0</v>
      </c>
      <c r="AE133" s="238" t="e">
        <f t="shared" si="24"/>
        <v>#DIV/0!</v>
      </c>
      <c r="AF133" s="125" t="e">
        <f t="shared" si="25"/>
        <v>#DIV/0!</v>
      </c>
      <c r="AG133" s="92"/>
    </row>
    <row r="134" spans="1:33" ht="14.4">
      <c r="A134" s="270"/>
      <c r="B134" s="97">
        <f t="shared" ref="B134:B197" si="26">EOMONTH(A134,0)</f>
        <v>31</v>
      </c>
      <c r="C134" s="325"/>
      <c r="D134" s="260"/>
      <c r="E134" s="95"/>
      <c r="G134" s="52"/>
      <c r="H134" s="52"/>
      <c r="I134" s="256"/>
      <c r="J134" s="98">
        <f t="shared" ref="J134:J197" si="27">U134</f>
        <v>0</v>
      </c>
      <c r="K134" s="118" t="e">
        <f t="shared" ref="K134:K197" si="28">L134/J134</f>
        <v>#DIV/0!</v>
      </c>
      <c r="L134" s="15"/>
      <c r="M134" s="15"/>
      <c r="N134" s="15">
        <f t="shared" ref="N134:N197" si="29">L134-M134</f>
        <v>0</v>
      </c>
      <c r="O134" s="70" t="e">
        <f t="shared" ref="O134:O197" si="30">P134/J134</f>
        <v>#DIV/0!</v>
      </c>
      <c r="P134" s="70"/>
      <c r="Q134" s="70">
        <f t="shared" ref="Q134:Q197" si="31">N134+P134</f>
        <v>0</v>
      </c>
      <c r="R134" s="70"/>
      <c r="S134" s="70"/>
      <c r="T134" s="70"/>
      <c r="U134" s="15"/>
      <c r="V134" s="70" t="e">
        <f t="shared" ref="V134:V197" si="32">W134/U134</f>
        <v>#DIV/0!</v>
      </c>
      <c r="W134" s="15"/>
      <c r="X134" s="15"/>
      <c r="Y134" s="15">
        <f t="shared" ref="Y134:Y197" si="33">W134-X134</f>
        <v>0</v>
      </c>
      <c r="Z134" s="52"/>
      <c r="AA134" s="98">
        <f t="shared" ref="AA134:AA197" si="34">Y134-Z134</f>
        <v>0</v>
      </c>
      <c r="AB134" s="52"/>
      <c r="AC134" s="98">
        <f t="shared" ref="AC134:AC197" si="35">Y134-N134</f>
        <v>0</v>
      </c>
      <c r="AD134" s="98">
        <f t="shared" ref="AD134:AD197" si="36">AA134-Q134</f>
        <v>0</v>
      </c>
      <c r="AE134" s="238" t="e">
        <f t="shared" ref="AE134:AE197" si="37">AC134/Y134</f>
        <v>#DIV/0!</v>
      </c>
      <c r="AF134" s="125" t="e">
        <f t="shared" ref="AF134:AF197" si="38">AD134/AA134</f>
        <v>#DIV/0!</v>
      </c>
      <c r="AG134" s="92"/>
    </row>
    <row r="135" spans="1:33" ht="14.4">
      <c r="A135" s="270"/>
      <c r="B135" s="97">
        <f t="shared" si="26"/>
        <v>31</v>
      </c>
      <c r="C135" s="325"/>
      <c r="D135" s="260"/>
      <c r="E135" s="95"/>
      <c r="G135" s="52"/>
      <c r="H135" s="52"/>
      <c r="I135" s="256"/>
      <c r="J135" s="98">
        <f t="shared" si="27"/>
        <v>0</v>
      </c>
      <c r="K135" s="118" t="e">
        <f t="shared" si="28"/>
        <v>#DIV/0!</v>
      </c>
      <c r="L135" s="15"/>
      <c r="M135" s="15"/>
      <c r="N135" s="15">
        <f t="shared" si="29"/>
        <v>0</v>
      </c>
      <c r="O135" s="70" t="e">
        <f t="shared" si="30"/>
        <v>#DIV/0!</v>
      </c>
      <c r="P135" s="70"/>
      <c r="Q135" s="70">
        <f t="shared" si="31"/>
        <v>0</v>
      </c>
      <c r="R135" s="70"/>
      <c r="S135" s="70"/>
      <c r="T135" s="70"/>
      <c r="U135" s="15"/>
      <c r="V135" s="70" t="e">
        <f t="shared" si="32"/>
        <v>#DIV/0!</v>
      </c>
      <c r="W135" s="15"/>
      <c r="X135" s="15"/>
      <c r="Y135" s="15">
        <f t="shared" si="33"/>
        <v>0</v>
      </c>
      <c r="Z135" s="52"/>
      <c r="AA135" s="98">
        <f t="shared" si="34"/>
        <v>0</v>
      </c>
      <c r="AB135" s="52"/>
      <c r="AC135" s="98">
        <f t="shared" si="35"/>
        <v>0</v>
      </c>
      <c r="AD135" s="98">
        <f t="shared" si="36"/>
        <v>0</v>
      </c>
      <c r="AE135" s="238" t="e">
        <f t="shared" si="37"/>
        <v>#DIV/0!</v>
      </c>
      <c r="AF135" s="125" t="e">
        <f t="shared" si="38"/>
        <v>#DIV/0!</v>
      </c>
      <c r="AG135" s="92"/>
    </row>
    <row r="136" spans="1:33" ht="14.4">
      <c r="A136" s="270"/>
      <c r="B136" s="97">
        <f t="shared" si="26"/>
        <v>31</v>
      </c>
      <c r="C136" s="325"/>
      <c r="D136" s="260"/>
      <c r="E136" s="95"/>
      <c r="G136" s="52"/>
      <c r="H136" s="52"/>
      <c r="I136" s="256"/>
      <c r="J136" s="98">
        <f t="shared" si="27"/>
        <v>0</v>
      </c>
      <c r="K136" s="118" t="e">
        <f t="shared" si="28"/>
        <v>#DIV/0!</v>
      </c>
      <c r="L136" s="15"/>
      <c r="M136" s="15"/>
      <c r="N136" s="15">
        <f t="shared" si="29"/>
        <v>0</v>
      </c>
      <c r="O136" s="70" t="e">
        <f t="shared" si="30"/>
        <v>#DIV/0!</v>
      </c>
      <c r="P136" s="70"/>
      <c r="Q136" s="70">
        <f t="shared" si="31"/>
        <v>0</v>
      </c>
      <c r="R136" s="70"/>
      <c r="S136" s="70"/>
      <c r="T136" s="70"/>
      <c r="U136" s="15"/>
      <c r="V136" s="70" t="e">
        <f t="shared" si="32"/>
        <v>#DIV/0!</v>
      </c>
      <c r="W136" s="15"/>
      <c r="X136" s="15"/>
      <c r="Y136" s="15">
        <f t="shared" si="33"/>
        <v>0</v>
      </c>
      <c r="Z136" s="52"/>
      <c r="AA136" s="98">
        <f t="shared" si="34"/>
        <v>0</v>
      </c>
      <c r="AB136" s="52"/>
      <c r="AC136" s="98">
        <f t="shared" si="35"/>
        <v>0</v>
      </c>
      <c r="AD136" s="98">
        <f t="shared" si="36"/>
        <v>0</v>
      </c>
      <c r="AE136" s="238" t="e">
        <f t="shared" si="37"/>
        <v>#DIV/0!</v>
      </c>
      <c r="AF136" s="125" t="e">
        <f t="shared" si="38"/>
        <v>#DIV/0!</v>
      </c>
      <c r="AG136" s="92"/>
    </row>
    <row r="137" spans="1:33" ht="14.4">
      <c r="A137" s="270"/>
      <c r="B137" s="97">
        <f t="shared" si="26"/>
        <v>31</v>
      </c>
      <c r="C137" s="325"/>
      <c r="D137" s="260"/>
      <c r="E137" s="95"/>
      <c r="G137" s="52"/>
      <c r="H137" s="52"/>
      <c r="I137" s="256"/>
      <c r="J137" s="98">
        <f t="shared" si="27"/>
        <v>0</v>
      </c>
      <c r="K137" s="118" t="e">
        <f t="shared" si="28"/>
        <v>#DIV/0!</v>
      </c>
      <c r="L137" s="15"/>
      <c r="M137" s="15"/>
      <c r="N137" s="15">
        <f t="shared" si="29"/>
        <v>0</v>
      </c>
      <c r="O137" s="70" t="e">
        <f t="shared" si="30"/>
        <v>#DIV/0!</v>
      </c>
      <c r="P137" s="70"/>
      <c r="Q137" s="70">
        <f t="shared" si="31"/>
        <v>0</v>
      </c>
      <c r="R137" s="70"/>
      <c r="S137" s="70"/>
      <c r="T137" s="70"/>
      <c r="U137" s="15"/>
      <c r="V137" s="70" t="e">
        <f t="shared" si="32"/>
        <v>#DIV/0!</v>
      </c>
      <c r="W137" s="15"/>
      <c r="X137" s="15"/>
      <c r="Y137" s="15">
        <f t="shared" si="33"/>
        <v>0</v>
      </c>
      <c r="Z137" s="52"/>
      <c r="AA137" s="98">
        <f t="shared" si="34"/>
        <v>0</v>
      </c>
      <c r="AB137" s="52"/>
      <c r="AC137" s="98">
        <f t="shared" si="35"/>
        <v>0</v>
      </c>
      <c r="AD137" s="98">
        <f t="shared" si="36"/>
        <v>0</v>
      </c>
      <c r="AE137" s="238" t="e">
        <f t="shared" si="37"/>
        <v>#DIV/0!</v>
      </c>
      <c r="AF137" s="125" t="e">
        <f t="shared" si="38"/>
        <v>#DIV/0!</v>
      </c>
      <c r="AG137" s="92"/>
    </row>
    <row r="138" spans="1:33" ht="14.4">
      <c r="A138" s="270"/>
      <c r="B138" s="97">
        <f t="shared" si="26"/>
        <v>31</v>
      </c>
      <c r="C138" s="325"/>
      <c r="D138" s="260"/>
      <c r="E138" s="95"/>
      <c r="G138" s="52"/>
      <c r="H138" s="52"/>
      <c r="I138" s="256"/>
      <c r="J138" s="98">
        <f t="shared" si="27"/>
        <v>0</v>
      </c>
      <c r="K138" s="118" t="e">
        <f t="shared" si="28"/>
        <v>#DIV/0!</v>
      </c>
      <c r="L138" s="15"/>
      <c r="M138" s="15"/>
      <c r="N138" s="15">
        <f t="shared" si="29"/>
        <v>0</v>
      </c>
      <c r="O138" s="70" t="e">
        <f t="shared" si="30"/>
        <v>#DIV/0!</v>
      </c>
      <c r="P138" s="70"/>
      <c r="Q138" s="70">
        <f t="shared" si="31"/>
        <v>0</v>
      </c>
      <c r="R138" s="70"/>
      <c r="S138" s="70"/>
      <c r="T138" s="70"/>
      <c r="U138" s="15"/>
      <c r="V138" s="70" t="e">
        <f t="shared" si="32"/>
        <v>#DIV/0!</v>
      </c>
      <c r="W138" s="15"/>
      <c r="X138" s="15"/>
      <c r="Y138" s="15">
        <f t="shared" si="33"/>
        <v>0</v>
      </c>
      <c r="Z138" s="52"/>
      <c r="AA138" s="98">
        <f t="shared" si="34"/>
        <v>0</v>
      </c>
      <c r="AB138" s="52"/>
      <c r="AC138" s="98">
        <f t="shared" si="35"/>
        <v>0</v>
      </c>
      <c r="AD138" s="98">
        <f t="shared" si="36"/>
        <v>0</v>
      </c>
      <c r="AE138" s="238" t="e">
        <f t="shared" si="37"/>
        <v>#DIV/0!</v>
      </c>
      <c r="AF138" s="125" t="e">
        <f t="shared" si="38"/>
        <v>#DIV/0!</v>
      </c>
      <c r="AG138" s="92"/>
    </row>
    <row r="139" spans="1:33" ht="14.4">
      <c r="A139" s="270"/>
      <c r="B139" s="97">
        <f t="shared" si="26"/>
        <v>31</v>
      </c>
      <c r="C139" s="325"/>
      <c r="D139" s="260"/>
      <c r="E139" s="95"/>
      <c r="G139" s="52"/>
      <c r="H139" s="52"/>
      <c r="I139" s="256"/>
      <c r="J139" s="98">
        <f t="shared" si="27"/>
        <v>0</v>
      </c>
      <c r="K139" s="118" t="e">
        <f t="shared" si="28"/>
        <v>#DIV/0!</v>
      </c>
      <c r="L139" s="15"/>
      <c r="M139" s="15"/>
      <c r="N139" s="15">
        <f t="shared" si="29"/>
        <v>0</v>
      </c>
      <c r="O139" s="70" t="e">
        <f t="shared" si="30"/>
        <v>#DIV/0!</v>
      </c>
      <c r="P139" s="70"/>
      <c r="Q139" s="70">
        <f t="shared" si="31"/>
        <v>0</v>
      </c>
      <c r="R139" s="70"/>
      <c r="S139" s="70"/>
      <c r="T139" s="70"/>
      <c r="U139" s="15"/>
      <c r="V139" s="70" t="e">
        <f t="shared" si="32"/>
        <v>#DIV/0!</v>
      </c>
      <c r="W139" s="15"/>
      <c r="X139" s="15"/>
      <c r="Y139" s="15">
        <f t="shared" si="33"/>
        <v>0</v>
      </c>
      <c r="Z139" s="52"/>
      <c r="AA139" s="98">
        <f t="shared" si="34"/>
        <v>0</v>
      </c>
      <c r="AB139" s="52"/>
      <c r="AC139" s="98">
        <f t="shared" si="35"/>
        <v>0</v>
      </c>
      <c r="AD139" s="98">
        <f t="shared" si="36"/>
        <v>0</v>
      </c>
      <c r="AE139" s="238" t="e">
        <f t="shared" si="37"/>
        <v>#DIV/0!</v>
      </c>
      <c r="AF139" s="125" t="e">
        <f t="shared" si="38"/>
        <v>#DIV/0!</v>
      </c>
      <c r="AG139" s="92"/>
    </row>
    <row r="140" spans="1:33" ht="14.4">
      <c r="A140" s="270"/>
      <c r="B140" s="97">
        <f t="shared" si="26"/>
        <v>31</v>
      </c>
      <c r="C140" s="325"/>
      <c r="D140" s="260"/>
      <c r="E140" s="95"/>
      <c r="G140" s="52"/>
      <c r="H140" s="52"/>
      <c r="I140" s="256"/>
      <c r="J140" s="98">
        <f t="shared" si="27"/>
        <v>0</v>
      </c>
      <c r="K140" s="118" t="e">
        <f t="shared" si="28"/>
        <v>#DIV/0!</v>
      </c>
      <c r="L140" s="15"/>
      <c r="M140" s="15"/>
      <c r="N140" s="15">
        <f t="shared" si="29"/>
        <v>0</v>
      </c>
      <c r="O140" s="70" t="e">
        <f t="shared" si="30"/>
        <v>#DIV/0!</v>
      </c>
      <c r="P140" s="70"/>
      <c r="Q140" s="70">
        <f t="shared" si="31"/>
        <v>0</v>
      </c>
      <c r="R140" s="70"/>
      <c r="S140" s="70"/>
      <c r="T140" s="70"/>
      <c r="U140" s="15"/>
      <c r="V140" s="70" t="e">
        <f t="shared" si="32"/>
        <v>#DIV/0!</v>
      </c>
      <c r="W140" s="15"/>
      <c r="X140" s="15"/>
      <c r="Y140" s="15">
        <f t="shared" si="33"/>
        <v>0</v>
      </c>
      <c r="Z140" s="52"/>
      <c r="AA140" s="98">
        <f t="shared" si="34"/>
        <v>0</v>
      </c>
      <c r="AB140" s="52"/>
      <c r="AC140" s="98">
        <f t="shared" si="35"/>
        <v>0</v>
      </c>
      <c r="AD140" s="98">
        <f t="shared" si="36"/>
        <v>0</v>
      </c>
      <c r="AE140" s="238" t="e">
        <f t="shared" si="37"/>
        <v>#DIV/0!</v>
      </c>
      <c r="AF140" s="125" t="e">
        <f t="shared" si="38"/>
        <v>#DIV/0!</v>
      </c>
      <c r="AG140" s="92"/>
    </row>
    <row r="141" spans="1:33" ht="14.4">
      <c r="A141" s="270"/>
      <c r="B141" s="97">
        <f t="shared" si="26"/>
        <v>31</v>
      </c>
      <c r="C141" s="325"/>
      <c r="D141" s="260"/>
      <c r="E141" s="95"/>
      <c r="G141" s="52"/>
      <c r="H141" s="52"/>
      <c r="I141" s="256"/>
      <c r="J141" s="98">
        <f t="shared" si="27"/>
        <v>0</v>
      </c>
      <c r="K141" s="118" t="e">
        <f t="shared" si="28"/>
        <v>#DIV/0!</v>
      </c>
      <c r="L141" s="15"/>
      <c r="M141" s="15"/>
      <c r="N141" s="15">
        <f t="shared" si="29"/>
        <v>0</v>
      </c>
      <c r="O141" s="70" t="e">
        <f t="shared" si="30"/>
        <v>#DIV/0!</v>
      </c>
      <c r="P141" s="70"/>
      <c r="Q141" s="70">
        <f t="shared" si="31"/>
        <v>0</v>
      </c>
      <c r="R141" s="70"/>
      <c r="S141" s="70"/>
      <c r="T141" s="70"/>
      <c r="U141" s="15"/>
      <c r="V141" s="70" t="e">
        <f t="shared" si="32"/>
        <v>#DIV/0!</v>
      </c>
      <c r="W141" s="15"/>
      <c r="X141" s="15"/>
      <c r="Y141" s="15">
        <f t="shared" si="33"/>
        <v>0</v>
      </c>
      <c r="Z141" s="52"/>
      <c r="AA141" s="98">
        <f t="shared" si="34"/>
        <v>0</v>
      </c>
      <c r="AB141" s="52"/>
      <c r="AC141" s="98">
        <f t="shared" si="35"/>
        <v>0</v>
      </c>
      <c r="AD141" s="98">
        <f t="shared" si="36"/>
        <v>0</v>
      </c>
      <c r="AE141" s="238" t="e">
        <f t="shared" si="37"/>
        <v>#DIV/0!</v>
      </c>
      <c r="AF141" s="125" t="e">
        <f t="shared" si="38"/>
        <v>#DIV/0!</v>
      </c>
      <c r="AG141" s="92"/>
    </row>
    <row r="142" spans="1:33" ht="14.4">
      <c r="A142" s="270"/>
      <c r="B142" s="97">
        <f t="shared" si="26"/>
        <v>31</v>
      </c>
      <c r="C142" s="325"/>
      <c r="D142" s="260"/>
      <c r="E142" s="95"/>
      <c r="G142" s="52"/>
      <c r="H142" s="52"/>
      <c r="I142" s="256"/>
      <c r="J142" s="98">
        <f t="shared" si="27"/>
        <v>0</v>
      </c>
      <c r="K142" s="118" t="e">
        <f t="shared" si="28"/>
        <v>#DIV/0!</v>
      </c>
      <c r="L142" s="15"/>
      <c r="M142" s="15"/>
      <c r="N142" s="15">
        <f t="shared" si="29"/>
        <v>0</v>
      </c>
      <c r="O142" s="70" t="e">
        <f t="shared" si="30"/>
        <v>#DIV/0!</v>
      </c>
      <c r="P142" s="70"/>
      <c r="Q142" s="70">
        <f t="shared" si="31"/>
        <v>0</v>
      </c>
      <c r="R142" s="70"/>
      <c r="S142" s="70"/>
      <c r="T142" s="70"/>
      <c r="U142" s="15"/>
      <c r="V142" s="70" t="e">
        <f t="shared" si="32"/>
        <v>#DIV/0!</v>
      </c>
      <c r="W142" s="15"/>
      <c r="X142" s="15"/>
      <c r="Y142" s="15">
        <f t="shared" si="33"/>
        <v>0</v>
      </c>
      <c r="Z142" s="52"/>
      <c r="AA142" s="98">
        <f t="shared" si="34"/>
        <v>0</v>
      </c>
      <c r="AB142" s="52"/>
      <c r="AC142" s="98">
        <f t="shared" si="35"/>
        <v>0</v>
      </c>
      <c r="AD142" s="98">
        <f t="shared" si="36"/>
        <v>0</v>
      </c>
      <c r="AE142" s="238" t="e">
        <f t="shared" si="37"/>
        <v>#DIV/0!</v>
      </c>
      <c r="AF142" s="125" t="e">
        <f t="shared" si="38"/>
        <v>#DIV/0!</v>
      </c>
      <c r="AG142" s="92"/>
    </row>
    <row r="143" spans="1:33" ht="14.4">
      <c r="A143" s="270"/>
      <c r="B143" s="97">
        <f t="shared" si="26"/>
        <v>31</v>
      </c>
      <c r="C143" s="325"/>
      <c r="D143" s="260"/>
      <c r="E143" s="95"/>
      <c r="G143" s="52"/>
      <c r="H143" s="52"/>
      <c r="I143" s="256"/>
      <c r="J143" s="98">
        <f t="shared" si="27"/>
        <v>0</v>
      </c>
      <c r="K143" s="118" t="e">
        <f t="shared" si="28"/>
        <v>#DIV/0!</v>
      </c>
      <c r="L143" s="15"/>
      <c r="M143" s="15"/>
      <c r="N143" s="15">
        <f t="shared" si="29"/>
        <v>0</v>
      </c>
      <c r="O143" s="70" t="e">
        <f t="shared" si="30"/>
        <v>#DIV/0!</v>
      </c>
      <c r="P143" s="70"/>
      <c r="Q143" s="70">
        <f t="shared" si="31"/>
        <v>0</v>
      </c>
      <c r="R143" s="70"/>
      <c r="S143" s="70"/>
      <c r="T143" s="70"/>
      <c r="U143" s="15"/>
      <c r="V143" s="70" t="e">
        <f t="shared" si="32"/>
        <v>#DIV/0!</v>
      </c>
      <c r="W143" s="15"/>
      <c r="X143" s="15"/>
      <c r="Y143" s="15">
        <f t="shared" si="33"/>
        <v>0</v>
      </c>
      <c r="Z143" s="52"/>
      <c r="AA143" s="98">
        <f t="shared" si="34"/>
        <v>0</v>
      </c>
      <c r="AB143" s="52"/>
      <c r="AC143" s="98">
        <f t="shared" si="35"/>
        <v>0</v>
      </c>
      <c r="AD143" s="98">
        <f t="shared" si="36"/>
        <v>0</v>
      </c>
      <c r="AE143" s="238" t="e">
        <f t="shared" si="37"/>
        <v>#DIV/0!</v>
      </c>
      <c r="AF143" s="125" t="e">
        <f t="shared" si="38"/>
        <v>#DIV/0!</v>
      </c>
      <c r="AG143" s="92"/>
    </row>
    <row r="144" spans="1:33" ht="14.4">
      <c r="A144" s="270"/>
      <c r="B144" s="97">
        <f t="shared" si="26"/>
        <v>31</v>
      </c>
      <c r="C144" s="325"/>
      <c r="D144" s="260"/>
      <c r="E144" s="95"/>
      <c r="G144" s="52"/>
      <c r="H144" s="52"/>
      <c r="I144" s="256"/>
      <c r="J144" s="98">
        <f t="shared" si="27"/>
        <v>0</v>
      </c>
      <c r="K144" s="118" t="e">
        <f t="shared" si="28"/>
        <v>#DIV/0!</v>
      </c>
      <c r="L144" s="15"/>
      <c r="M144" s="15"/>
      <c r="N144" s="15">
        <f t="shared" si="29"/>
        <v>0</v>
      </c>
      <c r="O144" s="70" t="e">
        <f t="shared" si="30"/>
        <v>#DIV/0!</v>
      </c>
      <c r="P144" s="70"/>
      <c r="Q144" s="70">
        <f t="shared" si="31"/>
        <v>0</v>
      </c>
      <c r="R144" s="70"/>
      <c r="S144" s="70"/>
      <c r="T144" s="70"/>
      <c r="U144" s="15"/>
      <c r="V144" s="70" t="e">
        <f t="shared" si="32"/>
        <v>#DIV/0!</v>
      </c>
      <c r="W144" s="15"/>
      <c r="X144" s="15"/>
      <c r="Y144" s="15">
        <f t="shared" si="33"/>
        <v>0</v>
      </c>
      <c r="Z144" s="52"/>
      <c r="AA144" s="98">
        <f t="shared" si="34"/>
        <v>0</v>
      </c>
      <c r="AB144" s="52"/>
      <c r="AC144" s="98">
        <f t="shared" si="35"/>
        <v>0</v>
      </c>
      <c r="AD144" s="98">
        <f t="shared" si="36"/>
        <v>0</v>
      </c>
      <c r="AE144" s="238" t="e">
        <f t="shared" si="37"/>
        <v>#DIV/0!</v>
      </c>
      <c r="AF144" s="125" t="e">
        <f t="shared" si="38"/>
        <v>#DIV/0!</v>
      </c>
      <c r="AG144" s="92"/>
    </row>
    <row r="145" spans="1:33" ht="14.4">
      <c r="A145" s="270"/>
      <c r="B145" s="97">
        <f t="shared" si="26"/>
        <v>31</v>
      </c>
      <c r="C145" s="325"/>
      <c r="D145" s="260"/>
      <c r="E145" s="95"/>
      <c r="G145" s="52"/>
      <c r="H145" s="52"/>
      <c r="I145" s="256"/>
      <c r="J145" s="98">
        <f t="shared" si="27"/>
        <v>0</v>
      </c>
      <c r="K145" s="118" t="e">
        <f t="shared" si="28"/>
        <v>#DIV/0!</v>
      </c>
      <c r="L145" s="15"/>
      <c r="M145" s="15"/>
      <c r="N145" s="15">
        <f t="shared" si="29"/>
        <v>0</v>
      </c>
      <c r="O145" s="70" t="e">
        <f t="shared" si="30"/>
        <v>#DIV/0!</v>
      </c>
      <c r="P145" s="70"/>
      <c r="Q145" s="70">
        <f t="shared" si="31"/>
        <v>0</v>
      </c>
      <c r="R145" s="70"/>
      <c r="S145" s="70"/>
      <c r="T145" s="70"/>
      <c r="U145" s="15"/>
      <c r="V145" s="70" t="e">
        <f t="shared" si="32"/>
        <v>#DIV/0!</v>
      </c>
      <c r="W145" s="15"/>
      <c r="X145" s="15"/>
      <c r="Y145" s="15">
        <f t="shared" si="33"/>
        <v>0</v>
      </c>
      <c r="Z145" s="52"/>
      <c r="AA145" s="98">
        <f t="shared" si="34"/>
        <v>0</v>
      </c>
      <c r="AB145" s="52"/>
      <c r="AC145" s="98">
        <f t="shared" si="35"/>
        <v>0</v>
      </c>
      <c r="AD145" s="98">
        <f t="shared" si="36"/>
        <v>0</v>
      </c>
      <c r="AE145" s="238" t="e">
        <f t="shared" si="37"/>
        <v>#DIV/0!</v>
      </c>
      <c r="AF145" s="125" t="e">
        <f t="shared" si="38"/>
        <v>#DIV/0!</v>
      </c>
      <c r="AG145" s="92"/>
    </row>
    <row r="146" spans="1:33" ht="14.4">
      <c r="A146" s="270"/>
      <c r="B146" s="97">
        <f t="shared" si="26"/>
        <v>31</v>
      </c>
      <c r="C146" s="325"/>
      <c r="D146" s="260"/>
      <c r="E146" s="95"/>
      <c r="G146" s="52"/>
      <c r="H146" s="52"/>
      <c r="I146" s="256"/>
      <c r="J146" s="98">
        <f t="shared" si="27"/>
        <v>0</v>
      </c>
      <c r="K146" s="118" t="e">
        <f t="shared" si="28"/>
        <v>#DIV/0!</v>
      </c>
      <c r="L146" s="15"/>
      <c r="M146" s="15"/>
      <c r="N146" s="15">
        <f t="shared" si="29"/>
        <v>0</v>
      </c>
      <c r="O146" s="70" t="e">
        <f t="shared" si="30"/>
        <v>#DIV/0!</v>
      </c>
      <c r="P146" s="70"/>
      <c r="Q146" s="70">
        <f t="shared" si="31"/>
        <v>0</v>
      </c>
      <c r="R146" s="70"/>
      <c r="S146" s="70"/>
      <c r="T146" s="70"/>
      <c r="U146" s="15"/>
      <c r="V146" s="70" t="e">
        <f t="shared" si="32"/>
        <v>#DIV/0!</v>
      </c>
      <c r="W146" s="15"/>
      <c r="X146" s="15"/>
      <c r="Y146" s="15">
        <f t="shared" si="33"/>
        <v>0</v>
      </c>
      <c r="Z146" s="52"/>
      <c r="AA146" s="98">
        <f t="shared" si="34"/>
        <v>0</v>
      </c>
      <c r="AB146" s="52"/>
      <c r="AC146" s="98">
        <f t="shared" si="35"/>
        <v>0</v>
      </c>
      <c r="AD146" s="98">
        <f t="shared" si="36"/>
        <v>0</v>
      </c>
      <c r="AE146" s="238" t="e">
        <f t="shared" si="37"/>
        <v>#DIV/0!</v>
      </c>
      <c r="AF146" s="125" t="e">
        <f t="shared" si="38"/>
        <v>#DIV/0!</v>
      </c>
      <c r="AG146" s="92"/>
    </row>
    <row r="147" spans="1:33" ht="14.4">
      <c r="A147" s="270"/>
      <c r="B147" s="97">
        <f t="shared" si="26"/>
        <v>31</v>
      </c>
      <c r="C147" s="325"/>
      <c r="D147" s="260"/>
      <c r="E147" s="95"/>
      <c r="G147" s="52"/>
      <c r="H147" s="52"/>
      <c r="I147" s="256"/>
      <c r="J147" s="98">
        <f t="shared" si="27"/>
        <v>0</v>
      </c>
      <c r="K147" s="118" t="e">
        <f t="shared" si="28"/>
        <v>#DIV/0!</v>
      </c>
      <c r="L147" s="15"/>
      <c r="M147" s="15"/>
      <c r="N147" s="15">
        <f t="shared" si="29"/>
        <v>0</v>
      </c>
      <c r="O147" s="70" t="e">
        <f t="shared" si="30"/>
        <v>#DIV/0!</v>
      </c>
      <c r="P147" s="70"/>
      <c r="Q147" s="70">
        <f t="shared" si="31"/>
        <v>0</v>
      </c>
      <c r="R147" s="70"/>
      <c r="S147" s="70"/>
      <c r="T147" s="70"/>
      <c r="U147" s="15"/>
      <c r="V147" s="70" t="e">
        <f t="shared" si="32"/>
        <v>#DIV/0!</v>
      </c>
      <c r="W147" s="15"/>
      <c r="X147" s="15"/>
      <c r="Y147" s="15">
        <f t="shared" si="33"/>
        <v>0</v>
      </c>
      <c r="Z147" s="52"/>
      <c r="AA147" s="98">
        <f t="shared" si="34"/>
        <v>0</v>
      </c>
      <c r="AB147" s="52"/>
      <c r="AC147" s="98">
        <f t="shared" si="35"/>
        <v>0</v>
      </c>
      <c r="AD147" s="98">
        <f t="shared" si="36"/>
        <v>0</v>
      </c>
      <c r="AE147" s="238" t="e">
        <f t="shared" si="37"/>
        <v>#DIV/0!</v>
      </c>
      <c r="AF147" s="125" t="e">
        <f t="shared" si="38"/>
        <v>#DIV/0!</v>
      </c>
      <c r="AG147" s="92"/>
    </row>
    <row r="148" spans="1:33" ht="14.4">
      <c r="A148" s="270"/>
      <c r="B148" s="97">
        <f t="shared" si="26"/>
        <v>31</v>
      </c>
      <c r="C148" s="325"/>
      <c r="D148" s="260"/>
      <c r="E148" s="95"/>
      <c r="G148" s="52"/>
      <c r="H148" s="52"/>
      <c r="I148" s="256"/>
      <c r="J148" s="98">
        <f t="shared" si="27"/>
        <v>0</v>
      </c>
      <c r="K148" s="118" t="e">
        <f t="shared" si="28"/>
        <v>#DIV/0!</v>
      </c>
      <c r="L148" s="15"/>
      <c r="M148" s="15"/>
      <c r="N148" s="15">
        <f t="shared" si="29"/>
        <v>0</v>
      </c>
      <c r="O148" s="70" t="e">
        <f t="shared" si="30"/>
        <v>#DIV/0!</v>
      </c>
      <c r="P148" s="70"/>
      <c r="Q148" s="70">
        <f t="shared" si="31"/>
        <v>0</v>
      </c>
      <c r="R148" s="70"/>
      <c r="S148" s="70"/>
      <c r="T148" s="70"/>
      <c r="U148" s="15"/>
      <c r="V148" s="70" t="e">
        <f t="shared" si="32"/>
        <v>#DIV/0!</v>
      </c>
      <c r="W148" s="15"/>
      <c r="X148" s="15"/>
      <c r="Y148" s="15">
        <f t="shared" si="33"/>
        <v>0</v>
      </c>
      <c r="Z148" s="52"/>
      <c r="AA148" s="98">
        <f t="shared" si="34"/>
        <v>0</v>
      </c>
      <c r="AB148" s="52"/>
      <c r="AC148" s="98">
        <f t="shared" si="35"/>
        <v>0</v>
      </c>
      <c r="AD148" s="98">
        <f t="shared" si="36"/>
        <v>0</v>
      </c>
      <c r="AE148" s="238" t="e">
        <f t="shared" si="37"/>
        <v>#DIV/0!</v>
      </c>
      <c r="AF148" s="125" t="e">
        <f t="shared" si="38"/>
        <v>#DIV/0!</v>
      </c>
      <c r="AG148" s="92"/>
    </row>
    <row r="149" spans="1:33" ht="14.4">
      <c r="A149" s="270"/>
      <c r="B149" s="97">
        <f t="shared" si="26"/>
        <v>31</v>
      </c>
      <c r="C149" s="325"/>
      <c r="D149" s="260"/>
      <c r="E149" s="95"/>
      <c r="G149" s="52"/>
      <c r="H149" s="52"/>
      <c r="I149" s="256"/>
      <c r="J149" s="98">
        <f t="shared" si="27"/>
        <v>0</v>
      </c>
      <c r="K149" s="118" t="e">
        <f t="shared" si="28"/>
        <v>#DIV/0!</v>
      </c>
      <c r="L149" s="15"/>
      <c r="M149" s="15"/>
      <c r="N149" s="15">
        <f t="shared" si="29"/>
        <v>0</v>
      </c>
      <c r="O149" s="70" t="e">
        <f t="shared" si="30"/>
        <v>#DIV/0!</v>
      </c>
      <c r="P149" s="70"/>
      <c r="Q149" s="70">
        <f t="shared" si="31"/>
        <v>0</v>
      </c>
      <c r="R149" s="70"/>
      <c r="S149" s="70"/>
      <c r="T149" s="70"/>
      <c r="U149" s="15"/>
      <c r="V149" s="70" t="e">
        <f t="shared" si="32"/>
        <v>#DIV/0!</v>
      </c>
      <c r="W149" s="15"/>
      <c r="X149" s="15"/>
      <c r="Y149" s="15">
        <f t="shared" si="33"/>
        <v>0</v>
      </c>
      <c r="Z149" s="52"/>
      <c r="AA149" s="98">
        <f t="shared" si="34"/>
        <v>0</v>
      </c>
      <c r="AB149" s="52"/>
      <c r="AC149" s="98">
        <f t="shared" si="35"/>
        <v>0</v>
      </c>
      <c r="AD149" s="98">
        <f t="shared" si="36"/>
        <v>0</v>
      </c>
      <c r="AE149" s="238" t="e">
        <f t="shared" si="37"/>
        <v>#DIV/0!</v>
      </c>
      <c r="AF149" s="125" t="e">
        <f t="shared" si="38"/>
        <v>#DIV/0!</v>
      </c>
      <c r="AG149" s="92"/>
    </row>
    <row r="150" spans="1:33" ht="14.4">
      <c r="A150" s="270"/>
      <c r="B150" s="97">
        <f t="shared" si="26"/>
        <v>31</v>
      </c>
      <c r="C150" s="325"/>
      <c r="D150" s="260"/>
      <c r="E150" s="95"/>
      <c r="G150" s="52"/>
      <c r="H150" s="52"/>
      <c r="I150" s="256"/>
      <c r="J150" s="98">
        <f t="shared" si="27"/>
        <v>0</v>
      </c>
      <c r="K150" s="118" t="e">
        <f t="shared" si="28"/>
        <v>#DIV/0!</v>
      </c>
      <c r="L150" s="15"/>
      <c r="M150" s="15"/>
      <c r="N150" s="15">
        <f t="shared" si="29"/>
        <v>0</v>
      </c>
      <c r="O150" s="70" t="e">
        <f t="shared" si="30"/>
        <v>#DIV/0!</v>
      </c>
      <c r="P150" s="70"/>
      <c r="Q150" s="70">
        <f t="shared" si="31"/>
        <v>0</v>
      </c>
      <c r="R150" s="70"/>
      <c r="S150" s="70"/>
      <c r="T150" s="70"/>
      <c r="U150" s="15"/>
      <c r="V150" s="70" t="e">
        <f t="shared" si="32"/>
        <v>#DIV/0!</v>
      </c>
      <c r="W150" s="15"/>
      <c r="X150" s="15"/>
      <c r="Y150" s="15">
        <f t="shared" si="33"/>
        <v>0</v>
      </c>
      <c r="Z150" s="52"/>
      <c r="AA150" s="98">
        <f t="shared" si="34"/>
        <v>0</v>
      </c>
      <c r="AB150" s="52"/>
      <c r="AC150" s="98">
        <f t="shared" si="35"/>
        <v>0</v>
      </c>
      <c r="AD150" s="98">
        <f t="shared" si="36"/>
        <v>0</v>
      </c>
      <c r="AE150" s="238" t="e">
        <f t="shared" si="37"/>
        <v>#DIV/0!</v>
      </c>
      <c r="AF150" s="125" t="e">
        <f t="shared" si="38"/>
        <v>#DIV/0!</v>
      </c>
      <c r="AG150" s="92"/>
    </row>
    <row r="151" spans="1:33" ht="14.4">
      <c r="A151" s="270"/>
      <c r="B151" s="97">
        <f t="shared" si="26"/>
        <v>31</v>
      </c>
      <c r="C151" s="325"/>
      <c r="D151" s="260"/>
      <c r="E151" s="95"/>
      <c r="G151" s="52"/>
      <c r="H151" s="52"/>
      <c r="I151" s="256"/>
      <c r="J151" s="98">
        <f t="shared" si="27"/>
        <v>0</v>
      </c>
      <c r="K151" s="118" t="e">
        <f t="shared" si="28"/>
        <v>#DIV/0!</v>
      </c>
      <c r="L151" s="15"/>
      <c r="M151" s="15"/>
      <c r="N151" s="15">
        <f t="shared" si="29"/>
        <v>0</v>
      </c>
      <c r="O151" s="70" t="e">
        <f t="shared" si="30"/>
        <v>#DIV/0!</v>
      </c>
      <c r="P151" s="70"/>
      <c r="Q151" s="70">
        <f t="shared" si="31"/>
        <v>0</v>
      </c>
      <c r="R151" s="70"/>
      <c r="S151" s="70"/>
      <c r="T151" s="70"/>
      <c r="U151" s="15"/>
      <c r="V151" s="70" t="e">
        <f t="shared" si="32"/>
        <v>#DIV/0!</v>
      </c>
      <c r="W151" s="15"/>
      <c r="X151" s="15"/>
      <c r="Y151" s="15">
        <f t="shared" si="33"/>
        <v>0</v>
      </c>
      <c r="Z151" s="52"/>
      <c r="AA151" s="98">
        <f t="shared" si="34"/>
        <v>0</v>
      </c>
      <c r="AB151" s="52"/>
      <c r="AC151" s="98">
        <f t="shared" si="35"/>
        <v>0</v>
      </c>
      <c r="AD151" s="98">
        <f t="shared" si="36"/>
        <v>0</v>
      </c>
      <c r="AE151" s="238" t="e">
        <f t="shared" si="37"/>
        <v>#DIV/0!</v>
      </c>
      <c r="AF151" s="125" t="e">
        <f t="shared" si="38"/>
        <v>#DIV/0!</v>
      </c>
      <c r="AG151" s="92"/>
    </row>
    <row r="152" spans="1:33" ht="14.4">
      <c r="A152" s="270"/>
      <c r="B152" s="97">
        <f t="shared" si="26"/>
        <v>31</v>
      </c>
      <c r="C152" s="325"/>
      <c r="D152" s="260"/>
      <c r="E152" s="95"/>
      <c r="G152" s="52"/>
      <c r="H152" s="52"/>
      <c r="I152" s="256"/>
      <c r="J152" s="98">
        <f t="shared" si="27"/>
        <v>0</v>
      </c>
      <c r="K152" s="118" t="e">
        <f t="shared" si="28"/>
        <v>#DIV/0!</v>
      </c>
      <c r="L152" s="15"/>
      <c r="M152" s="15"/>
      <c r="N152" s="15">
        <f t="shared" si="29"/>
        <v>0</v>
      </c>
      <c r="O152" s="70" t="e">
        <f t="shared" si="30"/>
        <v>#DIV/0!</v>
      </c>
      <c r="P152" s="70"/>
      <c r="Q152" s="70">
        <f t="shared" si="31"/>
        <v>0</v>
      </c>
      <c r="R152" s="70"/>
      <c r="S152" s="70"/>
      <c r="T152" s="70"/>
      <c r="U152" s="15"/>
      <c r="V152" s="70" t="e">
        <f t="shared" si="32"/>
        <v>#DIV/0!</v>
      </c>
      <c r="W152" s="15"/>
      <c r="X152" s="15"/>
      <c r="Y152" s="15">
        <f t="shared" si="33"/>
        <v>0</v>
      </c>
      <c r="Z152" s="52"/>
      <c r="AA152" s="98">
        <f t="shared" si="34"/>
        <v>0</v>
      </c>
      <c r="AB152" s="52"/>
      <c r="AC152" s="98">
        <f t="shared" si="35"/>
        <v>0</v>
      </c>
      <c r="AD152" s="98">
        <f t="shared" si="36"/>
        <v>0</v>
      </c>
      <c r="AE152" s="238" t="e">
        <f t="shared" si="37"/>
        <v>#DIV/0!</v>
      </c>
      <c r="AF152" s="125" t="e">
        <f t="shared" si="38"/>
        <v>#DIV/0!</v>
      </c>
      <c r="AG152" s="92"/>
    </row>
    <row r="153" spans="1:33" ht="14.4">
      <c r="A153" s="270"/>
      <c r="B153" s="97">
        <f t="shared" si="26"/>
        <v>31</v>
      </c>
      <c r="C153" s="325"/>
      <c r="D153" s="260"/>
      <c r="E153" s="95"/>
      <c r="G153" s="52"/>
      <c r="H153" s="52"/>
      <c r="I153" s="256"/>
      <c r="J153" s="98">
        <f t="shared" si="27"/>
        <v>0</v>
      </c>
      <c r="K153" s="118" t="e">
        <f t="shared" si="28"/>
        <v>#DIV/0!</v>
      </c>
      <c r="L153" s="15"/>
      <c r="M153" s="15"/>
      <c r="N153" s="15">
        <f t="shared" si="29"/>
        <v>0</v>
      </c>
      <c r="O153" s="70" t="e">
        <f t="shared" si="30"/>
        <v>#DIV/0!</v>
      </c>
      <c r="P153" s="70"/>
      <c r="Q153" s="70">
        <f t="shared" si="31"/>
        <v>0</v>
      </c>
      <c r="R153" s="70"/>
      <c r="S153" s="70"/>
      <c r="T153" s="70"/>
      <c r="U153" s="15"/>
      <c r="V153" s="70" t="e">
        <f t="shared" si="32"/>
        <v>#DIV/0!</v>
      </c>
      <c r="W153" s="15"/>
      <c r="X153" s="15"/>
      <c r="Y153" s="15">
        <f t="shared" si="33"/>
        <v>0</v>
      </c>
      <c r="Z153" s="52"/>
      <c r="AA153" s="98">
        <f t="shared" si="34"/>
        <v>0</v>
      </c>
      <c r="AB153" s="52"/>
      <c r="AC153" s="98">
        <f t="shared" si="35"/>
        <v>0</v>
      </c>
      <c r="AD153" s="98">
        <f t="shared" si="36"/>
        <v>0</v>
      </c>
      <c r="AE153" s="238" t="e">
        <f t="shared" si="37"/>
        <v>#DIV/0!</v>
      </c>
      <c r="AF153" s="125" t="e">
        <f t="shared" si="38"/>
        <v>#DIV/0!</v>
      </c>
      <c r="AG153" s="92"/>
    </row>
    <row r="154" spans="1:33" ht="14.4">
      <c r="A154" s="270"/>
      <c r="B154" s="97">
        <f t="shared" si="26"/>
        <v>31</v>
      </c>
      <c r="C154" s="325"/>
      <c r="D154" s="260"/>
      <c r="E154" s="95"/>
      <c r="G154" s="52"/>
      <c r="H154" s="52"/>
      <c r="I154" s="256"/>
      <c r="J154" s="98">
        <f t="shared" si="27"/>
        <v>0</v>
      </c>
      <c r="K154" s="118" t="e">
        <f t="shared" si="28"/>
        <v>#DIV/0!</v>
      </c>
      <c r="L154" s="15"/>
      <c r="M154" s="15"/>
      <c r="N154" s="15">
        <f t="shared" si="29"/>
        <v>0</v>
      </c>
      <c r="O154" s="70" t="e">
        <f t="shared" si="30"/>
        <v>#DIV/0!</v>
      </c>
      <c r="P154" s="70"/>
      <c r="Q154" s="70">
        <f t="shared" si="31"/>
        <v>0</v>
      </c>
      <c r="R154" s="70"/>
      <c r="S154" s="70"/>
      <c r="T154" s="70"/>
      <c r="U154" s="15"/>
      <c r="V154" s="70" t="e">
        <f t="shared" si="32"/>
        <v>#DIV/0!</v>
      </c>
      <c r="W154" s="15"/>
      <c r="X154" s="15"/>
      <c r="Y154" s="15">
        <f t="shared" si="33"/>
        <v>0</v>
      </c>
      <c r="Z154" s="52"/>
      <c r="AA154" s="98">
        <f t="shared" si="34"/>
        <v>0</v>
      </c>
      <c r="AB154" s="52"/>
      <c r="AC154" s="98">
        <f t="shared" si="35"/>
        <v>0</v>
      </c>
      <c r="AD154" s="98">
        <f t="shared" si="36"/>
        <v>0</v>
      </c>
      <c r="AE154" s="238" t="e">
        <f t="shared" si="37"/>
        <v>#DIV/0!</v>
      </c>
      <c r="AF154" s="125" t="e">
        <f t="shared" si="38"/>
        <v>#DIV/0!</v>
      </c>
      <c r="AG154" s="92"/>
    </row>
    <row r="155" spans="1:33" ht="14.4">
      <c r="A155" s="270"/>
      <c r="B155" s="97">
        <f t="shared" si="26"/>
        <v>31</v>
      </c>
      <c r="C155" s="325"/>
      <c r="D155" s="260"/>
      <c r="E155" s="95"/>
      <c r="G155" s="52"/>
      <c r="H155" s="52"/>
      <c r="I155" s="256"/>
      <c r="J155" s="98">
        <f t="shared" si="27"/>
        <v>0</v>
      </c>
      <c r="K155" s="118" t="e">
        <f t="shared" si="28"/>
        <v>#DIV/0!</v>
      </c>
      <c r="L155" s="15"/>
      <c r="M155" s="15"/>
      <c r="N155" s="15">
        <f t="shared" si="29"/>
        <v>0</v>
      </c>
      <c r="O155" s="70" t="e">
        <f t="shared" si="30"/>
        <v>#DIV/0!</v>
      </c>
      <c r="P155" s="70"/>
      <c r="Q155" s="70">
        <f t="shared" si="31"/>
        <v>0</v>
      </c>
      <c r="R155" s="70"/>
      <c r="S155" s="70"/>
      <c r="T155" s="70"/>
      <c r="U155" s="15"/>
      <c r="V155" s="70" t="e">
        <f t="shared" si="32"/>
        <v>#DIV/0!</v>
      </c>
      <c r="W155" s="15"/>
      <c r="X155" s="15"/>
      <c r="Y155" s="15">
        <f t="shared" si="33"/>
        <v>0</v>
      </c>
      <c r="Z155" s="52"/>
      <c r="AA155" s="98">
        <f t="shared" si="34"/>
        <v>0</v>
      </c>
      <c r="AB155" s="52"/>
      <c r="AC155" s="98">
        <f t="shared" si="35"/>
        <v>0</v>
      </c>
      <c r="AD155" s="98">
        <f t="shared" si="36"/>
        <v>0</v>
      </c>
      <c r="AE155" s="238" t="e">
        <f t="shared" si="37"/>
        <v>#DIV/0!</v>
      </c>
      <c r="AF155" s="125" t="e">
        <f t="shared" si="38"/>
        <v>#DIV/0!</v>
      </c>
      <c r="AG155" s="92"/>
    </row>
    <row r="156" spans="1:33" ht="14.4">
      <c r="A156" s="270"/>
      <c r="B156" s="97">
        <f t="shared" si="26"/>
        <v>31</v>
      </c>
      <c r="C156" s="325"/>
      <c r="D156" s="260"/>
      <c r="E156" s="95"/>
      <c r="G156" s="52"/>
      <c r="H156" s="52"/>
      <c r="I156" s="256"/>
      <c r="J156" s="98">
        <f t="shared" si="27"/>
        <v>0</v>
      </c>
      <c r="K156" s="118" t="e">
        <f t="shared" si="28"/>
        <v>#DIV/0!</v>
      </c>
      <c r="L156" s="15"/>
      <c r="M156" s="15"/>
      <c r="N156" s="15">
        <f t="shared" si="29"/>
        <v>0</v>
      </c>
      <c r="O156" s="70" t="e">
        <f t="shared" si="30"/>
        <v>#DIV/0!</v>
      </c>
      <c r="P156" s="70"/>
      <c r="Q156" s="70">
        <f t="shared" si="31"/>
        <v>0</v>
      </c>
      <c r="R156" s="70"/>
      <c r="S156" s="70"/>
      <c r="T156" s="70"/>
      <c r="U156" s="15"/>
      <c r="V156" s="70" t="e">
        <f t="shared" si="32"/>
        <v>#DIV/0!</v>
      </c>
      <c r="W156" s="15"/>
      <c r="X156" s="15"/>
      <c r="Y156" s="15">
        <f t="shared" si="33"/>
        <v>0</v>
      </c>
      <c r="Z156" s="52"/>
      <c r="AA156" s="98">
        <f t="shared" si="34"/>
        <v>0</v>
      </c>
      <c r="AB156" s="52"/>
      <c r="AC156" s="98">
        <f t="shared" si="35"/>
        <v>0</v>
      </c>
      <c r="AD156" s="98">
        <f t="shared" si="36"/>
        <v>0</v>
      </c>
      <c r="AE156" s="238" t="e">
        <f t="shared" si="37"/>
        <v>#DIV/0!</v>
      </c>
      <c r="AF156" s="125" t="e">
        <f t="shared" si="38"/>
        <v>#DIV/0!</v>
      </c>
      <c r="AG156" s="92"/>
    </row>
    <row r="157" spans="1:33" ht="14.4">
      <c r="A157" s="270"/>
      <c r="B157" s="97">
        <f t="shared" si="26"/>
        <v>31</v>
      </c>
      <c r="C157" s="325"/>
      <c r="D157" s="260"/>
      <c r="E157" s="95"/>
      <c r="G157" s="52"/>
      <c r="H157" s="52"/>
      <c r="I157" s="256"/>
      <c r="J157" s="98">
        <f t="shared" si="27"/>
        <v>0</v>
      </c>
      <c r="K157" s="118" t="e">
        <f t="shared" si="28"/>
        <v>#DIV/0!</v>
      </c>
      <c r="L157" s="15"/>
      <c r="M157" s="15"/>
      <c r="N157" s="15">
        <f t="shared" si="29"/>
        <v>0</v>
      </c>
      <c r="O157" s="70" t="e">
        <f t="shared" si="30"/>
        <v>#DIV/0!</v>
      </c>
      <c r="P157" s="70"/>
      <c r="Q157" s="70">
        <f t="shared" si="31"/>
        <v>0</v>
      </c>
      <c r="R157" s="70"/>
      <c r="S157" s="70"/>
      <c r="T157" s="70"/>
      <c r="U157" s="15"/>
      <c r="V157" s="70" t="e">
        <f t="shared" si="32"/>
        <v>#DIV/0!</v>
      </c>
      <c r="W157" s="15"/>
      <c r="X157" s="15"/>
      <c r="Y157" s="15">
        <f t="shared" si="33"/>
        <v>0</v>
      </c>
      <c r="Z157" s="52"/>
      <c r="AA157" s="98">
        <f t="shared" si="34"/>
        <v>0</v>
      </c>
      <c r="AB157" s="52"/>
      <c r="AC157" s="98">
        <f t="shared" si="35"/>
        <v>0</v>
      </c>
      <c r="AD157" s="98">
        <f t="shared" si="36"/>
        <v>0</v>
      </c>
      <c r="AE157" s="238" t="e">
        <f t="shared" si="37"/>
        <v>#DIV/0!</v>
      </c>
      <c r="AF157" s="125" t="e">
        <f t="shared" si="38"/>
        <v>#DIV/0!</v>
      </c>
      <c r="AG157" s="92"/>
    </row>
    <row r="158" spans="1:33" ht="14.4">
      <c r="A158" s="270"/>
      <c r="B158" s="97">
        <f t="shared" si="26"/>
        <v>31</v>
      </c>
      <c r="C158" s="325"/>
      <c r="D158" s="260"/>
      <c r="E158" s="95"/>
      <c r="G158" s="52"/>
      <c r="H158" s="52"/>
      <c r="I158" s="256"/>
      <c r="J158" s="98">
        <f t="shared" si="27"/>
        <v>0</v>
      </c>
      <c r="K158" s="118" t="e">
        <f t="shared" si="28"/>
        <v>#DIV/0!</v>
      </c>
      <c r="L158" s="15"/>
      <c r="M158" s="15"/>
      <c r="N158" s="15">
        <f t="shared" si="29"/>
        <v>0</v>
      </c>
      <c r="O158" s="70" t="e">
        <f t="shared" si="30"/>
        <v>#DIV/0!</v>
      </c>
      <c r="P158" s="70"/>
      <c r="Q158" s="70">
        <f t="shared" si="31"/>
        <v>0</v>
      </c>
      <c r="R158" s="70"/>
      <c r="S158" s="70"/>
      <c r="T158" s="70"/>
      <c r="U158" s="15"/>
      <c r="V158" s="70" t="e">
        <f t="shared" si="32"/>
        <v>#DIV/0!</v>
      </c>
      <c r="W158" s="15"/>
      <c r="X158" s="15"/>
      <c r="Y158" s="15">
        <f t="shared" si="33"/>
        <v>0</v>
      </c>
      <c r="Z158" s="52"/>
      <c r="AA158" s="98">
        <f t="shared" si="34"/>
        <v>0</v>
      </c>
      <c r="AB158" s="52"/>
      <c r="AC158" s="98">
        <f t="shared" si="35"/>
        <v>0</v>
      </c>
      <c r="AD158" s="98">
        <f t="shared" si="36"/>
        <v>0</v>
      </c>
      <c r="AE158" s="238" t="e">
        <f t="shared" si="37"/>
        <v>#DIV/0!</v>
      </c>
      <c r="AF158" s="125" t="e">
        <f t="shared" si="38"/>
        <v>#DIV/0!</v>
      </c>
      <c r="AG158" s="92"/>
    </row>
    <row r="159" spans="1:33" ht="14.4">
      <c r="A159" s="270"/>
      <c r="B159" s="97">
        <f t="shared" si="26"/>
        <v>31</v>
      </c>
      <c r="C159" s="325"/>
      <c r="D159" s="260"/>
      <c r="E159" s="95"/>
      <c r="G159" s="52"/>
      <c r="H159" s="52"/>
      <c r="I159" s="256"/>
      <c r="J159" s="98">
        <f t="shared" si="27"/>
        <v>0</v>
      </c>
      <c r="K159" s="118" t="e">
        <f t="shared" si="28"/>
        <v>#DIV/0!</v>
      </c>
      <c r="L159" s="15"/>
      <c r="M159" s="15"/>
      <c r="N159" s="15">
        <f t="shared" si="29"/>
        <v>0</v>
      </c>
      <c r="O159" s="70" t="e">
        <f t="shared" si="30"/>
        <v>#DIV/0!</v>
      </c>
      <c r="P159" s="70"/>
      <c r="Q159" s="70">
        <f t="shared" si="31"/>
        <v>0</v>
      </c>
      <c r="R159" s="70"/>
      <c r="S159" s="70"/>
      <c r="T159" s="70"/>
      <c r="U159" s="15"/>
      <c r="V159" s="70" t="e">
        <f t="shared" si="32"/>
        <v>#DIV/0!</v>
      </c>
      <c r="W159" s="15"/>
      <c r="X159" s="15"/>
      <c r="Y159" s="15">
        <f t="shared" si="33"/>
        <v>0</v>
      </c>
      <c r="Z159" s="52"/>
      <c r="AA159" s="98">
        <f t="shared" si="34"/>
        <v>0</v>
      </c>
      <c r="AB159" s="52"/>
      <c r="AC159" s="98">
        <f t="shared" si="35"/>
        <v>0</v>
      </c>
      <c r="AD159" s="98">
        <f t="shared" si="36"/>
        <v>0</v>
      </c>
      <c r="AE159" s="238" t="e">
        <f t="shared" si="37"/>
        <v>#DIV/0!</v>
      </c>
      <c r="AF159" s="125" t="e">
        <f t="shared" si="38"/>
        <v>#DIV/0!</v>
      </c>
      <c r="AG159" s="92"/>
    </row>
    <row r="160" spans="1:33" ht="14.4">
      <c r="A160" s="270"/>
      <c r="B160" s="97">
        <f t="shared" si="26"/>
        <v>31</v>
      </c>
      <c r="C160" s="325"/>
      <c r="D160" s="260"/>
      <c r="E160" s="95"/>
      <c r="G160" s="52"/>
      <c r="H160" s="52"/>
      <c r="I160" s="256"/>
      <c r="J160" s="98">
        <f t="shared" si="27"/>
        <v>0</v>
      </c>
      <c r="K160" s="118" t="e">
        <f t="shared" si="28"/>
        <v>#DIV/0!</v>
      </c>
      <c r="L160" s="15"/>
      <c r="M160" s="15"/>
      <c r="N160" s="15">
        <f t="shared" si="29"/>
        <v>0</v>
      </c>
      <c r="O160" s="70" t="e">
        <f t="shared" si="30"/>
        <v>#DIV/0!</v>
      </c>
      <c r="P160" s="70"/>
      <c r="Q160" s="70">
        <f t="shared" si="31"/>
        <v>0</v>
      </c>
      <c r="R160" s="70"/>
      <c r="S160" s="70"/>
      <c r="T160" s="70"/>
      <c r="U160" s="15"/>
      <c r="V160" s="70" t="e">
        <f t="shared" si="32"/>
        <v>#DIV/0!</v>
      </c>
      <c r="W160" s="15"/>
      <c r="X160" s="15"/>
      <c r="Y160" s="15">
        <f t="shared" si="33"/>
        <v>0</v>
      </c>
      <c r="Z160" s="52"/>
      <c r="AA160" s="98">
        <f t="shared" si="34"/>
        <v>0</v>
      </c>
      <c r="AB160" s="52"/>
      <c r="AC160" s="98">
        <f t="shared" si="35"/>
        <v>0</v>
      </c>
      <c r="AD160" s="98">
        <f t="shared" si="36"/>
        <v>0</v>
      </c>
      <c r="AE160" s="238" t="e">
        <f t="shared" si="37"/>
        <v>#DIV/0!</v>
      </c>
      <c r="AF160" s="125" t="e">
        <f t="shared" si="38"/>
        <v>#DIV/0!</v>
      </c>
      <c r="AG160" s="92"/>
    </row>
    <row r="161" spans="1:33" ht="14.4">
      <c r="A161" s="270"/>
      <c r="B161" s="97">
        <f t="shared" si="26"/>
        <v>31</v>
      </c>
      <c r="C161" s="325"/>
      <c r="D161" s="260"/>
      <c r="E161" s="95"/>
      <c r="G161" s="52"/>
      <c r="H161" s="52"/>
      <c r="I161" s="256"/>
      <c r="J161" s="98">
        <f t="shared" si="27"/>
        <v>0</v>
      </c>
      <c r="K161" s="118" t="e">
        <f t="shared" si="28"/>
        <v>#DIV/0!</v>
      </c>
      <c r="L161" s="15"/>
      <c r="M161" s="15"/>
      <c r="N161" s="15">
        <f t="shared" si="29"/>
        <v>0</v>
      </c>
      <c r="O161" s="70" t="e">
        <f t="shared" si="30"/>
        <v>#DIV/0!</v>
      </c>
      <c r="P161" s="70"/>
      <c r="Q161" s="70">
        <f t="shared" si="31"/>
        <v>0</v>
      </c>
      <c r="R161" s="70"/>
      <c r="S161" s="70"/>
      <c r="T161" s="70"/>
      <c r="U161" s="15"/>
      <c r="V161" s="70" t="e">
        <f t="shared" si="32"/>
        <v>#DIV/0!</v>
      </c>
      <c r="W161" s="15"/>
      <c r="X161" s="15"/>
      <c r="Y161" s="15">
        <f t="shared" si="33"/>
        <v>0</v>
      </c>
      <c r="Z161" s="52"/>
      <c r="AA161" s="98">
        <f t="shared" si="34"/>
        <v>0</v>
      </c>
      <c r="AB161" s="52"/>
      <c r="AC161" s="98">
        <f t="shared" si="35"/>
        <v>0</v>
      </c>
      <c r="AD161" s="98">
        <f t="shared" si="36"/>
        <v>0</v>
      </c>
      <c r="AE161" s="238" t="e">
        <f t="shared" si="37"/>
        <v>#DIV/0!</v>
      </c>
      <c r="AF161" s="125" t="e">
        <f t="shared" si="38"/>
        <v>#DIV/0!</v>
      </c>
      <c r="AG161" s="92"/>
    </row>
    <row r="162" spans="1:33" ht="14.4">
      <c r="A162" s="270"/>
      <c r="B162" s="97">
        <f t="shared" si="26"/>
        <v>31</v>
      </c>
      <c r="C162" s="325"/>
      <c r="D162" s="260"/>
      <c r="E162" s="95"/>
      <c r="G162" s="52"/>
      <c r="H162" s="52"/>
      <c r="I162" s="256"/>
      <c r="J162" s="98">
        <f t="shared" si="27"/>
        <v>0</v>
      </c>
      <c r="K162" s="118" t="e">
        <f t="shared" si="28"/>
        <v>#DIV/0!</v>
      </c>
      <c r="L162" s="15"/>
      <c r="M162" s="15"/>
      <c r="N162" s="15">
        <f t="shared" si="29"/>
        <v>0</v>
      </c>
      <c r="O162" s="70" t="e">
        <f t="shared" si="30"/>
        <v>#DIV/0!</v>
      </c>
      <c r="P162" s="70"/>
      <c r="Q162" s="70">
        <f t="shared" si="31"/>
        <v>0</v>
      </c>
      <c r="R162" s="70"/>
      <c r="S162" s="70"/>
      <c r="T162" s="70"/>
      <c r="U162" s="15"/>
      <c r="V162" s="70" t="e">
        <f t="shared" si="32"/>
        <v>#DIV/0!</v>
      </c>
      <c r="W162" s="15"/>
      <c r="X162" s="15"/>
      <c r="Y162" s="15">
        <f t="shared" si="33"/>
        <v>0</v>
      </c>
      <c r="Z162" s="52"/>
      <c r="AA162" s="98">
        <f t="shared" si="34"/>
        <v>0</v>
      </c>
      <c r="AB162" s="52"/>
      <c r="AC162" s="98">
        <f t="shared" si="35"/>
        <v>0</v>
      </c>
      <c r="AD162" s="98">
        <f t="shared" si="36"/>
        <v>0</v>
      </c>
      <c r="AE162" s="238" t="e">
        <f t="shared" si="37"/>
        <v>#DIV/0!</v>
      </c>
      <c r="AF162" s="125" t="e">
        <f t="shared" si="38"/>
        <v>#DIV/0!</v>
      </c>
      <c r="AG162" s="92"/>
    </row>
    <row r="163" spans="1:33" ht="14.4">
      <c r="A163" s="270"/>
      <c r="B163" s="97">
        <f t="shared" si="26"/>
        <v>31</v>
      </c>
      <c r="C163" s="325"/>
      <c r="D163" s="260"/>
      <c r="E163" s="95"/>
      <c r="G163" s="52"/>
      <c r="H163" s="52"/>
      <c r="I163" s="256"/>
      <c r="J163" s="98">
        <f t="shared" si="27"/>
        <v>0</v>
      </c>
      <c r="K163" s="118" t="e">
        <f t="shared" si="28"/>
        <v>#DIV/0!</v>
      </c>
      <c r="L163" s="15"/>
      <c r="M163" s="15"/>
      <c r="N163" s="15">
        <f t="shared" si="29"/>
        <v>0</v>
      </c>
      <c r="O163" s="70" t="e">
        <f t="shared" si="30"/>
        <v>#DIV/0!</v>
      </c>
      <c r="P163" s="70"/>
      <c r="Q163" s="70">
        <f t="shared" si="31"/>
        <v>0</v>
      </c>
      <c r="R163" s="70"/>
      <c r="S163" s="70"/>
      <c r="T163" s="70"/>
      <c r="U163" s="15"/>
      <c r="V163" s="70" t="e">
        <f t="shared" si="32"/>
        <v>#DIV/0!</v>
      </c>
      <c r="W163" s="15"/>
      <c r="X163" s="15"/>
      <c r="Y163" s="15">
        <f t="shared" si="33"/>
        <v>0</v>
      </c>
      <c r="Z163" s="52"/>
      <c r="AA163" s="98">
        <f t="shared" si="34"/>
        <v>0</v>
      </c>
      <c r="AB163" s="52"/>
      <c r="AC163" s="98">
        <f t="shared" si="35"/>
        <v>0</v>
      </c>
      <c r="AD163" s="98">
        <f t="shared" si="36"/>
        <v>0</v>
      </c>
      <c r="AE163" s="238" t="e">
        <f t="shared" si="37"/>
        <v>#DIV/0!</v>
      </c>
      <c r="AF163" s="125" t="e">
        <f t="shared" si="38"/>
        <v>#DIV/0!</v>
      </c>
      <c r="AG163" s="92"/>
    </row>
    <row r="164" spans="1:33" ht="14.4">
      <c r="A164" s="270"/>
      <c r="B164" s="97">
        <f t="shared" si="26"/>
        <v>31</v>
      </c>
      <c r="C164" s="325"/>
      <c r="D164" s="260"/>
      <c r="E164" s="95"/>
      <c r="G164" s="52"/>
      <c r="H164" s="52"/>
      <c r="I164" s="256"/>
      <c r="J164" s="98">
        <f t="shared" si="27"/>
        <v>0</v>
      </c>
      <c r="K164" s="118" t="e">
        <f t="shared" si="28"/>
        <v>#DIV/0!</v>
      </c>
      <c r="L164" s="15"/>
      <c r="M164" s="15"/>
      <c r="N164" s="15">
        <f t="shared" si="29"/>
        <v>0</v>
      </c>
      <c r="O164" s="70" t="e">
        <f t="shared" si="30"/>
        <v>#DIV/0!</v>
      </c>
      <c r="P164" s="70"/>
      <c r="Q164" s="70">
        <f t="shared" si="31"/>
        <v>0</v>
      </c>
      <c r="R164" s="70"/>
      <c r="S164" s="70"/>
      <c r="T164" s="70"/>
      <c r="U164" s="15"/>
      <c r="V164" s="70" t="e">
        <f t="shared" si="32"/>
        <v>#DIV/0!</v>
      </c>
      <c r="W164" s="15"/>
      <c r="X164" s="15"/>
      <c r="Y164" s="15">
        <f t="shared" si="33"/>
        <v>0</v>
      </c>
      <c r="Z164" s="52"/>
      <c r="AA164" s="98">
        <f t="shared" si="34"/>
        <v>0</v>
      </c>
      <c r="AB164" s="52"/>
      <c r="AC164" s="98">
        <f t="shared" si="35"/>
        <v>0</v>
      </c>
      <c r="AD164" s="98">
        <f t="shared" si="36"/>
        <v>0</v>
      </c>
      <c r="AE164" s="238" t="e">
        <f t="shared" si="37"/>
        <v>#DIV/0!</v>
      </c>
      <c r="AF164" s="125" t="e">
        <f t="shared" si="38"/>
        <v>#DIV/0!</v>
      </c>
      <c r="AG164" s="92"/>
    </row>
    <row r="165" spans="1:33" ht="14.4">
      <c r="A165" s="270"/>
      <c r="B165" s="97">
        <f t="shared" si="26"/>
        <v>31</v>
      </c>
      <c r="C165" s="325"/>
      <c r="D165" s="260"/>
      <c r="E165" s="95"/>
      <c r="G165" s="52"/>
      <c r="H165" s="52"/>
      <c r="I165" s="256"/>
      <c r="J165" s="98">
        <f t="shared" si="27"/>
        <v>0</v>
      </c>
      <c r="K165" s="118" t="e">
        <f t="shared" si="28"/>
        <v>#DIV/0!</v>
      </c>
      <c r="L165" s="15"/>
      <c r="M165" s="15"/>
      <c r="N165" s="15">
        <f t="shared" si="29"/>
        <v>0</v>
      </c>
      <c r="O165" s="70" t="e">
        <f t="shared" si="30"/>
        <v>#DIV/0!</v>
      </c>
      <c r="P165" s="70"/>
      <c r="Q165" s="70">
        <f t="shared" si="31"/>
        <v>0</v>
      </c>
      <c r="R165" s="70"/>
      <c r="S165" s="70"/>
      <c r="T165" s="70"/>
      <c r="U165" s="15"/>
      <c r="V165" s="70" t="e">
        <f t="shared" si="32"/>
        <v>#DIV/0!</v>
      </c>
      <c r="W165" s="15"/>
      <c r="X165" s="15"/>
      <c r="Y165" s="15">
        <f t="shared" si="33"/>
        <v>0</v>
      </c>
      <c r="Z165" s="52"/>
      <c r="AA165" s="98">
        <f t="shared" si="34"/>
        <v>0</v>
      </c>
      <c r="AB165" s="52"/>
      <c r="AC165" s="98">
        <f t="shared" si="35"/>
        <v>0</v>
      </c>
      <c r="AD165" s="98">
        <f t="shared" si="36"/>
        <v>0</v>
      </c>
      <c r="AE165" s="238" t="e">
        <f t="shared" si="37"/>
        <v>#DIV/0!</v>
      </c>
      <c r="AF165" s="125" t="e">
        <f t="shared" si="38"/>
        <v>#DIV/0!</v>
      </c>
      <c r="AG165" s="92"/>
    </row>
    <row r="166" spans="1:33" ht="14.4">
      <c r="A166" s="270"/>
      <c r="B166" s="97">
        <f t="shared" si="26"/>
        <v>31</v>
      </c>
      <c r="C166" s="325"/>
      <c r="D166" s="260"/>
      <c r="E166" s="95"/>
      <c r="G166" s="52"/>
      <c r="H166" s="52"/>
      <c r="I166" s="256"/>
      <c r="J166" s="98">
        <f t="shared" si="27"/>
        <v>0</v>
      </c>
      <c r="K166" s="118" t="e">
        <f t="shared" si="28"/>
        <v>#DIV/0!</v>
      </c>
      <c r="L166" s="15"/>
      <c r="M166" s="15"/>
      <c r="N166" s="15">
        <f t="shared" si="29"/>
        <v>0</v>
      </c>
      <c r="O166" s="70" t="e">
        <f t="shared" si="30"/>
        <v>#DIV/0!</v>
      </c>
      <c r="P166" s="70"/>
      <c r="Q166" s="70">
        <f t="shared" si="31"/>
        <v>0</v>
      </c>
      <c r="R166" s="70"/>
      <c r="S166" s="70"/>
      <c r="T166" s="70"/>
      <c r="U166" s="15"/>
      <c r="V166" s="70" t="e">
        <f t="shared" si="32"/>
        <v>#DIV/0!</v>
      </c>
      <c r="W166" s="15"/>
      <c r="X166" s="15"/>
      <c r="Y166" s="15">
        <f t="shared" si="33"/>
        <v>0</v>
      </c>
      <c r="Z166" s="52"/>
      <c r="AA166" s="98">
        <f t="shared" si="34"/>
        <v>0</v>
      </c>
      <c r="AB166" s="52"/>
      <c r="AC166" s="98">
        <f t="shared" si="35"/>
        <v>0</v>
      </c>
      <c r="AD166" s="98">
        <f t="shared" si="36"/>
        <v>0</v>
      </c>
      <c r="AE166" s="238" t="e">
        <f t="shared" si="37"/>
        <v>#DIV/0!</v>
      </c>
      <c r="AF166" s="125" t="e">
        <f t="shared" si="38"/>
        <v>#DIV/0!</v>
      </c>
      <c r="AG166" s="92"/>
    </row>
    <row r="167" spans="1:33" ht="14.4">
      <c r="A167" s="270"/>
      <c r="B167" s="97">
        <f t="shared" si="26"/>
        <v>31</v>
      </c>
      <c r="C167" s="325"/>
      <c r="D167" s="260"/>
      <c r="E167" s="95"/>
      <c r="G167" s="52"/>
      <c r="H167" s="52"/>
      <c r="I167" s="256"/>
      <c r="J167" s="98">
        <f t="shared" si="27"/>
        <v>0</v>
      </c>
      <c r="K167" s="118" t="e">
        <f t="shared" si="28"/>
        <v>#DIV/0!</v>
      </c>
      <c r="L167" s="15"/>
      <c r="M167" s="15"/>
      <c r="N167" s="15">
        <f t="shared" si="29"/>
        <v>0</v>
      </c>
      <c r="O167" s="70" t="e">
        <f t="shared" si="30"/>
        <v>#DIV/0!</v>
      </c>
      <c r="P167" s="70"/>
      <c r="Q167" s="70">
        <f t="shared" si="31"/>
        <v>0</v>
      </c>
      <c r="R167" s="70"/>
      <c r="S167" s="70"/>
      <c r="T167" s="70"/>
      <c r="U167" s="15"/>
      <c r="V167" s="70" t="e">
        <f t="shared" si="32"/>
        <v>#DIV/0!</v>
      </c>
      <c r="W167" s="15"/>
      <c r="X167" s="15"/>
      <c r="Y167" s="15">
        <f t="shared" si="33"/>
        <v>0</v>
      </c>
      <c r="Z167" s="52"/>
      <c r="AA167" s="98">
        <f t="shared" si="34"/>
        <v>0</v>
      </c>
      <c r="AB167" s="52"/>
      <c r="AC167" s="98">
        <f t="shared" si="35"/>
        <v>0</v>
      </c>
      <c r="AD167" s="98">
        <f t="shared" si="36"/>
        <v>0</v>
      </c>
      <c r="AE167" s="238" t="e">
        <f t="shared" si="37"/>
        <v>#DIV/0!</v>
      </c>
      <c r="AF167" s="125" t="e">
        <f t="shared" si="38"/>
        <v>#DIV/0!</v>
      </c>
      <c r="AG167" s="92"/>
    </row>
    <row r="168" spans="1:33" ht="14.4">
      <c r="A168" s="270"/>
      <c r="B168" s="97">
        <f t="shared" si="26"/>
        <v>31</v>
      </c>
      <c r="C168" s="325"/>
      <c r="D168" s="260"/>
      <c r="E168" s="95"/>
      <c r="G168" s="52"/>
      <c r="H168" s="52"/>
      <c r="I168" s="256"/>
      <c r="J168" s="98">
        <f t="shared" si="27"/>
        <v>0</v>
      </c>
      <c r="K168" s="118" t="e">
        <f t="shared" si="28"/>
        <v>#DIV/0!</v>
      </c>
      <c r="L168" s="15"/>
      <c r="M168" s="15"/>
      <c r="N168" s="15">
        <f t="shared" si="29"/>
        <v>0</v>
      </c>
      <c r="O168" s="70" t="e">
        <f t="shared" si="30"/>
        <v>#DIV/0!</v>
      </c>
      <c r="P168" s="70"/>
      <c r="Q168" s="70">
        <f t="shared" si="31"/>
        <v>0</v>
      </c>
      <c r="R168" s="70"/>
      <c r="S168" s="70"/>
      <c r="T168" s="70"/>
      <c r="U168" s="15"/>
      <c r="V168" s="70" t="e">
        <f t="shared" si="32"/>
        <v>#DIV/0!</v>
      </c>
      <c r="W168" s="15"/>
      <c r="X168" s="15"/>
      <c r="Y168" s="15">
        <f t="shared" si="33"/>
        <v>0</v>
      </c>
      <c r="Z168" s="52"/>
      <c r="AA168" s="98">
        <f t="shared" si="34"/>
        <v>0</v>
      </c>
      <c r="AB168" s="52"/>
      <c r="AC168" s="98">
        <f t="shared" si="35"/>
        <v>0</v>
      </c>
      <c r="AD168" s="98">
        <f t="shared" si="36"/>
        <v>0</v>
      </c>
      <c r="AE168" s="238" t="e">
        <f t="shared" si="37"/>
        <v>#DIV/0!</v>
      </c>
      <c r="AF168" s="125" t="e">
        <f t="shared" si="38"/>
        <v>#DIV/0!</v>
      </c>
      <c r="AG168" s="92"/>
    </row>
    <row r="169" spans="1:33" ht="14.4">
      <c r="A169" s="270"/>
      <c r="B169" s="97">
        <f t="shared" si="26"/>
        <v>31</v>
      </c>
      <c r="C169" s="325"/>
      <c r="D169" s="260"/>
      <c r="E169" s="95"/>
      <c r="G169" s="52"/>
      <c r="H169" s="52"/>
      <c r="I169" s="256"/>
      <c r="J169" s="98">
        <f t="shared" si="27"/>
        <v>0</v>
      </c>
      <c r="K169" s="118" t="e">
        <f t="shared" si="28"/>
        <v>#DIV/0!</v>
      </c>
      <c r="L169" s="15"/>
      <c r="M169" s="15"/>
      <c r="N169" s="15">
        <f t="shared" si="29"/>
        <v>0</v>
      </c>
      <c r="O169" s="70" t="e">
        <f t="shared" si="30"/>
        <v>#DIV/0!</v>
      </c>
      <c r="P169" s="70"/>
      <c r="Q169" s="70">
        <f t="shared" si="31"/>
        <v>0</v>
      </c>
      <c r="R169" s="70"/>
      <c r="S169" s="70"/>
      <c r="T169" s="70"/>
      <c r="U169" s="15"/>
      <c r="V169" s="70" t="e">
        <f t="shared" si="32"/>
        <v>#DIV/0!</v>
      </c>
      <c r="W169" s="15"/>
      <c r="X169" s="15"/>
      <c r="Y169" s="15">
        <f t="shared" si="33"/>
        <v>0</v>
      </c>
      <c r="Z169" s="52"/>
      <c r="AA169" s="98">
        <f t="shared" si="34"/>
        <v>0</v>
      </c>
      <c r="AB169" s="52"/>
      <c r="AC169" s="98">
        <f t="shared" si="35"/>
        <v>0</v>
      </c>
      <c r="AD169" s="98">
        <f t="shared" si="36"/>
        <v>0</v>
      </c>
      <c r="AE169" s="238" t="e">
        <f t="shared" si="37"/>
        <v>#DIV/0!</v>
      </c>
      <c r="AF169" s="125" t="e">
        <f t="shared" si="38"/>
        <v>#DIV/0!</v>
      </c>
      <c r="AG169" s="92"/>
    </row>
    <row r="170" spans="1:33" ht="14.4">
      <c r="A170" s="270"/>
      <c r="B170" s="97">
        <f t="shared" si="26"/>
        <v>31</v>
      </c>
      <c r="C170" s="325"/>
      <c r="D170" s="260"/>
      <c r="E170" s="95"/>
      <c r="G170" s="52"/>
      <c r="H170" s="52"/>
      <c r="I170" s="256"/>
      <c r="J170" s="98">
        <f t="shared" si="27"/>
        <v>0</v>
      </c>
      <c r="K170" s="118" t="e">
        <f t="shared" si="28"/>
        <v>#DIV/0!</v>
      </c>
      <c r="L170" s="15"/>
      <c r="M170" s="15"/>
      <c r="N170" s="15">
        <f t="shared" si="29"/>
        <v>0</v>
      </c>
      <c r="O170" s="70" t="e">
        <f t="shared" si="30"/>
        <v>#DIV/0!</v>
      </c>
      <c r="P170" s="70"/>
      <c r="Q170" s="70">
        <f t="shared" si="31"/>
        <v>0</v>
      </c>
      <c r="R170" s="70"/>
      <c r="S170" s="70"/>
      <c r="T170" s="70"/>
      <c r="U170" s="15"/>
      <c r="V170" s="70" t="e">
        <f t="shared" si="32"/>
        <v>#DIV/0!</v>
      </c>
      <c r="W170" s="15"/>
      <c r="X170" s="15"/>
      <c r="Y170" s="15">
        <f t="shared" si="33"/>
        <v>0</v>
      </c>
      <c r="Z170" s="52"/>
      <c r="AA170" s="98">
        <f t="shared" si="34"/>
        <v>0</v>
      </c>
      <c r="AB170" s="52"/>
      <c r="AC170" s="98">
        <f t="shared" si="35"/>
        <v>0</v>
      </c>
      <c r="AD170" s="98">
        <f t="shared" si="36"/>
        <v>0</v>
      </c>
      <c r="AE170" s="238" t="e">
        <f t="shared" si="37"/>
        <v>#DIV/0!</v>
      </c>
      <c r="AF170" s="125" t="e">
        <f t="shared" si="38"/>
        <v>#DIV/0!</v>
      </c>
      <c r="AG170" s="92"/>
    </row>
    <row r="171" spans="1:33" ht="14.4">
      <c r="A171" s="270"/>
      <c r="B171" s="97">
        <f t="shared" si="26"/>
        <v>31</v>
      </c>
      <c r="C171" s="325"/>
      <c r="D171" s="260"/>
      <c r="E171" s="95"/>
      <c r="G171" s="52"/>
      <c r="H171" s="52"/>
      <c r="I171" s="256"/>
      <c r="J171" s="98">
        <f t="shared" si="27"/>
        <v>0</v>
      </c>
      <c r="K171" s="118" t="e">
        <f t="shared" si="28"/>
        <v>#DIV/0!</v>
      </c>
      <c r="L171" s="15"/>
      <c r="M171" s="15"/>
      <c r="N171" s="15">
        <f t="shared" si="29"/>
        <v>0</v>
      </c>
      <c r="O171" s="70" t="e">
        <f t="shared" si="30"/>
        <v>#DIV/0!</v>
      </c>
      <c r="P171" s="70"/>
      <c r="Q171" s="70">
        <f t="shared" si="31"/>
        <v>0</v>
      </c>
      <c r="R171" s="70"/>
      <c r="S171" s="70"/>
      <c r="T171" s="70"/>
      <c r="U171" s="15"/>
      <c r="V171" s="70" t="e">
        <f t="shared" si="32"/>
        <v>#DIV/0!</v>
      </c>
      <c r="W171" s="15"/>
      <c r="X171" s="15"/>
      <c r="Y171" s="15">
        <f t="shared" si="33"/>
        <v>0</v>
      </c>
      <c r="Z171" s="52"/>
      <c r="AA171" s="98">
        <f t="shared" si="34"/>
        <v>0</v>
      </c>
      <c r="AB171" s="52"/>
      <c r="AC171" s="98">
        <f t="shared" si="35"/>
        <v>0</v>
      </c>
      <c r="AD171" s="98">
        <f t="shared" si="36"/>
        <v>0</v>
      </c>
      <c r="AE171" s="238" t="e">
        <f t="shared" si="37"/>
        <v>#DIV/0!</v>
      </c>
      <c r="AF171" s="125" t="e">
        <f t="shared" si="38"/>
        <v>#DIV/0!</v>
      </c>
      <c r="AG171" s="92"/>
    </row>
    <row r="172" spans="1:33" ht="14.4">
      <c r="A172" s="270"/>
      <c r="B172" s="97">
        <f t="shared" si="26"/>
        <v>31</v>
      </c>
      <c r="C172" s="325"/>
      <c r="D172" s="260"/>
      <c r="E172" s="95"/>
      <c r="G172" s="52"/>
      <c r="H172" s="52"/>
      <c r="I172" s="256"/>
      <c r="J172" s="98">
        <f t="shared" si="27"/>
        <v>0</v>
      </c>
      <c r="K172" s="118" t="e">
        <f t="shared" si="28"/>
        <v>#DIV/0!</v>
      </c>
      <c r="L172" s="15"/>
      <c r="M172" s="15"/>
      <c r="N172" s="15">
        <f t="shared" si="29"/>
        <v>0</v>
      </c>
      <c r="O172" s="70" t="e">
        <f t="shared" si="30"/>
        <v>#DIV/0!</v>
      </c>
      <c r="P172" s="70"/>
      <c r="Q172" s="70">
        <f t="shared" si="31"/>
        <v>0</v>
      </c>
      <c r="R172" s="70"/>
      <c r="S172" s="70"/>
      <c r="T172" s="70"/>
      <c r="U172" s="15"/>
      <c r="V172" s="70" t="e">
        <f t="shared" si="32"/>
        <v>#DIV/0!</v>
      </c>
      <c r="W172" s="15"/>
      <c r="X172" s="15"/>
      <c r="Y172" s="15">
        <f t="shared" si="33"/>
        <v>0</v>
      </c>
      <c r="Z172" s="52"/>
      <c r="AA172" s="98">
        <f t="shared" si="34"/>
        <v>0</v>
      </c>
      <c r="AB172" s="52"/>
      <c r="AC172" s="98">
        <f t="shared" si="35"/>
        <v>0</v>
      </c>
      <c r="AD172" s="98">
        <f t="shared" si="36"/>
        <v>0</v>
      </c>
      <c r="AE172" s="238" t="e">
        <f t="shared" si="37"/>
        <v>#DIV/0!</v>
      </c>
      <c r="AF172" s="125" t="e">
        <f t="shared" si="38"/>
        <v>#DIV/0!</v>
      </c>
      <c r="AG172" s="92"/>
    </row>
    <row r="173" spans="1:33" ht="14.4">
      <c r="A173" s="270"/>
      <c r="B173" s="97">
        <f t="shared" si="26"/>
        <v>31</v>
      </c>
      <c r="C173" s="325"/>
      <c r="D173" s="260"/>
      <c r="E173" s="95"/>
      <c r="G173" s="52"/>
      <c r="H173" s="52"/>
      <c r="I173" s="256"/>
      <c r="J173" s="98">
        <f t="shared" si="27"/>
        <v>0</v>
      </c>
      <c r="K173" s="118" t="e">
        <f t="shared" si="28"/>
        <v>#DIV/0!</v>
      </c>
      <c r="L173" s="15"/>
      <c r="M173" s="15"/>
      <c r="N173" s="15">
        <f t="shared" si="29"/>
        <v>0</v>
      </c>
      <c r="O173" s="70" t="e">
        <f t="shared" si="30"/>
        <v>#DIV/0!</v>
      </c>
      <c r="P173" s="70"/>
      <c r="Q173" s="70">
        <f t="shared" si="31"/>
        <v>0</v>
      </c>
      <c r="R173" s="70"/>
      <c r="S173" s="70"/>
      <c r="T173" s="70"/>
      <c r="U173" s="15"/>
      <c r="V173" s="70" t="e">
        <f t="shared" si="32"/>
        <v>#DIV/0!</v>
      </c>
      <c r="W173" s="15"/>
      <c r="X173" s="15"/>
      <c r="Y173" s="15">
        <f t="shared" si="33"/>
        <v>0</v>
      </c>
      <c r="Z173" s="52"/>
      <c r="AA173" s="98">
        <f t="shared" si="34"/>
        <v>0</v>
      </c>
      <c r="AB173" s="52"/>
      <c r="AC173" s="98">
        <f t="shared" si="35"/>
        <v>0</v>
      </c>
      <c r="AD173" s="98">
        <f t="shared" si="36"/>
        <v>0</v>
      </c>
      <c r="AE173" s="238" t="e">
        <f t="shared" si="37"/>
        <v>#DIV/0!</v>
      </c>
      <c r="AF173" s="125" t="e">
        <f t="shared" si="38"/>
        <v>#DIV/0!</v>
      </c>
      <c r="AG173" s="92"/>
    </row>
    <row r="174" spans="1:33" ht="14.4">
      <c r="A174" s="270"/>
      <c r="B174" s="97">
        <f t="shared" si="26"/>
        <v>31</v>
      </c>
      <c r="C174" s="325"/>
      <c r="D174" s="260"/>
      <c r="E174" s="95"/>
      <c r="G174" s="52"/>
      <c r="H174" s="52"/>
      <c r="I174" s="256"/>
      <c r="J174" s="98">
        <f t="shared" si="27"/>
        <v>0</v>
      </c>
      <c r="K174" s="118" t="e">
        <f t="shared" si="28"/>
        <v>#DIV/0!</v>
      </c>
      <c r="L174" s="15"/>
      <c r="M174" s="15"/>
      <c r="N174" s="15">
        <f t="shared" si="29"/>
        <v>0</v>
      </c>
      <c r="O174" s="70" t="e">
        <f t="shared" si="30"/>
        <v>#DIV/0!</v>
      </c>
      <c r="P174" s="70"/>
      <c r="Q174" s="70">
        <f t="shared" si="31"/>
        <v>0</v>
      </c>
      <c r="R174" s="70"/>
      <c r="S174" s="70"/>
      <c r="T174" s="70"/>
      <c r="U174" s="15"/>
      <c r="V174" s="70" t="e">
        <f t="shared" si="32"/>
        <v>#DIV/0!</v>
      </c>
      <c r="W174" s="15"/>
      <c r="X174" s="15"/>
      <c r="Y174" s="15">
        <f t="shared" si="33"/>
        <v>0</v>
      </c>
      <c r="Z174" s="52"/>
      <c r="AA174" s="98">
        <f t="shared" si="34"/>
        <v>0</v>
      </c>
      <c r="AB174" s="52"/>
      <c r="AC174" s="98">
        <f t="shared" si="35"/>
        <v>0</v>
      </c>
      <c r="AD174" s="98">
        <f t="shared" si="36"/>
        <v>0</v>
      </c>
      <c r="AE174" s="238" t="e">
        <f t="shared" si="37"/>
        <v>#DIV/0!</v>
      </c>
      <c r="AF174" s="125" t="e">
        <f t="shared" si="38"/>
        <v>#DIV/0!</v>
      </c>
      <c r="AG174" s="92"/>
    </row>
    <row r="175" spans="1:33" ht="14.4">
      <c r="A175" s="270"/>
      <c r="B175" s="97">
        <f t="shared" si="26"/>
        <v>31</v>
      </c>
      <c r="C175" s="325"/>
      <c r="D175" s="260"/>
      <c r="E175" s="95"/>
      <c r="G175" s="52"/>
      <c r="H175" s="52"/>
      <c r="I175" s="256"/>
      <c r="J175" s="98">
        <f t="shared" si="27"/>
        <v>0</v>
      </c>
      <c r="K175" s="118" t="e">
        <f t="shared" si="28"/>
        <v>#DIV/0!</v>
      </c>
      <c r="L175" s="15"/>
      <c r="M175" s="15"/>
      <c r="N175" s="15">
        <f t="shared" si="29"/>
        <v>0</v>
      </c>
      <c r="O175" s="70" t="e">
        <f t="shared" si="30"/>
        <v>#DIV/0!</v>
      </c>
      <c r="P175" s="70"/>
      <c r="Q175" s="70">
        <f t="shared" si="31"/>
        <v>0</v>
      </c>
      <c r="R175" s="70"/>
      <c r="S175" s="70"/>
      <c r="T175" s="70"/>
      <c r="U175" s="15"/>
      <c r="V175" s="70" t="e">
        <f t="shared" si="32"/>
        <v>#DIV/0!</v>
      </c>
      <c r="W175" s="15"/>
      <c r="X175" s="15"/>
      <c r="Y175" s="15">
        <f t="shared" si="33"/>
        <v>0</v>
      </c>
      <c r="Z175" s="52"/>
      <c r="AA175" s="98">
        <f t="shared" si="34"/>
        <v>0</v>
      </c>
      <c r="AB175" s="52"/>
      <c r="AC175" s="98">
        <f t="shared" si="35"/>
        <v>0</v>
      </c>
      <c r="AD175" s="98">
        <f t="shared" si="36"/>
        <v>0</v>
      </c>
      <c r="AE175" s="238" t="e">
        <f t="shared" si="37"/>
        <v>#DIV/0!</v>
      </c>
      <c r="AF175" s="125" t="e">
        <f t="shared" si="38"/>
        <v>#DIV/0!</v>
      </c>
      <c r="AG175" s="92"/>
    </row>
    <row r="176" spans="1:33" ht="14.4">
      <c r="A176" s="270"/>
      <c r="B176" s="97">
        <f t="shared" si="26"/>
        <v>31</v>
      </c>
      <c r="C176" s="325"/>
      <c r="D176" s="260"/>
      <c r="E176" s="95"/>
      <c r="G176" s="52"/>
      <c r="H176" s="52"/>
      <c r="I176" s="256"/>
      <c r="J176" s="98">
        <f t="shared" si="27"/>
        <v>0</v>
      </c>
      <c r="K176" s="118" t="e">
        <f t="shared" si="28"/>
        <v>#DIV/0!</v>
      </c>
      <c r="L176" s="15"/>
      <c r="M176" s="15"/>
      <c r="N176" s="15">
        <f t="shared" si="29"/>
        <v>0</v>
      </c>
      <c r="O176" s="70" t="e">
        <f t="shared" si="30"/>
        <v>#DIV/0!</v>
      </c>
      <c r="P176" s="70"/>
      <c r="Q176" s="70">
        <f t="shared" si="31"/>
        <v>0</v>
      </c>
      <c r="R176" s="70"/>
      <c r="S176" s="70"/>
      <c r="T176" s="70"/>
      <c r="U176" s="15"/>
      <c r="V176" s="70" t="e">
        <f t="shared" si="32"/>
        <v>#DIV/0!</v>
      </c>
      <c r="W176" s="15"/>
      <c r="X176" s="15"/>
      <c r="Y176" s="15">
        <f t="shared" si="33"/>
        <v>0</v>
      </c>
      <c r="Z176" s="52"/>
      <c r="AA176" s="98">
        <f t="shared" si="34"/>
        <v>0</v>
      </c>
      <c r="AB176" s="52"/>
      <c r="AC176" s="98">
        <f t="shared" si="35"/>
        <v>0</v>
      </c>
      <c r="AD176" s="98">
        <f t="shared" si="36"/>
        <v>0</v>
      </c>
      <c r="AE176" s="238" t="e">
        <f t="shared" si="37"/>
        <v>#DIV/0!</v>
      </c>
      <c r="AF176" s="125" t="e">
        <f t="shared" si="38"/>
        <v>#DIV/0!</v>
      </c>
      <c r="AG176" s="92"/>
    </row>
    <row r="177" spans="1:33" ht="14.4">
      <c r="A177" s="270"/>
      <c r="B177" s="97">
        <f t="shared" si="26"/>
        <v>31</v>
      </c>
      <c r="C177" s="325"/>
      <c r="D177" s="260"/>
      <c r="E177" s="95"/>
      <c r="G177" s="52"/>
      <c r="H177" s="52"/>
      <c r="I177" s="256"/>
      <c r="J177" s="98">
        <f t="shared" si="27"/>
        <v>0</v>
      </c>
      <c r="K177" s="118" t="e">
        <f t="shared" si="28"/>
        <v>#DIV/0!</v>
      </c>
      <c r="L177" s="15"/>
      <c r="M177" s="15"/>
      <c r="N177" s="15">
        <f t="shared" si="29"/>
        <v>0</v>
      </c>
      <c r="O177" s="70" t="e">
        <f t="shared" si="30"/>
        <v>#DIV/0!</v>
      </c>
      <c r="P177" s="70"/>
      <c r="Q177" s="70">
        <f t="shared" si="31"/>
        <v>0</v>
      </c>
      <c r="R177" s="70"/>
      <c r="S177" s="70"/>
      <c r="T177" s="70"/>
      <c r="U177" s="15"/>
      <c r="V177" s="70" t="e">
        <f t="shared" si="32"/>
        <v>#DIV/0!</v>
      </c>
      <c r="W177" s="15"/>
      <c r="X177" s="15"/>
      <c r="Y177" s="15">
        <f t="shared" si="33"/>
        <v>0</v>
      </c>
      <c r="Z177" s="52"/>
      <c r="AA177" s="98">
        <f t="shared" si="34"/>
        <v>0</v>
      </c>
      <c r="AB177" s="52"/>
      <c r="AC177" s="98">
        <f t="shared" si="35"/>
        <v>0</v>
      </c>
      <c r="AD177" s="98">
        <f t="shared" si="36"/>
        <v>0</v>
      </c>
      <c r="AE177" s="238" t="e">
        <f t="shared" si="37"/>
        <v>#DIV/0!</v>
      </c>
      <c r="AF177" s="125" t="e">
        <f t="shared" si="38"/>
        <v>#DIV/0!</v>
      </c>
      <c r="AG177" s="92"/>
    </row>
    <row r="178" spans="1:33" ht="14.4">
      <c r="A178" s="270"/>
      <c r="B178" s="97">
        <f t="shared" si="26"/>
        <v>31</v>
      </c>
      <c r="C178" s="325"/>
      <c r="D178" s="260"/>
      <c r="E178" s="95"/>
      <c r="G178" s="52"/>
      <c r="H178" s="52"/>
      <c r="I178" s="256"/>
      <c r="J178" s="98">
        <f t="shared" si="27"/>
        <v>0</v>
      </c>
      <c r="K178" s="118" t="e">
        <f t="shared" si="28"/>
        <v>#DIV/0!</v>
      </c>
      <c r="L178" s="15"/>
      <c r="M178" s="15"/>
      <c r="N178" s="15">
        <f t="shared" si="29"/>
        <v>0</v>
      </c>
      <c r="O178" s="70" t="e">
        <f t="shared" si="30"/>
        <v>#DIV/0!</v>
      </c>
      <c r="P178" s="70"/>
      <c r="Q178" s="70">
        <f t="shared" si="31"/>
        <v>0</v>
      </c>
      <c r="R178" s="70"/>
      <c r="S178" s="70"/>
      <c r="T178" s="70"/>
      <c r="U178" s="15"/>
      <c r="V178" s="70" t="e">
        <f t="shared" si="32"/>
        <v>#DIV/0!</v>
      </c>
      <c r="W178" s="15"/>
      <c r="X178" s="15"/>
      <c r="Y178" s="15">
        <f t="shared" si="33"/>
        <v>0</v>
      </c>
      <c r="Z178" s="52"/>
      <c r="AA178" s="98">
        <f t="shared" si="34"/>
        <v>0</v>
      </c>
      <c r="AB178" s="52"/>
      <c r="AC178" s="98">
        <f t="shared" si="35"/>
        <v>0</v>
      </c>
      <c r="AD178" s="98">
        <f t="shared" si="36"/>
        <v>0</v>
      </c>
      <c r="AE178" s="238" t="e">
        <f t="shared" si="37"/>
        <v>#DIV/0!</v>
      </c>
      <c r="AF178" s="125" t="e">
        <f t="shared" si="38"/>
        <v>#DIV/0!</v>
      </c>
      <c r="AG178" s="92"/>
    </row>
    <row r="179" spans="1:33" ht="14.4">
      <c r="A179" s="270"/>
      <c r="B179" s="97">
        <f t="shared" si="26"/>
        <v>31</v>
      </c>
      <c r="C179" s="325"/>
      <c r="D179" s="260"/>
      <c r="E179" s="95"/>
      <c r="G179" s="52"/>
      <c r="H179" s="52"/>
      <c r="I179" s="256"/>
      <c r="J179" s="98">
        <f t="shared" si="27"/>
        <v>0</v>
      </c>
      <c r="K179" s="118" t="e">
        <f t="shared" si="28"/>
        <v>#DIV/0!</v>
      </c>
      <c r="L179" s="15"/>
      <c r="M179" s="15"/>
      <c r="N179" s="15">
        <f t="shared" si="29"/>
        <v>0</v>
      </c>
      <c r="O179" s="70" t="e">
        <f t="shared" si="30"/>
        <v>#DIV/0!</v>
      </c>
      <c r="P179" s="70"/>
      <c r="Q179" s="70">
        <f t="shared" si="31"/>
        <v>0</v>
      </c>
      <c r="R179" s="70"/>
      <c r="S179" s="70"/>
      <c r="T179" s="70"/>
      <c r="U179" s="15"/>
      <c r="V179" s="70" t="e">
        <f t="shared" si="32"/>
        <v>#DIV/0!</v>
      </c>
      <c r="W179" s="15"/>
      <c r="X179" s="15"/>
      <c r="Y179" s="15">
        <f t="shared" si="33"/>
        <v>0</v>
      </c>
      <c r="Z179" s="52"/>
      <c r="AA179" s="98">
        <f t="shared" si="34"/>
        <v>0</v>
      </c>
      <c r="AB179" s="52"/>
      <c r="AC179" s="98">
        <f t="shared" si="35"/>
        <v>0</v>
      </c>
      <c r="AD179" s="98">
        <f t="shared" si="36"/>
        <v>0</v>
      </c>
      <c r="AE179" s="238" t="e">
        <f t="shared" si="37"/>
        <v>#DIV/0!</v>
      </c>
      <c r="AF179" s="125" t="e">
        <f t="shared" si="38"/>
        <v>#DIV/0!</v>
      </c>
      <c r="AG179" s="92"/>
    </row>
    <row r="180" spans="1:33" ht="14.4">
      <c r="A180" s="270"/>
      <c r="B180" s="97">
        <f t="shared" si="26"/>
        <v>31</v>
      </c>
      <c r="C180" s="325"/>
      <c r="D180" s="260"/>
      <c r="E180" s="95"/>
      <c r="G180" s="52"/>
      <c r="H180" s="52"/>
      <c r="I180" s="256"/>
      <c r="J180" s="98">
        <f t="shared" si="27"/>
        <v>0</v>
      </c>
      <c r="K180" s="118" t="e">
        <f t="shared" si="28"/>
        <v>#DIV/0!</v>
      </c>
      <c r="L180" s="15"/>
      <c r="M180" s="15"/>
      <c r="N180" s="15">
        <f t="shared" si="29"/>
        <v>0</v>
      </c>
      <c r="O180" s="70" t="e">
        <f t="shared" si="30"/>
        <v>#DIV/0!</v>
      </c>
      <c r="P180" s="70"/>
      <c r="Q180" s="70">
        <f t="shared" si="31"/>
        <v>0</v>
      </c>
      <c r="R180" s="70"/>
      <c r="S180" s="70"/>
      <c r="T180" s="70"/>
      <c r="U180" s="15"/>
      <c r="V180" s="70" t="e">
        <f t="shared" si="32"/>
        <v>#DIV/0!</v>
      </c>
      <c r="W180" s="15"/>
      <c r="X180" s="15"/>
      <c r="Y180" s="15">
        <f t="shared" si="33"/>
        <v>0</v>
      </c>
      <c r="Z180" s="52"/>
      <c r="AA180" s="98">
        <f t="shared" si="34"/>
        <v>0</v>
      </c>
      <c r="AB180" s="52"/>
      <c r="AC180" s="98">
        <f t="shared" si="35"/>
        <v>0</v>
      </c>
      <c r="AD180" s="98">
        <f t="shared" si="36"/>
        <v>0</v>
      </c>
      <c r="AE180" s="238" t="e">
        <f t="shared" si="37"/>
        <v>#DIV/0!</v>
      </c>
      <c r="AF180" s="125" t="e">
        <f t="shared" si="38"/>
        <v>#DIV/0!</v>
      </c>
      <c r="AG180" s="92"/>
    </row>
    <row r="181" spans="1:33" ht="14.4">
      <c r="A181" s="270"/>
      <c r="B181" s="97">
        <f t="shared" si="26"/>
        <v>31</v>
      </c>
      <c r="C181" s="325"/>
      <c r="D181" s="260"/>
      <c r="E181" s="95"/>
      <c r="G181" s="52"/>
      <c r="H181" s="52"/>
      <c r="I181" s="256"/>
      <c r="J181" s="98">
        <f t="shared" si="27"/>
        <v>0</v>
      </c>
      <c r="K181" s="118" t="e">
        <f t="shared" si="28"/>
        <v>#DIV/0!</v>
      </c>
      <c r="L181" s="15"/>
      <c r="M181" s="15"/>
      <c r="N181" s="15">
        <f t="shared" si="29"/>
        <v>0</v>
      </c>
      <c r="O181" s="70" t="e">
        <f t="shared" si="30"/>
        <v>#DIV/0!</v>
      </c>
      <c r="P181" s="70"/>
      <c r="Q181" s="70">
        <f t="shared" si="31"/>
        <v>0</v>
      </c>
      <c r="R181" s="70"/>
      <c r="S181" s="70"/>
      <c r="T181" s="70"/>
      <c r="U181" s="15"/>
      <c r="V181" s="70" t="e">
        <f t="shared" si="32"/>
        <v>#DIV/0!</v>
      </c>
      <c r="W181" s="15"/>
      <c r="X181" s="15"/>
      <c r="Y181" s="15">
        <f t="shared" si="33"/>
        <v>0</v>
      </c>
      <c r="Z181" s="52"/>
      <c r="AA181" s="98">
        <f t="shared" si="34"/>
        <v>0</v>
      </c>
      <c r="AB181" s="52"/>
      <c r="AC181" s="98">
        <f t="shared" si="35"/>
        <v>0</v>
      </c>
      <c r="AD181" s="98">
        <f t="shared" si="36"/>
        <v>0</v>
      </c>
      <c r="AE181" s="238" t="e">
        <f t="shared" si="37"/>
        <v>#DIV/0!</v>
      </c>
      <c r="AF181" s="125" t="e">
        <f t="shared" si="38"/>
        <v>#DIV/0!</v>
      </c>
      <c r="AG181" s="92"/>
    </row>
    <row r="182" spans="1:33" ht="14.4">
      <c r="A182" s="270"/>
      <c r="B182" s="97">
        <f t="shared" si="26"/>
        <v>31</v>
      </c>
      <c r="C182" s="325"/>
      <c r="D182" s="260"/>
      <c r="E182" s="95"/>
      <c r="G182" s="52"/>
      <c r="H182" s="52"/>
      <c r="I182" s="256"/>
      <c r="J182" s="98">
        <f t="shared" si="27"/>
        <v>0</v>
      </c>
      <c r="K182" s="118" t="e">
        <f t="shared" si="28"/>
        <v>#DIV/0!</v>
      </c>
      <c r="L182" s="15"/>
      <c r="M182" s="15"/>
      <c r="N182" s="15">
        <f t="shared" si="29"/>
        <v>0</v>
      </c>
      <c r="O182" s="70" t="e">
        <f t="shared" si="30"/>
        <v>#DIV/0!</v>
      </c>
      <c r="P182" s="70"/>
      <c r="Q182" s="70">
        <f t="shared" si="31"/>
        <v>0</v>
      </c>
      <c r="R182" s="70"/>
      <c r="S182" s="70"/>
      <c r="T182" s="70"/>
      <c r="U182" s="15"/>
      <c r="V182" s="70" t="e">
        <f t="shared" si="32"/>
        <v>#DIV/0!</v>
      </c>
      <c r="W182" s="15"/>
      <c r="X182" s="15"/>
      <c r="Y182" s="15">
        <f t="shared" si="33"/>
        <v>0</v>
      </c>
      <c r="Z182" s="52"/>
      <c r="AA182" s="98">
        <f t="shared" si="34"/>
        <v>0</v>
      </c>
      <c r="AB182" s="52"/>
      <c r="AC182" s="98">
        <f t="shared" si="35"/>
        <v>0</v>
      </c>
      <c r="AD182" s="98">
        <f t="shared" si="36"/>
        <v>0</v>
      </c>
      <c r="AE182" s="238" t="e">
        <f t="shared" si="37"/>
        <v>#DIV/0!</v>
      </c>
      <c r="AF182" s="125" t="e">
        <f t="shared" si="38"/>
        <v>#DIV/0!</v>
      </c>
      <c r="AG182" s="92"/>
    </row>
    <row r="183" spans="1:33" ht="14.4">
      <c r="A183" s="270"/>
      <c r="B183" s="97">
        <f t="shared" si="26"/>
        <v>31</v>
      </c>
      <c r="C183" s="325"/>
      <c r="D183" s="260"/>
      <c r="E183" s="95"/>
      <c r="G183" s="52"/>
      <c r="H183" s="52"/>
      <c r="I183" s="256"/>
      <c r="J183" s="98">
        <f t="shared" si="27"/>
        <v>0</v>
      </c>
      <c r="K183" s="118" t="e">
        <f t="shared" si="28"/>
        <v>#DIV/0!</v>
      </c>
      <c r="L183" s="15"/>
      <c r="M183" s="15"/>
      <c r="N183" s="15">
        <f t="shared" si="29"/>
        <v>0</v>
      </c>
      <c r="O183" s="70" t="e">
        <f t="shared" si="30"/>
        <v>#DIV/0!</v>
      </c>
      <c r="P183" s="70"/>
      <c r="Q183" s="70">
        <f t="shared" si="31"/>
        <v>0</v>
      </c>
      <c r="R183" s="70"/>
      <c r="S183" s="70"/>
      <c r="T183" s="70"/>
      <c r="U183" s="15"/>
      <c r="V183" s="70" t="e">
        <f t="shared" si="32"/>
        <v>#DIV/0!</v>
      </c>
      <c r="W183" s="15"/>
      <c r="X183" s="15"/>
      <c r="Y183" s="15">
        <f t="shared" si="33"/>
        <v>0</v>
      </c>
      <c r="Z183" s="52"/>
      <c r="AA183" s="98">
        <f t="shared" si="34"/>
        <v>0</v>
      </c>
      <c r="AB183" s="52"/>
      <c r="AC183" s="98">
        <f t="shared" si="35"/>
        <v>0</v>
      </c>
      <c r="AD183" s="98">
        <f t="shared" si="36"/>
        <v>0</v>
      </c>
      <c r="AE183" s="238" t="e">
        <f t="shared" si="37"/>
        <v>#DIV/0!</v>
      </c>
      <c r="AF183" s="125" t="e">
        <f t="shared" si="38"/>
        <v>#DIV/0!</v>
      </c>
      <c r="AG183" s="92"/>
    </row>
    <row r="184" spans="1:33" ht="14.4">
      <c r="A184" s="270"/>
      <c r="B184" s="97">
        <f t="shared" si="26"/>
        <v>31</v>
      </c>
      <c r="C184" s="325"/>
      <c r="D184" s="260"/>
      <c r="E184" s="95"/>
      <c r="G184" s="52"/>
      <c r="H184" s="52"/>
      <c r="I184" s="256"/>
      <c r="J184" s="98">
        <f t="shared" si="27"/>
        <v>0</v>
      </c>
      <c r="K184" s="118" t="e">
        <f t="shared" si="28"/>
        <v>#DIV/0!</v>
      </c>
      <c r="L184" s="15"/>
      <c r="M184" s="15"/>
      <c r="N184" s="15">
        <f t="shared" si="29"/>
        <v>0</v>
      </c>
      <c r="O184" s="70" t="e">
        <f t="shared" si="30"/>
        <v>#DIV/0!</v>
      </c>
      <c r="P184" s="70"/>
      <c r="Q184" s="70">
        <f t="shared" si="31"/>
        <v>0</v>
      </c>
      <c r="R184" s="70"/>
      <c r="S184" s="70"/>
      <c r="T184" s="70"/>
      <c r="U184" s="15"/>
      <c r="V184" s="70" t="e">
        <f t="shared" si="32"/>
        <v>#DIV/0!</v>
      </c>
      <c r="W184" s="15"/>
      <c r="X184" s="15"/>
      <c r="Y184" s="15">
        <f t="shared" si="33"/>
        <v>0</v>
      </c>
      <c r="Z184" s="52"/>
      <c r="AA184" s="98">
        <f t="shared" si="34"/>
        <v>0</v>
      </c>
      <c r="AB184" s="52"/>
      <c r="AC184" s="98">
        <f t="shared" si="35"/>
        <v>0</v>
      </c>
      <c r="AD184" s="98">
        <f t="shared" si="36"/>
        <v>0</v>
      </c>
      <c r="AE184" s="238" t="e">
        <f t="shared" si="37"/>
        <v>#DIV/0!</v>
      </c>
      <c r="AF184" s="125" t="e">
        <f t="shared" si="38"/>
        <v>#DIV/0!</v>
      </c>
      <c r="AG184" s="92"/>
    </row>
    <row r="185" spans="1:33" ht="14.4">
      <c r="A185" s="270"/>
      <c r="B185" s="97">
        <f t="shared" si="26"/>
        <v>31</v>
      </c>
      <c r="C185" s="325"/>
      <c r="D185" s="260"/>
      <c r="E185" s="95"/>
      <c r="G185" s="52"/>
      <c r="H185" s="52"/>
      <c r="I185" s="256"/>
      <c r="J185" s="98">
        <f t="shared" si="27"/>
        <v>0</v>
      </c>
      <c r="K185" s="118" t="e">
        <f t="shared" si="28"/>
        <v>#DIV/0!</v>
      </c>
      <c r="L185" s="15"/>
      <c r="M185" s="15"/>
      <c r="N185" s="15">
        <f t="shared" si="29"/>
        <v>0</v>
      </c>
      <c r="O185" s="70" t="e">
        <f t="shared" si="30"/>
        <v>#DIV/0!</v>
      </c>
      <c r="P185" s="70"/>
      <c r="Q185" s="70">
        <f t="shared" si="31"/>
        <v>0</v>
      </c>
      <c r="R185" s="70"/>
      <c r="S185" s="70"/>
      <c r="T185" s="70"/>
      <c r="U185" s="15"/>
      <c r="V185" s="70" t="e">
        <f t="shared" si="32"/>
        <v>#DIV/0!</v>
      </c>
      <c r="W185" s="15"/>
      <c r="X185" s="15"/>
      <c r="Y185" s="15">
        <f t="shared" si="33"/>
        <v>0</v>
      </c>
      <c r="Z185" s="52"/>
      <c r="AA185" s="98">
        <f t="shared" si="34"/>
        <v>0</v>
      </c>
      <c r="AB185" s="52"/>
      <c r="AC185" s="98">
        <f t="shared" si="35"/>
        <v>0</v>
      </c>
      <c r="AD185" s="98">
        <f t="shared" si="36"/>
        <v>0</v>
      </c>
      <c r="AE185" s="238" t="e">
        <f t="shared" si="37"/>
        <v>#DIV/0!</v>
      </c>
      <c r="AF185" s="125" t="e">
        <f t="shared" si="38"/>
        <v>#DIV/0!</v>
      </c>
      <c r="AG185" s="92"/>
    </row>
    <row r="186" spans="1:33" ht="14.4">
      <c r="A186" s="270"/>
      <c r="B186" s="97">
        <f t="shared" si="26"/>
        <v>31</v>
      </c>
      <c r="C186" s="325"/>
      <c r="D186" s="260"/>
      <c r="E186" s="95"/>
      <c r="G186" s="52"/>
      <c r="H186" s="52"/>
      <c r="I186" s="256"/>
      <c r="J186" s="98">
        <f t="shared" si="27"/>
        <v>0</v>
      </c>
      <c r="K186" s="118" t="e">
        <f t="shared" si="28"/>
        <v>#DIV/0!</v>
      </c>
      <c r="L186" s="15"/>
      <c r="M186" s="15"/>
      <c r="N186" s="15">
        <f t="shared" si="29"/>
        <v>0</v>
      </c>
      <c r="O186" s="70" t="e">
        <f t="shared" si="30"/>
        <v>#DIV/0!</v>
      </c>
      <c r="P186" s="70"/>
      <c r="Q186" s="70">
        <f t="shared" si="31"/>
        <v>0</v>
      </c>
      <c r="R186" s="70"/>
      <c r="S186" s="70"/>
      <c r="T186" s="70"/>
      <c r="U186" s="15"/>
      <c r="V186" s="70" t="e">
        <f t="shared" si="32"/>
        <v>#DIV/0!</v>
      </c>
      <c r="W186" s="15"/>
      <c r="X186" s="15"/>
      <c r="Y186" s="15">
        <f t="shared" si="33"/>
        <v>0</v>
      </c>
      <c r="Z186" s="52"/>
      <c r="AA186" s="98">
        <f t="shared" si="34"/>
        <v>0</v>
      </c>
      <c r="AB186" s="52"/>
      <c r="AC186" s="98">
        <f t="shared" si="35"/>
        <v>0</v>
      </c>
      <c r="AD186" s="98">
        <f t="shared" si="36"/>
        <v>0</v>
      </c>
      <c r="AE186" s="238" t="e">
        <f t="shared" si="37"/>
        <v>#DIV/0!</v>
      </c>
      <c r="AF186" s="125" t="e">
        <f t="shared" si="38"/>
        <v>#DIV/0!</v>
      </c>
      <c r="AG186" s="92"/>
    </row>
    <row r="187" spans="1:33" ht="14.4">
      <c r="A187" s="270"/>
      <c r="B187" s="97">
        <f t="shared" si="26"/>
        <v>31</v>
      </c>
      <c r="C187" s="325"/>
      <c r="D187" s="260"/>
      <c r="E187" s="95"/>
      <c r="G187" s="52"/>
      <c r="H187" s="52"/>
      <c r="I187" s="256"/>
      <c r="J187" s="98">
        <f t="shared" si="27"/>
        <v>0</v>
      </c>
      <c r="K187" s="118" t="e">
        <f t="shared" si="28"/>
        <v>#DIV/0!</v>
      </c>
      <c r="L187" s="15"/>
      <c r="M187" s="15"/>
      <c r="N187" s="15">
        <f t="shared" si="29"/>
        <v>0</v>
      </c>
      <c r="O187" s="70" t="e">
        <f t="shared" si="30"/>
        <v>#DIV/0!</v>
      </c>
      <c r="P187" s="70"/>
      <c r="Q187" s="70">
        <f t="shared" si="31"/>
        <v>0</v>
      </c>
      <c r="R187" s="70"/>
      <c r="S187" s="70"/>
      <c r="T187" s="70"/>
      <c r="U187" s="15"/>
      <c r="V187" s="70" t="e">
        <f t="shared" si="32"/>
        <v>#DIV/0!</v>
      </c>
      <c r="W187" s="15"/>
      <c r="X187" s="15"/>
      <c r="Y187" s="15">
        <f t="shared" si="33"/>
        <v>0</v>
      </c>
      <c r="Z187" s="52"/>
      <c r="AA187" s="98">
        <f t="shared" si="34"/>
        <v>0</v>
      </c>
      <c r="AB187" s="52"/>
      <c r="AC187" s="98">
        <f t="shared" si="35"/>
        <v>0</v>
      </c>
      <c r="AD187" s="98">
        <f t="shared" si="36"/>
        <v>0</v>
      </c>
      <c r="AE187" s="238" t="e">
        <f t="shared" si="37"/>
        <v>#DIV/0!</v>
      </c>
      <c r="AF187" s="125" t="e">
        <f t="shared" si="38"/>
        <v>#DIV/0!</v>
      </c>
      <c r="AG187" s="92"/>
    </row>
    <row r="188" spans="1:33" ht="14.4">
      <c r="A188" s="270"/>
      <c r="B188" s="97">
        <f t="shared" si="26"/>
        <v>31</v>
      </c>
      <c r="C188" s="325"/>
      <c r="D188" s="260"/>
      <c r="E188" s="95"/>
      <c r="G188" s="52"/>
      <c r="H188" s="52"/>
      <c r="I188" s="256"/>
      <c r="J188" s="98">
        <f t="shared" si="27"/>
        <v>0</v>
      </c>
      <c r="K188" s="118" t="e">
        <f t="shared" si="28"/>
        <v>#DIV/0!</v>
      </c>
      <c r="L188" s="15"/>
      <c r="M188" s="15"/>
      <c r="N188" s="15">
        <f t="shared" si="29"/>
        <v>0</v>
      </c>
      <c r="O188" s="70" t="e">
        <f t="shared" si="30"/>
        <v>#DIV/0!</v>
      </c>
      <c r="P188" s="70"/>
      <c r="Q188" s="70">
        <f t="shared" si="31"/>
        <v>0</v>
      </c>
      <c r="R188" s="70"/>
      <c r="S188" s="70"/>
      <c r="T188" s="70"/>
      <c r="U188" s="15"/>
      <c r="V188" s="70" t="e">
        <f t="shared" si="32"/>
        <v>#DIV/0!</v>
      </c>
      <c r="W188" s="15"/>
      <c r="X188" s="15"/>
      <c r="Y188" s="15">
        <f t="shared" si="33"/>
        <v>0</v>
      </c>
      <c r="Z188" s="52"/>
      <c r="AA188" s="98">
        <f t="shared" si="34"/>
        <v>0</v>
      </c>
      <c r="AB188" s="52"/>
      <c r="AC188" s="98">
        <f t="shared" si="35"/>
        <v>0</v>
      </c>
      <c r="AD188" s="98">
        <f t="shared" si="36"/>
        <v>0</v>
      </c>
      <c r="AE188" s="238" t="e">
        <f t="shared" si="37"/>
        <v>#DIV/0!</v>
      </c>
      <c r="AF188" s="125" t="e">
        <f t="shared" si="38"/>
        <v>#DIV/0!</v>
      </c>
      <c r="AG188" s="92"/>
    </row>
    <row r="189" spans="1:33" ht="14.4">
      <c r="A189" s="270"/>
      <c r="B189" s="97">
        <f t="shared" si="26"/>
        <v>31</v>
      </c>
      <c r="C189" s="325"/>
      <c r="D189" s="260"/>
      <c r="E189" s="95"/>
      <c r="G189" s="52"/>
      <c r="H189" s="52"/>
      <c r="I189" s="256"/>
      <c r="J189" s="98">
        <f t="shared" si="27"/>
        <v>0</v>
      </c>
      <c r="K189" s="118" t="e">
        <f t="shared" si="28"/>
        <v>#DIV/0!</v>
      </c>
      <c r="L189" s="15"/>
      <c r="M189" s="15"/>
      <c r="N189" s="15">
        <f t="shared" si="29"/>
        <v>0</v>
      </c>
      <c r="O189" s="70" t="e">
        <f t="shared" si="30"/>
        <v>#DIV/0!</v>
      </c>
      <c r="P189" s="70"/>
      <c r="Q189" s="70">
        <f t="shared" si="31"/>
        <v>0</v>
      </c>
      <c r="R189" s="70"/>
      <c r="S189" s="70"/>
      <c r="T189" s="70"/>
      <c r="U189" s="15"/>
      <c r="V189" s="70" t="e">
        <f t="shared" si="32"/>
        <v>#DIV/0!</v>
      </c>
      <c r="W189" s="15"/>
      <c r="X189" s="15"/>
      <c r="Y189" s="15">
        <f t="shared" si="33"/>
        <v>0</v>
      </c>
      <c r="Z189" s="52"/>
      <c r="AA189" s="98">
        <f t="shared" si="34"/>
        <v>0</v>
      </c>
      <c r="AB189" s="52"/>
      <c r="AC189" s="98">
        <f t="shared" si="35"/>
        <v>0</v>
      </c>
      <c r="AD189" s="98">
        <f t="shared" si="36"/>
        <v>0</v>
      </c>
      <c r="AE189" s="238" t="e">
        <f t="shared" si="37"/>
        <v>#DIV/0!</v>
      </c>
      <c r="AF189" s="125" t="e">
        <f t="shared" si="38"/>
        <v>#DIV/0!</v>
      </c>
      <c r="AG189" s="92"/>
    </row>
    <row r="190" spans="1:33" ht="14.4">
      <c r="A190" s="270"/>
      <c r="B190" s="97">
        <f t="shared" si="26"/>
        <v>31</v>
      </c>
      <c r="C190" s="325"/>
      <c r="D190" s="260"/>
      <c r="E190" s="95"/>
      <c r="G190" s="52"/>
      <c r="H190" s="52"/>
      <c r="I190" s="256"/>
      <c r="J190" s="98">
        <f t="shared" si="27"/>
        <v>0</v>
      </c>
      <c r="K190" s="118" t="e">
        <f t="shared" si="28"/>
        <v>#DIV/0!</v>
      </c>
      <c r="L190" s="15"/>
      <c r="M190" s="15"/>
      <c r="N190" s="15">
        <f t="shared" si="29"/>
        <v>0</v>
      </c>
      <c r="O190" s="70" t="e">
        <f t="shared" si="30"/>
        <v>#DIV/0!</v>
      </c>
      <c r="P190" s="70"/>
      <c r="Q190" s="70">
        <f t="shared" si="31"/>
        <v>0</v>
      </c>
      <c r="R190" s="70"/>
      <c r="S190" s="70"/>
      <c r="T190" s="70"/>
      <c r="U190" s="15"/>
      <c r="V190" s="70" t="e">
        <f t="shared" si="32"/>
        <v>#DIV/0!</v>
      </c>
      <c r="W190" s="15"/>
      <c r="X190" s="15"/>
      <c r="Y190" s="15">
        <f t="shared" si="33"/>
        <v>0</v>
      </c>
      <c r="Z190" s="52"/>
      <c r="AA190" s="98">
        <f t="shared" si="34"/>
        <v>0</v>
      </c>
      <c r="AB190" s="52"/>
      <c r="AC190" s="98">
        <f t="shared" si="35"/>
        <v>0</v>
      </c>
      <c r="AD190" s="98">
        <f t="shared" si="36"/>
        <v>0</v>
      </c>
      <c r="AE190" s="238" t="e">
        <f t="shared" si="37"/>
        <v>#DIV/0!</v>
      </c>
      <c r="AF190" s="125" t="e">
        <f t="shared" si="38"/>
        <v>#DIV/0!</v>
      </c>
      <c r="AG190" s="92"/>
    </row>
    <row r="191" spans="1:33" ht="14.4">
      <c r="A191" s="270"/>
      <c r="B191" s="97">
        <f t="shared" si="26"/>
        <v>31</v>
      </c>
      <c r="C191" s="325"/>
      <c r="D191" s="260"/>
      <c r="E191" s="95"/>
      <c r="G191" s="52"/>
      <c r="H191" s="52"/>
      <c r="I191" s="256"/>
      <c r="J191" s="98">
        <f t="shared" si="27"/>
        <v>0</v>
      </c>
      <c r="K191" s="118" t="e">
        <f t="shared" si="28"/>
        <v>#DIV/0!</v>
      </c>
      <c r="L191" s="15"/>
      <c r="M191" s="15"/>
      <c r="N191" s="15">
        <f t="shared" si="29"/>
        <v>0</v>
      </c>
      <c r="O191" s="70" t="e">
        <f t="shared" si="30"/>
        <v>#DIV/0!</v>
      </c>
      <c r="P191" s="70"/>
      <c r="Q191" s="70">
        <f t="shared" si="31"/>
        <v>0</v>
      </c>
      <c r="R191" s="70"/>
      <c r="S191" s="70"/>
      <c r="T191" s="70"/>
      <c r="U191" s="15"/>
      <c r="V191" s="70" t="e">
        <f t="shared" si="32"/>
        <v>#DIV/0!</v>
      </c>
      <c r="W191" s="15"/>
      <c r="X191" s="15"/>
      <c r="Y191" s="15">
        <f t="shared" si="33"/>
        <v>0</v>
      </c>
      <c r="Z191" s="52"/>
      <c r="AA191" s="98">
        <f t="shared" si="34"/>
        <v>0</v>
      </c>
      <c r="AB191" s="52"/>
      <c r="AC191" s="98">
        <f t="shared" si="35"/>
        <v>0</v>
      </c>
      <c r="AD191" s="98">
        <f t="shared" si="36"/>
        <v>0</v>
      </c>
      <c r="AE191" s="238" t="e">
        <f t="shared" si="37"/>
        <v>#DIV/0!</v>
      </c>
      <c r="AF191" s="125" t="e">
        <f t="shared" si="38"/>
        <v>#DIV/0!</v>
      </c>
      <c r="AG191" s="92"/>
    </row>
    <row r="192" spans="1:33" ht="14.4">
      <c r="A192" s="270"/>
      <c r="B192" s="97">
        <f t="shared" si="26"/>
        <v>31</v>
      </c>
      <c r="C192" s="325"/>
      <c r="D192" s="260"/>
      <c r="E192" s="95"/>
      <c r="G192" s="52"/>
      <c r="H192" s="52"/>
      <c r="I192" s="256"/>
      <c r="J192" s="98">
        <f t="shared" si="27"/>
        <v>0</v>
      </c>
      <c r="K192" s="118" t="e">
        <f t="shared" si="28"/>
        <v>#DIV/0!</v>
      </c>
      <c r="L192" s="15"/>
      <c r="M192" s="15"/>
      <c r="N192" s="15">
        <f t="shared" si="29"/>
        <v>0</v>
      </c>
      <c r="O192" s="70" t="e">
        <f t="shared" si="30"/>
        <v>#DIV/0!</v>
      </c>
      <c r="P192" s="70"/>
      <c r="Q192" s="70">
        <f t="shared" si="31"/>
        <v>0</v>
      </c>
      <c r="R192" s="70"/>
      <c r="S192" s="70"/>
      <c r="T192" s="70"/>
      <c r="U192" s="15"/>
      <c r="V192" s="70" t="e">
        <f t="shared" si="32"/>
        <v>#DIV/0!</v>
      </c>
      <c r="W192" s="15"/>
      <c r="X192" s="15"/>
      <c r="Y192" s="15">
        <f t="shared" si="33"/>
        <v>0</v>
      </c>
      <c r="Z192" s="52"/>
      <c r="AA192" s="98">
        <f t="shared" si="34"/>
        <v>0</v>
      </c>
      <c r="AB192" s="52"/>
      <c r="AC192" s="98">
        <f t="shared" si="35"/>
        <v>0</v>
      </c>
      <c r="AD192" s="98">
        <f t="shared" si="36"/>
        <v>0</v>
      </c>
      <c r="AE192" s="238" t="e">
        <f t="shared" si="37"/>
        <v>#DIV/0!</v>
      </c>
      <c r="AF192" s="125" t="e">
        <f t="shared" si="38"/>
        <v>#DIV/0!</v>
      </c>
      <c r="AG192" s="92"/>
    </row>
    <row r="193" spans="1:33" ht="14.4">
      <c r="A193" s="270"/>
      <c r="B193" s="97">
        <f t="shared" si="26"/>
        <v>31</v>
      </c>
      <c r="C193" s="325"/>
      <c r="D193" s="260"/>
      <c r="E193" s="95"/>
      <c r="G193" s="52"/>
      <c r="H193" s="52"/>
      <c r="I193" s="256"/>
      <c r="J193" s="98">
        <f t="shared" si="27"/>
        <v>0</v>
      </c>
      <c r="K193" s="118" t="e">
        <f t="shared" si="28"/>
        <v>#DIV/0!</v>
      </c>
      <c r="L193" s="15"/>
      <c r="M193" s="15"/>
      <c r="N193" s="15">
        <f t="shared" si="29"/>
        <v>0</v>
      </c>
      <c r="O193" s="70" t="e">
        <f t="shared" si="30"/>
        <v>#DIV/0!</v>
      </c>
      <c r="P193" s="70"/>
      <c r="Q193" s="70">
        <f t="shared" si="31"/>
        <v>0</v>
      </c>
      <c r="R193" s="70"/>
      <c r="S193" s="70"/>
      <c r="T193" s="70"/>
      <c r="U193" s="15"/>
      <c r="V193" s="70" t="e">
        <f t="shared" si="32"/>
        <v>#DIV/0!</v>
      </c>
      <c r="W193" s="15"/>
      <c r="X193" s="15"/>
      <c r="Y193" s="15">
        <f t="shared" si="33"/>
        <v>0</v>
      </c>
      <c r="Z193" s="52"/>
      <c r="AA193" s="98">
        <f t="shared" si="34"/>
        <v>0</v>
      </c>
      <c r="AB193" s="52"/>
      <c r="AC193" s="98">
        <f t="shared" si="35"/>
        <v>0</v>
      </c>
      <c r="AD193" s="98">
        <f t="shared" si="36"/>
        <v>0</v>
      </c>
      <c r="AE193" s="238" t="e">
        <f t="shared" si="37"/>
        <v>#DIV/0!</v>
      </c>
      <c r="AF193" s="125" t="e">
        <f t="shared" si="38"/>
        <v>#DIV/0!</v>
      </c>
      <c r="AG193" s="92"/>
    </row>
    <row r="194" spans="1:33" ht="14.4">
      <c r="A194" s="270"/>
      <c r="B194" s="97">
        <f t="shared" si="26"/>
        <v>31</v>
      </c>
      <c r="C194" s="325"/>
      <c r="D194" s="260"/>
      <c r="E194" s="95"/>
      <c r="G194" s="52"/>
      <c r="H194" s="52"/>
      <c r="I194" s="256"/>
      <c r="J194" s="98">
        <f t="shared" si="27"/>
        <v>0</v>
      </c>
      <c r="K194" s="118" t="e">
        <f t="shared" si="28"/>
        <v>#DIV/0!</v>
      </c>
      <c r="L194" s="15"/>
      <c r="M194" s="15"/>
      <c r="N194" s="15">
        <f t="shared" si="29"/>
        <v>0</v>
      </c>
      <c r="O194" s="70" t="e">
        <f t="shared" si="30"/>
        <v>#DIV/0!</v>
      </c>
      <c r="P194" s="70"/>
      <c r="Q194" s="70">
        <f t="shared" si="31"/>
        <v>0</v>
      </c>
      <c r="R194" s="70"/>
      <c r="S194" s="70"/>
      <c r="T194" s="70"/>
      <c r="U194" s="15"/>
      <c r="V194" s="70" t="e">
        <f t="shared" si="32"/>
        <v>#DIV/0!</v>
      </c>
      <c r="W194" s="15"/>
      <c r="X194" s="15"/>
      <c r="Y194" s="15">
        <f t="shared" si="33"/>
        <v>0</v>
      </c>
      <c r="Z194" s="52"/>
      <c r="AA194" s="98">
        <f t="shared" si="34"/>
        <v>0</v>
      </c>
      <c r="AB194" s="52"/>
      <c r="AC194" s="98">
        <f t="shared" si="35"/>
        <v>0</v>
      </c>
      <c r="AD194" s="98">
        <f t="shared" si="36"/>
        <v>0</v>
      </c>
      <c r="AE194" s="238" t="e">
        <f t="shared" si="37"/>
        <v>#DIV/0!</v>
      </c>
      <c r="AF194" s="125" t="e">
        <f t="shared" si="38"/>
        <v>#DIV/0!</v>
      </c>
      <c r="AG194" s="92"/>
    </row>
    <row r="195" spans="1:33" ht="14.4">
      <c r="A195" s="270"/>
      <c r="B195" s="97">
        <f t="shared" si="26"/>
        <v>31</v>
      </c>
      <c r="C195" s="325"/>
      <c r="D195" s="260"/>
      <c r="E195" s="95"/>
      <c r="G195" s="52"/>
      <c r="H195" s="52"/>
      <c r="I195" s="256"/>
      <c r="J195" s="98">
        <f t="shared" si="27"/>
        <v>0</v>
      </c>
      <c r="K195" s="118" t="e">
        <f t="shared" si="28"/>
        <v>#DIV/0!</v>
      </c>
      <c r="L195" s="15"/>
      <c r="M195" s="15"/>
      <c r="N195" s="15">
        <f t="shared" si="29"/>
        <v>0</v>
      </c>
      <c r="O195" s="70" t="e">
        <f t="shared" si="30"/>
        <v>#DIV/0!</v>
      </c>
      <c r="P195" s="70"/>
      <c r="Q195" s="70">
        <f t="shared" si="31"/>
        <v>0</v>
      </c>
      <c r="R195" s="70"/>
      <c r="S195" s="70"/>
      <c r="T195" s="70"/>
      <c r="U195" s="15"/>
      <c r="V195" s="70" t="e">
        <f t="shared" si="32"/>
        <v>#DIV/0!</v>
      </c>
      <c r="W195" s="15"/>
      <c r="X195" s="15"/>
      <c r="Y195" s="15">
        <f t="shared" si="33"/>
        <v>0</v>
      </c>
      <c r="Z195" s="52"/>
      <c r="AA195" s="98">
        <f t="shared" si="34"/>
        <v>0</v>
      </c>
      <c r="AB195" s="52"/>
      <c r="AC195" s="98">
        <f t="shared" si="35"/>
        <v>0</v>
      </c>
      <c r="AD195" s="98">
        <f t="shared" si="36"/>
        <v>0</v>
      </c>
      <c r="AE195" s="238" t="e">
        <f t="shared" si="37"/>
        <v>#DIV/0!</v>
      </c>
      <c r="AF195" s="125" t="e">
        <f t="shared" si="38"/>
        <v>#DIV/0!</v>
      </c>
      <c r="AG195" s="92"/>
    </row>
    <row r="196" spans="1:33" ht="14.4">
      <c r="A196" s="270"/>
      <c r="B196" s="97">
        <f t="shared" si="26"/>
        <v>31</v>
      </c>
      <c r="C196" s="325"/>
      <c r="D196" s="260"/>
      <c r="E196" s="95"/>
      <c r="G196" s="52"/>
      <c r="H196" s="52"/>
      <c r="I196" s="256"/>
      <c r="J196" s="98">
        <f t="shared" si="27"/>
        <v>0</v>
      </c>
      <c r="K196" s="118" t="e">
        <f t="shared" si="28"/>
        <v>#DIV/0!</v>
      </c>
      <c r="L196" s="15"/>
      <c r="M196" s="15"/>
      <c r="N196" s="15">
        <f t="shared" si="29"/>
        <v>0</v>
      </c>
      <c r="O196" s="70" t="e">
        <f t="shared" si="30"/>
        <v>#DIV/0!</v>
      </c>
      <c r="P196" s="70"/>
      <c r="Q196" s="70">
        <f t="shared" si="31"/>
        <v>0</v>
      </c>
      <c r="R196" s="70"/>
      <c r="S196" s="70"/>
      <c r="T196" s="70"/>
      <c r="U196" s="15"/>
      <c r="V196" s="70" t="e">
        <f t="shared" si="32"/>
        <v>#DIV/0!</v>
      </c>
      <c r="W196" s="15"/>
      <c r="X196" s="15"/>
      <c r="Y196" s="15">
        <f t="shared" si="33"/>
        <v>0</v>
      </c>
      <c r="Z196" s="52"/>
      <c r="AA196" s="98">
        <f t="shared" si="34"/>
        <v>0</v>
      </c>
      <c r="AB196" s="52"/>
      <c r="AC196" s="98">
        <f t="shared" si="35"/>
        <v>0</v>
      </c>
      <c r="AD196" s="98">
        <f t="shared" si="36"/>
        <v>0</v>
      </c>
      <c r="AE196" s="238" t="e">
        <f t="shared" si="37"/>
        <v>#DIV/0!</v>
      </c>
      <c r="AF196" s="125" t="e">
        <f t="shared" si="38"/>
        <v>#DIV/0!</v>
      </c>
      <c r="AG196" s="92"/>
    </row>
    <row r="197" spans="1:33" ht="14.4">
      <c r="A197" s="270"/>
      <c r="B197" s="97">
        <f t="shared" si="26"/>
        <v>31</v>
      </c>
      <c r="C197" s="325"/>
      <c r="D197" s="260"/>
      <c r="E197" s="95"/>
      <c r="G197" s="52"/>
      <c r="H197" s="52"/>
      <c r="I197" s="256"/>
      <c r="J197" s="98">
        <f t="shared" si="27"/>
        <v>0</v>
      </c>
      <c r="K197" s="118" t="e">
        <f t="shared" si="28"/>
        <v>#DIV/0!</v>
      </c>
      <c r="L197" s="15"/>
      <c r="M197" s="15"/>
      <c r="N197" s="15">
        <f t="shared" si="29"/>
        <v>0</v>
      </c>
      <c r="O197" s="70" t="e">
        <f t="shared" si="30"/>
        <v>#DIV/0!</v>
      </c>
      <c r="P197" s="70"/>
      <c r="Q197" s="70">
        <f t="shared" si="31"/>
        <v>0</v>
      </c>
      <c r="R197" s="70"/>
      <c r="S197" s="70"/>
      <c r="T197" s="70"/>
      <c r="U197" s="15"/>
      <c r="V197" s="70" t="e">
        <f t="shared" si="32"/>
        <v>#DIV/0!</v>
      </c>
      <c r="W197" s="15"/>
      <c r="X197" s="15"/>
      <c r="Y197" s="15">
        <f t="shared" si="33"/>
        <v>0</v>
      </c>
      <c r="Z197" s="52"/>
      <c r="AA197" s="98">
        <f t="shared" si="34"/>
        <v>0</v>
      </c>
      <c r="AB197" s="52"/>
      <c r="AC197" s="98">
        <f t="shared" si="35"/>
        <v>0</v>
      </c>
      <c r="AD197" s="98">
        <f t="shared" si="36"/>
        <v>0</v>
      </c>
      <c r="AE197" s="238" t="e">
        <f t="shared" si="37"/>
        <v>#DIV/0!</v>
      </c>
      <c r="AF197" s="125" t="e">
        <f t="shared" si="38"/>
        <v>#DIV/0!</v>
      </c>
      <c r="AG197" s="92"/>
    </row>
    <row r="198" spans="1:33" ht="14.4">
      <c r="A198" s="270"/>
      <c r="B198" s="97">
        <f t="shared" ref="B198:B261" si="39">EOMONTH(A198,0)</f>
        <v>31</v>
      </c>
      <c r="C198" s="325"/>
      <c r="D198" s="260"/>
      <c r="E198" s="95"/>
      <c r="G198" s="52"/>
      <c r="H198" s="52"/>
      <c r="I198" s="256"/>
      <c r="J198" s="98">
        <f t="shared" ref="J198:J261" si="40">U198</f>
        <v>0</v>
      </c>
      <c r="K198" s="118" t="e">
        <f t="shared" ref="K198:K261" si="41">L198/J198</f>
        <v>#DIV/0!</v>
      </c>
      <c r="L198" s="15"/>
      <c r="M198" s="15"/>
      <c r="N198" s="15">
        <f t="shared" ref="N198:N261" si="42">L198-M198</f>
        <v>0</v>
      </c>
      <c r="O198" s="70" t="e">
        <f t="shared" ref="O198:O261" si="43">P198/J198</f>
        <v>#DIV/0!</v>
      </c>
      <c r="P198" s="70"/>
      <c r="Q198" s="70">
        <f t="shared" ref="Q198:Q261" si="44">N198+P198</f>
        <v>0</v>
      </c>
      <c r="R198" s="70"/>
      <c r="S198" s="70"/>
      <c r="T198" s="70"/>
      <c r="U198" s="15"/>
      <c r="V198" s="70" t="e">
        <f t="shared" ref="V198:V261" si="45">W198/U198</f>
        <v>#DIV/0!</v>
      </c>
      <c r="W198" s="15"/>
      <c r="X198" s="15"/>
      <c r="Y198" s="15">
        <f t="shared" ref="Y198:Y261" si="46">W198-X198</f>
        <v>0</v>
      </c>
      <c r="Z198" s="52"/>
      <c r="AA198" s="98">
        <f t="shared" ref="AA198:AA261" si="47">Y198-Z198</f>
        <v>0</v>
      </c>
      <c r="AB198" s="52"/>
      <c r="AC198" s="98">
        <f t="shared" ref="AC198:AC261" si="48">Y198-N198</f>
        <v>0</v>
      </c>
      <c r="AD198" s="98">
        <f t="shared" ref="AD198:AD261" si="49">AA198-Q198</f>
        <v>0</v>
      </c>
      <c r="AE198" s="238" t="e">
        <f t="shared" ref="AE198:AE261" si="50">AC198/Y198</f>
        <v>#DIV/0!</v>
      </c>
      <c r="AF198" s="125" t="e">
        <f t="shared" ref="AF198:AF261" si="51">AD198/AA198</f>
        <v>#DIV/0!</v>
      </c>
      <c r="AG198" s="92"/>
    </row>
    <row r="199" spans="1:33" ht="14.4">
      <c r="A199" s="270"/>
      <c r="B199" s="97">
        <f t="shared" si="39"/>
        <v>31</v>
      </c>
      <c r="C199" s="325"/>
      <c r="D199" s="260"/>
      <c r="E199" s="95"/>
      <c r="G199" s="52"/>
      <c r="H199" s="52"/>
      <c r="I199" s="256"/>
      <c r="J199" s="98">
        <f t="shared" si="40"/>
        <v>0</v>
      </c>
      <c r="K199" s="118" t="e">
        <f t="shared" si="41"/>
        <v>#DIV/0!</v>
      </c>
      <c r="L199" s="15"/>
      <c r="M199" s="15"/>
      <c r="N199" s="15">
        <f t="shared" si="42"/>
        <v>0</v>
      </c>
      <c r="O199" s="70" t="e">
        <f t="shared" si="43"/>
        <v>#DIV/0!</v>
      </c>
      <c r="P199" s="70"/>
      <c r="Q199" s="70">
        <f t="shared" si="44"/>
        <v>0</v>
      </c>
      <c r="R199" s="70"/>
      <c r="S199" s="70"/>
      <c r="T199" s="70"/>
      <c r="U199" s="15"/>
      <c r="V199" s="70" t="e">
        <f t="shared" si="45"/>
        <v>#DIV/0!</v>
      </c>
      <c r="W199" s="15"/>
      <c r="X199" s="15"/>
      <c r="Y199" s="15">
        <f t="shared" si="46"/>
        <v>0</v>
      </c>
      <c r="Z199" s="52"/>
      <c r="AA199" s="98">
        <f t="shared" si="47"/>
        <v>0</v>
      </c>
      <c r="AB199" s="52"/>
      <c r="AC199" s="98">
        <f t="shared" si="48"/>
        <v>0</v>
      </c>
      <c r="AD199" s="98">
        <f t="shared" si="49"/>
        <v>0</v>
      </c>
      <c r="AE199" s="238" t="e">
        <f t="shared" si="50"/>
        <v>#DIV/0!</v>
      </c>
      <c r="AF199" s="125" t="e">
        <f t="shared" si="51"/>
        <v>#DIV/0!</v>
      </c>
      <c r="AG199" s="92"/>
    </row>
    <row r="200" spans="1:33" ht="14.4">
      <c r="A200" s="270"/>
      <c r="B200" s="97">
        <f t="shared" si="39"/>
        <v>31</v>
      </c>
      <c r="C200" s="325"/>
      <c r="D200" s="260"/>
      <c r="E200" s="95"/>
      <c r="G200" s="52"/>
      <c r="H200" s="52"/>
      <c r="I200" s="256"/>
      <c r="J200" s="98">
        <f t="shared" si="40"/>
        <v>0</v>
      </c>
      <c r="K200" s="118" t="e">
        <f t="shared" si="41"/>
        <v>#DIV/0!</v>
      </c>
      <c r="L200" s="15"/>
      <c r="M200" s="15"/>
      <c r="N200" s="15">
        <f t="shared" si="42"/>
        <v>0</v>
      </c>
      <c r="O200" s="70" t="e">
        <f t="shared" si="43"/>
        <v>#DIV/0!</v>
      </c>
      <c r="P200" s="70"/>
      <c r="Q200" s="70">
        <f t="shared" si="44"/>
        <v>0</v>
      </c>
      <c r="R200" s="70"/>
      <c r="S200" s="70"/>
      <c r="T200" s="70"/>
      <c r="U200" s="15"/>
      <c r="V200" s="70" t="e">
        <f t="shared" si="45"/>
        <v>#DIV/0!</v>
      </c>
      <c r="W200" s="15"/>
      <c r="X200" s="15"/>
      <c r="Y200" s="15">
        <f t="shared" si="46"/>
        <v>0</v>
      </c>
      <c r="Z200" s="52"/>
      <c r="AA200" s="98">
        <f t="shared" si="47"/>
        <v>0</v>
      </c>
      <c r="AB200" s="52"/>
      <c r="AC200" s="98">
        <f t="shared" si="48"/>
        <v>0</v>
      </c>
      <c r="AD200" s="98">
        <f t="shared" si="49"/>
        <v>0</v>
      </c>
      <c r="AE200" s="238" t="e">
        <f t="shared" si="50"/>
        <v>#DIV/0!</v>
      </c>
      <c r="AF200" s="125" t="e">
        <f t="shared" si="51"/>
        <v>#DIV/0!</v>
      </c>
      <c r="AG200" s="92"/>
    </row>
    <row r="201" spans="1:33" ht="14.4">
      <c r="A201" s="270"/>
      <c r="B201" s="97">
        <f t="shared" si="39"/>
        <v>31</v>
      </c>
      <c r="C201" s="325"/>
      <c r="D201" s="260"/>
      <c r="E201" s="95"/>
      <c r="G201" s="52"/>
      <c r="H201" s="52"/>
      <c r="I201" s="256"/>
      <c r="J201" s="98">
        <f t="shared" si="40"/>
        <v>0</v>
      </c>
      <c r="K201" s="118" t="e">
        <f t="shared" si="41"/>
        <v>#DIV/0!</v>
      </c>
      <c r="L201" s="15"/>
      <c r="M201" s="15"/>
      <c r="N201" s="15">
        <f t="shared" si="42"/>
        <v>0</v>
      </c>
      <c r="O201" s="70" t="e">
        <f t="shared" si="43"/>
        <v>#DIV/0!</v>
      </c>
      <c r="P201" s="70"/>
      <c r="Q201" s="70">
        <f t="shared" si="44"/>
        <v>0</v>
      </c>
      <c r="R201" s="70"/>
      <c r="S201" s="70"/>
      <c r="T201" s="70"/>
      <c r="U201" s="15"/>
      <c r="V201" s="70" t="e">
        <f t="shared" si="45"/>
        <v>#DIV/0!</v>
      </c>
      <c r="W201" s="15"/>
      <c r="X201" s="15"/>
      <c r="Y201" s="15">
        <f t="shared" si="46"/>
        <v>0</v>
      </c>
      <c r="Z201" s="52"/>
      <c r="AA201" s="98">
        <f t="shared" si="47"/>
        <v>0</v>
      </c>
      <c r="AB201" s="52"/>
      <c r="AC201" s="98">
        <f t="shared" si="48"/>
        <v>0</v>
      </c>
      <c r="AD201" s="98">
        <f t="shared" si="49"/>
        <v>0</v>
      </c>
      <c r="AE201" s="238" t="e">
        <f t="shared" si="50"/>
        <v>#DIV/0!</v>
      </c>
      <c r="AF201" s="125" t="e">
        <f t="shared" si="51"/>
        <v>#DIV/0!</v>
      </c>
      <c r="AG201" s="92"/>
    </row>
    <row r="202" spans="1:33" ht="14.4">
      <c r="A202" s="270"/>
      <c r="B202" s="97">
        <f t="shared" si="39"/>
        <v>31</v>
      </c>
      <c r="C202" s="325"/>
      <c r="D202" s="260"/>
      <c r="E202" s="95"/>
      <c r="G202" s="52"/>
      <c r="H202" s="52"/>
      <c r="I202" s="256"/>
      <c r="J202" s="98">
        <f t="shared" si="40"/>
        <v>0</v>
      </c>
      <c r="K202" s="118" t="e">
        <f t="shared" si="41"/>
        <v>#DIV/0!</v>
      </c>
      <c r="L202" s="15"/>
      <c r="M202" s="15"/>
      <c r="N202" s="15">
        <f t="shared" si="42"/>
        <v>0</v>
      </c>
      <c r="O202" s="70" t="e">
        <f t="shared" si="43"/>
        <v>#DIV/0!</v>
      </c>
      <c r="P202" s="70"/>
      <c r="Q202" s="70">
        <f t="shared" si="44"/>
        <v>0</v>
      </c>
      <c r="R202" s="70"/>
      <c r="S202" s="70"/>
      <c r="T202" s="70"/>
      <c r="U202" s="15"/>
      <c r="V202" s="70" t="e">
        <f t="shared" si="45"/>
        <v>#DIV/0!</v>
      </c>
      <c r="W202" s="15"/>
      <c r="X202" s="15"/>
      <c r="Y202" s="15">
        <f t="shared" si="46"/>
        <v>0</v>
      </c>
      <c r="Z202" s="52"/>
      <c r="AA202" s="98">
        <f t="shared" si="47"/>
        <v>0</v>
      </c>
      <c r="AB202" s="52"/>
      <c r="AC202" s="98">
        <f t="shared" si="48"/>
        <v>0</v>
      </c>
      <c r="AD202" s="98">
        <f t="shared" si="49"/>
        <v>0</v>
      </c>
      <c r="AE202" s="238" t="e">
        <f t="shared" si="50"/>
        <v>#DIV/0!</v>
      </c>
      <c r="AF202" s="125" t="e">
        <f t="shared" si="51"/>
        <v>#DIV/0!</v>
      </c>
      <c r="AG202" s="92"/>
    </row>
    <row r="203" spans="1:33" ht="14.4">
      <c r="A203" s="270"/>
      <c r="B203" s="97">
        <f t="shared" si="39"/>
        <v>31</v>
      </c>
      <c r="C203" s="325"/>
      <c r="D203" s="260"/>
      <c r="E203" s="95"/>
      <c r="G203" s="52"/>
      <c r="H203" s="52"/>
      <c r="I203" s="256"/>
      <c r="J203" s="98">
        <f t="shared" si="40"/>
        <v>0</v>
      </c>
      <c r="K203" s="118" t="e">
        <f t="shared" si="41"/>
        <v>#DIV/0!</v>
      </c>
      <c r="L203" s="15"/>
      <c r="M203" s="15"/>
      <c r="N203" s="15">
        <f t="shared" si="42"/>
        <v>0</v>
      </c>
      <c r="O203" s="70" t="e">
        <f t="shared" si="43"/>
        <v>#DIV/0!</v>
      </c>
      <c r="P203" s="70"/>
      <c r="Q203" s="70">
        <f t="shared" si="44"/>
        <v>0</v>
      </c>
      <c r="R203" s="70"/>
      <c r="S203" s="70"/>
      <c r="T203" s="70"/>
      <c r="U203" s="15"/>
      <c r="V203" s="70" t="e">
        <f t="shared" si="45"/>
        <v>#DIV/0!</v>
      </c>
      <c r="W203" s="15"/>
      <c r="X203" s="15"/>
      <c r="Y203" s="15">
        <f t="shared" si="46"/>
        <v>0</v>
      </c>
      <c r="Z203" s="52"/>
      <c r="AA203" s="98">
        <f t="shared" si="47"/>
        <v>0</v>
      </c>
      <c r="AB203" s="52"/>
      <c r="AC203" s="98">
        <f t="shared" si="48"/>
        <v>0</v>
      </c>
      <c r="AD203" s="98">
        <f t="shared" si="49"/>
        <v>0</v>
      </c>
      <c r="AE203" s="238" t="e">
        <f t="shared" si="50"/>
        <v>#DIV/0!</v>
      </c>
      <c r="AF203" s="125" t="e">
        <f t="shared" si="51"/>
        <v>#DIV/0!</v>
      </c>
      <c r="AG203" s="92"/>
    </row>
    <row r="204" spans="1:33" ht="14.4">
      <c r="A204" s="270"/>
      <c r="B204" s="97">
        <f t="shared" si="39"/>
        <v>31</v>
      </c>
      <c r="C204" s="325"/>
      <c r="D204" s="260"/>
      <c r="E204" s="95"/>
      <c r="G204" s="52"/>
      <c r="H204" s="52"/>
      <c r="I204" s="256"/>
      <c r="J204" s="98">
        <f t="shared" si="40"/>
        <v>0</v>
      </c>
      <c r="K204" s="118" t="e">
        <f t="shared" si="41"/>
        <v>#DIV/0!</v>
      </c>
      <c r="L204" s="15"/>
      <c r="M204" s="15"/>
      <c r="N204" s="15">
        <f t="shared" si="42"/>
        <v>0</v>
      </c>
      <c r="O204" s="70" t="e">
        <f t="shared" si="43"/>
        <v>#N/A</v>
      </c>
      <c r="P204" s="70" t="e">
        <f>VLOOKUP(C204,'[1]Profit and Loss agt new'!$D$17:$E$52,2,)</f>
        <v>#N/A</v>
      </c>
      <c r="Q204" s="70" t="e">
        <f t="shared" si="44"/>
        <v>#N/A</v>
      </c>
      <c r="R204" s="70"/>
      <c r="S204" s="70"/>
      <c r="T204" s="70"/>
      <c r="U204" s="15"/>
      <c r="V204" s="70" t="e">
        <f t="shared" si="45"/>
        <v>#DIV/0!</v>
      </c>
      <c r="W204" s="15"/>
      <c r="X204" s="15"/>
      <c r="Y204" s="15">
        <f t="shared" si="46"/>
        <v>0</v>
      </c>
      <c r="Z204" s="52"/>
      <c r="AA204" s="98">
        <f t="shared" si="47"/>
        <v>0</v>
      </c>
      <c r="AB204" s="52"/>
      <c r="AC204" s="98">
        <f t="shared" si="48"/>
        <v>0</v>
      </c>
      <c r="AD204" s="98" t="e">
        <f t="shared" si="49"/>
        <v>#N/A</v>
      </c>
      <c r="AE204" s="238" t="e">
        <f t="shared" si="50"/>
        <v>#DIV/0!</v>
      </c>
      <c r="AF204" s="125" t="e">
        <f t="shared" si="51"/>
        <v>#N/A</v>
      </c>
      <c r="AG204" s="92"/>
    </row>
    <row r="205" spans="1:33" ht="14.4">
      <c r="A205" s="270"/>
      <c r="B205" s="97">
        <f t="shared" si="39"/>
        <v>31</v>
      </c>
      <c r="C205" s="325"/>
      <c r="D205" s="260"/>
      <c r="E205" s="95"/>
      <c r="G205" s="52"/>
      <c r="H205" s="52"/>
      <c r="I205" s="256"/>
      <c r="J205" s="98">
        <f t="shared" si="40"/>
        <v>0</v>
      </c>
      <c r="K205" s="118" t="e">
        <f t="shared" si="41"/>
        <v>#DIV/0!</v>
      </c>
      <c r="L205" s="15"/>
      <c r="M205" s="15"/>
      <c r="N205" s="15">
        <f t="shared" si="42"/>
        <v>0</v>
      </c>
      <c r="O205" s="70" t="e">
        <f t="shared" si="43"/>
        <v>#DIV/0!</v>
      </c>
      <c r="P205" s="70"/>
      <c r="Q205" s="70">
        <f t="shared" si="44"/>
        <v>0</v>
      </c>
      <c r="R205" s="70"/>
      <c r="S205" s="70"/>
      <c r="T205" s="70"/>
      <c r="U205" s="15"/>
      <c r="V205" s="70" t="e">
        <f t="shared" si="45"/>
        <v>#DIV/0!</v>
      </c>
      <c r="W205" s="15"/>
      <c r="X205" s="15"/>
      <c r="Y205" s="15">
        <f t="shared" si="46"/>
        <v>0</v>
      </c>
      <c r="Z205" s="52"/>
      <c r="AA205" s="98">
        <f t="shared" si="47"/>
        <v>0</v>
      </c>
      <c r="AB205" s="52"/>
      <c r="AC205" s="98">
        <f t="shared" si="48"/>
        <v>0</v>
      </c>
      <c r="AD205" s="98">
        <f t="shared" si="49"/>
        <v>0</v>
      </c>
      <c r="AE205" s="238" t="e">
        <f t="shared" si="50"/>
        <v>#DIV/0!</v>
      </c>
      <c r="AF205" s="125" t="e">
        <f t="shared" si="51"/>
        <v>#DIV/0!</v>
      </c>
      <c r="AG205" s="92"/>
    </row>
    <row r="206" spans="1:33" ht="14.4">
      <c r="A206" s="270"/>
      <c r="B206" s="97">
        <f t="shared" si="39"/>
        <v>31</v>
      </c>
      <c r="C206" s="325"/>
      <c r="D206" s="260"/>
      <c r="E206" s="95"/>
      <c r="G206" s="52"/>
      <c r="H206" s="52"/>
      <c r="I206" s="256"/>
      <c r="J206" s="98">
        <f t="shared" si="40"/>
        <v>0</v>
      </c>
      <c r="K206" s="118" t="e">
        <f t="shared" si="41"/>
        <v>#DIV/0!</v>
      </c>
      <c r="L206" s="15"/>
      <c r="M206" s="15"/>
      <c r="N206" s="15">
        <f t="shared" si="42"/>
        <v>0</v>
      </c>
      <c r="O206" s="70" t="e">
        <f t="shared" si="43"/>
        <v>#DIV/0!</v>
      </c>
      <c r="P206" s="70"/>
      <c r="Q206" s="70">
        <f t="shared" si="44"/>
        <v>0</v>
      </c>
      <c r="R206" s="70"/>
      <c r="S206" s="70"/>
      <c r="T206" s="70"/>
      <c r="U206" s="15"/>
      <c r="V206" s="70" t="e">
        <f t="shared" si="45"/>
        <v>#DIV/0!</v>
      </c>
      <c r="W206" s="15"/>
      <c r="X206" s="15"/>
      <c r="Y206" s="15">
        <f t="shared" si="46"/>
        <v>0</v>
      </c>
      <c r="Z206" s="52"/>
      <c r="AA206" s="98">
        <f t="shared" si="47"/>
        <v>0</v>
      </c>
      <c r="AB206" s="52"/>
      <c r="AC206" s="98">
        <f t="shared" si="48"/>
        <v>0</v>
      </c>
      <c r="AD206" s="98">
        <f t="shared" si="49"/>
        <v>0</v>
      </c>
      <c r="AE206" s="238" t="e">
        <f t="shared" si="50"/>
        <v>#DIV/0!</v>
      </c>
      <c r="AF206" s="125" t="e">
        <f t="shared" si="51"/>
        <v>#DIV/0!</v>
      </c>
      <c r="AG206" s="92"/>
    </row>
    <row r="207" spans="1:33" ht="14.4">
      <c r="A207" s="270"/>
      <c r="B207" s="97">
        <f t="shared" si="39"/>
        <v>31</v>
      </c>
      <c r="C207" s="325"/>
      <c r="D207" s="260"/>
      <c r="E207" s="95"/>
      <c r="G207" s="52"/>
      <c r="H207" s="52"/>
      <c r="I207" s="256"/>
      <c r="J207" s="98">
        <f t="shared" si="40"/>
        <v>0</v>
      </c>
      <c r="K207" s="118" t="e">
        <f t="shared" si="41"/>
        <v>#DIV/0!</v>
      </c>
      <c r="L207" s="15"/>
      <c r="M207" s="15"/>
      <c r="N207" s="15">
        <f t="shared" si="42"/>
        <v>0</v>
      </c>
      <c r="O207" s="70" t="e">
        <f t="shared" si="43"/>
        <v>#DIV/0!</v>
      </c>
      <c r="P207" s="70"/>
      <c r="Q207" s="70">
        <f t="shared" si="44"/>
        <v>0</v>
      </c>
      <c r="R207" s="70"/>
      <c r="S207" s="70"/>
      <c r="T207" s="70"/>
      <c r="U207" s="15"/>
      <c r="V207" s="70" t="e">
        <f t="shared" si="45"/>
        <v>#DIV/0!</v>
      </c>
      <c r="W207" s="15"/>
      <c r="X207" s="15"/>
      <c r="Y207" s="15">
        <f t="shared" si="46"/>
        <v>0</v>
      </c>
      <c r="Z207" s="52"/>
      <c r="AA207" s="98">
        <f t="shared" si="47"/>
        <v>0</v>
      </c>
      <c r="AB207" s="52"/>
      <c r="AC207" s="98">
        <f t="shared" si="48"/>
        <v>0</v>
      </c>
      <c r="AD207" s="98">
        <f t="shared" si="49"/>
        <v>0</v>
      </c>
      <c r="AE207" s="238" t="e">
        <f t="shared" si="50"/>
        <v>#DIV/0!</v>
      </c>
      <c r="AF207" s="125" t="e">
        <f t="shared" si="51"/>
        <v>#DIV/0!</v>
      </c>
      <c r="AG207" s="92"/>
    </row>
    <row r="208" spans="1:33" ht="14.4">
      <c r="A208" s="270"/>
      <c r="B208" s="97">
        <f t="shared" si="39"/>
        <v>31</v>
      </c>
      <c r="C208" s="325"/>
      <c r="D208" s="260"/>
      <c r="E208" s="95"/>
      <c r="G208" s="52"/>
      <c r="H208" s="52"/>
      <c r="I208" s="256"/>
      <c r="J208" s="98">
        <f t="shared" si="40"/>
        <v>0</v>
      </c>
      <c r="K208" s="118" t="e">
        <f t="shared" si="41"/>
        <v>#DIV/0!</v>
      </c>
      <c r="L208" s="15"/>
      <c r="M208" s="15"/>
      <c r="N208" s="15">
        <f t="shared" si="42"/>
        <v>0</v>
      </c>
      <c r="O208" s="70" t="e">
        <f t="shared" si="43"/>
        <v>#DIV/0!</v>
      </c>
      <c r="P208" s="70"/>
      <c r="Q208" s="70">
        <f t="shared" si="44"/>
        <v>0</v>
      </c>
      <c r="R208" s="70"/>
      <c r="S208" s="70"/>
      <c r="T208" s="70"/>
      <c r="U208" s="15"/>
      <c r="V208" s="70" t="e">
        <f t="shared" si="45"/>
        <v>#DIV/0!</v>
      </c>
      <c r="W208" s="15"/>
      <c r="X208" s="15"/>
      <c r="Y208" s="15">
        <f t="shared" si="46"/>
        <v>0</v>
      </c>
      <c r="Z208" s="52"/>
      <c r="AA208" s="98">
        <f t="shared" si="47"/>
        <v>0</v>
      </c>
      <c r="AB208" s="52"/>
      <c r="AC208" s="98">
        <f t="shared" si="48"/>
        <v>0</v>
      </c>
      <c r="AD208" s="98">
        <f t="shared" si="49"/>
        <v>0</v>
      </c>
      <c r="AE208" s="238" t="e">
        <f t="shared" si="50"/>
        <v>#DIV/0!</v>
      </c>
      <c r="AF208" s="125" t="e">
        <f t="shared" si="51"/>
        <v>#DIV/0!</v>
      </c>
      <c r="AG208" s="92"/>
    </row>
    <row r="209" spans="1:33" ht="14.4">
      <c r="A209" s="270"/>
      <c r="B209" s="97">
        <f t="shared" si="39"/>
        <v>31</v>
      </c>
      <c r="C209" s="325"/>
      <c r="D209" s="260"/>
      <c r="E209" s="95"/>
      <c r="G209" s="52"/>
      <c r="H209" s="52"/>
      <c r="I209" s="256"/>
      <c r="J209" s="98">
        <f t="shared" si="40"/>
        <v>0</v>
      </c>
      <c r="K209" s="118" t="e">
        <f t="shared" si="41"/>
        <v>#DIV/0!</v>
      </c>
      <c r="L209" s="15"/>
      <c r="M209" s="15"/>
      <c r="N209" s="15">
        <f t="shared" si="42"/>
        <v>0</v>
      </c>
      <c r="O209" s="70" t="e">
        <f t="shared" si="43"/>
        <v>#DIV/0!</v>
      </c>
      <c r="P209" s="70"/>
      <c r="Q209" s="70">
        <f t="shared" si="44"/>
        <v>0</v>
      </c>
      <c r="R209" s="70"/>
      <c r="S209" s="70"/>
      <c r="T209" s="70"/>
      <c r="U209" s="15"/>
      <c r="V209" s="70" t="e">
        <f t="shared" si="45"/>
        <v>#DIV/0!</v>
      </c>
      <c r="W209" s="15"/>
      <c r="X209" s="15"/>
      <c r="Y209" s="15">
        <f t="shared" si="46"/>
        <v>0</v>
      </c>
      <c r="Z209" s="52"/>
      <c r="AA209" s="98">
        <f t="shared" si="47"/>
        <v>0</v>
      </c>
      <c r="AB209" s="52"/>
      <c r="AC209" s="98">
        <f t="shared" si="48"/>
        <v>0</v>
      </c>
      <c r="AD209" s="98">
        <f t="shared" si="49"/>
        <v>0</v>
      </c>
      <c r="AE209" s="238" t="e">
        <f t="shared" si="50"/>
        <v>#DIV/0!</v>
      </c>
      <c r="AF209" s="125" t="e">
        <f t="shared" si="51"/>
        <v>#DIV/0!</v>
      </c>
      <c r="AG209" s="92"/>
    </row>
    <row r="210" spans="1:33" ht="14.4">
      <c r="A210" s="270"/>
      <c r="B210" s="97">
        <f t="shared" si="39"/>
        <v>31</v>
      </c>
      <c r="C210" s="325"/>
      <c r="D210" s="260"/>
      <c r="E210" s="95"/>
      <c r="G210" s="52"/>
      <c r="H210" s="52"/>
      <c r="I210" s="256"/>
      <c r="J210" s="98">
        <f t="shared" si="40"/>
        <v>0</v>
      </c>
      <c r="K210" s="118" t="e">
        <f t="shared" si="41"/>
        <v>#DIV/0!</v>
      </c>
      <c r="L210" s="15"/>
      <c r="M210" s="15"/>
      <c r="N210" s="15">
        <f t="shared" si="42"/>
        <v>0</v>
      </c>
      <c r="O210" s="70" t="e">
        <f t="shared" si="43"/>
        <v>#DIV/0!</v>
      </c>
      <c r="P210" s="70"/>
      <c r="Q210" s="70">
        <f t="shared" si="44"/>
        <v>0</v>
      </c>
      <c r="R210" s="70"/>
      <c r="S210" s="70"/>
      <c r="T210" s="70"/>
      <c r="U210" s="15"/>
      <c r="V210" s="70" t="e">
        <f t="shared" si="45"/>
        <v>#DIV/0!</v>
      </c>
      <c r="W210" s="15"/>
      <c r="X210" s="15"/>
      <c r="Y210" s="15">
        <f t="shared" si="46"/>
        <v>0</v>
      </c>
      <c r="Z210" s="52"/>
      <c r="AA210" s="98">
        <f t="shared" si="47"/>
        <v>0</v>
      </c>
      <c r="AB210" s="52"/>
      <c r="AC210" s="98">
        <f t="shared" si="48"/>
        <v>0</v>
      </c>
      <c r="AD210" s="98">
        <f t="shared" si="49"/>
        <v>0</v>
      </c>
      <c r="AE210" s="238" t="e">
        <f t="shared" si="50"/>
        <v>#DIV/0!</v>
      </c>
      <c r="AF210" s="125" t="e">
        <f t="shared" si="51"/>
        <v>#DIV/0!</v>
      </c>
      <c r="AG210" s="92"/>
    </row>
    <row r="211" spans="1:33" ht="14.4">
      <c r="A211" s="270"/>
      <c r="B211" s="97">
        <f t="shared" si="39"/>
        <v>31</v>
      </c>
      <c r="C211" s="325"/>
      <c r="D211" s="260"/>
      <c r="E211" s="95"/>
      <c r="G211" s="52"/>
      <c r="H211" s="52"/>
      <c r="I211" s="256"/>
      <c r="J211" s="98">
        <f t="shared" si="40"/>
        <v>0</v>
      </c>
      <c r="K211" s="118" t="e">
        <f t="shared" si="41"/>
        <v>#DIV/0!</v>
      </c>
      <c r="L211" s="15"/>
      <c r="M211" s="15"/>
      <c r="N211" s="15">
        <f t="shared" si="42"/>
        <v>0</v>
      </c>
      <c r="O211" s="70" t="e">
        <f t="shared" si="43"/>
        <v>#DIV/0!</v>
      </c>
      <c r="P211" s="70"/>
      <c r="Q211" s="70">
        <f t="shared" si="44"/>
        <v>0</v>
      </c>
      <c r="R211" s="70"/>
      <c r="S211" s="70"/>
      <c r="T211" s="70"/>
      <c r="U211" s="15"/>
      <c r="V211" s="70" t="e">
        <f t="shared" si="45"/>
        <v>#DIV/0!</v>
      </c>
      <c r="W211" s="15"/>
      <c r="X211" s="15"/>
      <c r="Y211" s="15">
        <f t="shared" si="46"/>
        <v>0</v>
      </c>
      <c r="Z211" s="52"/>
      <c r="AA211" s="98">
        <f t="shared" si="47"/>
        <v>0</v>
      </c>
      <c r="AB211" s="52"/>
      <c r="AC211" s="98">
        <f t="shared" si="48"/>
        <v>0</v>
      </c>
      <c r="AD211" s="98">
        <f t="shared" si="49"/>
        <v>0</v>
      </c>
      <c r="AE211" s="238" t="e">
        <f t="shared" si="50"/>
        <v>#DIV/0!</v>
      </c>
      <c r="AF211" s="125" t="e">
        <f t="shared" si="51"/>
        <v>#DIV/0!</v>
      </c>
      <c r="AG211" s="92"/>
    </row>
    <row r="212" spans="1:33" ht="14.4">
      <c r="A212" s="270"/>
      <c r="B212" s="97">
        <f t="shared" si="39"/>
        <v>31</v>
      </c>
      <c r="C212" s="325"/>
      <c r="D212" s="260"/>
      <c r="E212" s="95"/>
      <c r="G212" s="52"/>
      <c r="H212" s="52"/>
      <c r="I212" s="256"/>
      <c r="J212" s="98">
        <f t="shared" si="40"/>
        <v>0</v>
      </c>
      <c r="K212" s="118" t="e">
        <f t="shared" si="41"/>
        <v>#DIV/0!</v>
      </c>
      <c r="L212" s="15"/>
      <c r="M212" s="15"/>
      <c r="N212" s="15">
        <f t="shared" si="42"/>
        <v>0</v>
      </c>
      <c r="O212" s="70" t="e">
        <f t="shared" si="43"/>
        <v>#DIV/0!</v>
      </c>
      <c r="P212" s="70"/>
      <c r="Q212" s="70">
        <f t="shared" si="44"/>
        <v>0</v>
      </c>
      <c r="R212" s="70"/>
      <c r="S212" s="70"/>
      <c r="T212" s="70"/>
      <c r="U212" s="15"/>
      <c r="V212" s="70" t="e">
        <f t="shared" si="45"/>
        <v>#DIV/0!</v>
      </c>
      <c r="W212" s="15"/>
      <c r="X212" s="15"/>
      <c r="Y212" s="15">
        <f t="shared" si="46"/>
        <v>0</v>
      </c>
      <c r="Z212" s="52"/>
      <c r="AA212" s="98">
        <f t="shared" si="47"/>
        <v>0</v>
      </c>
      <c r="AB212" s="52"/>
      <c r="AC212" s="98">
        <f t="shared" si="48"/>
        <v>0</v>
      </c>
      <c r="AD212" s="98">
        <f t="shared" si="49"/>
        <v>0</v>
      </c>
      <c r="AE212" s="238" t="e">
        <f t="shared" si="50"/>
        <v>#DIV/0!</v>
      </c>
      <c r="AF212" s="125" t="e">
        <f t="shared" si="51"/>
        <v>#DIV/0!</v>
      </c>
      <c r="AG212" s="92"/>
    </row>
    <row r="213" spans="1:33" ht="14.4">
      <c r="A213" s="270"/>
      <c r="B213" s="97">
        <f t="shared" si="39"/>
        <v>31</v>
      </c>
      <c r="C213" s="325"/>
      <c r="D213" s="260"/>
      <c r="E213" s="95"/>
      <c r="G213" s="52"/>
      <c r="H213" s="52"/>
      <c r="I213" s="256"/>
      <c r="J213" s="98">
        <f t="shared" si="40"/>
        <v>0</v>
      </c>
      <c r="K213" s="118" t="e">
        <f t="shared" si="41"/>
        <v>#DIV/0!</v>
      </c>
      <c r="L213" s="15"/>
      <c r="M213" s="15"/>
      <c r="N213" s="15">
        <f t="shared" si="42"/>
        <v>0</v>
      </c>
      <c r="O213" s="70" t="e">
        <f t="shared" si="43"/>
        <v>#DIV/0!</v>
      </c>
      <c r="P213" s="70"/>
      <c r="Q213" s="70">
        <f t="shared" si="44"/>
        <v>0</v>
      </c>
      <c r="R213" s="70"/>
      <c r="S213" s="70"/>
      <c r="T213" s="70"/>
      <c r="U213" s="15"/>
      <c r="V213" s="70" t="e">
        <f t="shared" si="45"/>
        <v>#DIV/0!</v>
      </c>
      <c r="W213" s="15"/>
      <c r="X213" s="15"/>
      <c r="Y213" s="15">
        <f t="shared" si="46"/>
        <v>0</v>
      </c>
      <c r="Z213" s="52"/>
      <c r="AA213" s="98">
        <f t="shared" si="47"/>
        <v>0</v>
      </c>
      <c r="AB213" s="52"/>
      <c r="AC213" s="98">
        <f t="shared" si="48"/>
        <v>0</v>
      </c>
      <c r="AD213" s="98">
        <f t="shared" si="49"/>
        <v>0</v>
      </c>
      <c r="AE213" s="238" t="e">
        <f t="shared" si="50"/>
        <v>#DIV/0!</v>
      </c>
      <c r="AF213" s="125" t="e">
        <f t="shared" si="51"/>
        <v>#DIV/0!</v>
      </c>
      <c r="AG213" s="92"/>
    </row>
    <row r="214" spans="1:33" ht="14.4">
      <c r="A214" s="270"/>
      <c r="B214" s="97">
        <f t="shared" si="39"/>
        <v>31</v>
      </c>
      <c r="C214" s="325"/>
      <c r="D214" s="260"/>
      <c r="E214" s="95"/>
      <c r="G214" s="52"/>
      <c r="H214" s="52"/>
      <c r="I214" s="256"/>
      <c r="J214" s="98">
        <f t="shared" si="40"/>
        <v>0</v>
      </c>
      <c r="K214" s="118" t="e">
        <f t="shared" si="41"/>
        <v>#DIV/0!</v>
      </c>
      <c r="L214" s="15"/>
      <c r="M214" s="15"/>
      <c r="N214" s="15">
        <f t="shared" si="42"/>
        <v>0</v>
      </c>
      <c r="O214" s="70" t="e">
        <f t="shared" si="43"/>
        <v>#DIV/0!</v>
      </c>
      <c r="P214" s="70"/>
      <c r="Q214" s="70">
        <f t="shared" si="44"/>
        <v>0</v>
      </c>
      <c r="R214" s="70"/>
      <c r="S214" s="70"/>
      <c r="T214" s="70"/>
      <c r="U214" s="15"/>
      <c r="V214" s="70" t="e">
        <f t="shared" si="45"/>
        <v>#DIV/0!</v>
      </c>
      <c r="W214" s="15"/>
      <c r="X214" s="15"/>
      <c r="Y214" s="15">
        <f t="shared" si="46"/>
        <v>0</v>
      </c>
      <c r="Z214" s="52"/>
      <c r="AA214" s="98">
        <f t="shared" si="47"/>
        <v>0</v>
      </c>
      <c r="AB214" s="52"/>
      <c r="AC214" s="98">
        <f t="shared" si="48"/>
        <v>0</v>
      </c>
      <c r="AD214" s="98">
        <f t="shared" si="49"/>
        <v>0</v>
      </c>
      <c r="AE214" s="238" t="e">
        <f t="shared" si="50"/>
        <v>#DIV/0!</v>
      </c>
      <c r="AF214" s="125" t="e">
        <f t="shared" si="51"/>
        <v>#DIV/0!</v>
      </c>
      <c r="AG214" s="92"/>
    </row>
    <row r="215" spans="1:33" ht="14.4">
      <c r="A215" s="270"/>
      <c r="B215" s="97">
        <f t="shared" si="39"/>
        <v>31</v>
      </c>
      <c r="C215" s="325"/>
      <c r="D215" s="260"/>
      <c r="E215" s="95"/>
      <c r="G215" s="52"/>
      <c r="H215" s="52"/>
      <c r="I215" s="256"/>
      <c r="J215" s="98">
        <f t="shared" si="40"/>
        <v>0</v>
      </c>
      <c r="K215" s="118" t="e">
        <f t="shared" si="41"/>
        <v>#DIV/0!</v>
      </c>
      <c r="L215" s="15"/>
      <c r="M215" s="15"/>
      <c r="N215" s="15">
        <f t="shared" si="42"/>
        <v>0</v>
      </c>
      <c r="O215" s="70" t="e">
        <f t="shared" si="43"/>
        <v>#DIV/0!</v>
      </c>
      <c r="P215" s="70"/>
      <c r="Q215" s="70">
        <f t="shared" si="44"/>
        <v>0</v>
      </c>
      <c r="R215" s="70"/>
      <c r="S215" s="70"/>
      <c r="T215" s="70"/>
      <c r="U215" s="15"/>
      <c r="V215" s="70" t="e">
        <f t="shared" si="45"/>
        <v>#DIV/0!</v>
      </c>
      <c r="W215" s="15"/>
      <c r="X215" s="15"/>
      <c r="Y215" s="15">
        <f t="shared" si="46"/>
        <v>0</v>
      </c>
      <c r="Z215" s="52"/>
      <c r="AA215" s="98">
        <f t="shared" si="47"/>
        <v>0</v>
      </c>
      <c r="AB215" s="52"/>
      <c r="AC215" s="98">
        <f t="shared" si="48"/>
        <v>0</v>
      </c>
      <c r="AD215" s="98">
        <f t="shared" si="49"/>
        <v>0</v>
      </c>
      <c r="AE215" s="238" t="e">
        <f t="shared" si="50"/>
        <v>#DIV/0!</v>
      </c>
      <c r="AF215" s="125" t="e">
        <f t="shared" si="51"/>
        <v>#DIV/0!</v>
      </c>
      <c r="AG215" s="92"/>
    </row>
    <row r="216" spans="1:33" ht="14.4">
      <c r="A216" s="270"/>
      <c r="B216" s="97">
        <f t="shared" si="39"/>
        <v>31</v>
      </c>
      <c r="C216" s="325"/>
      <c r="D216" s="260"/>
      <c r="E216" s="95"/>
      <c r="G216" s="52"/>
      <c r="H216" s="52"/>
      <c r="I216" s="256"/>
      <c r="J216" s="98">
        <f t="shared" si="40"/>
        <v>0</v>
      </c>
      <c r="K216" s="118" t="e">
        <f t="shared" si="41"/>
        <v>#DIV/0!</v>
      </c>
      <c r="L216" s="15"/>
      <c r="M216" s="15"/>
      <c r="N216" s="15">
        <f t="shared" si="42"/>
        <v>0</v>
      </c>
      <c r="O216" s="70" t="e">
        <f t="shared" si="43"/>
        <v>#DIV/0!</v>
      </c>
      <c r="P216" s="70"/>
      <c r="Q216" s="70">
        <f t="shared" si="44"/>
        <v>0</v>
      </c>
      <c r="R216" s="70"/>
      <c r="S216" s="70"/>
      <c r="T216" s="70"/>
      <c r="U216" s="15"/>
      <c r="V216" s="70" t="e">
        <f t="shared" si="45"/>
        <v>#DIV/0!</v>
      </c>
      <c r="W216" s="15"/>
      <c r="X216" s="15"/>
      <c r="Y216" s="15">
        <f t="shared" si="46"/>
        <v>0</v>
      </c>
      <c r="Z216" s="52"/>
      <c r="AA216" s="98">
        <f t="shared" si="47"/>
        <v>0</v>
      </c>
      <c r="AB216" s="52"/>
      <c r="AC216" s="98">
        <f t="shared" si="48"/>
        <v>0</v>
      </c>
      <c r="AD216" s="98">
        <f t="shared" si="49"/>
        <v>0</v>
      </c>
      <c r="AE216" s="238" t="e">
        <f t="shared" si="50"/>
        <v>#DIV/0!</v>
      </c>
      <c r="AF216" s="125" t="e">
        <f t="shared" si="51"/>
        <v>#DIV/0!</v>
      </c>
      <c r="AG216" s="92"/>
    </row>
    <row r="217" spans="1:33" ht="14.4">
      <c r="A217" s="270"/>
      <c r="B217" s="97">
        <f t="shared" si="39"/>
        <v>31</v>
      </c>
      <c r="C217" s="325"/>
      <c r="D217" s="260"/>
      <c r="E217" s="95"/>
      <c r="G217" s="52"/>
      <c r="H217" s="52"/>
      <c r="I217" s="256"/>
      <c r="J217" s="98">
        <f t="shared" si="40"/>
        <v>0</v>
      </c>
      <c r="K217" s="118" t="e">
        <f t="shared" si="41"/>
        <v>#DIV/0!</v>
      </c>
      <c r="L217" s="15"/>
      <c r="M217" s="15"/>
      <c r="N217" s="15">
        <f t="shared" si="42"/>
        <v>0</v>
      </c>
      <c r="O217" s="70" t="e">
        <f t="shared" si="43"/>
        <v>#DIV/0!</v>
      </c>
      <c r="P217" s="70"/>
      <c r="Q217" s="70">
        <f t="shared" si="44"/>
        <v>0</v>
      </c>
      <c r="R217" s="70"/>
      <c r="S217" s="70"/>
      <c r="T217" s="70"/>
      <c r="U217" s="15"/>
      <c r="V217" s="70" t="e">
        <f t="shared" si="45"/>
        <v>#DIV/0!</v>
      </c>
      <c r="W217" s="15"/>
      <c r="X217" s="15"/>
      <c r="Y217" s="15">
        <f t="shared" si="46"/>
        <v>0</v>
      </c>
      <c r="Z217" s="52"/>
      <c r="AA217" s="98">
        <f t="shared" si="47"/>
        <v>0</v>
      </c>
      <c r="AB217" s="52"/>
      <c r="AC217" s="98">
        <f t="shared" si="48"/>
        <v>0</v>
      </c>
      <c r="AD217" s="98">
        <f t="shared" si="49"/>
        <v>0</v>
      </c>
      <c r="AE217" s="238" t="e">
        <f t="shared" si="50"/>
        <v>#DIV/0!</v>
      </c>
      <c r="AF217" s="125" t="e">
        <f t="shared" si="51"/>
        <v>#DIV/0!</v>
      </c>
      <c r="AG217" s="92"/>
    </row>
    <row r="218" spans="1:33" ht="14.4">
      <c r="A218" s="270"/>
      <c r="B218" s="97">
        <f t="shared" si="39"/>
        <v>31</v>
      </c>
      <c r="C218" s="325"/>
      <c r="D218" s="260"/>
      <c r="E218" s="95"/>
      <c r="G218" s="52"/>
      <c r="H218" s="52"/>
      <c r="I218" s="256"/>
      <c r="J218" s="98">
        <f t="shared" si="40"/>
        <v>0</v>
      </c>
      <c r="K218" s="118" t="e">
        <f t="shared" si="41"/>
        <v>#DIV/0!</v>
      </c>
      <c r="L218" s="15"/>
      <c r="M218" s="15"/>
      <c r="N218" s="15">
        <f t="shared" si="42"/>
        <v>0</v>
      </c>
      <c r="O218" s="70" t="e">
        <f t="shared" si="43"/>
        <v>#DIV/0!</v>
      </c>
      <c r="P218" s="70"/>
      <c r="Q218" s="70">
        <f t="shared" si="44"/>
        <v>0</v>
      </c>
      <c r="R218" s="70"/>
      <c r="S218" s="70"/>
      <c r="T218" s="70"/>
      <c r="U218" s="15"/>
      <c r="V218" s="70" t="e">
        <f t="shared" si="45"/>
        <v>#DIV/0!</v>
      </c>
      <c r="W218" s="15"/>
      <c r="X218" s="15"/>
      <c r="Y218" s="15">
        <f t="shared" si="46"/>
        <v>0</v>
      </c>
      <c r="Z218" s="52"/>
      <c r="AA218" s="98">
        <f t="shared" si="47"/>
        <v>0</v>
      </c>
      <c r="AB218" s="52"/>
      <c r="AC218" s="98">
        <f t="shared" si="48"/>
        <v>0</v>
      </c>
      <c r="AD218" s="98">
        <f t="shared" si="49"/>
        <v>0</v>
      </c>
      <c r="AE218" s="238" t="e">
        <f t="shared" si="50"/>
        <v>#DIV/0!</v>
      </c>
      <c r="AF218" s="125" t="e">
        <f t="shared" si="51"/>
        <v>#DIV/0!</v>
      </c>
      <c r="AG218" s="92"/>
    </row>
    <row r="219" spans="1:33" ht="14.4">
      <c r="A219" s="270"/>
      <c r="B219" s="97">
        <f t="shared" si="39"/>
        <v>31</v>
      </c>
      <c r="C219" s="325"/>
      <c r="D219" s="260"/>
      <c r="E219" s="95"/>
      <c r="G219" s="52"/>
      <c r="H219" s="52"/>
      <c r="I219" s="256"/>
      <c r="J219" s="98">
        <f t="shared" si="40"/>
        <v>0</v>
      </c>
      <c r="K219" s="118" t="e">
        <f t="shared" si="41"/>
        <v>#DIV/0!</v>
      </c>
      <c r="L219" s="15"/>
      <c r="M219" s="15"/>
      <c r="N219" s="15">
        <f t="shared" si="42"/>
        <v>0</v>
      </c>
      <c r="O219" s="70" t="e">
        <f t="shared" si="43"/>
        <v>#DIV/0!</v>
      </c>
      <c r="P219" s="70"/>
      <c r="Q219" s="70">
        <f t="shared" si="44"/>
        <v>0</v>
      </c>
      <c r="R219" s="70"/>
      <c r="S219" s="70"/>
      <c r="T219" s="70"/>
      <c r="U219" s="15"/>
      <c r="V219" s="70" t="e">
        <f t="shared" si="45"/>
        <v>#DIV/0!</v>
      </c>
      <c r="W219" s="15"/>
      <c r="X219" s="15"/>
      <c r="Y219" s="15">
        <f t="shared" si="46"/>
        <v>0</v>
      </c>
      <c r="Z219" s="52"/>
      <c r="AA219" s="98">
        <f t="shared" si="47"/>
        <v>0</v>
      </c>
      <c r="AB219" s="52"/>
      <c r="AC219" s="98">
        <f t="shared" si="48"/>
        <v>0</v>
      </c>
      <c r="AD219" s="98">
        <f t="shared" si="49"/>
        <v>0</v>
      </c>
      <c r="AE219" s="238" t="e">
        <f t="shared" si="50"/>
        <v>#DIV/0!</v>
      </c>
      <c r="AF219" s="125" t="e">
        <f t="shared" si="51"/>
        <v>#DIV/0!</v>
      </c>
      <c r="AG219" s="92"/>
    </row>
    <row r="220" spans="1:33" ht="14.4">
      <c r="A220" s="270"/>
      <c r="B220" s="97">
        <f t="shared" si="39"/>
        <v>31</v>
      </c>
      <c r="C220" s="325"/>
      <c r="D220" s="260"/>
      <c r="E220" s="95"/>
      <c r="G220" s="52"/>
      <c r="H220" s="52"/>
      <c r="I220" s="256"/>
      <c r="J220" s="98">
        <f t="shared" si="40"/>
        <v>0</v>
      </c>
      <c r="K220" s="118" t="e">
        <f t="shared" si="41"/>
        <v>#DIV/0!</v>
      </c>
      <c r="L220" s="15"/>
      <c r="M220" s="15"/>
      <c r="N220" s="15">
        <f t="shared" si="42"/>
        <v>0</v>
      </c>
      <c r="O220" s="70" t="e">
        <f t="shared" si="43"/>
        <v>#DIV/0!</v>
      </c>
      <c r="P220" s="70"/>
      <c r="Q220" s="70">
        <f t="shared" si="44"/>
        <v>0</v>
      </c>
      <c r="R220" s="70"/>
      <c r="S220" s="70"/>
      <c r="T220" s="70"/>
      <c r="U220" s="15"/>
      <c r="V220" s="70" t="e">
        <f t="shared" si="45"/>
        <v>#DIV/0!</v>
      </c>
      <c r="W220" s="15"/>
      <c r="X220" s="15"/>
      <c r="Y220" s="15">
        <f t="shared" si="46"/>
        <v>0</v>
      </c>
      <c r="Z220" s="52"/>
      <c r="AA220" s="98">
        <f t="shared" si="47"/>
        <v>0</v>
      </c>
      <c r="AB220" s="52"/>
      <c r="AC220" s="98">
        <f t="shared" si="48"/>
        <v>0</v>
      </c>
      <c r="AD220" s="98">
        <f t="shared" si="49"/>
        <v>0</v>
      </c>
      <c r="AE220" s="238" t="e">
        <f t="shared" si="50"/>
        <v>#DIV/0!</v>
      </c>
      <c r="AF220" s="125" t="e">
        <f t="shared" si="51"/>
        <v>#DIV/0!</v>
      </c>
      <c r="AG220" s="92"/>
    </row>
    <row r="221" spans="1:33" ht="14.4">
      <c r="A221" s="270"/>
      <c r="B221" s="97">
        <f t="shared" si="39"/>
        <v>31</v>
      </c>
      <c r="C221" s="325"/>
      <c r="D221" s="260"/>
      <c r="E221" s="95"/>
      <c r="G221" s="52"/>
      <c r="H221" s="52"/>
      <c r="I221" s="256"/>
      <c r="J221" s="98">
        <f t="shared" si="40"/>
        <v>0</v>
      </c>
      <c r="K221" s="118" t="e">
        <f t="shared" si="41"/>
        <v>#DIV/0!</v>
      </c>
      <c r="L221" s="15"/>
      <c r="M221" s="15"/>
      <c r="N221" s="15">
        <f t="shared" si="42"/>
        <v>0</v>
      </c>
      <c r="O221" s="70" t="e">
        <f t="shared" si="43"/>
        <v>#DIV/0!</v>
      </c>
      <c r="P221" s="70"/>
      <c r="Q221" s="70">
        <f t="shared" si="44"/>
        <v>0</v>
      </c>
      <c r="R221" s="70"/>
      <c r="S221" s="70"/>
      <c r="T221" s="70"/>
      <c r="U221" s="15"/>
      <c r="V221" s="70" t="e">
        <f t="shared" si="45"/>
        <v>#DIV/0!</v>
      </c>
      <c r="W221" s="15"/>
      <c r="X221" s="15"/>
      <c r="Y221" s="15">
        <f t="shared" si="46"/>
        <v>0</v>
      </c>
      <c r="Z221" s="52"/>
      <c r="AA221" s="98">
        <f t="shared" si="47"/>
        <v>0</v>
      </c>
      <c r="AB221" s="52"/>
      <c r="AC221" s="98">
        <f t="shared" si="48"/>
        <v>0</v>
      </c>
      <c r="AD221" s="98">
        <f t="shared" si="49"/>
        <v>0</v>
      </c>
      <c r="AE221" s="238" t="e">
        <f t="shared" si="50"/>
        <v>#DIV/0!</v>
      </c>
      <c r="AF221" s="125" t="e">
        <f t="shared" si="51"/>
        <v>#DIV/0!</v>
      </c>
      <c r="AG221" s="92"/>
    </row>
    <row r="222" spans="1:33" ht="14.4">
      <c r="A222" s="270"/>
      <c r="B222" s="97">
        <f t="shared" si="39"/>
        <v>31</v>
      </c>
      <c r="C222" s="325"/>
      <c r="D222" s="260"/>
      <c r="E222" s="95"/>
      <c r="G222" s="52"/>
      <c r="H222" s="52"/>
      <c r="I222" s="256"/>
      <c r="J222" s="98">
        <f t="shared" si="40"/>
        <v>0</v>
      </c>
      <c r="K222" s="118" t="e">
        <f t="shared" si="41"/>
        <v>#DIV/0!</v>
      </c>
      <c r="L222" s="15"/>
      <c r="M222" s="15"/>
      <c r="N222" s="15">
        <f t="shared" si="42"/>
        <v>0</v>
      </c>
      <c r="O222" s="70" t="e">
        <f t="shared" si="43"/>
        <v>#DIV/0!</v>
      </c>
      <c r="P222" s="70"/>
      <c r="Q222" s="70">
        <f t="shared" si="44"/>
        <v>0</v>
      </c>
      <c r="R222" s="70"/>
      <c r="S222" s="70"/>
      <c r="T222" s="70"/>
      <c r="U222" s="15"/>
      <c r="V222" s="70" t="e">
        <f t="shared" si="45"/>
        <v>#DIV/0!</v>
      </c>
      <c r="W222" s="15"/>
      <c r="X222" s="15"/>
      <c r="Y222" s="15">
        <f t="shared" si="46"/>
        <v>0</v>
      </c>
      <c r="Z222" s="52"/>
      <c r="AA222" s="98">
        <f t="shared" si="47"/>
        <v>0</v>
      </c>
      <c r="AB222" s="52"/>
      <c r="AC222" s="98">
        <f t="shared" si="48"/>
        <v>0</v>
      </c>
      <c r="AD222" s="98">
        <f t="shared" si="49"/>
        <v>0</v>
      </c>
      <c r="AE222" s="238" t="e">
        <f t="shared" si="50"/>
        <v>#DIV/0!</v>
      </c>
      <c r="AF222" s="125" t="e">
        <f t="shared" si="51"/>
        <v>#DIV/0!</v>
      </c>
      <c r="AG222" s="92"/>
    </row>
    <row r="223" spans="1:33" ht="14.4">
      <c r="A223" s="270"/>
      <c r="B223" s="97">
        <f t="shared" si="39"/>
        <v>31</v>
      </c>
      <c r="C223" s="325"/>
      <c r="D223" s="260"/>
      <c r="E223" s="95"/>
      <c r="G223" s="52"/>
      <c r="H223" s="52"/>
      <c r="I223" s="256"/>
      <c r="J223" s="98">
        <f t="shared" si="40"/>
        <v>0</v>
      </c>
      <c r="K223" s="118" t="e">
        <f t="shared" si="41"/>
        <v>#DIV/0!</v>
      </c>
      <c r="L223" s="15"/>
      <c r="M223" s="15"/>
      <c r="N223" s="15">
        <f t="shared" si="42"/>
        <v>0</v>
      </c>
      <c r="O223" s="70" t="e">
        <f t="shared" si="43"/>
        <v>#DIV/0!</v>
      </c>
      <c r="P223" s="70"/>
      <c r="Q223" s="70">
        <f t="shared" si="44"/>
        <v>0</v>
      </c>
      <c r="R223" s="70"/>
      <c r="S223" s="70"/>
      <c r="T223" s="70"/>
      <c r="U223" s="15"/>
      <c r="V223" s="70" t="e">
        <f t="shared" si="45"/>
        <v>#DIV/0!</v>
      </c>
      <c r="W223" s="15"/>
      <c r="X223" s="15"/>
      <c r="Y223" s="15">
        <f t="shared" si="46"/>
        <v>0</v>
      </c>
      <c r="Z223" s="52"/>
      <c r="AA223" s="98">
        <f t="shared" si="47"/>
        <v>0</v>
      </c>
      <c r="AB223" s="52"/>
      <c r="AC223" s="98">
        <f t="shared" si="48"/>
        <v>0</v>
      </c>
      <c r="AD223" s="98">
        <f t="shared" si="49"/>
        <v>0</v>
      </c>
      <c r="AE223" s="238" t="e">
        <f t="shared" si="50"/>
        <v>#DIV/0!</v>
      </c>
      <c r="AF223" s="125" t="e">
        <f t="shared" si="51"/>
        <v>#DIV/0!</v>
      </c>
      <c r="AG223" s="92"/>
    </row>
    <row r="224" spans="1:33" ht="14.4">
      <c r="A224" s="270"/>
      <c r="B224" s="97">
        <f t="shared" si="39"/>
        <v>31</v>
      </c>
      <c r="C224" s="325"/>
      <c r="D224" s="260"/>
      <c r="E224" s="95"/>
      <c r="G224" s="52"/>
      <c r="H224" s="52"/>
      <c r="I224" s="256"/>
      <c r="J224" s="98">
        <f t="shared" si="40"/>
        <v>0</v>
      </c>
      <c r="K224" s="118" t="e">
        <f t="shared" si="41"/>
        <v>#DIV/0!</v>
      </c>
      <c r="L224" s="15"/>
      <c r="M224" s="15"/>
      <c r="N224" s="15">
        <f t="shared" si="42"/>
        <v>0</v>
      </c>
      <c r="O224" s="70" t="e">
        <f t="shared" si="43"/>
        <v>#DIV/0!</v>
      </c>
      <c r="P224" s="70"/>
      <c r="Q224" s="70">
        <f t="shared" si="44"/>
        <v>0</v>
      </c>
      <c r="R224" s="70"/>
      <c r="S224" s="70"/>
      <c r="T224" s="70"/>
      <c r="U224" s="15"/>
      <c r="V224" s="70" t="e">
        <f t="shared" si="45"/>
        <v>#DIV/0!</v>
      </c>
      <c r="W224" s="15"/>
      <c r="X224" s="15"/>
      <c r="Y224" s="15">
        <f t="shared" si="46"/>
        <v>0</v>
      </c>
      <c r="Z224" s="52"/>
      <c r="AA224" s="98">
        <f t="shared" si="47"/>
        <v>0</v>
      </c>
      <c r="AB224" s="52"/>
      <c r="AC224" s="98">
        <f t="shared" si="48"/>
        <v>0</v>
      </c>
      <c r="AD224" s="98">
        <f t="shared" si="49"/>
        <v>0</v>
      </c>
      <c r="AE224" s="238" t="e">
        <f t="shared" si="50"/>
        <v>#DIV/0!</v>
      </c>
      <c r="AF224" s="125" t="e">
        <f t="shared" si="51"/>
        <v>#DIV/0!</v>
      </c>
      <c r="AG224" s="92"/>
    </row>
    <row r="225" spans="1:33" ht="14.4">
      <c r="A225" s="270"/>
      <c r="B225" s="97">
        <f t="shared" si="39"/>
        <v>31</v>
      </c>
      <c r="C225" s="325"/>
      <c r="D225" s="260"/>
      <c r="E225" s="95"/>
      <c r="G225" s="52"/>
      <c r="H225" s="52"/>
      <c r="I225" s="256"/>
      <c r="J225" s="98">
        <f t="shared" si="40"/>
        <v>0</v>
      </c>
      <c r="K225" s="118" t="e">
        <f t="shared" si="41"/>
        <v>#DIV/0!</v>
      </c>
      <c r="L225" s="15"/>
      <c r="M225" s="15"/>
      <c r="N225" s="15">
        <f t="shared" si="42"/>
        <v>0</v>
      </c>
      <c r="O225" s="70" t="e">
        <f t="shared" si="43"/>
        <v>#DIV/0!</v>
      </c>
      <c r="P225" s="70"/>
      <c r="Q225" s="70">
        <f t="shared" si="44"/>
        <v>0</v>
      </c>
      <c r="R225" s="70"/>
      <c r="S225" s="70"/>
      <c r="T225" s="70"/>
      <c r="U225" s="15"/>
      <c r="V225" s="70" t="e">
        <f t="shared" si="45"/>
        <v>#DIV/0!</v>
      </c>
      <c r="W225" s="15"/>
      <c r="X225" s="15"/>
      <c r="Y225" s="15">
        <f t="shared" si="46"/>
        <v>0</v>
      </c>
      <c r="Z225" s="52"/>
      <c r="AA225" s="98">
        <f t="shared" si="47"/>
        <v>0</v>
      </c>
      <c r="AB225" s="52"/>
      <c r="AC225" s="98">
        <f t="shared" si="48"/>
        <v>0</v>
      </c>
      <c r="AD225" s="98">
        <f t="shared" si="49"/>
        <v>0</v>
      </c>
      <c r="AE225" s="238" t="e">
        <f t="shared" si="50"/>
        <v>#DIV/0!</v>
      </c>
      <c r="AF225" s="125" t="e">
        <f t="shared" si="51"/>
        <v>#DIV/0!</v>
      </c>
      <c r="AG225" s="92"/>
    </row>
    <row r="226" spans="1:33" ht="14.4">
      <c r="A226" s="270"/>
      <c r="B226" s="97">
        <f t="shared" si="39"/>
        <v>31</v>
      </c>
      <c r="C226" s="325"/>
      <c r="D226" s="260"/>
      <c r="E226" s="95"/>
      <c r="G226" s="52"/>
      <c r="H226" s="52"/>
      <c r="I226" s="256"/>
      <c r="J226" s="98">
        <f t="shared" si="40"/>
        <v>0</v>
      </c>
      <c r="K226" s="118" t="e">
        <f t="shared" si="41"/>
        <v>#DIV/0!</v>
      </c>
      <c r="L226" s="15"/>
      <c r="M226" s="15"/>
      <c r="N226" s="15">
        <f t="shared" si="42"/>
        <v>0</v>
      </c>
      <c r="O226" s="70" t="e">
        <f t="shared" si="43"/>
        <v>#DIV/0!</v>
      </c>
      <c r="P226" s="70"/>
      <c r="Q226" s="70">
        <f t="shared" si="44"/>
        <v>0</v>
      </c>
      <c r="R226" s="70"/>
      <c r="S226" s="70"/>
      <c r="T226" s="70"/>
      <c r="U226" s="15"/>
      <c r="V226" s="70" t="e">
        <f t="shared" si="45"/>
        <v>#DIV/0!</v>
      </c>
      <c r="W226" s="15"/>
      <c r="X226" s="15"/>
      <c r="Y226" s="15">
        <f t="shared" si="46"/>
        <v>0</v>
      </c>
      <c r="Z226" s="52"/>
      <c r="AA226" s="98">
        <f t="shared" si="47"/>
        <v>0</v>
      </c>
      <c r="AB226" s="52"/>
      <c r="AC226" s="98">
        <f t="shared" si="48"/>
        <v>0</v>
      </c>
      <c r="AD226" s="98">
        <f t="shared" si="49"/>
        <v>0</v>
      </c>
      <c r="AE226" s="238" t="e">
        <f t="shared" si="50"/>
        <v>#DIV/0!</v>
      </c>
      <c r="AF226" s="125" t="e">
        <f t="shared" si="51"/>
        <v>#DIV/0!</v>
      </c>
      <c r="AG226" s="92"/>
    </row>
    <row r="227" spans="1:33" ht="14.4">
      <c r="A227" s="270"/>
      <c r="B227" s="97">
        <f t="shared" si="39"/>
        <v>31</v>
      </c>
      <c r="C227" s="325"/>
      <c r="D227" s="260"/>
      <c r="E227" s="95"/>
      <c r="G227" s="52"/>
      <c r="H227" s="52"/>
      <c r="I227" s="256"/>
      <c r="J227" s="98">
        <f t="shared" si="40"/>
        <v>0</v>
      </c>
      <c r="K227" s="118" t="e">
        <f t="shared" si="41"/>
        <v>#DIV/0!</v>
      </c>
      <c r="L227" s="15"/>
      <c r="M227" s="15"/>
      <c r="N227" s="15">
        <f t="shared" si="42"/>
        <v>0</v>
      </c>
      <c r="O227" s="70" t="e">
        <f t="shared" si="43"/>
        <v>#DIV/0!</v>
      </c>
      <c r="P227" s="70"/>
      <c r="Q227" s="70">
        <f t="shared" si="44"/>
        <v>0</v>
      </c>
      <c r="R227" s="70"/>
      <c r="S227" s="70"/>
      <c r="T227" s="70"/>
      <c r="U227" s="15"/>
      <c r="V227" s="70" t="e">
        <f t="shared" si="45"/>
        <v>#DIV/0!</v>
      </c>
      <c r="W227" s="15"/>
      <c r="X227" s="15"/>
      <c r="Y227" s="15">
        <f t="shared" si="46"/>
        <v>0</v>
      </c>
      <c r="Z227" s="52"/>
      <c r="AA227" s="98">
        <f t="shared" si="47"/>
        <v>0</v>
      </c>
      <c r="AB227" s="52"/>
      <c r="AC227" s="98">
        <f t="shared" si="48"/>
        <v>0</v>
      </c>
      <c r="AD227" s="98">
        <f t="shared" si="49"/>
        <v>0</v>
      </c>
      <c r="AE227" s="238" t="e">
        <f t="shared" si="50"/>
        <v>#DIV/0!</v>
      </c>
      <c r="AF227" s="125" t="e">
        <f t="shared" si="51"/>
        <v>#DIV/0!</v>
      </c>
      <c r="AG227" s="92"/>
    </row>
    <row r="228" spans="1:33" ht="14.4">
      <c r="A228" s="270"/>
      <c r="B228" s="97">
        <f t="shared" si="39"/>
        <v>31</v>
      </c>
      <c r="C228" s="325"/>
      <c r="D228" s="260"/>
      <c r="E228" s="95"/>
      <c r="G228" s="52"/>
      <c r="H228" s="52"/>
      <c r="I228" s="256"/>
      <c r="J228" s="98">
        <f t="shared" si="40"/>
        <v>0</v>
      </c>
      <c r="K228" s="118" t="e">
        <f t="shared" si="41"/>
        <v>#DIV/0!</v>
      </c>
      <c r="L228" s="15"/>
      <c r="M228" s="15"/>
      <c r="N228" s="15">
        <f t="shared" si="42"/>
        <v>0</v>
      </c>
      <c r="O228" s="70" t="e">
        <f t="shared" si="43"/>
        <v>#DIV/0!</v>
      </c>
      <c r="P228" s="70"/>
      <c r="Q228" s="70">
        <f t="shared" si="44"/>
        <v>0</v>
      </c>
      <c r="R228" s="70"/>
      <c r="S228" s="70"/>
      <c r="T228" s="70"/>
      <c r="U228" s="15"/>
      <c r="V228" s="70" t="e">
        <f t="shared" si="45"/>
        <v>#DIV/0!</v>
      </c>
      <c r="W228" s="15"/>
      <c r="X228" s="15"/>
      <c r="Y228" s="15">
        <f t="shared" si="46"/>
        <v>0</v>
      </c>
      <c r="Z228" s="52"/>
      <c r="AA228" s="98">
        <f t="shared" si="47"/>
        <v>0</v>
      </c>
      <c r="AB228" s="52"/>
      <c r="AC228" s="98">
        <f t="shared" si="48"/>
        <v>0</v>
      </c>
      <c r="AD228" s="98">
        <f t="shared" si="49"/>
        <v>0</v>
      </c>
      <c r="AE228" s="238" t="e">
        <f t="shared" si="50"/>
        <v>#DIV/0!</v>
      </c>
      <c r="AF228" s="125" t="e">
        <f t="shared" si="51"/>
        <v>#DIV/0!</v>
      </c>
      <c r="AG228" s="92"/>
    </row>
    <row r="229" spans="1:33" ht="14.4">
      <c r="A229" s="270"/>
      <c r="B229" s="97">
        <f t="shared" si="39"/>
        <v>31</v>
      </c>
      <c r="C229" s="325"/>
      <c r="D229" s="260"/>
      <c r="E229" s="95"/>
      <c r="G229" s="52"/>
      <c r="H229" s="52"/>
      <c r="I229" s="256"/>
      <c r="J229" s="98">
        <f t="shared" si="40"/>
        <v>0</v>
      </c>
      <c r="K229" s="118" t="e">
        <f t="shared" si="41"/>
        <v>#DIV/0!</v>
      </c>
      <c r="L229" s="15"/>
      <c r="M229" s="15"/>
      <c r="N229" s="15">
        <f t="shared" si="42"/>
        <v>0</v>
      </c>
      <c r="O229" s="70" t="e">
        <f t="shared" si="43"/>
        <v>#DIV/0!</v>
      </c>
      <c r="P229" s="70"/>
      <c r="Q229" s="70">
        <f t="shared" si="44"/>
        <v>0</v>
      </c>
      <c r="R229" s="70"/>
      <c r="S229" s="70"/>
      <c r="T229" s="70"/>
      <c r="U229" s="15"/>
      <c r="V229" s="70" t="e">
        <f t="shared" si="45"/>
        <v>#DIV/0!</v>
      </c>
      <c r="W229" s="15"/>
      <c r="X229" s="15"/>
      <c r="Y229" s="15">
        <f t="shared" si="46"/>
        <v>0</v>
      </c>
      <c r="Z229" s="52"/>
      <c r="AA229" s="98">
        <f t="shared" si="47"/>
        <v>0</v>
      </c>
      <c r="AB229" s="52"/>
      <c r="AC229" s="98">
        <f t="shared" si="48"/>
        <v>0</v>
      </c>
      <c r="AD229" s="98">
        <f t="shared" si="49"/>
        <v>0</v>
      </c>
      <c r="AE229" s="238" t="e">
        <f t="shared" si="50"/>
        <v>#DIV/0!</v>
      </c>
      <c r="AF229" s="125" t="e">
        <f t="shared" si="51"/>
        <v>#DIV/0!</v>
      </c>
      <c r="AG229" s="92"/>
    </row>
    <row r="230" spans="1:33" ht="14.4">
      <c r="A230" s="270"/>
      <c r="B230" s="97">
        <f t="shared" si="39"/>
        <v>31</v>
      </c>
      <c r="C230" s="325"/>
      <c r="D230" s="260"/>
      <c r="E230" s="95"/>
      <c r="G230" s="52"/>
      <c r="H230" s="52"/>
      <c r="I230" s="256"/>
      <c r="J230" s="98">
        <f t="shared" si="40"/>
        <v>0</v>
      </c>
      <c r="K230" s="118" t="e">
        <f t="shared" si="41"/>
        <v>#DIV/0!</v>
      </c>
      <c r="L230" s="15"/>
      <c r="M230" s="15"/>
      <c r="N230" s="15">
        <f t="shared" si="42"/>
        <v>0</v>
      </c>
      <c r="O230" s="70" t="e">
        <f t="shared" si="43"/>
        <v>#DIV/0!</v>
      </c>
      <c r="P230" s="70"/>
      <c r="Q230" s="70">
        <f t="shared" si="44"/>
        <v>0</v>
      </c>
      <c r="R230" s="70"/>
      <c r="S230" s="70"/>
      <c r="T230" s="70"/>
      <c r="U230" s="15"/>
      <c r="V230" s="70" t="e">
        <f t="shared" si="45"/>
        <v>#DIV/0!</v>
      </c>
      <c r="W230" s="15"/>
      <c r="X230" s="15"/>
      <c r="Y230" s="15">
        <f t="shared" si="46"/>
        <v>0</v>
      </c>
      <c r="Z230" s="52"/>
      <c r="AA230" s="98">
        <f t="shared" si="47"/>
        <v>0</v>
      </c>
      <c r="AB230" s="52"/>
      <c r="AC230" s="98">
        <f t="shared" si="48"/>
        <v>0</v>
      </c>
      <c r="AD230" s="98">
        <f t="shared" si="49"/>
        <v>0</v>
      </c>
      <c r="AE230" s="238" t="e">
        <f t="shared" si="50"/>
        <v>#DIV/0!</v>
      </c>
      <c r="AF230" s="125" t="e">
        <f t="shared" si="51"/>
        <v>#DIV/0!</v>
      </c>
      <c r="AG230" s="92"/>
    </row>
    <row r="231" spans="1:33" ht="14.4">
      <c r="A231" s="270"/>
      <c r="B231" s="97">
        <f t="shared" si="39"/>
        <v>31</v>
      </c>
      <c r="C231" s="325"/>
      <c r="D231" s="260"/>
      <c r="E231" s="95"/>
      <c r="G231" s="52"/>
      <c r="H231" s="52"/>
      <c r="I231" s="256"/>
      <c r="J231" s="98">
        <f t="shared" si="40"/>
        <v>0</v>
      </c>
      <c r="K231" s="118" t="e">
        <f t="shared" si="41"/>
        <v>#DIV/0!</v>
      </c>
      <c r="L231" s="15"/>
      <c r="M231" s="15"/>
      <c r="N231" s="15">
        <f t="shared" si="42"/>
        <v>0</v>
      </c>
      <c r="O231" s="70" t="e">
        <f t="shared" si="43"/>
        <v>#DIV/0!</v>
      </c>
      <c r="P231" s="70"/>
      <c r="Q231" s="70">
        <f t="shared" si="44"/>
        <v>0</v>
      </c>
      <c r="R231" s="70"/>
      <c r="S231" s="70"/>
      <c r="T231" s="70"/>
      <c r="U231" s="15"/>
      <c r="V231" s="70" t="e">
        <f t="shared" si="45"/>
        <v>#DIV/0!</v>
      </c>
      <c r="W231" s="15"/>
      <c r="X231" s="15"/>
      <c r="Y231" s="15">
        <f t="shared" si="46"/>
        <v>0</v>
      </c>
      <c r="Z231" s="52"/>
      <c r="AA231" s="98">
        <f t="shared" si="47"/>
        <v>0</v>
      </c>
      <c r="AB231" s="52"/>
      <c r="AC231" s="98">
        <f t="shared" si="48"/>
        <v>0</v>
      </c>
      <c r="AD231" s="98">
        <f t="shared" si="49"/>
        <v>0</v>
      </c>
      <c r="AE231" s="238" t="e">
        <f t="shared" si="50"/>
        <v>#DIV/0!</v>
      </c>
      <c r="AF231" s="125" t="e">
        <f t="shared" si="51"/>
        <v>#DIV/0!</v>
      </c>
      <c r="AG231" s="92"/>
    </row>
    <row r="232" spans="1:33" ht="14.4">
      <c r="A232" s="270"/>
      <c r="B232" s="97">
        <f t="shared" si="39"/>
        <v>31</v>
      </c>
      <c r="C232" s="325"/>
      <c r="D232" s="260"/>
      <c r="E232" s="95"/>
      <c r="G232" s="52"/>
      <c r="H232" s="52"/>
      <c r="I232" s="256"/>
      <c r="J232" s="98">
        <f t="shared" si="40"/>
        <v>0</v>
      </c>
      <c r="K232" s="118" t="e">
        <f t="shared" si="41"/>
        <v>#DIV/0!</v>
      </c>
      <c r="L232" s="15"/>
      <c r="M232" s="15"/>
      <c r="N232" s="15">
        <f t="shared" si="42"/>
        <v>0</v>
      </c>
      <c r="O232" s="70" t="e">
        <f t="shared" si="43"/>
        <v>#DIV/0!</v>
      </c>
      <c r="P232" s="70"/>
      <c r="Q232" s="70">
        <f t="shared" si="44"/>
        <v>0</v>
      </c>
      <c r="R232" s="70"/>
      <c r="S232" s="70"/>
      <c r="T232" s="70"/>
      <c r="U232" s="15"/>
      <c r="V232" s="70" t="e">
        <f t="shared" si="45"/>
        <v>#DIV/0!</v>
      </c>
      <c r="W232" s="15"/>
      <c r="X232" s="15"/>
      <c r="Y232" s="15">
        <f t="shared" si="46"/>
        <v>0</v>
      </c>
      <c r="Z232" s="52"/>
      <c r="AA232" s="98">
        <f t="shared" si="47"/>
        <v>0</v>
      </c>
      <c r="AB232" s="52"/>
      <c r="AC232" s="98">
        <f t="shared" si="48"/>
        <v>0</v>
      </c>
      <c r="AD232" s="98">
        <f t="shared" si="49"/>
        <v>0</v>
      </c>
      <c r="AE232" s="238" t="e">
        <f t="shared" si="50"/>
        <v>#DIV/0!</v>
      </c>
      <c r="AF232" s="125" t="e">
        <f t="shared" si="51"/>
        <v>#DIV/0!</v>
      </c>
      <c r="AG232" s="92"/>
    </row>
    <row r="233" spans="1:33" ht="14.4">
      <c r="A233" s="270"/>
      <c r="B233" s="97">
        <f t="shared" si="39"/>
        <v>31</v>
      </c>
      <c r="C233" s="325"/>
      <c r="D233" s="260"/>
      <c r="E233" s="95"/>
      <c r="G233" s="52"/>
      <c r="H233" s="52"/>
      <c r="I233" s="256"/>
      <c r="J233" s="98">
        <f t="shared" si="40"/>
        <v>0</v>
      </c>
      <c r="K233" s="118" t="e">
        <f t="shared" si="41"/>
        <v>#DIV/0!</v>
      </c>
      <c r="L233" s="15"/>
      <c r="M233" s="15"/>
      <c r="N233" s="15">
        <f t="shared" si="42"/>
        <v>0</v>
      </c>
      <c r="O233" s="70" t="e">
        <f t="shared" si="43"/>
        <v>#DIV/0!</v>
      </c>
      <c r="P233" s="70"/>
      <c r="Q233" s="70">
        <f t="shared" si="44"/>
        <v>0</v>
      </c>
      <c r="R233" s="70"/>
      <c r="S233" s="70"/>
      <c r="T233" s="70"/>
      <c r="U233" s="15"/>
      <c r="V233" s="70" t="e">
        <f t="shared" si="45"/>
        <v>#DIV/0!</v>
      </c>
      <c r="W233" s="15"/>
      <c r="X233" s="15"/>
      <c r="Y233" s="15">
        <f t="shared" si="46"/>
        <v>0</v>
      </c>
      <c r="Z233" s="52"/>
      <c r="AA233" s="98">
        <f t="shared" si="47"/>
        <v>0</v>
      </c>
      <c r="AB233" s="52"/>
      <c r="AC233" s="98">
        <f t="shared" si="48"/>
        <v>0</v>
      </c>
      <c r="AD233" s="98">
        <f t="shared" si="49"/>
        <v>0</v>
      </c>
      <c r="AE233" s="238" t="e">
        <f t="shared" si="50"/>
        <v>#DIV/0!</v>
      </c>
      <c r="AF233" s="125" t="e">
        <f t="shared" si="51"/>
        <v>#DIV/0!</v>
      </c>
      <c r="AG233" s="92"/>
    </row>
    <row r="234" spans="1:33" ht="14.4">
      <c r="A234" s="270"/>
      <c r="B234" s="97">
        <f t="shared" si="39"/>
        <v>31</v>
      </c>
      <c r="C234" s="325"/>
      <c r="D234" s="260"/>
      <c r="E234" s="95"/>
      <c r="G234" s="52"/>
      <c r="H234" s="52"/>
      <c r="I234" s="256"/>
      <c r="J234" s="98">
        <f t="shared" si="40"/>
        <v>0</v>
      </c>
      <c r="K234" s="118" t="e">
        <f t="shared" si="41"/>
        <v>#DIV/0!</v>
      </c>
      <c r="L234" s="15"/>
      <c r="M234" s="15"/>
      <c r="N234" s="15">
        <f t="shared" si="42"/>
        <v>0</v>
      </c>
      <c r="O234" s="70" t="e">
        <f t="shared" si="43"/>
        <v>#DIV/0!</v>
      </c>
      <c r="P234" s="70"/>
      <c r="Q234" s="70">
        <f t="shared" si="44"/>
        <v>0</v>
      </c>
      <c r="R234" s="70"/>
      <c r="S234" s="70"/>
      <c r="T234" s="70"/>
      <c r="U234" s="15"/>
      <c r="V234" s="70" t="e">
        <f t="shared" si="45"/>
        <v>#DIV/0!</v>
      </c>
      <c r="W234" s="15"/>
      <c r="X234" s="15"/>
      <c r="Y234" s="15">
        <f t="shared" si="46"/>
        <v>0</v>
      </c>
      <c r="Z234" s="52"/>
      <c r="AA234" s="98">
        <f t="shared" si="47"/>
        <v>0</v>
      </c>
      <c r="AB234" s="52"/>
      <c r="AC234" s="98">
        <f t="shared" si="48"/>
        <v>0</v>
      </c>
      <c r="AD234" s="98">
        <f t="shared" si="49"/>
        <v>0</v>
      </c>
      <c r="AE234" s="238" t="e">
        <f t="shared" si="50"/>
        <v>#DIV/0!</v>
      </c>
      <c r="AF234" s="125" t="e">
        <f t="shared" si="51"/>
        <v>#DIV/0!</v>
      </c>
      <c r="AG234" s="92"/>
    </row>
    <row r="235" spans="1:33" ht="14.4">
      <c r="A235" s="270"/>
      <c r="B235" s="97">
        <f t="shared" si="39"/>
        <v>31</v>
      </c>
      <c r="C235" s="325"/>
      <c r="D235" s="260"/>
      <c r="E235" s="95"/>
      <c r="G235" s="52"/>
      <c r="H235" s="52"/>
      <c r="I235" s="256"/>
      <c r="J235" s="98">
        <f t="shared" si="40"/>
        <v>0</v>
      </c>
      <c r="K235" s="118" t="e">
        <f t="shared" si="41"/>
        <v>#DIV/0!</v>
      </c>
      <c r="L235" s="15"/>
      <c r="M235" s="15"/>
      <c r="N235" s="15">
        <f t="shared" si="42"/>
        <v>0</v>
      </c>
      <c r="O235" s="70" t="e">
        <f t="shared" si="43"/>
        <v>#DIV/0!</v>
      </c>
      <c r="P235" s="70"/>
      <c r="Q235" s="70">
        <f t="shared" si="44"/>
        <v>0</v>
      </c>
      <c r="R235" s="70"/>
      <c r="S235" s="70"/>
      <c r="T235" s="70"/>
      <c r="U235" s="15"/>
      <c r="V235" s="70" t="e">
        <f t="shared" si="45"/>
        <v>#DIV/0!</v>
      </c>
      <c r="W235" s="15"/>
      <c r="X235" s="15"/>
      <c r="Y235" s="15">
        <f t="shared" si="46"/>
        <v>0</v>
      </c>
      <c r="Z235" s="52"/>
      <c r="AA235" s="98">
        <f t="shared" si="47"/>
        <v>0</v>
      </c>
      <c r="AB235" s="52"/>
      <c r="AC235" s="98">
        <f t="shared" si="48"/>
        <v>0</v>
      </c>
      <c r="AD235" s="98">
        <f t="shared" si="49"/>
        <v>0</v>
      </c>
      <c r="AE235" s="238" t="e">
        <f t="shared" si="50"/>
        <v>#DIV/0!</v>
      </c>
      <c r="AF235" s="125" t="e">
        <f t="shared" si="51"/>
        <v>#DIV/0!</v>
      </c>
      <c r="AG235" s="92"/>
    </row>
    <row r="236" spans="1:33" ht="14.4">
      <c r="A236" s="270"/>
      <c r="B236" s="97">
        <f t="shared" si="39"/>
        <v>31</v>
      </c>
      <c r="C236" s="325"/>
      <c r="D236" s="260"/>
      <c r="E236" s="95"/>
      <c r="G236" s="52"/>
      <c r="H236" s="52"/>
      <c r="I236" s="256"/>
      <c r="J236" s="98">
        <f t="shared" si="40"/>
        <v>0</v>
      </c>
      <c r="K236" s="118" t="e">
        <f t="shared" si="41"/>
        <v>#DIV/0!</v>
      </c>
      <c r="L236" s="15"/>
      <c r="M236" s="15"/>
      <c r="N236" s="15">
        <f t="shared" si="42"/>
        <v>0</v>
      </c>
      <c r="O236" s="70" t="e">
        <f t="shared" si="43"/>
        <v>#DIV/0!</v>
      </c>
      <c r="P236" s="70"/>
      <c r="Q236" s="70">
        <f t="shared" si="44"/>
        <v>0</v>
      </c>
      <c r="R236" s="70"/>
      <c r="S236" s="70"/>
      <c r="T236" s="70"/>
      <c r="U236" s="15"/>
      <c r="V236" s="70" t="e">
        <f t="shared" si="45"/>
        <v>#DIV/0!</v>
      </c>
      <c r="W236" s="15"/>
      <c r="X236" s="15"/>
      <c r="Y236" s="15">
        <f t="shared" si="46"/>
        <v>0</v>
      </c>
      <c r="Z236" s="52"/>
      <c r="AA236" s="98">
        <f t="shared" si="47"/>
        <v>0</v>
      </c>
      <c r="AB236" s="52"/>
      <c r="AC236" s="98">
        <f t="shared" si="48"/>
        <v>0</v>
      </c>
      <c r="AD236" s="98">
        <f t="shared" si="49"/>
        <v>0</v>
      </c>
      <c r="AE236" s="238" t="e">
        <f t="shared" si="50"/>
        <v>#DIV/0!</v>
      </c>
      <c r="AF236" s="125" t="e">
        <f t="shared" si="51"/>
        <v>#DIV/0!</v>
      </c>
      <c r="AG236" s="92"/>
    </row>
    <row r="237" spans="1:33" ht="14.4">
      <c r="A237" s="270"/>
      <c r="B237" s="97">
        <f t="shared" si="39"/>
        <v>31</v>
      </c>
      <c r="C237" s="325"/>
      <c r="D237" s="260"/>
      <c r="E237" s="95"/>
      <c r="G237" s="52"/>
      <c r="H237" s="52"/>
      <c r="I237" s="256"/>
      <c r="J237" s="98">
        <f t="shared" si="40"/>
        <v>0</v>
      </c>
      <c r="K237" s="118" t="e">
        <f t="shared" si="41"/>
        <v>#DIV/0!</v>
      </c>
      <c r="L237" s="15"/>
      <c r="M237" s="15"/>
      <c r="N237" s="15">
        <f t="shared" si="42"/>
        <v>0</v>
      </c>
      <c r="O237" s="70" t="e">
        <f t="shared" si="43"/>
        <v>#DIV/0!</v>
      </c>
      <c r="P237" s="70"/>
      <c r="Q237" s="70">
        <f t="shared" si="44"/>
        <v>0</v>
      </c>
      <c r="R237" s="70"/>
      <c r="S237" s="70"/>
      <c r="T237" s="70"/>
      <c r="U237" s="15"/>
      <c r="V237" s="70" t="e">
        <f t="shared" si="45"/>
        <v>#DIV/0!</v>
      </c>
      <c r="W237" s="15"/>
      <c r="X237" s="15"/>
      <c r="Y237" s="15">
        <f t="shared" si="46"/>
        <v>0</v>
      </c>
      <c r="Z237" s="52"/>
      <c r="AA237" s="98">
        <f t="shared" si="47"/>
        <v>0</v>
      </c>
      <c r="AB237" s="52"/>
      <c r="AC237" s="98">
        <f t="shared" si="48"/>
        <v>0</v>
      </c>
      <c r="AD237" s="98">
        <f t="shared" si="49"/>
        <v>0</v>
      </c>
      <c r="AE237" s="238" t="e">
        <f t="shared" si="50"/>
        <v>#DIV/0!</v>
      </c>
      <c r="AF237" s="125" t="e">
        <f t="shared" si="51"/>
        <v>#DIV/0!</v>
      </c>
      <c r="AG237" s="92"/>
    </row>
    <row r="238" spans="1:33" ht="14.4">
      <c r="A238" s="270"/>
      <c r="B238" s="97">
        <f t="shared" si="39"/>
        <v>31</v>
      </c>
      <c r="C238" s="325"/>
      <c r="D238" s="260"/>
      <c r="E238" s="95"/>
      <c r="G238" s="52"/>
      <c r="H238" s="52"/>
      <c r="I238" s="256"/>
      <c r="J238" s="98">
        <f t="shared" si="40"/>
        <v>0</v>
      </c>
      <c r="K238" s="118" t="e">
        <f t="shared" si="41"/>
        <v>#DIV/0!</v>
      </c>
      <c r="L238" s="15"/>
      <c r="M238" s="15"/>
      <c r="N238" s="15">
        <f t="shared" si="42"/>
        <v>0</v>
      </c>
      <c r="O238" s="70" t="e">
        <f t="shared" si="43"/>
        <v>#DIV/0!</v>
      </c>
      <c r="P238" s="70"/>
      <c r="Q238" s="70">
        <f t="shared" si="44"/>
        <v>0</v>
      </c>
      <c r="R238" s="70"/>
      <c r="S238" s="70"/>
      <c r="T238" s="70"/>
      <c r="U238" s="15"/>
      <c r="V238" s="70" t="e">
        <f t="shared" si="45"/>
        <v>#DIV/0!</v>
      </c>
      <c r="W238" s="15"/>
      <c r="X238" s="15"/>
      <c r="Y238" s="15">
        <f t="shared" si="46"/>
        <v>0</v>
      </c>
      <c r="Z238" s="52"/>
      <c r="AA238" s="98">
        <f t="shared" si="47"/>
        <v>0</v>
      </c>
      <c r="AB238" s="52"/>
      <c r="AC238" s="98">
        <f t="shared" si="48"/>
        <v>0</v>
      </c>
      <c r="AD238" s="98">
        <f t="shared" si="49"/>
        <v>0</v>
      </c>
      <c r="AE238" s="238" t="e">
        <f t="shared" si="50"/>
        <v>#DIV/0!</v>
      </c>
      <c r="AF238" s="125" t="e">
        <f t="shared" si="51"/>
        <v>#DIV/0!</v>
      </c>
      <c r="AG238" s="92"/>
    </row>
    <row r="239" spans="1:33" ht="14.4">
      <c r="A239" s="270"/>
      <c r="B239" s="97">
        <f t="shared" si="39"/>
        <v>31</v>
      </c>
      <c r="C239" s="325"/>
      <c r="D239" s="260"/>
      <c r="E239" s="95"/>
      <c r="G239" s="52"/>
      <c r="H239" s="52"/>
      <c r="I239" s="256"/>
      <c r="J239" s="98">
        <f t="shared" si="40"/>
        <v>0</v>
      </c>
      <c r="K239" s="118" t="e">
        <f t="shared" si="41"/>
        <v>#DIV/0!</v>
      </c>
      <c r="L239" s="15"/>
      <c r="M239" s="15"/>
      <c r="N239" s="15">
        <f t="shared" si="42"/>
        <v>0</v>
      </c>
      <c r="O239" s="70" t="e">
        <f t="shared" si="43"/>
        <v>#DIV/0!</v>
      </c>
      <c r="P239" s="70"/>
      <c r="Q239" s="70">
        <f t="shared" si="44"/>
        <v>0</v>
      </c>
      <c r="R239" s="70"/>
      <c r="S239" s="70"/>
      <c r="T239" s="70"/>
      <c r="U239" s="15"/>
      <c r="V239" s="70" t="e">
        <f t="shared" si="45"/>
        <v>#DIV/0!</v>
      </c>
      <c r="W239" s="15"/>
      <c r="X239" s="15"/>
      <c r="Y239" s="15">
        <f t="shared" si="46"/>
        <v>0</v>
      </c>
      <c r="Z239" s="52"/>
      <c r="AA239" s="98">
        <f t="shared" si="47"/>
        <v>0</v>
      </c>
      <c r="AB239" s="52"/>
      <c r="AC239" s="98">
        <f t="shared" si="48"/>
        <v>0</v>
      </c>
      <c r="AD239" s="98">
        <f t="shared" si="49"/>
        <v>0</v>
      </c>
      <c r="AE239" s="238" t="e">
        <f t="shared" si="50"/>
        <v>#DIV/0!</v>
      </c>
      <c r="AF239" s="125" t="e">
        <f t="shared" si="51"/>
        <v>#DIV/0!</v>
      </c>
      <c r="AG239" s="92"/>
    </row>
    <row r="240" spans="1:33" ht="14.4">
      <c r="A240" s="270"/>
      <c r="B240" s="97">
        <f t="shared" si="39"/>
        <v>31</v>
      </c>
      <c r="C240" s="325"/>
      <c r="D240" s="260"/>
      <c r="E240" s="95"/>
      <c r="G240" s="52"/>
      <c r="H240" s="52"/>
      <c r="I240" s="256"/>
      <c r="J240" s="98">
        <f t="shared" si="40"/>
        <v>0</v>
      </c>
      <c r="K240" s="118" t="e">
        <f t="shared" si="41"/>
        <v>#DIV/0!</v>
      </c>
      <c r="L240" s="15"/>
      <c r="M240" s="15"/>
      <c r="N240" s="15">
        <f t="shared" si="42"/>
        <v>0</v>
      </c>
      <c r="O240" s="70" t="e">
        <f t="shared" si="43"/>
        <v>#DIV/0!</v>
      </c>
      <c r="P240" s="70"/>
      <c r="Q240" s="70">
        <f t="shared" si="44"/>
        <v>0</v>
      </c>
      <c r="R240" s="70"/>
      <c r="S240" s="70"/>
      <c r="T240" s="70"/>
      <c r="U240" s="15"/>
      <c r="V240" s="70" t="e">
        <f t="shared" si="45"/>
        <v>#DIV/0!</v>
      </c>
      <c r="W240" s="15"/>
      <c r="X240" s="15"/>
      <c r="Y240" s="15">
        <f t="shared" si="46"/>
        <v>0</v>
      </c>
      <c r="Z240" s="52"/>
      <c r="AA240" s="98">
        <f t="shared" si="47"/>
        <v>0</v>
      </c>
      <c r="AB240" s="52"/>
      <c r="AC240" s="98">
        <f t="shared" si="48"/>
        <v>0</v>
      </c>
      <c r="AD240" s="98">
        <f t="shared" si="49"/>
        <v>0</v>
      </c>
      <c r="AE240" s="238" t="e">
        <f t="shared" si="50"/>
        <v>#DIV/0!</v>
      </c>
      <c r="AF240" s="125" t="e">
        <f t="shared" si="51"/>
        <v>#DIV/0!</v>
      </c>
      <c r="AG240" s="92"/>
    </row>
    <row r="241" spans="1:33" ht="14.4">
      <c r="A241" s="270"/>
      <c r="B241" s="97">
        <f t="shared" si="39"/>
        <v>31</v>
      </c>
      <c r="C241" s="325"/>
      <c r="D241" s="260"/>
      <c r="E241" s="95"/>
      <c r="G241" s="52"/>
      <c r="H241" s="52"/>
      <c r="I241" s="256"/>
      <c r="J241" s="98">
        <f t="shared" si="40"/>
        <v>0</v>
      </c>
      <c r="K241" s="118" t="e">
        <f t="shared" si="41"/>
        <v>#DIV/0!</v>
      </c>
      <c r="L241" s="15"/>
      <c r="M241" s="15"/>
      <c r="N241" s="15">
        <f t="shared" si="42"/>
        <v>0</v>
      </c>
      <c r="O241" s="70" t="e">
        <f t="shared" si="43"/>
        <v>#DIV/0!</v>
      </c>
      <c r="P241" s="70"/>
      <c r="Q241" s="70">
        <f t="shared" si="44"/>
        <v>0</v>
      </c>
      <c r="R241" s="70"/>
      <c r="S241" s="70"/>
      <c r="T241" s="70"/>
      <c r="U241" s="15"/>
      <c r="V241" s="70" t="e">
        <f t="shared" si="45"/>
        <v>#DIV/0!</v>
      </c>
      <c r="W241" s="15"/>
      <c r="X241" s="15"/>
      <c r="Y241" s="15">
        <f t="shared" si="46"/>
        <v>0</v>
      </c>
      <c r="Z241" s="52"/>
      <c r="AA241" s="98">
        <f t="shared" si="47"/>
        <v>0</v>
      </c>
      <c r="AB241" s="52"/>
      <c r="AC241" s="98">
        <f t="shared" si="48"/>
        <v>0</v>
      </c>
      <c r="AD241" s="98">
        <f t="shared" si="49"/>
        <v>0</v>
      </c>
      <c r="AE241" s="238" t="e">
        <f t="shared" si="50"/>
        <v>#DIV/0!</v>
      </c>
      <c r="AF241" s="125" t="e">
        <f t="shared" si="51"/>
        <v>#DIV/0!</v>
      </c>
      <c r="AG241" s="92"/>
    </row>
    <row r="242" spans="1:33" ht="14.4">
      <c r="A242" s="270"/>
      <c r="B242" s="97">
        <f t="shared" si="39"/>
        <v>31</v>
      </c>
      <c r="C242" s="325"/>
      <c r="D242" s="260"/>
      <c r="E242" s="95"/>
      <c r="G242" s="52"/>
      <c r="H242" s="52"/>
      <c r="I242" s="256"/>
      <c r="J242" s="98">
        <f t="shared" si="40"/>
        <v>0</v>
      </c>
      <c r="K242" s="118" t="e">
        <f t="shared" si="41"/>
        <v>#DIV/0!</v>
      </c>
      <c r="L242" s="15"/>
      <c r="M242" s="15"/>
      <c r="N242" s="15">
        <f t="shared" si="42"/>
        <v>0</v>
      </c>
      <c r="O242" s="70" t="e">
        <f t="shared" si="43"/>
        <v>#DIV/0!</v>
      </c>
      <c r="P242" s="70"/>
      <c r="Q242" s="70">
        <f t="shared" si="44"/>
        <v>0</v>
      </c>
      <c r="R242" s="70"/>
      <c r="S242" s="70"/>
      <c r="T242" s="70"/>
      <c r="U242" s="15"/>
      <c r="V242" s="70" t="e">
        <f t="shared" si="45"/>
        <v>#DIV/0!</v>
      </c>
      <c r="W242" s="15"/>
      <c r="X242" s="15"/>
      <c r="Y242" s="15">
        <f t="shared" si="46"/>
        <v>0</v>
      </c>
      <c r="Z242" s="52"/>
      <c r="AA242" s="98">
        <f t="shared" si="47"/>
        <v>0</v>
      </c>
      <c r="AB242" s="52"/>
      <c r="AC242" s="98">
        <f t="shared" si="48"/>
        <v>0</v>
      </c>
      <c r="AD242" s="98">
        <f t="shared" si="49"/>
        <v>0</v>
      </c>
      <c r="AE242" s="238" t="e">
        <f t="shared" si="50"/>
        <v>#DIV/0!</v>
      </c>
      <c r="AF242" s="125" t="e">
        <f t="shared" si="51"/>
        <v>#DIV/0!</v>
      </c>
      <c r="AG242" s="92"/>
    </row>
    <row r="243" spans="1:33" ht="14.4">
      <c r="A243" s="270"/>
      <c r="B243" s="97">
        <f t="shared" si="39"/>
        <v>31</v>
      </c>
      <c r="C243" s="325"/>
      <c r="D243" s="260"/>
      <c r="E243" s="95"/>
      <c r="G243" s="52"/>
      <c r="H243" s="52"/>
      <c r="I243" s="256"/>
      <c r="J243" s="98">
        <f t="shared" si="40"/>
        <v>0</v>
      </c>
      <c r="K243" s="118" t="e">
        <f t="shared" si="41"/>
        <v>#DIV/0!</v>
      </c>
      <c r="L243" s="15"/>
      <c r="M243" s="15"/>
      <c r="N243" s="15">
        <f t="shared" si="42"/>
        <v>0</v>
      </c>
      <c r="O243" s="70" t="e">
        <f t="shared" si="43"/>
        <v>#DIV/0!</v>
      </c>
      <c r="P243" s="70"/>
      <c r="Q243" s="70">
        <f t="shared" si="44"/>
        <v>0</v>
      </c>
      <c r="R243" s="70"/>
      <c r="S243" s="70"/>
      <c r="T243" s="70"/>
      <c r="U243" s="15"/>
      <c r="V243" s="70" t="e">
        <f t="shared" si="45"/>
        <v>#DIV/0!</v>
      </c>
      <c r="W243" s="15"/>
      <c r="X243" s="15"/>
      <c r="Y243" s="15">
        <f t="shared" si="46"/>
        <v>0</v>
      </c>
      <c r="Z243" s="52"/>
      <c r="AA243" s="98">
        <f t="shared" si="47"/>
        <v>0</v>
      </c>
      <c r="AB243" s="52"/>
      <c r="AC243" s="98">
        <f t="shared" si="48"/>
        <v>0</v>
      </c>
      <c r="AD243" s="98">
        <f t="shared" si="49"/>
        <v>0</v>
      </c>
      <c r="AE243" s="238" t="e">
        <f t="shared" si="50"/>
        <v>#DIV/0!</v>
      </c>
      <c r="AF243" s="125" t="e">
        <f t="shared" si="51"/>
        <v>#DIV/0!</v>
      </c>
      <c r="AG243" s="92"/>
    </row>
    <row r="244" spans="1:33" ht="14.4">
      <c r="A244" s="270"/>
      <c r="B244" s="97">
        <f t="shared" si="39"/>
        <v>31</v>
      </c>
      <c r="C244" s="325"/>
      <c r="D244" s="260"/>
      <c r="E244" s="95"/>
      <c r="G244" s="52"/>
      <c r="H244" s="52"/>
      <c r="I244" s="256"/>
      <c r="J244" s="98">
        <f t="shared" si="40"/>
        <v>0</v>
      </c>
      <c r="K244" s="118" t="e">
        <f t="shared" si="41"/>
        <v>#DIV/0!</v>
      </c>
      <c r="L244" s="15"/>
      <c r="M244" s="15"/>
      <c r="N244" s="15">
        <f t="shared" si="42"/>
        <v>0</v>
      </c>
      <c r="O244" s="70" t="e">
        <f t="shared" si="43"/>
        <v>#DIV/0!</v>
      </c>
      <c r="P244" s="70"/>
      <c r="Q244" s="70">
        <f t="shared" si="44"/>
        <v>0</v>
      </c>
      <c r="R244" s="70"/>
      <c r="S244" s="70"/>
      <c r="T244" s="70"/>
      <c r="U244" s="15"/>
      <c r="V244" s="70" t="e">
        <f t="shared" si="45"/>
        <v>#DIV/0!</v>
      </c>
      <c r="W244" s="15"/>
      <c r="X244" s="15"/>
      <c r="Y244" s="15">
        <f t="shared" si="46"/>
        <v>0</v>
      </c>
      <c r="Z244" s="52"/>
      <c r="AA244" s="98">
        <f t="shared" si="47"/>
        <v>0</v>
      </c>
      <c r="AB244" s="52"/>
      <c r="AC244" s="98">
        <f t="shared" si="48"/>
        <v>0</v>
      </c>
      <c r="AD244" s="98">
        <f t="shared" si="49"/>
        <v>0</v>
      </c>
      <c r="AE244" s="238" t="e">
        <f t="shared" si="50"/>
        <v>#DIV/0!</v>
      </c>
      <c r="AF244" s="125" t="e">
        <f t="shared" si="51"/>
        <v>#DIV/0!</v>
      </c>
      <c r="AG244" s="92"/>
    </row>
    <row r="245" spans="1:33" ht="14.4">
      <c r="A245" s="270"/>
      <c r="B245" s="97">
        <f t="shared" si="39"/>
        <v>31</v>
      </c>
      <c r="C245" s="325"/>
      <c r="D245" s="260"/>
      <c r="E245" s="95"/>
      <c r="G245" s="52"/>
      <c r="H245" s="52"/>
      <c r="I245" s="256"/>
      <c r="J245" s="98">
        <f t="shared" si="40"/>
        <v>0</v>
      </c>
      <c r="K245" s="118" t="e">
        <f t="shared" si="41"/>
        <v>#DIV/0!</v>
      </c>
      <c r="L245" s="15"/>
      <c r="M245" s="15"/>
      <c r="N245" s="15">
        <f t="shared" si="42"/>
        <v>0</v>
      </c>
      <c r="O245" s="70" t="e">
        <f t="shared" si="43"/>
        <v>#DIV/0!</v>
      </c>
      <c r="P245" s="70"/>
      <c r="Q245" s="70">
        <f t="shared" si="44"/>
        <v>0</v>
      </c>
      <c r="R245" s="70"/>
      <c r="S245" s="70"/>
      <c r="T245" s="70"/>
      <c r="U245" s="15"/>
      <c r="V245" s="70" t="e">
        <f t="shared" si="45"/>
        <v>#DIV/0!</v>
      </c>
      <c r="W245" s="15"/>
      <c r="X245" s="15"/>
      <c r="Y245" s="15">
        <f t="shared" si="46"/>
        <v>0</v>
      </c>
      <c r="Z245" s="52"/>
      <c r="AA245" s="98">
        <f t="shared" si="47"/>
        <v>0</v>
      </c>
      <c r="AB245" s="52"/>
      <c r="AC245" s="98">
        <f t="shared" si="48"/>
        <v>0</v>
      </c>
      <c r="AD245" s="98">
        <f t="shared" si="49"/>
        <v>0</v>
      </c>
      <c r="AE245" s="238" t="e">
        <f t="shared" si="50"/>
        <v>#DIV/0!</v>
      </c>
      <c r="AF245" s="125" t="e">
        <f t="shared" si="51"/>
        <v>#DIV/0!</v>
      </c>
      <c r="AG245" s="92"/>
    </row>
    <row r="246" spans="1:33" ht="14.4">
      <c r="A246" s="270"/>
      <c r="B246" s="97">
        <f t="shared" si="39"/>
        <v>31</v>
      </c>
      <c r="C246" s="325"/>
      <c r="D246" s="260"/>
      <c r="E246" s="95"/>
      <c r="G246" s="52"/>
      <c r="H246" s="52"/>
      <c r="I246" s="256"/>
      <c r="J246" s="98">
        <f t="shared" si="40"/>
        <v>0</v>
      </c>
      <c r="K246" s="118" t="e">
        <f t="shared" si="41"/>
        <v>#DIV/0!</v>
      </c>
      <c r="L246" s="15"/>
      <c r="M246" s="15"/>
      <c r="N246" s="15">
        <f t="shared" si="42"/>
        <v>0</v>
      </c>
      <c r="O246" s="70" t="e">
        <f t="shared" si="43"/>
        <v>#DIV/0!</v>
      </c>
      <c r="P246" s="70"/>
      <c r="Q246" s="70">
        <f t="shared" si="44"/>
        <v>0</v>
      </c>
      <c r="R246" s="70"/>
      <c r="S246" s="70"/>
      <c r="T246" s="70"/>
      <c r="U246" s="15"/>
      <c r="V246" s="70" t="e">
        <f t="shared" si="45"/>
        <v>#DIV/0!</v>
      </c>
      <c r="W246" s="15"/>
      <c r="X246" s="15"/>
      <c r="Y246" s="15">
        <f t="shared" si="46"/>
        <v>0</v>
      </c>
      <c r="Z246" s="52"/>
      <c r="AA246" s="98">
        <f t="shared" si="47"/>
        <v>0</v>
      </c>
      <c r="AB246" s="52"/>
      <c r="AC246" s="98">
        <f t="shared" si="48"/>
        <v>0</v>
      </c>
      <c r="AD246" s="98">
        <f t="shared" si="49"/>
        <v>0</v>
      </c>
      <c r="AE246" s="238" t="e">
        <f t="shared" si="50"/>
        <v>#DIV/0!</v>
      </c>
      <c r="AF246" s="125" t="e">
        <f t="shared" si="51"/>
        <v>#DIV/0!</v>
      </c>
      <c r="AG246" s="92"/>
    </row>
    <row r="247" spans="1:33" ht="14.4">
      <c r="A247" s="270"/>
      <c r="B247" s="97">
        <f t="shared" si="39"/>
        <v>31</v>
      </c>
      <c r="C247" s="325"/>
      <c r="D247" s="260"/>
      <c r="E247" s="95"/>
      <c r="G247" s="52"/>
      <c r="H247" s="52"/>
      <c r="I247" s="256"/>
      <c r="J247" s="98">
        <f t="shared" si="40"/>
        <v>0</v>
      </c>
      <c r="K247" s="118" t="e">
        <f t="shared" si="41"/>
        <v>#DIV/0!</v>
      </c>
      <c r="L247" s="15"/>
      <c r="M247" s="15"/>
      <c r="N247" s="15">
        <f t="shared" si="42"/>
        <v>0</v>
      </c>
      <c r="O247" s="70" t="e">
        <f t="shared" si="43"/>
        <v>#DIV/0!</v>
      </c>
      <c r="P247" s="70"/>
      <c r="Q247" s="70">
        <f t="shared" si="44"/>
        <v>0</v>
      </c>
      <c r="R247" s="70"/>
      <c r="S247" s="70"/>
      <c r="T247" s="70"/>
      <c r="U247" s="15"/>
      <c r="V247" s="70" t="e">
        <f t="shared" si="45"/>
        <v>#DIV/0!</v>
      </c>
      <c r="W247" s="15"/>
      <c r="X247" s="15"/>
      <c r="Y247" s="15">
        <f t="shared" si="46"/>
        <v>0</v>
      </c>
      <c r="Z247" s="52"/>
      <c r="AA247" s="98">
        <f t="shared" si="47"/>
        <v>0</v>
      </c>
      <c r="AB247" s="52"/>
      <c r="AC247" s="98">
        <f t="shared" si="48"/>
        <v>0</v>
      </c>
      <c r="AD247" s="98">
        <f t="shared" si="49"/>
        <v>0</v>
      </c>
      <c r="AE247" s="238" t="e">
        <f t="shared" si="50"/>
        <v>#DIV/0!</v>
      </c>
      <c r="AF247" s="125" t="e">
        <f t="shared" si="51"/>
        <v>#DIV/0!</v>
      </c>
      <c r="AG247" s="92"/>
    </row>
    <row r="248" spans="1:33" ht="14.4">
      <c r="A248" s="270"/>
      <c r="B248" s="97">
        <f t="shared" si="39"/>
        <v>31</v>
      </c>
      <c r="C248" s="325"/>
      <c r="D248" s="260"/>
      <c r="E248" s="95"/>
      <c r="G248" s="52"/>
      <c r="H248" s="52"/>
      <c r="I248" s="256"/>
      <c r="J248" s="98">
        <f t="shared" si="40"/>
        <v>0</v>
      </c>
      <c r="K248" s="118" t="e">
        <f t="shared" si="41"/>
        <v>#DIV/0!</v>
      </c>
      <c r="L248" s="15"/>
      <c r="M248" s="15"/>
      <c r="N248" s="15">
        <f t="shared" si="42"/>
        <v>0</v>
      </c>
      <c r="O248" s="70" t="e">
        <f t="shared" si="43"/>
        <v>#DIV/0!</v>
      </c>
      <c r="P248" s="70"/>
      <c r="Q248" s="70">
        <f t="shared" si="44"/>
        <v>0</v>
      </c>
      <c r="R248" s="70"/>
      <c r="S248" s="70"/>
      <c r="T248" s="70"/>
      <c r="U248" s="15"/>
      <c r="V248" s="70" t="e">
        <f t="shared" si="45"/>
        <v>#DIV/0!</v>
      </c>
      <c r="W248" s="15"/>
      <c r="X248" s="15"/>
      <c r="Y248" s="15">
        <f t="shared" si="46"/>
        <v>0</v>
      </c>
      <c r="Z248" s="52"/>
      <c r="AA248" s="98">
        <f t="shared" si="47"/>
        <v>0</v>
      </c>
      <c r="AB248" s="52"/>
      <c r="AC248" s="98">
        <f t="shared" si="48"/>
        <v>0</v>
      </c>
      <c r="AD248" s="98">
        <f t="shared" si="49"/>
        <v>0</v>
      </c>
      <c r="AE248" s="238" t="e">
        <f t="shared" si="50"/>
        <v>#DIV/0!</v>
      </c>
      <c r="AF248" s="125" t="e">
        <f t="shared" si="51"/>
        <v>#DIV/0!</v>
      </c>
      <c r="AG248" s="92"/>
    </row>
    <row r="249" spans="1:33" ht="14.4">
      <c r="A249" s="270"/>
      <c r="B249" s="97">
        <f t="shared" si="39"/>
        <v>31</v>
      </c>
      <c r="C249" s="325"/>
      <c r="D249" s="260"/>
      <c r="E249" s="95"/>
      <c r="G249" s="52"/>
      <c r="H249" s="52"/>
      <c r="I249" s="256"/>
      <c r="J249" s="98">
        <f t="shared" si="40"/>
        <v>0</v>
      </c>
      <c r="K249" s="118" t="e">
        <f t="shared" si="41"/>
        <v>#DIV/0!</v>
      </c>
      <c r="L249" s="15"/>
      <c r="M249" s="15"/>
      <c r="N249" s="15">
        <f t="shared" si="42"/>
        <v>0</v>
      </c>
      <c r="O249" s="70" t="e">
        <f t="shared" si="43"/>
        <v>#DIV/0!</v>
      </c>
      <c r="P249" s="70"/>
      <c r="Q249" s="70">
        <f t="shared" si="44"/>
        <v>0</v>
      </c>
      <c r="R249" s="70"/>
      <c r="S249" s="70"/>
      <c r="T249" s="70"/>
      <c r="U249" s="15"/>
      <c r="V249" s="70" t="e">
        <f t="shared" si="45"/>
        <v>#DIV/0!</v>
      </c>
      <c r="W249" s="15"/>
      <c r="X249" s="15"/>
      <c r="Y249" s="15">
        <f t="shared" si="46"/>
        <v>0</v>
      </c>
      <c r="Z249" s="52"/>
      <c r="AA249" s="98">
        <f t="shared" si="47"/>
        <v>0</v>
      </c>
      <c r="AB249" s="52"/>
      <c r="AC249" s="98">
        <f t="shared" si="48"/>
        <v>0</v>
      </c>
      <c r="AD249" s="98">
        <f t="shared" si="49"/>
        <v>0</v>
      </c>
      <c r="AE249" s="238" t="e">
        <f t="shared" si="50"/>
        <v>#DIV/0!</v>
      </c>
      <c r="AF249" s="125" t="e">
        <f t="shared" si="51"/>
        <v>#DIV/0!</v>
      </c>
      <c r="AG249" s="92"/>
    </row>
    <row r="250" spans="1:33" ht="14.4">
      <c r="A250" s="270"/>
      <c r="B250" s="97">
        <f t="shared" si="39"/>
        <v>31</v>
      </c>
      <c r="C250" s="325"/>
      <c r="D250" s="260"/>
      <c r="E250" s="95"/>
      <c r="G250" s="52"/>
      <c r="H250" s="52"/>
      <c r="I250" s="256"/>
      <c r="J250" s="98">
        <f t="shared" si="40"/>
        <v>0</v>
      </c>
      <c r="K250" s="118" t="e">
        <f t="shared" si="41"/>
        <v>#DIV/0!</v>
      </c>
      <c r="L250" s="15"/>
      <c r="M250" s="15"/>
      <c r="N250" s="15">
        <f t="shared" si="42"/>
        <v>0</v>
      </c>
      <c r="O250" s="70" t="e">
        <f t="shared" si="43"/>
        <v>#DIV/0!</v>
      </c>
      <c r="P250" s="70"/>
      <c r="Q250" s="70">
        <f t="shared" si="44"/>
        <v>0</v>
      </c>
      <c r="R250" s="70"/>
      <c r="S250" s="70"/>
      <c r="T250" s="70"/>
      <c r="U250" s="15"/>
      <c r="V250" s="70" t="e">
        <f t="shared" si="45"/>
        <v>#DIV/0!</v>
      </c>
      <c r="W250" s="15"/>
      <c r="X250" s="15"/>
      <c r="Y250" s="15">
        <f t="shared" si="46"/>
        <v>0</v>
      </c>
      <c r="Z250" s="52"/>
      <c r="AA250" s="98">
        <f t="shared" si="47"/>
        <v>0</v>
      </c>
      <c r="AB250" s="52"/>
      <c r="AC250" s="98">
        <f t="shared" si="48"/>
        <v>0</v>
      </c>
      <c r="AD250" s="98">
        <f t="shared" si="49"/>
        <v>0</v>
      </c>
      <c r="AE250" s="238" t="e">
        <f t="shared" si="50"/>
        <v>#DIV/0!</v>
      </c>
      <c r="AF250" s="125" t="e">
        <f t="shared" si="51"/>
        <v>#DIV/0!</v>
      </c>
      <c r="AG250" s="92"/>
    </row>
    <row r="251" spans="1:33" ht="14.4">
      <c r="A251" s="270"/>
      <c r="B251" s="97">
        <f t="shared" si="39"/>
        <v>31</v>
      </c>
      <c r="C251" s="325"/>
      <c r="D251" s="260"/>
      <c r="E251" s="95"/>
      <c r="G251" s="52"/>
      <c r="H251" s="52"/>
      <c r="I251" s="256"/>
      <c r="J251" s="98">
        <f t="shared" si="40"/>
        <v>0</v>
      </c>
      <c r="K251" s="118" t="e">
        <f t="shared" si="41"/>
        <v>#DIV/0!</v>
      </c>
      <c r="L251" s="15"/>
      <c r="M251" s="15"/>
      <c r="N251" s="15">
        <f t="shared" si="42"/>
        <v>0</v>
      </c>
      <c r="O251" s="70" t="e">
        <f t="shared" si="43"/>
        <v>#DIV/0!</v>
      </c>
      <c r="P251" s="70"/>
      <c r="Q251" s="70">
        <f t="shared" si="44"/>
        <v>0</v>
      </c>
      <c r="R251" s="70"/>
      <c r="S251" s="70"/>
      <c r="T251" s="70"/>
      <c r="U251" s="15"/>
      <c r="V251" s="70" t="e">
        <f t="shared" si="45"/>
        <v>#DIV/0!</v>
      </c>
      <c r="W251" s="15"/>
      <c r="X251" s="15"/>
      <c r="Y251" s="15">
        <f t="shared" si="46"/>
        <v>0</v>
      </c>
      <c r="Z251" s="52"/>
      <c r="AA251" s="98">
        <f t="shared" si="47"/>
        <v>0</v>
      </c>
      <c r="AB251" s="52"/>
      <c r="AC251" s="98">
        <f t="shared" si="48"/>
        <v>0</v>
      </c>
      <c r="AD251" s="98">
        <f t="shared" si="49"/>
        <v>0</v>
      </c>
      <c r="AE251" s="238" t="e">
        <f t="shared" si="50"/>
        <v>#DIV/0!</v>
      </c>
      <c r="AF251" s="125" t="e">
        <f t="shared" si="51"/>
        <v>#DIV/0!</v>
      </c>
      <c r="AG251" s="92"/>
    </row>
    <row r="252" spans="1:33" ht="14.4">
      <c r="A252" s="270"/>
      <c r="B252" s="97">
        <f t="shared" si="39"/>
        <v>31</v>
      </c>
      <c r="C252" s="325"/>
      <c r="D252" s="260"/>
      <c r="E252" s="95"/>
      <c r="G252" s="52"/>
      <c r="H252" s="52"/>
      <c r="I252" s="256"/>
      <c r="J252" s="98">
        <f t="shared" si="40"/>
        <v>0</v>
      </c>
      <c r="K252" s="118" t="e">
        <f t="shared" si="41"/>
        <v>#DIV/0!</v>
      </c>
      <c r="L252" s="15"/>
      <c r="M252" s="15"/>
      <c r="N252" s="15">
        <f t="shared" si="42"/>
        <v>0</v>
      </c>
      <c r="O252" s="70" t="e">
        <f t="shared" si="43"/>
        <v>#DIV/0!</v>
      </c>
      <c r="P252" s="70"/>
      <c r="Q252" s="70">
        <f t="shared" si="44"/>
        <v>0</v>
      </c>
      <c r="R252" s="70"/>
      <c r="S252" s="70"/>
      <c r="T252" s="70"/>
      <c r="U252" s="15"/>
      <c r="V252" s="70" t="e">
        <f t="shared" si="45"/>
        <v>#DIV/0!</v>
      </c>
      <c r="W252" s="15"/>
      <c r="X252" s="15"/>
      <c r="Y252" s="15">
        <f t="shared" si="46"/>
        <v>0</v>
      </c>
      <c r="Z252" s="52"/>
      <c r="AA252" s="98">
        <f t="shared" si="47"/>
        <v>0</v>
      </c>
      <c r="AB252" s="52"/>
      <c r="AC252" s="98">
        <f t="shared" si="48"/>
        <v>0</v>
      </c>
      <c r="AD252" s="98">
        <f t="shared" si="49"/>
        <v>0</v>
      </c>
      <c r="AE252" s="238" t="e">
        <f t="shared" si="50"/>
        <v>#DIV/0!</v>
      </c>
      <c r="AF252" s="125" t="e">
        <f t="shared" si="51"/>
        <v>#DIV/0!</v>
      </c>
      <c r="AG252" s="92"/>
    </row>
    <row r="253" spans="1:33" ht="14.4">
      <c r="A253" s="270"/>
      <c r="B253" s="97">
        <f t="shared" si="39"/>
        <v>31</v>
      </c>
      <c r="C253" s="325"/>
      <c r="D253" s="260"/>
      <c r="E253" s="95"/>
      <c r="G253" s="52"/>
      <c r="H253" s="52"/>
      <c r="I253" s="256"/>
      <c r="J253" s="98">
        <f t="shared" si="40"/>
        <v>0</v>
      </c>
      <c r="K253" s="118" t="e">
        <f t="shared" si="41"/>
        <v>#DIV/0!</v>
      </c>
      <c r="L253" s="15"/>
      <c r="M253" s="15"/>
      <c r="N253" s="15">
        <f t="shared" si="42"/>
        <v>0</v>
      </c>
      <c r="O253" s="70" t="e">
        <f t="shared" si="43"/>
        <v>#DIV/0!</v>
      </c>
      <c r="P253" s="70"/>
      <c r="Q253" s="70">
        <f t="shared" si="44"/>
        <v>0</v>
      </c>
      <c r="R253" s="70"/>
      <c r="S253" s="70"/>
      <c r="T253" s="70"/>
      <c r="U253" s="15"/>
      <c r="V253" s="70" t="e">
        <f t="shared" si="45"/>
        <v>#DIV/0!</v>
      </c>
      <c r="W253" s="15"/>
      <c r="X253" s="15"/>
      <c r="Y253" s="15">
        <f t="shared" si="46"/>
        <v>0</v>
      </c>
      <c r="Z253" s="52"/>
      <c r="AA253" s="98">
        <f t="shared" si="47"/>
        <v>0</v>
      </c>
      <c r="AB253" s="52"/>
      <c r="AC253" s="98">
        <f t="shared" si="48"/>
        <v>0</v>
      </c>
      <c r="AD253" s="98">
        <f t="shared" si="49"/>
        <v>0</v>
      </c>
      <c r="AE253" s="238" t="e">
        <f t="shared" si="50"/>
        <v>#DIV/0!</v>
      </c>
      <c r="AF253" s="125" t="e">
        <f t="shared" si="51"/>
        <v>#DIV/0!</v>
      </c>
      <c r="AG253" s="92"/>
    </row>
    <row r="254" spans="1:33" ht="14.4">
      <c r="A254" s="270"/>
      <c r="B254" s="97">
        <f t="shared" si="39"/>
        <v>31</v>
      </c>
      <c r="C254" s="325"/>
      <c r="D254" s="260"/>
      <c r="E254" s="95"/>
      <c r="G254" s="52"/>
      <c r="H254" s="52"/>
      <c r="I254" s="256"/>
      <c r="J254" s="98">
        <f t="shared" si="40"/>
        <v>0</v>
      </c>
      <c r="K254" s="118" t="e">
        <f t="shared" si="41"/>
        <v>#DIV/0!</v>
      </c>
      <c r="L254" s="15"/>
      <c r="M254" s="15"/>
      <c r="N254" s="15">
        <f t="shared" si="42"/>
        <v>0</v>
      </c>
      <c r="O254" s="70" t="e">
        <f t="shared" si="43"/>
        <v>#DIV/0!</v>
      </c>
      <c r="P254" s="70"/>
      <c r="Q254" s="70">
        <f t="shared" si="44"/>
        <v>0</v>
      </c>
      <c r="R254" s="70"/>
      <c r="S254" s="70"/>
      <c r="T254" s="70"/>
      <c r="U254" s="15"/>
      <c r="V254" s="70" t="e">
        <f t="shared" si="45"/>
        <v>#DIV/0!</v>
      </c>
      <c r="W254" s="15"/>
      <c r="X254" s="15"/>
      <c r="Y254" s="15">
        <f t="shared" si="46"/>
        <v>0</v>
      </c>
      <c r="Z254" s="52"/>
      <c r="AA254" s="98">
        <f t="shared" si="47"/>
        <v>0</v>
      </c>
      <c r="AB254" s="52"/>
      <c r="AC254" s="98">
        <f t="shared" si="48"/>
        <v>0</v>
      </c>
      <c r="AD254" s="98">
        <f t="shared" si="49"/>
        <v>0</v>
      </c>
      <c r="AE254" s="238" t="e">
        <f t="shared" si="50"/>
        <v>#DIV/0!</v>
      </c>
      <c r="AF254" s="125" t="e">
        <f t="shared" si="51"/>
        <v>#DIV/0!</v>
      </c>
      <c r="AG254" s="92"/>
    </row>
    <row r="255" spans="1:33" ht="14.4">
      <c r="A255" s="270"/>
      <c r="B255" s="97">
        <f t="shared" si="39"/>
        <v>31</v>
      </c>
      <c r="C255" s="325"/>
      <c r="D255" s="260"/>
      <c r="E255" s="95"/>
      <c r="G255" s="52"/>
      <c r="H255" s="52"/>
      <c r="I255" s="256"/>
      <c r="J255" s="98">
        <f t="shared" si="40"/>
        <v>0</v>
      </c>
      <c r="K255" s="118" t="e">
        <f t="shared" si="41"/>
        <v>#DIV/0!</v>
      </c>
      <c r="L255" s="15"/>
      <c r="M255" s="15"/>
      <c r="N255" s="15">
        <f t="shared" si="42"/>
        <v>0</v>
      </c>
      <c r="O255" s="70" t="e">
        <f t="shared" si="43"/>
        <v>#DIV/0!</v>
      </c>
      <c r="P255" s="70"/>
      <c r="Q255" s="70">
        <f t="shared" si="44"/>
        <v>0</v>
      </c>
      <c r="R255" s="70"/>
      <c r="S255" s="70"/>
      <c r="T255" s="70"/>
      <c r="U255" s="15"/>
      <c r="V255" s="70" t="e">
        <f t="shared" si="45"/>
        <v>#DIV/0!</v>
      </c>
      <c r="W255" s="15"/>
      <c r="X255" s="15"/>
      <c r="Y255" s="15">
        <f t="shared" si="46"/>
        <v>0</v>
      </c>
      <c r="Z255" s="52"/>
      <c r="AA255" s="98">
        <f t="shared" si="47"/>
        <v>0</v>
      </c>
      <c r="AB255" s="52"/>
      <c r="AC255" s="98">
        <f t="shared" si="48"/>
        <v>0</v>
      </c>
      <c r="AD255" s="98">
        <f t="shared" si="49"/>
        <v>0</v>
      </c>
      <c r="AE255" s="238" t="e">
        <f t="shared" si="50"/>
        <v>#DIV/0!</v>
      </c>
      <c r="AF255" s="125" t="e">
        <f t="shared" si="51"/>
        <v>#DIV/0!</v>
      </c>
      <c r="AG255" s="92"/>
    </row>
    <row r="256" spans="1:33" ht="14.4">
      <c r="A256" s="270"/>
      <c r="B256" s="97">
        <f t="shared" si="39"/>
        <v>31</v>
      </c>
      <c r="C256" s="325"/>
      <c r="D256" s="260"/>
      <c r="E256" s="95"/>
      <c r="G256" s="52"/>
      <c r="H256" s="52"/>
      <c r="I256" s="256"/>
      <c r="J256" s="98">
        <f t="shared" si="40"/>
        <v>0</v>
      </c>
      <c r="K256" s="118" t="e">
        <f t="shared" si="41"/>
        <v>#DIV/0!</v>
      </c>
      <c r="L256" s="15"/>
      <c r="M256" s="15"/>
      <c r="N256" s="15">
        <f t="shared" si="42"/>
        <v>0</v>
      </c>
      <c r="O256" s="70" t="e">
        <f t="shared" si="43"/>
        <v>#DIV/0!</v>
      </c>
      <c r="P256" s="70"/>
      <c r="Q256" s="70">
        <f t="shared" si="44"/>
        <v>0</v>
      </c>
      <c r="R256" s="70"/>
      <c r="S256" s="70"/>
      <c r="T256" s="70"/>
      <c r="U256" s="15"/>
      <c r="V256" s="70" t="e">
        <f t="shared" si="45"/>
        <v>#DIV/0!</v>
      </c>
      <c r="W256" s="15"/>
      <c r="X256" s="15"/>
      <c r="Y256" s="15">
        <f t="shared" si="46"/>
        <v>0</v>
      </c>
      <c r="Z256" s="52"/>
      <c r="AA256" s="98">
        <f t="shared" si="47"/>
        <v>0</v>
      </c>
      <c r="AB256" s="52"/>
      <c r="AC256" s="98">
        <f t="shared" si="48"/>
        <v>0</v>
      </c>
      <c r="AD256" s="98">
        <f t="shared" si="49"/>
        <v>0</v>
      </c>
      <c r="AE256" s="238" t="e">
        <f t="shared" si="50"/>
        <v>#DIV/0!</v>
      </c>
      <c r="AF256" s="125" t="e">
        <f t="shared" si="51"/>
        <v>#DIV/0!</v>
      </c>
      <c r="AG256" s="92"/>
    </row>
    <row r="257" spans="1:33" ht="14.4">
      <c r="A257" s="270"/>
      <c r="B257" s="97">
        <f t="shared" si="39"/>
        <v>31</v>
      </c>
      <c r="C257" s="325"/>
      <c r="D257" s="260"/>
      <c r="E257" s="95"/>
      <c r="G257" s="52"/>
      <c r="H257" s="52"/>
      <c r="I257" s="256"/>
      <c r="J257" s="98">
        <f t="shared" si="40"/>
        <v>0</v>
      </c>
      <c r="K257" s="118" t="e">
        <f t="shared" si="41"/>
        <v>#DIV/0!</v>
      </c>
      <c r="L257" s="15"/>
      <c r="M257" s="15"/>
      <c r="N257" s="15">
        <f t="shared" si="42"/>
        <v>0</v>
      </c>
      <c r="O257" s="70" t="e">
        <f t="shared" si="43"/>
        <v>#DIV/0!</v>
      </c>
      <c r="P257" s="70"/>
      <c r="Q257" s="70">
        <f t="shared" si="44"/>
        <v>0</v>
      </c>
      <c r="R257" s="70"/>
      <c r="S257" s="70"/>
      <c r="T257" s="70"/>
      <c r="U257" s="15"/>
      <c r="V257" s="70" t="e">
        <f t="shared" si="45"/>
        <v>#DIV/0!</v>
      </c>
      <c r="W257" s="15"/>
      <c r="X257" s="15"/>
      <c r="Y257" s="15">
        <f t="shared" si="46"/>
        <v>0</v>
      </c>
      <c r="Z257" s="52"/>
      <c r="AA257" s="98">
        <f t="shared" si="47"/>
        <v>0</v>
      </c>
      <c r="AB257" s="52"/>
      <c r="AC257" s="98">
        <f t="shared" si="48"/>
        <v>0</v>
      </c>
      <c r="AD257" s="98">
        <f t="shared" si="49"/>
        <v>0</v>
      </c>
      <c r="AE257" s="238" t="e">
        <f t="shared" si="50"/>
        <v>#DIV/0!</v>
      </c>
      <c r="AF257" s="125" t="e">
        <f t="shared" si="51"/>
        <v>#DIV/0!</v>
      </c>
      <c r="AG257" s="92"/>
    </row>
    <row r="258" spans="1:33" ht="14.4">
      <c r="A258" s="270"/>
      <c r="B258" s="97">
        <f t="shared" si="39"/>
        <v>31</v>
      </c>
      <c r="C258" s="325"/>
      <c r="D258" s="260"/>
      <c r="E258" s="95"/>
      <c r="G258" s="52"/>
      <c r="H258" s="52"/>
      <c r="I258" s="256"/>
      <c r="J258" s="98">
        <f t="shared" si="40"/>
        <v>0</v>
      </c>
      <c r="K258" s="118" t="e">
        <f t="shared" si="41"/>
        <v>#DIV/0!</v>
      </c>
      <c r="L258" s="15"/>
      <c r="M258" s="15"/>
      <c r="N258" s="15">
        <f t="shared" si="42"/>
        <v>0</v>
      </c>
      <c r="O258" s="70" t="e">
        <f t="shared" si="43"/>
        <v>#DIV/0!</v>
      </c>
      <c r="P258" s="70"/>
      <c r="Q258" s="70">
        <f t="shared" si="44"/>
        <v>0</v>
      </c>
      <c r="R258" s="70"/>
      <c r="S258" s="70"/>
      <c r="T258" s="70"/>
      <c r="U258" s="15"/>
      <c r="V258" s="70" t="e">
        <f t="shared" si="45"/>
        <v>#DIV/0!</v>
      </c>
      <c r="W258" s="15"/>
      <c r="X258" s="15"/>
      <c r="Y258" s="15">
        <f t="shared" si="46"/>
        <v>0</v>
      </c>
      <c r="Z258" s="52"/>
      <c r="AA258" s="98">
        <f t="shared" si="47"/>
        <v>0</v>
      </c>
      <c r="AB258" s="52"/>
      <c r="AC258" s="98">
        <f t="shared" si="48"/>
        <v>0</v>
      </c>
      <c r="AD258" s="98">
        <f t="shared" si="49"/>
        <v>0</v>
      </c>
      <c r="AE258" s="238" t="e">
        <f t="shared" si="50"/>
        <v>#DIV/0!</v>
      </c>
      <c r="AF258" s="125" t="e">
        <f t="shared" si="51"/>
        <v>#DIV/0!</v>
      </c>
      <c r="AG258" s="92"/>
    </row>
    <row r="259" spans="1:33" ht="14.4">
      <c r="A259" s="270"/>
      <c r="B259" s="97">
        <f t="shared" si="39"/>
        <v>31</v>
      </c>
      <c r="C259" s="325"/>
      <c r="D259" s="260"/>
      <c r="E259" s="95"/>
      <c r="G259" s="52"/>
      <c r="H259" s="52"/>
      <c r="I259" s="256"/>
      <c r="J259" s="98">
        <f t="shared" si="40"/>
        <v>0</v>
      </c>
      <c r="K259" s="118" t="e">
        <f t="shared" si="41"/>
        <v>#DIV/0!</v>
      </c>
      <c r="L259" s="15"/>
      <c r="M259" s="15"/>
      <c r="N259" s="15">
        <f t="shared" si="42"/>
        <v>0</v>
      </c>
      <c r="O259" s="70" t="e">
        <f t="shared" si="43"/>
        <v>#DIV/0!</v>
      </c>
      <c r="P259" s="70"/>
      <c r="Q259" s="70">
        <f t="shared" si="44"/>
        <v>0</v>
      </c>
      <c r="R259" s="70"/>
      <c r="S259" s="70"/>
      <c r="T259" s="70"/>
      <c r="U259" s="15"/>
      <c r="V259" s="70" t="e">
        <f t="shared" si="45"/>
        <v>#DIV/0!</v>
      </c>
      <c r="W259" s="15"/>
      <c r="X259" s="15"/>
      <c r="Y259" s="15">
        <f t="shared" si="46"/>
        <v>0</v>
      </c>
      <c r="Z259" s="52"/>
      <c r="AA259" s="98">
        <f t="shared" si="47"/>
        <v>0</v>
      </c>
      <c r="AB259" s="52"/>
      <c r="AC259" s="98">
        <f t="shared" si="48"/>
        <v>0</v>
      </c>
      <c r="AD259" s="98">
        <f t="shared" si="49"/>
        <v>0</v>
      </c>
      <c r="AE259" s="238" t="e">
        <f t="shared" si="50"/>
        <v>#DIV/0!</v>
      </c>
      <c r="AF259" s="125" t="e">
        <f t="shared" si="51"/>
        <v>#DIV/0!</v>
      </c>
      <c r="AG259" s="92"/>
    </row>
    <row r="260" spans="1:33" ht="14.4">
      <c r="A260" s="270"/>
      <c r="B260" s="97">
        <f t="shared" si="39"/>
        <v>31</v>
      </c>
      <c r="C260" s="325"/>
      <c r="D260" s="260"/>
      <c r="E260" s="95"/>
      <c r="G260" s="52"/>
      <c r="H260" s="52"/>
      <c r="I260" s="256"/>
      <c r="J260" s="98">
        <f t="shared" si="40"/>
        <v>0</v>
      </c>
      <c r="K260" s="118" t="e">
        <f t="shared" si="41"/>
        <v>#DIV/0!</v>
      </c>
      <c r="L260" s="15"/>
      <c r="M260" s="15"/>
      <c r="N260" s="15">
        <f t="shared" si="42"/>
        <v>0</v>
      </c>
      <c r="O260" s="70" t="e">
        <f t="shared" si="43"/>
        <v>#DIV/0!</v>
      </c>
      <c r="P260" s="70"/>
      <c r="Q260" s="70">
        <f t="shared" si="44"/>
        <v>0</v>
      </c>
      <c r="R260" s="70"/>
      <c r="S260" s="70"/>
      <c r="T260" s="70"/>
      <c r="U260" s="15"/>
      <c r="V260" s="70" t="e">
        <f t="shared" si="45"/>
        <v>#DIV/0!</v>
      </c>
      <c r="W260" s="15"/>
      <c r="X260" s="15"/>
      <c r="Y260" s="15">
        <f t="shared" si="46"/>
        <v>0</v>
      </c>
      <c r="Z260" s="52"/>
      <c r="AA260" s="98">
        <f t="shared" si="47"/>
        <v>0</v>
      </c>
      <c r="AB260" s="52"/>
      <c r="AC260" s="98">
        <f t="shared" si="48"/>
        <v>0</v>
      </c>
      <c r="AD260" s="98">
        <f t="shared" si="49"/>
        <v>0</v>
      </c>
      <c r="AE260" s="238" t="e">
        <f t="shared" si="50"/>
        <v>#DIV/0!</v>
      </c>
      <c r="AF260" s="125" t="e">
        <f t="shared" si="51"/>
        <v>#DIV/0!</v>
      </c>
      <c r="AG260" s="92"/>
    </row>
    <row r="261" spans="1:33" ht="14.4">
      <c r="A261" s="270"/>
      <c r="B261" s="97">
        <f t="shared" si="39"/>
        <v>31</v>
      </c>
      <c r="C261" s="325"/>
      <c r="D261" s="260"/>
      <c r="E261" s="95"/>
      <c r="G261" s="52"/>
      <c r="H261" s="52"/>
      <c r="I261" s="256"/>
      <c r="J261" s="98">
        <f t="shared" si="40"/>
        <v>0</v>
      </c>
      <c r="K261" s="118" t="e">
        <f t="shared" si="41"/>
        <v>#DIV/0!</v>
      </c>
      <c r="L261" s="15"/>
      <c r="M261" s="15"/>
      <c r="N261" s="15">
        <f t="shared" si="42"/>
        <v>0</v>
      </c>
      <c r="O261" s="70" t="e">
        <f t="shared" si="43"/>
        <v>#DIV/0!</v>
      </c>
      <c r="P261" s="70"/>
      <c r="Q261" s="70">
        <f t="shared" si="44"/>
        <v>0</v>
      </c>
      <c r="R261" s="70"/>
      <c r="S261" s="70"/>
      <c r="T261" s="70"/>
      <c r="U261" s="15"/>
      <c r="V261" s="70" t="e">
        <f t="shared" si="45"/>
        <v>#DIV/0!</v>
      </c>
      <c r="W261" s="15"/>
      <c r="X261" s="15"/>
      <c r="Y261" s="15">
        <f t="shared" si="46"/>
        <v>0</v>
      </c>
      <c r="Z261" s="52"/>
      <c r="AA261" s="98">
        <f t="shared" si="47"/>
        <v>0</v>
      </c>
      <c r="AB261" s="52"/>
      <c r="AC261" s="98">
        <f t="shared" si="48"/>
        <v>0</v>
      </c>
      <c r="AD261" s="98">
        <f t="shared" si="49"/>
        <v>0</v>
      </c>
      <c r="AE261" s="238" t="e">
        <f t="shared" si="50"/>
        <v>#DIV/0!</v>
      </c>
      <c r="AF261" s="125" t="e">
        <f t="shared" si="51"/>
        <v>#DIV/0!</v>
      </c>
      <c r="AG261" s="92"/>
    </row>
    <row r="262" spans="1:33" ht="14.4">
      <c r="A262" s="270"/>
      <c r="B262" s="97">
        <f t="shared" ref="B262:B325" si="52">EOMONTH(A262,0)</f>
        <v>31</v>
      </c>
      <c r="C262" s="325"/>
      <c r="D262" s="260"/>
      <c r="E262" s="95"/>
      <c r="G262" s="52"/>
      <c r="H262" s="52"/>
      <c r="I262" s="256"/>
      <c r="J262" s="98">
        <f t="shared" ref="J262:J325" si="53">U262</f>
        <v>0</v>
      </c>
      <c r="K262" s="118" t="e">
        <f t="shared" ref="K262:K325" si="54">L262/J262</f>
        <v>#DIV/0!</v>
      </c>
      <c r="L262" s="15"/>
      <c r="M262" s="15"/>
      <c r="N262" s="15">
        <f t="shared" ref="N262:N325" si="55">L262-M262</f>
        <v>0</v>
      </c>
      <c r="O262" s="70" t="e">
        <f t="shared" ref="O262:O325" si="56">P262/J262</f>
        <v>#DIV/0!</v>
      </c>
      <c r="P262" s="70"/>
      <c r="Q262" s="70">
        <f t="shared" ref="Q262:Q325" si="57">N262+P262</f>
        <v>0</v>
      </c>
      <c r="R262" s="70"/>
      <c r="S262" s="70"/>
      <c r="T262" s="70"/>
      <c r="U262" s="15"/>
      <c r="V262" s="70" t="e">
        <f t="shared" ref="V262:V325" si="58">W262/U262</f>
        <v>#DIV/0!</v>
      </c>
      <c r="W262" s="15"/>
      <c r="X262" s="15"/>
      <c r="Y262" s="15">
        <f t="shared" ref="Y262:Y325" si="59">W262-X262</f>
        <v>0</v>
      </c>
      <c r="Z262" s="52"/>
      <c r="AA262" s="98">
        <f t="shared" ref="AA262:AA325" si="60">Y262-Z262</f>
        <v>0</v>
      </c>
      <c r="AB262" s="52"/>
      <c r="AC262" s="98">
        <f t="shared" ref="AC262:AC325" si="61">Y262-N262</f>
        <v>0</v>
      </c>
      <c r="AD262" s="98">
        <f t="shared" ref="AD262:AD325" si="62">AA262-Q262</f>
        <v>0</v>
      </c>
      <c r="AE262" s="238" t="e">
        <f t="shared" ref="AE262:AE325" si="63">AC262/Y262</f>
        <v>#DIV/0!</v>
      </c>
      <c r="AF262" s="125" t="e">
        <f t="shared" ref="AF262:AF325" si="64">AD262/AA262</f>
        <v>#DIV/0!</v>
      </c>
      <c r="AG262" s="92"/>
    </row>
    <row r="263" spans="1:33" ht="14.4">
      <c r="A263" s="270"/>
      <c r="B263" s="97">
        <f t="shared" si="52"/>
        <v>31</v>
      </c>
      <c r="C263" s="325"/>
      <c r="D263" s="260"/>
      <c r="E263" s="95"/>
      <c r="G263" s="52"/>
      <c r="H263" s="52"/>
      <c r="I263" s="256"/>
      <c r="J263" s="98">
        <f t="shared" si="53"/>
        <v>0</v>
      </c>
      <c r="K263" s="118" t="e">
        <f t="shared" si="54"/>
        <v>#DIV/0!</v>
      </c>
      <c r="L263" s="15"/>
      <c r="M263" s="15"/>
      <c r="N263" s="15">
        <f t="shared" si="55"/>
        <v>0</v>
      </c>
      <c r="O263" s="70" t="e">
        <f t="shared" si="56"/>
        <v>#DIV/0!</v>
      </c>
      <c r="P263" s="70"/>
      <c r="Q263" s="70">
        <f t="shared" si="57"/>
        <v>0</v>
      </c>
      <c r="R263" s="70"/>
      <c r="S263" s="70"/>
      <c r="T263" s="70"/>
      <c r="U263" s="15"/>
      <c r="V263" s="70" t="e">
        <f t="shared" si="58"/>
        <v>#DIV/0!</v>
      </c>
      <c r="W263" s="15"/>
      <c r="X263" s="15"/>
      <c r="Y263" s="15">
        <f t="shared" si="59"/>
        <v>0</v>
      </c>
      <c r="Z263" s="52"/>
      <c r="AA263" s="98">
        <f t="shared" si="60"/>
        <v>0</v>
      </c>
      <c r="AB263" s="52"/>
      <c r="AC263" s="98">
        <f t="shared" si="61"/>
        <v>0</v>
      </c>
      <c r="AD263" s="98">
        <f t="shared" si="62"/>
        <v>0</v>
      </c>
      <c r="AE263" s="238" t="e">
        <f t="shared" si="63"/>
        <v>#DIV/0!</v>
      </c>
      <c r="AF263" s="125" t="e">
        <f t="shared" si="64"/>
        <v>#DIV/0!</v>
      </c>
      <c r="AG263" s="92"/>
    </row>
    <row r="264" spans="1:33" ht="14.4">
      <c r="A264" s="270"/>
      <c r="B264" s="97">
        <f t="shared" si="52"/>
        <v>31</v>
      </c>
      <c r="C264" s="325"/>
      <c r="D264" s="260"/>
      <c r="E264" s="95"/>
      <c r="G264" s="52"/>
      <c r="H264" s="52"/>
      <c r="I264" s="256"/>
      <c r="J264" s="98">
        <f t="shared" si="53"/>
        <v>0</v>
      </c>
      <c r="K264" s="118" t="e">
        <f t="shared" si="54"/>
        <v>#DIV/0!</v>
      </c>
      <c r="L264" s="15"/>
      <c r="M264" s="15"/>
      <c r="N264" s="15">
        <f t="shared" si="55"/>
        <v>0</v>
      </c>
      <c r="O264" s="70" t="e">
        <f t="shared" si="56"/>
        <v>#DIV/0!</v>
      </c>
      <c r="P264" s="70"/>
      <c r="Q264" s="70">
        <f t="shared" si="57"/>
        <v>0</v>
      </c>
      <c r="R264" s="70"/>
      <c r="S264" s="70"/>
      <c r="T264" s="70"/>
      <c r="U264" s="15"/>
      <c r="V264" s="70" t="e">
        <f t="shared" si="58"/>
        <v>#DIV/0!</v>
      </c>
      <c r="W264" s="15"/>
      <c r="X264" s="15"/>
      <c r="Y264" s="15">
        <f t="shared" si="59"/>
        <v>0</v>
      </c>
      <c r="Z264" s="52"/>
      <c r="AA264" s="98">
        <f t="shared" si="60"/>
        <v>0</v>
      </c>
      <c r="AB264" s="52"/>
      <c r="AC264" s="98">
        <f t="shared" si="61"/>
        <v>0</v>
      </c>
      <c r="AD264" s="98">
        <f t="shared" si="62"/>
        <v>0</v>
      </c>
      <c r="AE264" s="238" t="e">
        <f t="shared" si="63"/>
        <v>#DIV/0!</v>
      </c>
      <c r="AF264" s="125" t="e">
        <f t="shared" si="64"/>
        <v>#DIV/0!</v>
      </c>
      <c r="AG264" s="92"/>
    </row>
    <row r="265" spans="1:33" ht="14.4">
      <c r="A265" s="270"/>
      <c r="B265" s="97">
        <f t="shared" si="52"/>
        <v>31</v>
      </c>
      <c r="C265" s="325"/>
      <c r="D265" s="260"/>
      <c r="E265" s="95"/>
      <c r="G265" s="52"/>
      <c r="H265" s="52"/>
      <c r="I265" s="256"/>
      <c r="J265" s="98">
        <f t="shared" si="53"/>
        <v>0</v>
      </c>
      <c r="K265" s="118" t="e">
        <f t="shared" si="54"/>
        <v>#DIV/0!</v>
      </c>
      <c r="L265" s="15"/>
      <c r="M265" s="15"/>
      <c r="N265" s="15">
        <f t="shared" si="55"/>
        <v>0</v>
      </c>
      <c r="O265" s="70" t="e">
        <f t="shared" si="56"/>
        <v>#DIV/0!</v>
      </c>
      <c r="P265" s="70"/>
      <c r="Q265" s="70">
        <f t="shared" si="57"/>
        <v>0</v>
      </c>
      <c r="R265" s="70"/>
      <c r="S265" s="70"/>
      <c r="T265" s="70"/>
      <c r="U265" s="15"/>
      <c r="V265" s="70" t="e">
        <f t="shared" si="58"/>
        <v>#DIV/0!</v>
      </c>
      <c r="W265" s="15"/>
      <c r="X265" s="15"/>
      <c r="Y265" s="15">
        <f t="shared" si="59"/>
        <v>0</v>
      </c>
      <c r="Z265" s="52"/>
      <c r="AA265" s="98">
        <f t="shared" si="60"/>
        <v>0</v>
      </c>
      <c r="AB265" s="52"/>
      <c r="AC265" s="98">
        <f t="shared" si="61"/>
        <v>0</v>
      </c>
      <c r="AD265" s="98">
        <f t="shared" si="62"/>
        <v>0</v>
      </c>
      <c r="AE265" s="238" t="e">
        <f t="shared" si="63"/>
        <v>#DIV/0!</v>
      </c>
      <c r="AF265" s="125" t="e">
        <f t="shared" si="64"/>
        <v>#DIV/0!</v>
      </c>
      <c r="AG265" s="92"/>
    </row>
    <row r="266" spans="1:33" ht="14.4">
      <c r="A266" s="270"/>
      <c r="B266" s="97">
        <f t="shared" si="52"/>
        <v>31</v>
      </c>
      <c r="C266" s="325"/>
      <c r="D266" s="260"/>
      <c r="E266" s="95"/>
      <c r="G266" s="52"/>
      <c r="H266" s="52"/>
      <c r="I266" s="256"/>
      <c r="J266" s="98">
        <f t="shared" si="53"/>
        <v>0</v>
      </c>
      <c r="K266" s="118" t="e">
        <f t="shared" si="54"/>
        <v>#DIV/0!</v>
      </c>
      <c r="L266" s="15"/>
      <c r="M266" s="15"/>
      <c r="N266" s="15">
        <f t="shared" si="55"/>
        <v>0</v>
      </c>
      <c r="O266" s="70" t="e">
        <f t="shared" si="56"/>
        <v>#DIV/0!</v>
      </c>
      <c r="P266" s="70"/>
      <c r="Q266" s="70">
        <f t="shared" si="57"/>
        <v>0</v>
      </c>
      <c r="R266" s="70"/>
      <c r="S266" s="70"/>
      <c r="T266" s="70"/>
      <c r="U266" s="15"/>
      <c r="V266" s="70" t="e">
        <f t="shared" si="58"/>
        <v>#DIV/0!</v>
      </c>
      <c r="W266" s="15"/>
      <c r="X266" s="15"/>
      <c r="Y266" s="15">
        <f t="shared" si="59"/>
        <v>0</v>
      </c>
      <c r="Z266" s="52"/>
      <c r="AA266" s="98">
        <f t="shared" si="60"/>
        <v>0</v>
      </c>
      <c r="AB266" s="52"/>
      <c r="AC266" s="98">
        <f t="shared" si="61"/>
        <v>0</v>
      </c>
      <c r="AD266" s="98">
        <f t="shared" si="62"/>
        <v>0</v>
      </c>
      <c r="AE266" s="238" t="e">
        <f t="shared" si="63"/>
        <v>#DIV/0!</v>
      </c>
      <c r="AF266" s="125" t="e">
        <f t="shared" si="64"/>
        <v>#DIV/0!</v>
      </c>
      <c r="AG266" s="92"/>
    </row>
    <row r="267" spans="1:33" ht="14.4">
      <c r="A267" s="270"/>
      <c r="B267" s="97">
        <f t="shared" si="52"/>
        <v>31</v>
      </c>
      <c r="C267" s="325"/>
      <c r="D267" s="260"/>
      <c r="E267" s="95"/>
      <c r="G267" s="52"/>
      <c r="H267" s="52"/>
      <c r="I267" s="256"/>
      <c r="J267" s="98">
        <f t="shared" si="53"/>
        <v>0</v>
      </c>
      <c r="K267" s="118" t="e">
        <f t="shared" si="54"/>
        <v>#DIV/0!</v>
      </c>
      <c r="L267" s="15"/>
      <c r="M267" s="15"/>
      <c r="N267" s="15">
        <f t="shared" si="55"/>
        <v>0</v>
      </c>
      <c r="O267" s="70" t="e">
        <f t="shared" si="56"/>
        <v>#N/A</v>
      </c>
      <c r="P267" s="70" t="e">
        <f>VLOOKUP(C267,'[1]Profit and Loss agt new'!$D$17:$E$52,2,)</f>
        <v>#N/A</v>
      </c>
      <c r="Q267" s="70" t="e">
        <f t="shared" si="57"/>
        <v>#N/A</v>
      </c>
      <c r="R267" s="70"/>
      <c r="S267" s="70"/>
      <c r="T267" s="70"/>
      <c r="U267" s="15"/>
      <c r="V267" s="70" t="e">
        <f t="shared" si="58"/>
        <v>#DIV/0!</v>
      </c>
      <c r="W267" s="15"/>
      <c r="X267" s="15"/>
      <c r="Y267" s="15">
        <f t="shared" si="59"/>
        <v>0</v>
      </c>
      <c r="Z267" s="52"/>
      <c r="AA267" s="98">
        <f t="shared" si="60"/>
        <v>0</v>
      </c>
      <c r="AB267" s="52"/>
      <c r="AC267" s="98">
        <f t="shared" si="61"/>
        <v>0</v>
      </c>
      <c r="AD267" s="98" t="e">
        <f t="shared" si="62"/>
        <v>#N/A</v>
      </c>
      <c r="AE267" s="238" t="e">
        <f t="shared" si="63"/>
        <v>#DIV/0!</v>
      </c>
      <c r="AF267" s="125" t="e">
        <f t="shared" si="64"/>
        <v>#N/A</v>
      </c>
      <c r="AG267" s="92"/>
    </row>
    <row r="268" spans="1:33" ht="14.4">
      <c r="A268" s="270"/>
      <c r="B268" s="97">
        <f t="shared" si="52"/>
        <v>31</v>
      </c>
      <c r="C268" s="325"/>
      <c r="D268" s="260"/>
      <c r="E268" s="95"/>
      <c r="G268" s="52"/>
      <c r="H268" s="52"/>
      <c r="I268" s="256"/>
      <c r="J268" s="98">
        <f t="shared" si="53"/>
        <v>0</v>
      </c>
      <c r="K268" s="118" t="e">
        <f t="shared" si="54"/>
        <v>#DIV/0!</v>
      </c>
      <c r="L268" s="15"/>
      <c r="M268" s="15"/>
      <c r="N268" s="15">
        <f t="shared" si="55"/>
        <v>0</v>
      </c>
      <c r="O268" s="70" t="e">
        <f t="shared" si="56"/>
        <v>#DIV/0!</v>
      </c>
      <c r="P268" s="70"/>
      <c r="Q268" s="70">
        <f t="shared" si="57"/>
        <v>0</v>
      </c>
      <c r="R268" s="70"/>
      <c r="S268" s="70"/>
      <c r="T268" s="70"/>
      <c r="U268" s="15"/>
      <c r="V268" s="70" t="e">
        <f t="shared" si="58"/>
        <v>#DIV/0!</v>
      </c>
      <c r="W268" s="15"/>
      <c r="X268" s="15"/>
      <c r="Y268" s="15">
        <f t="shared" si="59"/>
        <v>0</v>
      </c>
      <c r="Z268" s="52"/>
      <c r="AA268" s="98">
        <f t="shared" si="60"/>
        <v>0</v>
      </c>
      <c r="AB268" s="52"/>
      <c r="AC268" s="98">
        <f t="shared" si="61"/>
        <v>0</v>
      </c>
      <c r="AD268" s="98">
        <f t="shared" si="62"/>
        <v>0</v>
      </c>
      <c r="AE268" s="238" t="e">
        <f t="shared" si="63"/>
        <v>#DIV/0!</v>
      </c>
      <c r="AF268" s="125" t="e">
        <f t="shared" si="64"/>
        <v>#DIV/0!</v>
      </c>
      <c r="AG268" s="92"/>
    </row>
    <row r="269" spans="1:33" ht="14.4">
      <c r="A269" s="270"/>
      <c r="B269" s="97">
        <f t="shared" si="52"/>
        <v>31</v>
      </c>
      <c r="C269" s="325"/>
      <c r="D269" s="260"/>
      <c r="E269" s="95"/>
      <c r="G269" s="52"/>
      <c r="H269" s="52"/>
      <c r="I269" s="256"/>
      <c r="J269" s="98">
        <f t="shared" si="53"/>
        <v>0</v>
      </c>
      <c r="K269" s="118" t="e">
        <f t="shared" si="54"/>
        <v>#DIV/0!</v>
      </c>
      <c r="L269" s="15"/>
      <c r="M269" s="15"/>
      <c r="N269" s="15">
        <f t="shared" si="55"/>
        <v>0</v>
      </c>
      <c r="O269" s="70" t="e">
        <f t="shared" si="56"/>
        <v>#DIV/0!</v>
      </c>
      <c r="P269" s="70"/>
      <c r="Q269" s="70">
        <f t="shared" si="57"/>
        <v>0</v>
      </c>
      <c r="R269" s="70"/>
      <c r="S269" s="70"/>
      <c r="T269" s="70"/>
      <c r="U269" s="15"/>
      <c r="V269" s="70" t="e">
        <f t="shared" si="58"/>
        <v>#DIV/0!</v>
      </c>
      <c r="W269" s="15"/>
      <c r="X269" s="15"/>
      <c r="Y269" s="15">
        <f t="shared" si="59"/>
        <v>0</v>
      </c>
      <c r="Z269" s="52"/>
      <c r="AA269" s="98">
        <f t="shared" si="60"/>
        <v>0</v>
      </c>
      <c r="AB269" s="52"/>
      <c r="AC269" s="98">
        <f t="shared" si="61"/>
        <v>0</v>
      </c>
      <c r="AD269" s="98">
        <f t="shared" si="62"/>
        <v>0</v>
      </c>
      <c r="AE269" s="238" t="e">
        <f t="shared" si="63"/>
        <v>#DIV/0!</v>
      </c>
      <c r="AF269" s="125" t="e">
        <f t="shared" si="64"/>
        <v>#DIV/0!</v>
      </c>
      <c r="AG269" s="92"/>
    </row>
    <row r="270" spans="1:33" ht="14.4">
      <c r="A270" s="270"/>
      <c r="B270" s="97">
        <f t="shared" si="52"/>
        <v>31</v>
      </c>
      <c r="C270" s="325"/>
      <c r="D270" s="260"/>
      <c r="E270" s="95"/>
      <c r="G270" s="52"/>
      <c r="H270" s="52"/>
      <c r="I270" s="256"/>
      <c r="J270" s="98">
        <f t="shared" si="53"/>
        <v>0</v>
      </c>
      <c r="K270" s="118" t="e">
        <f t="shared" si="54"/>
        <v>#DIV/0!</v>
      </c>
      <c r="L270" s="15"/>
      <c r="M270" s="15"/>
      <c r="N270" s="15">
        <f t="shared" si="55"/>
        <v>0</v>
      </c>
      <c r="O270" s="70" t="e">
        <f t="shared" si="56"/>
        <v>#DIV/0!</v>
      </c>
      <c r="P270" s="70"/>
      <c r="Q270" s="70">
        <f t="shared" si="57"/>
        <v>0</v>
      </c>
      <c r="R270" s="70"/>
      <c r="S270" s="70"/>
      <c r="T270" s="70"/>
      <c r="U270" s="15"/>
      <c r="V270" s="70" t="e">
        <f t="shared" si="58"/>
        <v>#DIV/0!</v>
      </c>
      <c r="W270" s="15"/>
      <c r="X270" s="15"/>
      <c r="Y270" s="15">
        <f t="shared" si="59"/>
        <v>0</v>
      </c>
      <c r="Z270" s="52"/>
      <c r="AA270" s="98">
        <f t="shared" si="60"/>
        <v>0</v>
      </c>
      <c r="AB270" s="52"/>
      <c r="AC270" s="98">
        <f t="shared" si="61"/>
        <v>0</v>
      </c>
      <c r="AD270" s="98">
        <f t="shared" si="62"/>
        <v>0</v>
      </c>
      <c r="AE270" s="238" t="e">
        <f t="shared" si="63"/>
        <v>#DIV/0!</v>
      </c>
      <c r="AF270" s="125" t="e">
        <f t="shared" si="64"/>
        <v>#DIV/0!</v>
      </c>
      <c r="AG270" s="92"/>
    </row>
    <row r="271" spans="1:33" ht="14.4">
      <c r="A271" s="270"/>
      <c r="B271" s="97">
        <f t="shared" si="52"/>
        <v>31</v>
      </c>
      <c r="C271" s="325"/>
      <c r="D271" s="260"/>
      <c r="E271" s="95"/>
      <c r="G271" s="52"/>
      <c r="H271" s="52"/>
      <c r="I271" s="256"/>
      <c r="J271" s="98">
        <f t="shared" si="53"/>
        <v>0</v>
      </c>
      <c r="K271" s="118" t="e">
        <f t="shared" si="54"/>
        <v>#DIV/0!</v>
      </c>
      <c r="L271" s="15"/>
      <c r="M271" s="15"/>
      <c r="N271" s="15">
        <f t="shared" si="55"/>
        <v>0</v>
      </c>
      <c r="O271" s="70" t="e">
        <f t="shared" si="56"/>
        <v>#DIV/0!</v>
      </c>
      <c r="P271" s="70"/>
      <c r="Q271" s="70">
        <f t="shared" si="57"/>
        <v>0</v>
      </c>
      <c r="R271" s="70"/>
      <c r="S271" s="70"/>
      <c r="T271" s="70"/>
      <c r="U271" s="15"/>
      <c r="V271" s="70" t="e">
        <f t="shared" si="58"/>
        <v>#DIV/0!</v>
      </c>
      <c r="W271" s="15"/>
      <c r="X271" s="15"/>
      <c r="Y271" s="15">
        <f t="shared" si="59"/>
        <v>0</v>
      </c>
      <c r="Z271" s="52"/>
      <c r="AA271" s="98">
        <f t="shared" si="60"/>
        <v>0</v>
      </c>
      <c r="AB271" s="52"/>
      <c r="AC271" s="98">
        <f t="shared" si="61"/>
        <v>0</v>
      </c>
      <c r="AD271" s="98">
        <f t="shared" si="62"/>
        <v>0</v>
      </c>
      <c r="AE271" s="238" t="e">
        <f t="shared" si="63"/>
        <v>#DIV/0!</v>
      </c>
      <c r="AF271" s="125" t="e">
        <f t="shared" si="64"/>
        <v>#DIV/0!</v>
      </c>
      <c r="AG271" s="92"/>
    </row>
    <row r="272" spans="1:33" ht="14.4">
      <c r="A272" s="270"/>
      <c r="B272" s="97">
        <f t="shared" si="52"/>
        <v>31</v>
      </c>
      <c r="C272" s="325"/>
      <c r="D272" s="260"/>
      <c r="E272" s="95"/>
      <c r="G272" s="52"/>
      <c r="H272" s="52"/>
      <c r="I272" s="256"/>
      <c r="J272" s="98">
        <f t="shared" si="53"/>
        <v>0</v>
      </c>
      <c r="K272" s="118" t="e">
        <f t="shared" si="54"/>
        <v>#DIV/0!</v>
      </c>
      <c r="L272" s="15"/>
      <c r="M272" s="15"/>
      <c r="N272" s="15">
        <f t="shared" si="55"/>
        <v>0</v>
      </c>
      <c r="O272" s="70" t="e">
        <f t="shared" si="56"/>
        <v>#DIV/0!</v>
      </c>
      <c r="P272" s="70"/>
      <c r="Q272" s="70">
        <f t="shared" si="57"/>
        <v>0</v>
      </c>
      <c r="R272" s="70"/>
      <c r="S272" s="70"/>
      <c r="T272" s="70"/>
      <c r="U272" s="15"/>
      <c r="V272" s="70" t="e">
        <f t="shared" si="58"/>
        <v>#DIV/0!</v>
      </c>
      <c r="W272" s="15"/>
      <c r="X272" s="15"/>
      <c r="Y272" s="15">
        <f t="shared" si="59"/>
        <v>0</v>
      </c>
      <c r="Z272" s="52"/>
      <c r="AA272" s="98">
        <f t="shared" si="60"/>
        <v>0</v>
      </c>
      <c r="AB272" s="52"/>
      <c r="AC272" s="98">
        <f t="shared" si="61"/>
        <v>0</v>
      </c>
      <c r="AD272" s="98">
        <f t="shared" si="62"/>
        <v>0</v>
      </c>
      <c r="AE272" s="238" t="e">
        <f t="shared" si="63"/>
        <v>#DIV/0!</v>
      </c>
      <c r="AF272" s="125" t="e">
        <f t="shared" si="64"/>
        <v>#DIV/0!</v>
      </c>
      <c r="AG272" s="92"/>
    </row>
    <row r="273" spans="1:33" ht="14.4">
      <c r="A273" s="270"/>
      <c r="B273" s="97">
        <f t="shared" si="52"/>
        <v>31</v>
      </c>
      <c r="C273" s="325"/>
      <c r="D273" s="260"/>
      <c r="E273" s="95"/>
      <c r="G273" s="52"/>
      <c r="H273" s="52"/>
      <c r="I273" s="256"/>
      <c r="J273" s="98">
        <f t="shared" si="53"/>
        <v>0</v>
      </c>
      <c r="K273" s="118" t="e">
        <f t="shared" si="54"/>
        <v>#DIV/0!</v>
      </c>
      <c r="L273" s="15"/>
      <c r="M273" s="15"/>
      <c r="N273" s="15">
        <f t="shared" si="55"/>
        <v>0</v>
      </c>
      <c r="O273" s="70" t="e">
        <f t="shared" si="56"/>
        <v>#DIV/0!</v>
      </c>
      <c r="P273" s="70"/>
      <c r="Q273" s="70">
        <f t="shared" si="57"/>
        <v>0</v>
      </c>
      <c r="R273" s="70"/>
      <c r="S273" s="70"/>
      <c r="T273" s="70"/>
      <c r="U273" s="15"/>
      <c r="V273" s="70" t="e">
        <f t="shared" si="58"/>
        <v>#DIV/0!</v>
      </c>
      <c r="W273" s="15"/>
      <c r="X273" s="15"/>
      <c r="Y273" s="15">
        <f t="shared" si="59"/>
        <v>0</v>
      </c>
      <c r="Z273" s="52"/>
      <c r="AA273" s="98">
        <f t="shared" si="60"/>
        <v>0</v>
      </c>
      <c r="AB273" s="52"/>
      <c r="AC273" s="98">
        <f t="shared" si="61"/>
        <v>0</v>
      </c>
      <c r="AD273" s="98">
        <f t="shared" si="62"/>
        <v>0</v>
      </c>
      <c r="AE273" s="238" t="e">
        <f t="shared" si="63"/>
        <v>#DIV/0!</v>
      </c>
      <c r="AF273" s="125" t="e">
        <f t="shared" si="64"/>
        <v>#DIV/0!</v>
      </c>
      <c r="AG273" s="92"/>
    </row>
    <row r="274" spans="1:33" ht="14.4">
      <c r="A274" s="270"/>
      <c r="B274" s="97">
        <f t="shared" si="52"/>
        <v>31</v>
      </c>
      <c r="C274" s="325"/>
      <c r="D274" s="260"/>
      <c r="E274" s="95"/>
      <c r="G274" s="52"/>
      <c r="H274" s="52"/>
      <c r="I274" s="256"/>
      <c r="J274" s="98">
        <f t="shared" si="53"/>
        <v>0</v>
      </c>
      <c r="K274" s="118" t="e">
        <f t="shared" si="54"/>
        <v>#DIV/0!</v>
      </c>
      <c r="L274" s="15"/>
      <c r="M274" s="15"/>
      <c r="N274" s="15">
        <f t="shared" si="55"/>
        <v>0</v>
      </c>
      <c r="O274" s="70" t="e">
        <f t="shared" si="56"/>
        <v>#DIV/0!</v>
      </c>
      <c r="P274" s="70"/>
      <c r="Q274" s="70">
        <f t="shared" si="57"/>
        <v>0</v>
      </c>
      <c r="R274" s="70"/>
      <c r="S274" s="70"/>
      <c r="T274" s="70"/>
      <c r="U274" s="15"/>
      <c r="V274" s="70" t="e">
        <f t="shared" si="58"/>
        <v>#DIV/0!</v>
      </c>
      <c r="W274" s="15"/>
      <c r="X274" s="15"/>
      <c r="Y274" s="15">
        <f t="shared" si="59"/>
        <v>0</v>
      </c>
      <c r="Z274" s="52"/>
      <c r="AA274" s="98">
        <f t="shared" si="60"/>
        <v>0</v>
      </c>
      <c r="AB274" s="52"/>
      <c r="AC274" s="98">
        <f t="shared" si="61"/>
        <v>0</v>
      </c>
      <c r="AD274" s="98">
        <f t="shared" si="62"/>
        <v>0</v>
      </c>
      <c r="AE274" s="238" t="e">
        <f t="shared" si="63"/>
        <v>#DIV/0!</v>
      </c>
      <c r="AF274" s="125" t="e">
        <f t="shared" si="64"/>
        <v>#DIV/0!</v>
      </c>
      <c r="AG274" s="92"/>
    </row>
    <row r="275" spans="1:33" ht="14.4">
      <c r="A275" s="270"/>
      <c r="B275" s="97">
        <f t="shared" si="52"/>
        <v>31</v>
      </c>
      <c r="C275" s="325"/>
      <c r="D275" s="260"/>
      <c r="E275" s="95"/>
      <c r="G275" s="52"/>
      <c r="H275" s="52"/>
      <c r="I275" s="256"/>
      <c r="J275" s="98">
        <f t="shared" si="53"/>
        <v>0</v>
      </c>
      <c r="K275" s="118" t="e">
        <f t="shared" si="54"/>
        <v>#DIV/0!</v>
      </c>
      <c r="L275" s="15"/>
      <c r="M275" s="15"/>
      <c r="N275" s="15">
        <f t="shared" si="55"/>
        <v>0</v>
      </c>
      <c r="O275" s="70" t="e">
        <f t="shared" si="56"/>
        <v>#DIV/0!</v>
      </c>
      <c r="P275" s="70"/>
      <c r="Q275" s="70">
        <f t="shared" si="57"/>
        <v>0</v>
      </c>
      <c r="R275" s="70"/>
      <c r="S275" s="70"/>
      <c r="T275" s="70"/>
      <c r="U275" s="15"/>
      <c r="V275" s="70" t="e">
        <f t="shared" si="58"/>
        <v>#DIV/0!</v>
      </c>
      <c r="W275" s="15"/>
      <c r="X275" s="15"/>
      <c r="Y275" s="15">
        <f t="shared" si="59"/>
        <v>0</v>
      </c>
      <c r="Z275" s="52"/>
      <c r="AA275" s="98">
        <f t="shared" si="60"/>
        <v>0</v>
      </c>
      <c r="AB275" s="52"/>
      <c r="AC275" s="98">
        <f t="shared" si="61"/>
        <v>0</v>
      </c>
      <c r="AD275" s="98">
        <f t="shared" si="62"/>
        <v>0</v>
      </c>
      <c r="AE275" s="238" t="e">
        <f t="shared" si="63"/>
        <v>#DIV/0!</v>
      </c>
      <c r="AF275" s="125" t="e">
        <f t="shared" si="64"/>
        <v>#DIV/0!</v>
      </c>
      <c r="AG275" s="92"/>
    </row>
    <row r="276" spans="1:33" ht="14.4">
      <c r="A276" s="270"/>
      <c r="B276" s="97">
        <f t="shared" si="52"/>
        <v>31</v>
      </c>
      <c r="C276" s="325"/>
      <c r="D276" s="260"/>
      <c r="E276" s="95"/>
      <c r="G276" s="52"/>
      <c r="H276" s="52"/>
      <c r="I276" s="256"/>
      <c r="J276" s="98">
        <f t="shared" si="53"/>
        <v>0</v>
      </c>
      <c r="K276" s="118" t="e">
        <f t="shared" si="54"/>
        <v>#DIV/0!</v>
      </c>
      <c r="L276" s="15"/>
      <c r="M276" s="15"/>
      <c r="N276" s="15">
        <f t="shared" si="55"/>
        <v>0</v>
      </c>
      <c r="O276" s="70" t="e">
        <f t="shared" si="56"/>
        <v>#DIV/0!</v>
      </c>
      <c r="P276" s="70"/>
      <c r="Q276" s="70">
        <f t="shared" si="57"/>
        <v>0</v>
      </c>
      <c r="R276" s="70"/>
      <c r="S276" s="70"/>
      <c r="T276" s="70"/>
      <c r="U276" s="15"/>
      <c r="V276" s="70" t="e">
        <f t="shared" si="58"/>
        <v>#DIV/0!</v>
      </c>
      <c r="W276" s="15"/>
      <c r="X276" s="15"/>
      <c r="Y276" s="15">
        <f t="shared" si="59"/>
        <v>0</v>
      </c>
      <c r="Z276" s="52"/>
      <c r="AA276" s="98">
        <f t="shared" si="60"/>
        <v>0</v>
      </c>
      <c r="AB276" s="52"/>
      <c r="AC276" s="98">
        <f t="shared" si="61"/>
        <v>0</v>
      </c>
      <c r="AD276" s="98">
        <f t="shared" si="62"/>
        <v>0</v>
      </c>
      <c r="AE276" s="238" t="e">
        <f t="shared" si="63"/>
        <v>#DIV/0!</v>
      </c>
      <c r="AF276" s="125" t="e">
        <f t="shared" si="64"/>
        <v>#DIV/0!</v>
      </c>
      <c r="AG276" s="92"/>
    </row>
    <row r="277" spans="1:33" ht="14.4">
      <c r="A277" s="270"/>
      <c r="B277" s="97">
        <f t="shared" si="52"/>
        <v>31</v>
      </c>
      <c r="C277" s="325"/>
      <c r="D277" s="260"/>
      <c r="E277" s="95"/>
      <c r="G277" s="52"/>
      <c r="H277" s="52"/>
      <c r="I277" s="256"/>
      <c r="J277" s="98">
        <f t="shared" si="53"/>
        <v>0</v>
      </c>
      <c r="K277" s="118" t="e">
        <f t="shared" si="54"/>
        <v>#DIV/0!</v>
      </c>
      <c r="L277" s="15"/>
      <c r="M277" s="15"/>
      <c r="N277" s="15">
        <f t="shared" si="55"/>
        <v>0</v>
      </c>
      <c r="O277" s="70" t="e">
        <f t="shared" si="56"/>
        <v>#DIV/0!</v>
      </c>
      <c r="P277" s="70"/>
      <c r="Q277" s="70">
        <f t="shared" si="57"/>
        <v>0</v>
      </c>
      <c r="R277" s="70"/>
      <c r="S277" s="70"/>
      <c r="T277" s="70"/>
      <c r="U277" s="15"/>
      <c r="V277" s="70" t="e">
        <f t="shared" si="58"/>
        <v>#DIV/0!</v>
      </c>
      <c r="W277" s="15"/>
      <c r="X277" s="15"/>
      <c r="Y277" s="15">
        <f t="shared" si="59"/>
        <v>0</v>
      </c>
      <c r="Z277" s="52"/>
      <c r="AA277" s="98">
        <f t="shared" si="60"/>
        <v>0</v>
      </c>
      <c r="AB277" s="52"/>
      <c r="AC277" s="98">
        <f t="shared" si="61"/>
        <v>0</v>
      </c>
      <c r="AD277" s="98">
        <f t="shared" si="62"/>
        <v>0</v>
      </c>
      <c r="AE277" s="238" t="e">
        <f t="shared" si="63"/>
        <v>#DIV/0!</v>
      </c>
      <c r="AF277" s="125" t="e">
        <f t="shared" si="64"/>
        <v>#DIV/0!</v>
      </c>
      <c r="AG277" s="92"/>
    </row>
    <row r="278" spans="1:33" ht="14.4">
      <c r="A278" s="270"/>
      <c r="B278" s="97">
        <f t="shared" si="52"/>
        <v>31</v>
      </c>
      <c r="C278" s="325"/>
      <c r="D278" s="260"/>
      <c r="E278" s="95"/>
      <c r="G278" s="52"/>
      <c r="H278" s="52"/>
      <c r="I278" s="256"/>
      <c r="J278" s="98">
        <f t="shared" si="53"/>
        <v>0</v>
      </c>
      <c r="K278" s="118" t="e">
        <f t="shared" si="54"/>
        <v>#DIV/0!</v>
      </c>
      <c r="L278" s="15"/>
      <c r="M278" s="15"/>
      <c r="N278" s="15">
        <f t="shared" si="55"/>
        <v>0</v>
      </c>
      <c r="O278" s="70" t="e">
        <f t="shared" si="56"/>
        <v>#DIV/0!</v>
      </c>
      <c r="P278" s="70"/>
      <c r="Q278" s="70">
        <f t="shared" si="57"/>
        <v>0</v>
      </c>
      <c r="R278" s="70"/>
      <c r="S278" s="70"/>
      <c r="T278" s="70"/>
      <c r="U278" s="15"/>
      <c r="V278" s="70" t="e">
        <f t="shared" si="58"/>
        <v>#DIV/0!</v>
      </c>
      <c r="W278" s="15"/>
      <c r="X278" s="15"/>
      <c r="Y278" s="15">
        <f t="shared" si="59"/>
        <v>0</v>
      </c>
      <c r="Z278" s="52"/>
      <c r="AA278" s="98">
        <f t="shared" si="60"/>
        <v>0</v>
      </c>
      <c r="AB278" s="52"/>
      <c r="AC278" s="98">
        <f t="shared" si="61"/>
        <v>0</v>
      </c>
      <c r="AD278" s="98">
        <f t="shared" si="62"/>
        <v>0</v>
      </c>
      <c r="AE278" s="238" t="e">
        <f t="shared" si="63"/>
        <v>#DIV/0!</v>
      </c>
      <c r="AF278" s="125" t="e">
        <f t="shared" si="64"/>
        <v>#DIV/0!</v>
      </c>
      <c r="AG278" s="92"/>
    </row>
    <row r="279" spans="1:33" ht="14.4">
      <c r="A279" s="270"/>
      <c r="B279" s="97">
        <f t="shared" si="52"/>
        <v>31</v>
      </c>
      <c r="C279" s="325"/>
      <c r="D279" s="260"/>
      <c r="E279" s="95"/>
      <c r="G279" s="52"/>
      <c r="H279" s="52"/>
      <c r="I279" s="256"/>
      <c r="J279" s="98">
        <f t="shared" si="53"/>
        <v>0</v>
      </c>
      <c r="K279" s="118" t="e">
        <f t="shared" si="54"/>
        <v>#DIV/0!</v>
      </c>
      <c r="L279" s="15"/>
      <c r="M279" s="15"/>
      <c r="N279" s="15">
        <f t="shared" si="55"/>
        <v>0</v>
      </c>
      <c r="O279" s="70" t="e">
        <f t="shared" si="56"/>
        <v>#DIV/0!</v>
      </c>
      <c r="P279" s="70"/>
      <c r="Q279" s="70">
        <f t="shared" si="57"/>
        <v>0</v>
      </c>
      <c r="R279" s="70"/>
      <c r="S279" s="70"/>
      <c r="T279" s="70"/>
      <c r="U279" s="15"/>
      <c r="V279" s="70" t="e">
        <f t="shared" si="58"/>
        <v>#DIV/0!</v>
      </c>
      <c r="W279" s="15"/>
      <c r="X279" s="15"/>
      <c r="Y279" s="15">
        <f t="shared" si="59"/>
        <v>0</v>
      </c>
      <c r="Z279" s="52"/>
      <c r="AA279" s="98">
        <f t="shared" si="60"/>
        <v>0</v>
      </c>
      <c r="AB279" s="52"/>
      <c r="AC279" s="98">
        <f t="shared" si="61"/>
        <v>0</v>
      </c>
      <c r="AD279" s="98">
        <f t="shared" si="62"/>
        <v>0</v>
      </c>
      <c r="AE279" s="238" t="e">
        <f t="shared" si="63"/>
        <v>#DIV/0!</v>
      </c>
      <c r="AF279" s="125" t="e">
        <f t="shared" si="64"/>
        <v>#DIV/0!</v>
      </c>
      <c r="AG279" s="92"/>
    </row>
    <row r="280" spans="1:33" ht="14.4">
      <c r="A280" s="270"/>
      <c r="B280" s="97">
        <f t="shared" si="52"/>
        <v>31</v>
      </c>
      <c r="C280" s="325"/>
      <c r="D280" s="260"/>
      <c r="E280" s="95"/>
      <c r="G280" s="52"/>
      <c r="H280" s="52"/>
      <c r="I280" s="256"/>
      <c r="J280" s="98">
        <f t="shared" si="53"/>
        <v>0</v>
      </c>
      <c r="K280" s="118" t="e">
        <f t="shared" si="54"/>
        <v>#DIV/0!</v>
      </c>
      <c r="L280" s="15"/>
      <c r="M280" s="15"/>
      <c r="N280" s="15">
        <f t="shared" si="55"/>
        <v>0</v>
      </c>
      <c r="O280" s="70" t="e">
        <f t="shared" si="56"/>
        <v>#DIV/0!</v>
      </c>
      <c r="P280" s="70"/>
      <c r="Q280" s="70">
        <f t="shared" si="57"/>
        <v>0</v>
      </c>
      <c r="R280" s="70"/>
      <c r="S280" s="70"/>
      <c r="T280" s="70"/>
      <c r="U280" s="15"/>
      <c r="V280" s="70" t="e">
        <f t="shared" si="58"/>
        <v>#DIV/0!</v>
      </c>
      <c r="W280" s="15"/>
      <c r="X280" s="15"/>
      <c r="Y280" s="15">
        <f t="shared" si="59"/>
        <v>0</v>
      </c>
      <c r="Z280" s="52"/>
      <c r="AA280" s="98">
        <f t="shared" si="60"/>
        <v>0</v>
      </c>
      <c r="AB280" s="52"/>
      <c r="AC280" s="98">
        <f t="shared" si="61"/>
        <v>0</v>
      </c>
      <c r="AD280" s="98">
        <f t="shared" si="62"/>
        <v>0</v>
      </c>
      <c r="AE280" s="238" t="e">
        <f t="shared" si="63"/>
        <v>#DIV/0!</v>
      </c>
      <c r="AF280" s="125" t="e">
        <f t="shared" si="64"/>
        <v>#DIV/0!</v>
      </c>
      <c r="AG280" s="92"/>
    </row>
    <row r="281" spans="1:33" ht="14.4">
      <c r="A281" s="270"/>
      <c r="B281" s="97">
        <f t="shared" si="52"/>
        <v>31</v>
      </c>
      <c r="C281" s="325"/>
      <c r="D281" s="260"/>
      <c r="E281" s="95"/>
      <c r="G281" s="52"/>
      <c r="H281" s="52"/>
      <c r="I281" s="256"/>
      <c r="J281" s="98">
        <f t="shared" si="53"/>
        <v>0</v>
      </c>
      <c r="K281" s="118" t="e">
        <f t="shared" si="54"/>
        <v>#DIV/0!</v>
      </c>
      <c r="L281" s="15"/>
      <c r="M281" s="15"/>
      <c r="N281" s="15">
        <f t="shared" si="55"/>
        <v>0</v>
      </c>
      <c r="O281" s="70" t="e">
        <f t="shared" si="56"/>
        <v>#DIV/0!</v>
      </c>
      <c r="P281" s="70"/>
      <c r="Q281" s="70">
        <f t="shared" si="57"/>
        <v>0</v>
      </c>
      <c r="R281" s="70"/>
      <c r="S281" s="70"/>
      <c r="T281" s="70"/>
      <c r="U281" s="15"/>
      <c r="V281" s="70" t="e">
        <f t="shared" si="58"/>
        <v>#DIV/0!</v>
      </c>
      <c r="W281" s="15"/>
      <c r="X281" s="15"/>
      <c r="Y281" s="15">
        <f t="shared" si="59"/>
        <v>0</v>
      </c>
      <c r="Z281" s="52"/>
      <c r="AA281" s="98">
        <f t="shared" si="60"/>
        <v>0</v>
      </c>
      <c r="AB281" s="52"/>
      <c r="AC281" s="98">
        <f t="shared" si="61"/>
        <v>0</v>
      </c>
      <c r="AD281" s="98">
        <f t="shared" si="62"/>
        <v>0</v>
      </c>
      <c r="AE281" s="238" t="e">
        <f t="shared" si="63"/>
        <v>#DIV/0!</v>
      </c>
      <c r="AF281" s="125" t="e">
        <f t="shared" si="64"/>
        <v>#DIV/0!</v>
      </c>
      <c r="AG281" s="92"/>
    </row>
    <row r="282" spans="1:33" ht="14.4">
      <c r="A282" s="270"/>
      <c r="B282" s="97">
        <f t="shared" si="52"/>
        <v>31</v>
      </c>
      <c r="C282" s="325"/>
      <c r="D282" s="260"/>
      <c r="E282" s="95"/>
      <c r="G282" s="52"/>
      <c r="H282" s="52"/>
      <c r="I282" s="256"/>
      <c r="J282" s="98">
        <f t="shared" si="53"/>
        <v>0</v>
      </c>
      <c r="K282" s="118" t="e">
        <f t="shared" si="54"/>
        <v>#DIV/0!</v>
      </c>
      <c r="L282" s="15"/>
      <c r="M282" s="15"/>
      <c r="N282" s="15">
        <f t="shared" si="55"/>
        <v>0</v>
      </c>
      <c r="O282" s="70" t="e">
        <f t="shared" si="56"/>
        <v>#DIV/0!</v>
      </c>
      <c r="P282" s="70"/>
      <c r="Q282" s="70">
        <f t="shared" si="57"/>
        <v>0</v>
      </c>
      <c r="R282" s="70"/>
      <c r="S282" s="70"/>
      <c r="T282" s="70"/>
      <c r="U282" s="15"/>
      <c r="V282" s="70" t="e">
        <f t="shared" si="58"/>
        <v>#DIV/0!</v>
      </c>
      <c r="W282" s="15"/>
      <c r="X282" s="15"/>
      <c r="Y282" s="15">
        <f t="shared" si="59"/>
        <v>0</v>
      </c>
      <c r="Z282" s="52"/>
      <c r="AA282" s="98">
        <f t="shared" si="60"/>
        <v>0</v>
      </c>
      <c r="AB282" s="52"/>
      <c r="AC282" s="98">
        <f t="shared" si="61"/>
        <v>0</v>
      </c>
      <c r="AD282" s="98">
        <f t="shared" si="62"/>
        <v>0</v>
      </c>
      <c r="AE282" s="238" t="e">
        <f t="shared" si="63"/>
        <v>#DIV/0!</v>
      </c>
      <c r="AF282" s="125" t="e">
        <f t="shared" si="64"/>
        <v>#DIV/0!</v>
      </c>
      <c r="AG282" s="92"/>
    </row>
    <row r="283" spans="1:33" ht="14.4">
      <c r="A283" s="270"/>
      <c r="B283" s="97">
        <f t="shared" si="52"/>
        <v>31</v>
      </c>
      <c r="C283" s="325"/>
      <c r="D283" s="260"/>
      <c r="E283" s="95"/>
      <c r="G283" s="52"/>
      <c r="H283" s="52"/>
      <c r="I283" s="256"/>
      <c r="J283" s="98">
        <f t="shared" si="53"/>
        <v>0</v>
      </c>
      <c r="K283" s="118" t="e">
        <f t="shared" si="54"/>
        <v>#DIV/0!</v>
      </c>
      <c r="L283" s="15"/>
      <c r="M283" s="15"/>
      <c r="N283" s="15">
        <f t="shared" si="55"/>
        <v>0</v>
      </c>
      <c r="O283" s="70" t="e">
        <f t="shared" si="56"/>
        <v>#DIV/0!</v>
      </c>
      <c r="P283" s="70"/>
      <c r="Q283" s="70">
        <f t="shared" si="57"/>
        <v>0</v>
      </c>
      <c r="R283" s="70"/>
      <c r="S283" s="70"/>
      <c r="T283" s="70"/>
      <c r="U283" s="15"/>
      <c r="V283" s="70" t="e">
        <f t="shared" si="58"/>
        <v>#DIV/0!</v>
      </c>
      <c r="W283" s="15"/>
      <c r="X283" s="15"/>
      <c r="Y283" s="15">
        <f t="shared" si="59"/>
        <v>0</v>
      </c>
      <c r="Z283" s="52"/>
      <c r="AA283" s="98">
        <f t="shared" si="60"/>
        <v>0</v>
      </c>
      <c r="AB283" s="52"/>
      <c r="AC283" s="98">
        <f t="shared" si="61"/>
        <v>0</v>
      </c>
      <c r="AD283" s="98">
        <f t="shared" si="62"/>
        <v>0</v>
      </c>
      <c r="AE283" s="238" t="e">
        <f t="shared" si="63"/>
        <v>#DIV/0!</v>
      </c>
      <c r="AF283" s="125" t="e">
        <f t="shared" si="64"/>
        <v>#DIV/0!</v>
      </c>
      <c r="AG283" s="92"/>
    </row>
    <row r="284" spans="1:33" ht="14.4">
      <c r="A284" s="270"/>
      <c r="B284" s="97">
        <f t="shared" si="52"/>
        <v>31</v>
      </c>
      <c r="C284" s="325"/>
      <c r="D284" s="260"/>
      <c r="E284" s="95"/>
      <c r="G284" s="52"/>
      <c r="H284" s="52"/>
      <c r="I284" s="256"/>
      <c r="J284" s="98">
        <f t="shared" si="53"/>
        <v>0</v>
      </c>
      <c r="K284" s="118" t="e">
        <f t="shared" si="54"/>
        <v>#DIV/0!</v>
      </c>
      <c r="L284" s="15"/>
      <c r="M284" s="15"/>
      <c r="N284" s="15">
        <f t="shared" si="55"/>
        <v>0</v>
      </c>
      <c r="O284" s="70" t="e">
        <f t="shared" si="56"/>
        <v>#N/A</v>
      </c>
      <c r="P284" s="70" t="e">
        <f>VLOOKUP(C284,'[1]Profit and Loss agt new'!$D$17:$E$52,2,)</f>
        <v>#N/A</v>
      </c>
      <c r="Q284" s="70" t="e">
        <f t="shared" si="57"/>
        <v>#N/A</v>
      </c>
      <c r="R284" s="70"/>
      <c r="S284" s="70"/>
      <c r="T284" s="70"/>
      <c r="U284" s="15"/>
      <c r="V284" s="70" t="e">
        <f t="shared" si="58"/>
        <v>#DIV/0!</v>
      </c>
      <c r="W284" s="15"/>
      <c r="X284" s="15"/>
      <c r="Y284" s="15">
        <f t="shared" si="59"/>
        <v>0</v>
      </c>
      <c r="Z284" s="52"/>
      <c r="AA284" s="98">
        <f t="shared" si="60"/>
        <v>0</v>
      </c>
      <c r="AB284" s="52"/>
      <c r="AC284" s="98">
        <f t="shared" si="61"/>
        <v>0</v>
      </c>
      <c r="AD284" s="98" t="e">
        <f t="shared" si="62"/>
        <v>#N/A</v>
      </c>
      <c r="AE284" s="238" t="e">
        <f t="shared" si="63"/>
        <v>#DIV/0!</v>
      </c>
      <c r="AF284" s="125" t="e">
        <f t="shared" si="64"/>
        <v>#N/A</v>
      </c>
      <c r="AG284" s="92"/>
    </row>
    <row r="285" spans="1:33" ht="14.4">
      <c r="A285" s="270"/>
      <c r="B285" s="97">
        <f t="shared" si="52"/>
        <v>31</v>
      </c>
      <c r="C285" s="325"/>
      <c r="D285" s="260"/>
      <c r="E285" s="95"/>
      <c r="G285" s="52"/>
      <c r="H285" s="52"/>
      <c r="I285" s="256"/>
      <c r="J285" s="98">
        <f t="shared" si="53"/>
        <v>0</v>
      </c>
      <c r="K285" s="118" t="e">
        <f t="shared" si="54"/>
        <v>#DIV/0!</v>
      </c>
      <c r="L285" s="15"/>
      <c r="M285" s="15"/>
      <c r="N285" s="15">
        <f t="shared" si="55"/>
        <v>0</v>
      </c>
      <c r="O285" s="70" t="e">
        <f t="shared" si="56"/>
        <v>#DIV/0!</v>
      </c>
      <c r="P285" s="70"/>
      <c r="Q285" s="70">
        <f t="shared" si="57"/>
        <v>0</v>
      </c>
      <c r="R285" s="70"/>
      <c r="S285" s="70"/>
      <c r="T285" s="70"/>
      <c r="U285" s="15"/>
      <c r="V285" s="70" t="e">
        <f t="shared" si="58"/>
        <v>#DIV/0!</v>
      </c>
      <c r="W285" s="15"/>
      <c r="X285" s="15"/>
      <c r="Y285" s="15">
        <f t="shared" si="59"/>
        <v>0</v>
      </c>
      <c r="Z285" s="52"/>
      <c r="AA285" s="98">
        <f t="shared" si="60"/>
        <v>0</v>
      </c>
      <c r="AB285" s="52"/>
      <c r="AC285" s="98">
        <f t="shared" si="61"/>
        <v>0</v>
      </c>
      <c r="AD285" s="98">
        <f t="shared" si="62"/>
        <v>0</v>
      </c>
      <c r="AE285" s="238" t="e">
        <f t="shared" si="63"/>
        <v>#DIV/0!</v>
      </c>
      <c r="AF285" s="125" t="e">
        <f t="shared" si="64"/>
        <v>#DIV/0!</v>
      </c>
      <c r="AG285" s="92"/>
    </row>
    <row r="286" spans="1:33" ht="14.4">
      <c r="A286" s="270"/>
      <c r="B286" s="97">
        <f t="shared" si="52"/>
        <v>31</v>
      </c>
      <c r="C286" s="325"/>
      <c r="D286" s="260"/>
      <c r="E286" s="95"/>
      <c r="G286" s="52"/>
      <c r="H286" s="52"/>
      <c r="I286" s="256"/>
      <c r="J286" s="98">
        <f t="shared" si="53"/>
        <v>0</v>
      </c>
      <c r="K286" s="118" t="e">
        <f t="shared" si="54"/>
        <v>#DIV/0!</v>
      </c>
      <c r="L286" s="15"/>
      <c r="M286" s="15"/>
      <c r="N286" s="15">
        <f t="shared" si="55"/>
        <v>0</v>
      </c>
      <c r="O286" s="70" t="e">
        <f t="shared" si="56"/>
        <v>#DIV/0!</v>
      </c>
      <c r="P286" s="70"/>
      <c r="Q286" s="70">
        <f t="shared" si="57"/>
        <v>0</v>
      </c>
      <c r="R286" s="70"/>
      <c r="S286" s="70"/>
      <c r="T286" s="70"/>
      <c r="U286" s="15"/>
      <c r="V286" s="70" t="e">
        <f t="shared" si="58"/>
        <v>#DIV/0!</v>
      </c>
      <c r="W286" s="15"/>
      <c r="X286" s="15"/>
      <c r="Y286" s="15">
        <f t="shared" si="59"/>
        <v>0</v>
      </c>
      <c r="Z286" s="52"/>
      <c r="AA286" s="98">
        <f t="shared" si="60"/>
        <v>0</v>
      </c>
      <c r="AB286" s="52"/>
      <c r="AC286" s="98">
        <f t="shared" si="61"/>
        <v>0</v>
      </c>
      <c r="AD286" s="98">
        <f t="shared" si="62"/>
        <v>0</v>
      </c>
      <c r="AE286" s="238" t="e">
        <f t="shared" si="63"/>
        <v>#DIV/0!</v>
      </c>
      <c r="AF286" s="125" t="e">
        <f t="shared" si="64"/>
        <v>#DIV/0!</v>
      </c>
      <c r="AG286" s="92"/>
    </row>
    <row r="287" spans="1:33" ht="14.4">
      <c r="A287" s="270"/>
      <c r="B287" s="97">
        <f t="shared" si="52"/>
        <v>31</v>
      </c>
      <c r="C287" s="325"/>
      <c r="D287" s="260"/>
      <c r="E287" s="95"/>
      <c r="G287" s="52"/>
      <c r="H287" s="52"/>
      <c r="I287" s="256"/>
      <c r="J287" s="98">
        <f t="shared" si="53"/>
        <v>0</v>
      </c>
      <c r="K287" s="118" t="e">
        <f t="shared" si="54"/>
        <v>#DIV/0!</v>
      </c>
      <c r="L287" s="15"/>
      <c r="M287" s="15"/>
      <c r="N287" s="15">
        <f t="shared" si="55"/>
        <v>0</v>
      </c>
      <c r="O287" s="70" t="e">
        <f t="shared" si="56"/>
        <v>#DIV/0!</v>
      </c>
      <c r="P287" s="70"/>
      <c r="Q287" s="70">
        <f t="shared" si="57"/>
        <v>0</v>
      </c>
      <c r="R287" s="70"/>
      <c r="S287" s="70"/>
      <c r="T287" s="70"/>
      <c r="U287" s="15"/>
      <c r="V287" s="70" t="e">
        <f t="shared" si="58"/>
        <v>#DIV/0!</v>
      </c>
      <c r="W287" s="15"/>
      <c r="X287" s="15"/>
      <c r="Y287" s="15">
        <f t="shared" si="59"/>
        <v>0</v>
      </c>
      <c r="Z287" s="52"/>
      <c r="AA287" s="98">
        <f t="shared" si="60"/>
        <v>0</v>
      </c>
      <c r="AB287" s="52"/>
      <c r="AC287" s="98">
        <f t="shared" si="61"/>
        <v>0</v>
      </c>
      <c r="AD287" s="98">
        <f t="shared" si="62"/>
        <v>0</v>
      </c>
      <c r="AE287" s="238" t="e">
        <f t="shared" si="63"/>
        <v>#DIV/0!</v>
      </c>
      <c r="AF287" s="125" t="e">
        <f t="shared" si="64"/>
        <v>#DIV/0!</v>
      </c>
      <c r="AG287" s="92"/>
    </row>
    <row r="288" spans="1:33" ht="14.4">
      <c r="A288" s="270"/>
      <c r="B288" s="97">
        <f t="shared" si="52"/>
        <v>31</v>
      </c>
      <c r="C288" s="325"/>
      <c r="D288" s="260"/>
      <c r="E288" s="95"/>
      <c r="G288" s="52"/>
      <c r="H288" s="52"/>
      <c r="I288" s="256"/>
      <c r="J288" s="98">
        <f t="shared" si="53"/>
        <v>0</v>
      </c>
      <c r="K288" s="118" t="e">
        <f t="shared" si="54"/>
        <v>#DIV/0!</v>
      </c>
      <c r="L288" s="15"/>
      <c r="M288" s="15"/>
      <c r="N288" s="15">
        <f t="shared" si="55"/>
        <v>0</v>
      </c>
      <c r="O288" s="70" t="e">
        <f t="shared" si="56"/>
        <v>#DIV/0!</v>
      </c>
      <c r="P288" s="70"/>
      <c r="Q288" s="70">
        <f t="shared" si="57"/>
        <v>0</v>
      </c>
      <c r="R288" s="70"/>
      <c r="S288" s="70"/>
      <c r="T288" s="70"/>
      <c r="U288" s="15"/>
      <c r="V288" s="70" t="e">
        <f t="shared" si="58"/>
        <v>#DIV/0!</v>
      </c>
      <c r="W288" s="15"/>
      <c r="X288" s="15"/>
      <c r="Y288" s="15">
        <f t="shared" si="59"/>
        <v>0</v>
      </c>
      <c r="Z288" s="52"/>
      <c r="AA288" s="98">
        <f t="shared" si="60"/>
        <v>0</v>
      </c>
      <c r="AB288" s="52"/>
      <c r="AC288" s="98">
        <f t="shared" si="61"/>
        <v>0</v>
      </c>
      <c r="AD288" s="98">
        <f t="shared" si="62"/>
        <v>0</v>
      </c>
      <c r="AE288" s="238" t="e">
        <f t="shared" si="63"/>
        <v>#DIV/0!</v>
      </c>
      <c r="AF288" s="125" t="e">
        <f t="shared" si="64"/>
        <v>#DIV/0!</v>
      </c>
      <c r="AG288" s="92"/>
    </row>
    <row r="289" spans="1:33" ht="14.4">
      <c r="A289" s="270"/>
      <c r="B289" s="97">
        <f t="shared" si="52"/>
        <v>31</v>
      </c>
      <c r="C289" s="325"/>
      <c r="D289" s="260"/>
      <c r="E289" s="95"/>
      <c r="G289" s="52"/>
      <c r="H289" s="52"/>
      <c r="I289" s="256"/>
      <c r="J289" s="98">
        <f t="shared" si="53"/>
        <v>0</v>
      </c>
      <c r="K289" s="118" t="e">
        <f t="shared" si="54"/>
        <v>#DIV/0!</v>
      </c>
      <c r="L289" s="15"/>
      <c r="M289" s="15"/>
      <c r="N289" s="15">
        <f t="shared" si="55"/>
        <v>0</v>
      </c>
      <c r="O289" s="70" t="e">
        <f t="shared" si="56"/>
        <v>#DIV/0!</v>
      </c>
      <c r="P289" s="70"/>
      <c r="Q289" s="70">
        <f t="shared" si="57"/>
        <v>0</v>
      </c>
      <c r="R289" s="70"/>
      <c r="S289" s="70"/>
      <c r="T289" s="70"/>
      <c r="U289" s="15"/>
      <c r="V289" s="70" t="e">
        <f t="shared" si="58"/>
        <v>#DIV/0!</v>
      </c>
      <c r="W289" s="15"/>
      <c r="X289" s="15"/>
      <c r="Y289" s="15">
        <f t="shared" si="59"/>
        <v>0</v>
      </c>
      <c r="Z289" s="52"/>
      <c r="AA289" s="98">
        <f t="shared" si="60"/>
        <v>0</v>
      </c>
      <c r="AB289" s="52"/>
      <c r="AC289" s="98">
        <f t="shared" si="61"/>
        <v>0</v>
      </c>
      <c r="AD289" s="98">
        <f t="shared" si="62"/>
        <v>0</v>
      </c>
      <c r="AE289" s="238" t="e">
        <f t="shared" si="63"/>
        <v>#DIV/0!</v>
      </c>
      <c r="AF289" s="125" t="e">
        <f t="shared" si="64"/>
        <v>#DIV/0!</v>
      </c>
      <c r="AG289" s="92"/>
    </row>
    <row r="290" spans="1:33" ht="14.4">
      <c r="A290" s="270"/>
      <c r="B290" s="97">
        <f t="shared" si="52"/>
        <v>31</v>
      </c>
      <c r="C290" s="325"/>
      <c r="D290" s="260"/>
      <c r="E290" s="95"/>
      <c r="G290" s="52"/>
      <c r="H290" s="52"/>
      <c r="I290" s="256"/>
      <c r="J290" s="98">
        <f t="shared" si="53"/>
        <v>0</v>
      </c>
      <c r="K290" s="118" t="e">
        <f t="shared" si="54"/>
        <v>#DIV/0!</v>
      </c>
      <c r="L290" s="15"/>
      <c r="M290" s="15"/>
      <c r="N290" s="15">
        <f t="shared" si="55"/>
        <v>0</v>
      </c>
      <c r="O290" s="70" t="e">
        <f t="shared" si="56"/>
        <v>#DIV/0!</v>
      </c>
      <c r="P290" s="70"/>
      <c r="Q290" s="70">
        <f t="shared" si="57"/>
        <v>0</v>
      </c>
      <c r="R290" s="70"/>
      <c r="S290" s="70"/>
      <c r="T290" s="70"/>
      <c r="U290" s="15"/>
      <c r="V290" s="70" t="e">
        <f t="shared" si="58"/>
        <v>#DIV/0!</v>
      </c>
      <c r="W290" s="15"/>
      <c r="X290" s="15"/>
      <c r="Y290" s="15">
        <f t="shared" si="59"/>
        <v>0</v>
      </c>
      <c r="Z290" s="52"/>
      <c r="AA290" s="98">
        <f t="shared" si="60"/>
        <v>0</v>
      </c>
      <c r="AB290" s="52"/>
      <c r="AC290" s="98">
        <f t="shared" si="61"/>
        <v>0</v>
      </c>
      <c r="AD290" s="98">
        <f t="shared" si="62"/>
        <v>0</v>
      </c>
      <c r="AE290" s="238" t="e">
        <f t="shared" si="63"/>
        <v>#DIV/0!</v>
      </c>
      <c r="AF290" s="125" t="e">
        <f t="shared" si="64"/>
        <v>#DIV/0!</v>
      </c>
      <c r="AG290" s="92"/>
    </row>
    <row r="291" spans="1:33" ht="14.4">
      <c r="A291" s="270"/>
      <c r="B291" s="97">
        <f t="shared" si="52"/>
        <v>31</v>
      </c>
      <c r="C291" s="325"/>
      <c r="D291" s="260"/>
      <c r="E291" s="95"/>
      <c r="G291" s="52"/>
      <c r="H291" s="52"/>
      <c r="I291" s="256"/>
      <c r="J291" s="98">
        <f t="shared" si="53"/>
        <v>0</v>
      </c>
      <c r="K291" s="118" t="e">
        <f t="shared" si="54"/>
        <v>#DIV/0!</v>
      </c>
      <c r="L291" s="15"/>
      <c r="M291" s="15"/>
      <c r="N291" s="15">
        <f t="shared" si="55"/>
        <v>0</v>
      </c>
      <c r="O291" s="70" t="e">
        <f t="shared" si="56"/>
        <v>#DIV/0!</v>
      </c>
      <c r="P291" s="70"/>
      <c r="Q291" s="70">
        <f t="shared" si="57"/>
        <v>0</v>
      </c>
      <c r="R291" s="70"/>
      <c r="S291" s="70"/>
      <c r="T291" s="70"/>
      <c r="U291" s="15"/>
      <c r="V291" s="70" t="e">
        <f t="shared" si="58"/>
        <v>#DIV/0!</v>
      </c>
      <c r="W291" s="15"/>
      <c r="X291" s="15"/>
      <c r="Y291" s="15">
        <f t="shared" si="59"/>
        <v>0</v>
      </c>
      <c r="Z291" s="52"/>
      <c r="AA291" s="98">
        <f t="shared" si="60"/>
        <v>0</v>
      </c>
      <c r="AB291" s="52"/>
      <c r="AC291" s="98">
        <f t="shared" si="61"/>
        <v>0</v>
      </c>
      <c r="AD291" s="98">
        <f t="shared" si="62"/>
        <v>0</v>
      </c>
      <c r="AE291" s="238" t="e">
        <f t="shared" si="63"/>
        <v>#DIV/0!</v>
      </c>
      <c r="AF291" s="125" t="e">
        <f t="shared" si="64"/>
        <v>#DIV/0!</v>
      </c>
      <c r="AG291" s="92"/>
    </row>
    <row r="292" spans="1:33" ht="14.4">
      <c r="A292" s="270"/>
      <c r="B292" s="97">
        <f t="shared" si="52"/>
        <v>31</v>
      </c>
      <c r="C292" s="325"/>
      <c r="D292" s="260"/>
      <c r="E292" s="95"/>
      <c r="G292" s="52"/>
      <c r="H292" s="52"/>
      <c r="I292" s="256"/>
      <c r="J292" s="98">
        <f t="shared" si="53"/>
        <v>0</v>
      </c>
      <c r="K292" s="118" t="e">
        <f t="shared" si="54"/>
        <v>#DIV/0!</v>
      </c>
      <c r="L292" s="15"/>
      <c r="M292" s="15"/>
      <c r="N292" s="15">
        <f t="shared" si="55"/>
        <v>0</v>
      </c>
      <c r="O292" s="70" t="e">
        <f t="shared" si="56"/>
        <v>#DIV/0!</v>
      </c>
      <c r="P292" s="70"/>
      <c r="Q292" s="70">
        <f t="shared" si="57"/>
        <v>0</v>
      </c>
      <c r="R292" s="70"/>
      <c r="S292" s="70"/>
      <c r="T292" s="70"/>
      <c r="U292" s="15"/>
      <c r="V292" s="70" t="e">
        <f t="shared" si="58"/>
        <v>#DIV/0!</v>
      </c>
      <c r="W292" s="15"/>
      <c r="X292" s="15"/>
      <c r="Y292" s="15">
        <f t="shared" si="59"/>
        <v>0</v>
      </c>
      <c r="Z292" s="52"/>
      <c r="AA292" s="98">
        <f t="shared" si="60"/>
        <v>0</v>
      </c>
      <c r="AB292" s="52"/>
      <c r="AC292" s="98">
        <f t="shared" si="61"/>
        <v>0</v>
      </c>
      <c r="AD292" s="98">
        <f t="shared" si="62"/>
        <v>0</v>
      </c>
      <c r="AE292" s="238" t="e">
        <f t="shared" si="63"/>
        <v>#DIV/0!</v>
      </c>
      <c r="AF292" s="125" t="e">
        <f t="shared" si="64"/>
        <v>#DIV/0!</v>
      </c>
      <c r="AG292" s="92"/>
    </row>
    <row r="293" spans="1:33" ht="14.4">
      <c r="A293" s="270"/>
      <c r="B293" s="97">
        <f t="shared" si="52"/>
        <v>31</v>
      </c>
      <c r="C293" s="325"/>
      <c r="D293" s="260"/>
      <c r="E293" s="95"/>
      <c r="G293" s="52"/>
      <c r="H293" s="52"/>
      <c r="I293" s="256"/>
      <c r="J293" s="98">
        <f t="shared" si="53"/>
        <v>0</v>
      </c>
      <c r="K293" s="118" t="e">
        <f t="shared" si="54"/>
        <v>#DIV/0!</v>
      </c>
      <c r="L293" s="15"/>
      <c r="M293" s="15"/>
      <c r="N293" s="15">
        <f t="shared" si="55"/>
        <v>0</v>
      </c>
      <c r="O293" s="70" t="e">
        <f t="shared" si="56"/>
        <v>#DIV/0!</v>
      </c>
      <c r="P293" s="70"/>
      <c r="Q293" s="70">
        <f t="shared" si="57"/>
        <v>0</v>
      </c>
      <c r="R293" s="70"/>
      <c r="S293" s="70"/>
      <c r="T293" s="70"/>
      <c r="U293" s="15"/>
      <c r="V293" s="70" t="e">
        <f t="shared" si="58"/>
        <v>#DIV/0!</v>
      </c>
      <c r="W293" s="15"/>
      <c r="X293" s="15"/>
      <c r="Y293" s="15">
        <f t="shared" si="59"/>
        <v>0</v>
      </c>
      <c r="Z293" s="52"/>
      <c r="AA293" s="98">
        <f t="shared" si="60"/>
        <v>0</v>
      </c>
      <c r="AB293" s="52"/>
      <c r="AC293" s="98">
        <f t="shared" si="61"/>
        <v>0</v>
      </c>
      <c r="AD293" s="98">
        <f t="shared" si="62"/>
        <v>0</v>
      </c>
      <c r="AE293" s="238" t="e">
        <f t="shared" si="63"/>
        <v>#DIV/0!</v>
      </c>
      <c r="AF293" s="125" t="e">
        <f t="shared" si="64"/>
        <v>#DIV/0!</v>
      </c>
      <c r="AG293" s="92"/>
    </row>
    <row r="294" spans="1:33" ht="14.4">
      <c r="A294" s="270"/>
      <c r="B294" s="97">
        <f t="shared" si="52"/>
        <v>31</v>
      </c>
      <c r="C294" s="325"/>
      <c r="D294" s="260"/>
      <c r="E294" s="95"/>
      <c r="G294" s="52"/>
      <c r="H294" s="52"/>
      <c r="I294" s="256"/>
      <c r="J294" s="98">
        <f t="shared" si="53"/>
        <v>0</v>
      </c>
      <c r="K294" s="118" t="e">
        <f t="shared" si="54"/>
        <v>#DIV/0!</v>
      </c>
      <c r="L294" s="15"/>
      <c r="M294" s="15"/>
      <c r="N294" s="15">
        <f t="shared" si="55"/>
        <v>0</v>
      </c>
      <c r="O294" s="70" t="e">
        <f t="shared" si="56"/>
        <v>#N/A</v>
      </c>
      <c r="P294" s="70" t="e">
        <f>VLOOKUP(C294,'[1]Profit and Loss agt new'!$D$17:$E$52,2,)</f>
        <v>#N/A</v>
      </c>
      <c r="Q294" s="70" t="e">
        <f t="shared" si="57"/>
        <v>#N/A</v>
      </c>
      <c r="R294" s="70"/>
      <c r="S294" s="70"/>
      <c r="T294" s="70"/>
      <c r="U294" s="15"/>
      <c r="V294" s="70" t="e">
        <f t="shared" si="58"/>
        <v>#DIV/0!</v>
      </c>
      <c r="W294" s="15"/>
      <c r="X294" s="15"/>
      <c r="Y294" s="15">
        <f t="shared" si="59"/>
        <v>0</v>
      </c>
      <c r="Z294" s="52"/>
      <c r="AA294" s="98">
        <f t="shared" si="60"/>
        <v>0</v>
      </c>
      <c r="AB294" s="52"/>
      <c r="AC294" s="98">
        <f t="shared" si="61"/>
        <v>0</v>
      </c>
      <c r="AD294" s="98" t="e">
        <f t="shared" si="62"/>
        <v>#N/A</v>
      </c>
      <c r="AE294" s="238" t="e">
        <f t="shared" si="63"/>
        <v>#DIV/0!</v>
      </c>
      <c r="AF294" s="125" t="e">
        <f t="shared" si="64"/>
        <v>#N/A</v>
      </c>
      <c r="AG294" s="92"/>
    </row>
    <row r="295" spans="1:33" ht="14.4">
      <c r="A295" s="270"/>
      <c r="B295" s="97">
        <f t="shared" si="52"/>
        <v>31</v>
      </c>
      <c r="C295" s="325"/>
      <c r="D295" s="260"/>
      <c r="E295" s="95"/>
      <c r="G295" s="52"/>
      <c r="H295" s="52"/>
      <c r="I295" s="256"/>
      <c r="J295" s="98">
        <f t="shared" si="53"/>
        <v>0</v>
      </c>
      <c r="K295" s="118" t="e">
        <f t="shared" si="54"/>
        <v>#DIV/0!</v>
      </c>
      <c r="L295" s="15"/>
      <c r="M295" s="15"/>
      <c r="N295" s="15">
        <f t="shared" si="55"/>
        <v>0</v>
      </c>
      <c r="O295" s="70" t="e">
        <f t="shared" si="56"/>
        <v>#DIV/0!</v>
      </c>
      <c r="P295" s="70"/>
      <c r="Q295" s="70">
        <f t="shared" si="57"/>
        <v>0</v>
      </c>
      <c r="R295" s="70"/>
      <c r="S295" s="70"/>
      <c r="T295" s="70"/>
      <c r="U295" s="15"/>
      <c r="V295" s="70" t="e">
        <f t="shared" si="58"/>
        <v>#DIV/0!</v>
      </c>
      <c r="W295" s="15"/>
      <c r="X295" s="15"/>
      <c r="Y295" s="15">
        <f t="shared" si="59"/>
        <v>0</v>
      </c>
      <c r="Z295" s="52"/>
      <c r="AA295" s="98">
        <f t="shared" si="60"/>
        <v>0</v>
      </c>
      <c r="AB295" s="52"/>
      <c r="AC295" s="98">
        <f t="shared" si="61"/>
        <v>0</v>
      </c>
      <c r="AD295" s="98">
        <f t="shared" si="62"/>
        <v>0</v>
      </c>
      <c r="AE295" s="238" t="e">
        <f t="shared" si="63"/>
        <v>#DIV/0!</v>
      </c>
      <c r="AF295" s="125" t="e">
        <f t="shared" si="64"/>
        <v>#DIV/0!</v>
      </c>
      <c r="AG295" s="92"/>
    </row>
    <row r="296" spans="1:33" ht="14.4">
      <c r="A296" s="270"/>
      <c r="B296" s="97">
        <f t="shared" si="52"/>
        <v>31</v>
      </c>
      <c r="C296" s="325"/>
      <c r="D296" s="260"/>
      <c r="E296" s="95"/>
      <c r="G296" s="52"/>
      <c r="H296" s="52"/>
      <c r="I296" s="256"/>
      <c r="J296" s="98">
        <f t="shared" si="53"/>
        <v>0</v>
      </c>
      <c r="K296" s="118" t="e">
        <f t="shared" si="54"/>
        <v>#DIV/0!</v>
      </c>
      <c r="L296" s="15"/>
      <c r="M296" s="15"/>
      <c r="N296" s="15">
        <f t="shared" si="55"/>
        <v>0</v>
      </c>
      <c r="O296" s="70" t="e">
        <f t="shared" si="56"/>
        <v>#DIV/0!</v>
      </c>
      <c r="P296" s="70"/>
      <c r="Q296" s="70">
        <f t="shared" si="57"/>
        <v>0</v>
      </c>
      <c r="R296" s="70"/>
      <c r="S296" s="70"/>
      <c r="T296" s="70"/>
      <c r="U296" s="15"/>
      <c r="V296" s="70" t="e">
        <f t="shared" si="58"/>
        <v>#DIV/0!</v>
      </c>
      <c r="W296" s="15"/>
      <c r="X296" s="15"/>
      <c r="Y296" s="15">
        <f t="shared" si="59"/>
        <v>0</v>
      </c>
      <c r="Z296" s="52"/>
      <c r="AA296" s="98">
        <f t="shared" si="60"/>
        <v>0</v>
      </c>
      <c r="AB296" s="52"/>
      <c r="AC296" s="98">
        <f t="shared" si="61"/>
        <v>0</v>
      </c>
      <c r="AD296" s="98">
        <f t="shared" si="62"/>
        <v>0</v>
      </c>
      <c r="AE296" s="238" t="e">
        <f t="shared" si="63"/>
        <v>#DIV/0!</v>
      </c>
      <c r="AF296" s="125" t="e">
        <f t="shared" si="64"/>
        <v>#DIV/0!</v>
      </c>
      <c r="AG296" s="92"/>
    </row>
    <row r="297" spans="1:33" ht="14.4">
      <c r="A297" s="270"/>
      <c r="B297" s="97">
        <f t="shared" si="52"/>
        <v>31</v>
      </c>
      <c r="C297" s="325"/>
      <c r="D297" s="260"/>
      <c r="E297" s="95"/>
      <c r="G297" s="52"/>
      <c r="H297" s="52"/>
      <c r="I297" s="256"/>
      <c r="J297" s="98">
        <f t="shared" si="53"/>
        <v>0</v>
      </c>
      <c r="K297" s="118" t="e">
        <f t="shared" si="54"/>
        <v>#DIV/0!</v>
      </c>
      <c r="L297" s="15"/>
      <c r="M297" s="15"/>
      <c r="N297" s="15">
        <f t="shared" si="55"/>
        <v>0</v>
      </c>
      <c r="O297" s="70" t="e">
        <f t="shared" si="56"/>
        <v>#DIV/0!</v>
      </c>
      <c r="P297" s="70"/>
      <c r="Q297" s="70">
        <f t="shared" si="57"/>
        <v>0</v>
      </c>
      <c r="R297" s="70"/>
      <c r="S297" s="70"/>
      <c r="T297" s="70"/>
      <c r="U297" s="15"/>
      <c r="V297" s="70" t="e">
        <f t="shared" si="58"/>
        <v>#DIV/0!</v>
      </c>
      <c r="W297" s="15"/>
      <c r="X297" s="15"/>
      <c r="Y297" s="15">
        <f t="shared" si="59"/>
        <v>0</v>
      </c>
      <c r="Z297" s="52"/>
      <c r="AA297" s="98">
        <f t="shared" si="60"/>
        <v>0</v>
      </c>
      <c r="AB297" s="52"/>
      <c r="AC297" s="98">
        <f t="shared" si="61"/>
        <v>0</v>
      </c>
      <c r="AD297" s="98">
        <f t="shared" si="62"/>
        <v>0</v>
      </c>
      <c r="AE297" s="238" t="e">
        <f t="shared" si="63"/>
        <v>#DIV/0!</v>
      </c>
      <c r="AF297" s="125" t="e">
        <f t="shared" si="64"/>
        <v>#DIV/0!</v>
      </c>
      <c r="AG297" s="92"/>
    </row>
    <row r="298" spans="1:33" ht="14.4">
      <c r="A298" s="270"/>
      <c r="B298" s="97">
        <f t="shared" si="52"/>
        <v>31</v>
      </c>
      <c r="C298" s="325"/>
      <c r="D298" s="260"/>
      <c r="E298" s="95"/>
      <c r="G298" s="52"/>
      <c r="H298" s="52"/>
      <c r="I298" s="256"/>
      <c r="J298" s="98">
        <f t="shared" si="53"/>
        <v>0</v>
      </c>
      <c r="K298" s="118" t="e">
        <f t="shared" si="54"/>
        <v>#DIV/0!</v>
      </c>
      <c r="L298" s="15"/>
      <c r="M298" s="15"/>
      <c r="N298" s="15">
        <f t="shared" si="55"/>
        <v>0</v>
      </c>
      <c r="O298" s="70" t="e">
        <f t="shared" si="56"/>
        <v>#DIV/0!</v>
      </c>
      <c r="P298" s="70"/>
      <c r="Q298" s="70">
        <f t="shared" si="57"/>
        <v>0</v>
      </c>
      <c r="R298" s="70"/>
      <c r="S298" s="70"/>
      <c r="T298" s="70"/>
      <c r="U298" s="15"/>
      <c r="V298" s="70" t="e">
        <f t="shared" si="58"/>
        <v>#DIV/0!</v>
      </c>
      <c r="W298" s="15"/>
      <c r="X298" s="15"/>
      <c r="Y298" s="15">
        <f t="shared" si="59"/>
        <v>0</v>
      </c>
      <c r="Z298" s="52"/>
      <c r="AA298" s="98">
        <f t="shared" si="60"/>
        <v>0</v>
      </c>
      <c r="AB298" s="52"/>
      <c r="AC298" s="98">
        <f t="shared" si="61"/>
        <v>0</v>
      </c>
      <c r="AD298" s="98">
        <f t="shared" si="62"/>
        <v>0</v>
      </c>
      <c r="AE298" s="238" t="e">
        <f t="shared" si="63"/>
        <v>#DIV/0!</v>
      </c>
      <c r="AF298" s="125" t="e">
        <f t="shared" si="64"/>
        <v>#DIV/0!</v>
      </c>
      <c r="AG298" s="92"/>
    </row>
    <row r="299" spans="1:33" ht="14.4">
      <c r="A299" s="270"/>
      <c r="B299" s="97">
        <f t="shared" si="52"/>
        <v>31</v>
      </c>
      <c r="C299" s="325"/>
      <c r="D299" s="260"/>
      <c r="E299" s="95"/>
      <c r="G299" s="52"/>
      <c r="H299" s="52"/>
      <c r="I299" s="256"/>
      <c r="J299" s="98">
        <f t="shared" si="53"/>
        <v>0</v>
      </c>
      <c r="K299" s="118" t="e">
        <f t="shared" si="54"/>
        <v>#DIV/0!</v>
      </c>
      <c r="L299" s="15"/>
      <c r="M299" s="15"/>
      <c r="N299" s="15">
        <f t="shared" si="55"/>
        <v>0</v>
      </c>
      <c r="O299" s="70" t="e">
        <f t="shared" si="56"/>
        <v>#DIV/0!</v>
      </c>
      <c r="P299" s="70"/>
      <c r="Q299" s="70">
        <f t="shared" si="57"/>
        <v>0</v>
      </c>
      <c r="R299" s="70"/>
      <c r="S299" s="70"/>
      <c r="T299" s="70"/>
      <c r="U299" s="15"/>
      <c r="V299" s="70" t="e">
        <f t="shared" si="58"/>
        <v>#DIV/0!</v>
      </c>
      <c r="W299" s="15"/>
      <c r="X299" s="15"/>
      <c r="Y299" s="15">
        <f t="shared" si="59"/>
        <v>0</v>
      </c>
      <c r="Z299" s="52"/>
      <c r="AA299" s="98">
        <f t="shared" si="60"/>
        <v>0</v>
      </c>
      <c r="AB299" s="52"/>
      <c r="AC299" s="98">
        <f t="shared" si="61"/>
        <v>0</v>
      </c>
      <c r="AD299" s="98">
        <f t="shared" si="62"/>
        <v>0</v>
      </c>
      <c r="AE299" s="238" t="e">
        <f t="shared" si="63"/>
        <v>#DIV/0!</v>
      </c>
      <c r="AF299" s="125" t="e">
        <f t="shared" si="64"/>
        <v>#DIV/0!</v>
      </c>
      <c r="AG299" s="92"/>
    </row>
    <row r="300" spans="1:33" ht="14.4">
      <c r="A300" s="270"/>
      <c r="B300" s="97">
        <f t="shared" si="52"/>
        <v>31</v>
      </c>
      <c r="C300" s="325"/>
      <c r="D300" s="260"/>
      <c r="E300" s="95"/>
      <c r="G300" s="52"/>
      <c r="H300" s="52"/>
      <c r="I300" s="256"/>
      <c r="J300" s="98">
        <f t="shared" si="53"/>
        <v>0</v>
      </c>
      <c r="K300" s="118" t="e">
        <f t="shared" si="54"/>
        <v>#DIV/0!</v>
      </c>
      <c r="L300" s="15"/>
      <c r="M300" s="15"/>
      <c r="N300" s="15">
        <f t="shared" si="55"/>
        <v>0</v>
      </c>
      <c r="O300" s="70" t="e">
        <f t="shared" si="56"/>
        <v>#DIV/0!</v>
      </c>
      <c r="P300" s="70"/>
      <c r="Q300" s="70">
        <f t="shared" si="57"/>
        <v>0</v>
      </c>
      <c r="R300" s="70"/>
      <c r="S300" s="70"/>
      <c r="T300" s="70"/>
      <c r="U300" s="15"/>
      <c r="V300" s="70" t="e">
        <f t="shared" si="58"/>
        <v>#DIV/0!</v>
      </c>
      <c r="W300" s="15"/>
      <c r="X300" s="15"/>
      <c r="Y300" s="15">
        <f t="shared" si="59"/>
        <v>0</v>
      </c>
      <c r="Z300" s="52"/>
      <c r="AA300" s="98">
        <f t="shared" si="60"/>
        <v>0</v>
      </c>
      <c r="AB300" s="52"/>
      <c r="AC300" s="98">
        <f t="shared" si="61"/>
        <v>0</v>
      </c>
      <c r="AD300" s="98">
        <f t="shared" si="62"/>
        <v>0</v>
      </c>
      <c r="AE300" s="238" t="e">
        <f t="shared" si="63"/>
        <v>#DIV/0!</v>
      </c>
      <c r="AF300" s="125" t="e">
        <f t="shared" si="64"/>
        <v>#DIV/0!</v>
      </c>
      <c r="AG300" s="92"/>
    </row>
    <row r="301" spans="1:33" ht="14.4">
      <c r="A301" s="270"/>
      <c r="B301" s="97">
        <f t="shared" si="52"/>
        <v>31</v>
      </c>
      <c r="C301" s="325"/>
      <c r="D301" s="260"/>
      <c r="E301" s="95"/>
      <c r="G301" s="52"/>
      <c r="H301" s="52"/>
      <c r="I301" s="256"/>
      <c r="J301" s="98">
        <f t="shared" si="53"/>
        <v>0</v>
      </c>
      <c r="K301" s="118" t="e">
        <f t="shared" si="54"/>
        <v>#DIV/0!</v>
      </c>
      <c r="L301" s="15"/>
      <c r="M301" s="15"/>
      <c r="N301" s="15">
        <f t="shared" si="55"/>
        <v>0</v>
      </c>
      <c r="O301" s="70" t="e">
        <f t="shared" si="56"/>
        <v>#DIV/0!</v>
      </c>
      <c r="P301" s="70"/>
      <c r="Q301" s="70">
        <f t="shared" si="57"/>
        <v>0</v>
      </c>
      <c r="R301" s="70"/>
      <c r="S301" s="70"/>
      <c r="T301" s="70"/>
      <c r="U301" s="15"/>
      <c r="V301" s="70" t="e">
        <f t="shared" si="58"/>
        <v>#DIV/0!</v>
      </c>
      <c r="W301" s="15"/>
      <c r="X301" s="15"/>
      <c r="Y301" s="15">
        <f t="shared" si="59"/>
        <v>0</v>
      </c>
      <c r="Z301" s="52"/>
      <c r="AA301" s="98">
        <f t="shared" si="60"/>
        <v>0</v>
      </c>
      <c r="AB301" s="52"/>
      <c r="AC301" s="98">
        <f t="shared" si="61"/>
        <v>0</v>
      </c>
      <c r="AD301" s="98">
        <f t="shared" si="62"/>
        <v>0</v>
      </c>
      <c r="AE301" s="238" t="e">
        <f t="shared" si="63"/>
        <v>#DIV/0!</v>
      </c>
      <c r="AF301" s="125" t="e">
        <f t="shared" si="64"/>
        <v>#DIV/0!</v>
      </c>
      <c r="AG301" s="92"/>
    </row>
    <row r="302" spans="1:33" ht="14.4">
      <c r="A302" s="270"/>
      <c r="B302" s="97">
        <f t="shared" si="52"/>
        <v>31</v>
      </c>
      <c r="C302" s="325"/>
      <c r="D302" s="260"/>
      <c r="E302" s="95"/>
      <c r="G302" s="52"/>
      <c r="H302" s="52"/>
      <c r="I302" s="256"/>
      <c r="J302" s="98">
        <f t="shared" si="53"/>
        <v>0</v>
      </c>
      <c r="K302" s="118" t="e">
        <f t="shared" si="54"/>
        <v>#DIV/0!</v>
      </c>
      <c r="L302" s="15"/>
      <c r="M302" s="15"/>
      <c r="N302" s="15">
        <f t="shared" si="55"/>
        <v>0</v>
      </c>
      <c r="O302" s="70" t="e">
        <f t="shared" si="56"/>
        <v>#DIV/0!</v>
      </c>
      <c r="P302" s="70"/>
      <c r="Q302" s="70">
        <f t="shared" si="57"/>
        <v>0</v>
      </c>
      <c r="R302" s="70"/>
      <c r="S302" s="70"/>
      <c r="T302" s="70"/>
      <c r="U302" s="15"/>
      <c r="V302" s="70" t="e">
        <f t="shared" si="58"/>
        <v>#DIV/0!</v>
      </c>
      <c r="W302" s="15"/>
      <c r="X302" s="15"/>
      <c r="Y302" s="15">
        <f t="shared" si="59"/>
        <v>0</v>
      </c>
      <c r="Z302" s="52"/>
      <c r="AA302" s="98">
        <f t="shared" si="60"/>
        <v>0</v>
      </c>
      <c r="AB302" s="52"/>
      <c r="AC302" s="98">
        <f t="shared" si="61"/>
        <v>0</v>
      </c>
      <c r="AD302" s="98">
        <f t="shared" si="62"/>
        <v>0</v>
      </c>
      <c r="AE302" s="238" t="e">
        <f t="shared" si="63"/>
        <v>#DIV/0!</v>
      </c>
      <c r="AF302" s="125" t="e">
        <f t="shared" si="64"/>
        <v>#DIV/0!</v>
      </c>
      <c r="AG302" s="92"/>
    </row>
    <row r="303" spans="1:33" ht="14.4">
      <c r="A303" s="270"/>
      <c r="B303" s="97">
        <f t="shared" si="52"/>
        <v>31</v>
      </c>
      <c r="C303" s="325"/>
      <c r="D303" s="260"/>
      <c r="E303" s="95"/>
      <c r="G303" s="52"/>
      <c r="H303" s="52"/>
      <c r="I303" s="256"/>
      <c r="J303" s="98">
        <f t="shared" si="53"/>
        <v>0</v>
      </c>
      <c r="K303" s="118" t="e">
        <f t="shared" si="54"/>
        <v>#DIV/0!</v>
      </c>
      <c r="L303" s="15"/>
      <c r="M303" s="15"/>
      <c r="N303" s="15">
        <f t="shared" si="55"/>
        <v>0</v>
      </c>
      <c r="O303" s="70" t="e">
        <f t="shared" si="56"/>
        <v>#DIV/0!</v>
      </c>
      <c r="P303" s="70"/>
      <c r="Q303" s="70">
        <f t="shared" si="57"/>
        <v>0</v>
      </c>
      <c r="R303" s="70"/>
      <c r="S303" s="70"/>
      <c r="T303" s="70"/>
      <c r="U303" s="15"/>
      <c r="V303" s="70" t="e">
        <f t="shared" si="58"/>
        <v>#DIV/0!</v>
      </c>
      <c r="W303" s="15"/>
      <c r="X303" s="15"/>
      <c r="Y303" s="15">
        <f t="shared" si="59"/>
        <v>0</v>
      </c>
      <c r="Z303" s="52"/>
      <c r="AA303" s="98">
        <f t="shared" si="60"/>
        <v>0</v>
      </c>
      <c r="AB303" s="52"/>
      <c r="AC303" s="98">
        <f t="shared" si="61"/>
        <v>0</v>
      </c>
      <c r="AD303" s="98">
        <f t="shared" si="62"/>
        <v>0</v>
      </c>
      <c r="AE303" s="238" t="e">
        <f t="shared" si="63"/>
        <v>#DIV/0!</v>
      </c>
      <c r="AF303" s="125" t="e">
        <f t="shared" si="64"/>
        <v>#DIV/0!</v>
      </c>
      <c r="AG303" s="92"/>
    </row>
    <row r="304" spans="1:33" ht="14.4">
      <c r="A304" s="270"/>
      <c r="B304" s="97">
        <f t="shared" si="52"/>
        <v>31</v>
      </c>
      <c r="C304" s="325"/>
      <c r="D304" s="260"/>
      <c r="E304" s="95"/>
      <c r="G304" s="52"/>
      <c r="H304" s="52"/>
      <c r="I304" s="256"/>
      <c r="J304" s="98">
        <f t="shared" si="53"/>
        <v>0</v>
      </c>
      <c r="K304" s="118" t="e">
        <f t="shared" si="54"/>
        <v>#DIV/0!</v>
      </c>
      <c r="L304" s="15"/>
      <c r="M304" s="15"/>
      <c r="N304" s="15">
        <f t="shared" si="55"/>
        <v>0</v>
      </c>
      <c r="O304" s="70" t="e">
        <f t="shared" si="56"/>
        <v>#DIV/0!</v>
      </c>
      <c r="P304" s="70"/>
      <c r="Q304" s="70">
        <f t="shared" si="57"/>
        <v>0</v>
      </c>
      <c r="R304" s="70"/>
      <c r="S304" s="70"/>
      <c r="T304" s="70"/>
      <c r="U304" s="15"/>
      <c r="V304" s="70" t="e">
        <f t="shared" si="58"/>
        <v>#DIV/0!</v>
      </c>
      <c r="W304" s="15"/>
      <c r="X304" s="15"/>
      <c r="Y304" s="15">
        <f t="shared" si="59"/>
        <v>0</v>
      </c>
      <c r="Z304" s="52"/>
      <c r="AA304" s="98">
        <f t="shared" si="60"/>
        <v>0</v>
      </c>
      <c r="AB304" s="52"/>
      <c r="AC304" s="98">
        <f t="shared" si="61"/>
        <v>0</v>
      </c>
      <c r="AD304" s="98">
        <f t="shared" si="62"/>
        <v>0</v>
      </c>
      <c r="AE304" s="238" t="e">
        <f t="shared" si="63"/>
        <v>#DIV/0!</v>
      </c>
      <c r="AF304" s="125" t="e">
        <f t="shared" si="64"/>
        <v>#DIV/0!</v>
      </c>
      <c r="AG304" s="92"/>
    </row>
    <row r="305" spans="1:33" ht="14.4">
      <c r="A305" s="270"/>
      <c r="B305" s="97">
        <f t="shared" si="52"/>
        <v>31</v>
      </c>
      <c r="C305" s="325"/>
      <c r="D305" s="260"/>
      <c r="E305" s="95"/>
      <c r="G305" s="52"/>
      <c r="H305" s="52"/>
      <c r="I305" s="256"/>
      <c r="J305" s="98">
        <f t="shared" si="53"/>
        <v>0</v>
      </c>
      <c r="K305" s="118" t="e">
        <f t="shared" si="54"/>
        <v>#DIV/0!</v>
      </c>
      <c r="L305" s="15"/>
      <c r="M305" s="15"/>
      <c r="N305" s="15">
        <f t="shared" si="55"/>
        <v>0</v>
      </c>
      <c r="O305" s="70" t="e">
        <f t="shared" si="56"/>
        <v>#N/A</v>
      </c>
      <c r="P305" s="70" t="e">
        <f>VLOOKUP(C305,'[1]Profit and Loss agt new'!$D$17:$E$52,2,)</f>
        <v>#N/A</v>
      </c>
      <c r="Q305" s="70" t="e">
        <f t="shared" si="57"/>
        <v>#N/A</v>
      </c>
      <c r="R305" s="70"/>
      <c r="S305" s="70"/>
      <c r="T305" s="70"/>
      <c r="U305" s="15"/>
      <c r="V305" s="70" t="e">
        <f t="shared" si="58"/>
        <v>#DIV/0!</v>
      </c>
      <c r="W305" s="15"/>
      <c r="X305" s="15"/>
      <c r="Y305" s="15">
        <f t="shared" si="59"/>
        <v>0</v>
      </c>
      <c r="Z305" s="52"/>
      <c r="AA305" s="98">
        <f t="shared" si="60"/>
        <v>0</v>
      </c>
      <c r="AB305" s="52"/>
      <c r="AC305" s="98">
        <f t="shared" si="61"/>
        <v>0</v>
      </c>
      <c r="AD305" s="98" t="e">
        <f t="shared" si="62"/>
        <v>#N/A</v>
      </c>
      <c r="AE305" s="238" t="e">
        <f t="shared" si="63"/>
        <v>#DIV/0!</v>
      </c>
      <c r="AF305" s="125" t="e">
        <f t="shared" si="64"/>
        <v>#N/A</v>
      </c>
      <c r="AG305" s="92"/>
    </row>
    <row r="306" spans="1:33" ht="14.4">
      <c r="A306" s="270"/>
      <c r="B306" s="97">
        <f t="shared" si="52"/>
        <v>31</v>
      </c>
      <c r="C306" s="325"/>
      <c r="D306" s="260"/>
      <c r="E306" s="95"/>
      <c r="G306" s="52"/>
      <c r="H306" s="52"/>
      <c r="I306" s="256"/>
      <c r="J306" s="98">
        <f t="shared" si="53"/>
        <v>0</v>
      </c>
      <c r="K306" s="118" t="e">
        <f t="shared" si="54"/>
        <v>#DIV/0!</v>
      </c>
      <c r="L306" s="15"/>
      <c r="M306" s="15"/>
      <c r="N306" s="15">
        <f t="shared" si="55"/>
        <v>0</v>
      </c>
      <c r="O306" s="70" t="e">
        <f t="shared" si="56"/>
        <v>#DIV/0!</v>
      </c>
      <c r="P306" s="70"/>
      <c r="Q306" s="70">
        <f t="shared" si="57"/>
        <v>0</v>
      </c>
      <c r="R306" s="70"/>
      <c r="S306" s="70"/>
      <c r="T306" s="70"/>
      <c r="U306" s="15"/>
      <c r="V306" s="70" t="e">
        <f t="shared" si="58"/>
        <v>#DIV/0!</v>
      </c>
      <c r="W306" s="15"/>
      <c r="X306" s="15"/>
      <c r="Y306" s="15">
        <f t="shared" si="59"/>
        <v>0</v>
      </c>
      <c r="Z306" s="52"/>
      <c r="AA306" s="98">
        <f t="shared" si="60"/>
        <v>0</v>
      </c>
      <c r="AB306" s="52"/>
      <c r="AC306" s="98">
        <f t="shared" si="61"/>
        <v>0</v>
      </c>
      <c r="AD306" s="98">
        <f t="shared" si="62"/>
        <v>0</v>
      </c>
      <c r="AE306" s="238" t="e">
        <f t="shared" si="63"/>
        <v>#DIV/0!</v>
      </c>
      <c r="AF306" s="125" t="e">
        <f t="shared" si="64"/>
        <v>#DIV/0!</v>
      </c>
      <c r="AG306" s="92"/>
    </row>
    <row r="307" spans="1:33" ht="14.4">
      <c r="A307" s="270"/>
      <c r="B307" s="97">
        <f t="shared" si="52"/>
        <v>31</v>
      </c>
      <c r="C307" s="325"/>
      <c r="D307" s="260"/>
      <c r="E307" s="95"/>
      <c r="G307" s="52"/>
      <c r="H307" s="52"/>
      <c r="I307" s="256"/>
      <c r="J307" s="98">
        <f t="shared" si="53"/>
        <v>0</v>
      </c>
      <c r="K307" s="118" t="e">
        <f t="shared" si="54"/>
        <v>#DIV/0!</v>
      </c>
      <c r="L307" s="15"/>
      <c r="M307" s="15"/>
      <c r="N307" s="15">
        <f t="shared" si="55"/>
        <v>0</v>
      </c>
      <c r="O307" s="70" t="e">
        <f t="shared" si="56"/>
        <v>#DIV/0!</v>
      </c>
      <c r="P307" s="70"/>
      <c r="Q307" s="70">
        <f t="shared" si="57"/>
        <v>0</v>
      </c>
      <c r="R307" s="70"/>
      <c r="S307" s="70"/>
      <c r="T307" s="70"/>
      <c r="U307" s="15"/>
      <c r="V307" s="70" t="e">
        <f t="shared" si="58"/>
        <v>#DIV/0!</v>
      </c>
      <c r="W307" s="15"/>
      <c r="X307" s="15"/>
      <c r="Y307" s="15">
        <f t="shared" si="59"/>
        <v>0</v>
      </c>
      <c r="Z307" s="52"/>
      <c r="AA307" s="98">
        <f t="shared" si="60"/>
        <v>0</v>
      </c>
      <c r="AB307" s="52"/>
      <c r="AC307" s="98">
        <f t="shared" si="61"/>
        <v>0</v>
      </c>
      <c r="AD307" s="98">
        <f t="shared" si="62"/>
        <v>0</v>
      </c>
      <c r="AE307" s="238" t="e">
        <f t="shared" si="63"/>
        <v>#DIV/0!</v>
      </c>
      <c r="AF307" s="125" t="e">
        <f t="shared" si="64"/>
        <v>#DIV/0!</v>
      </c>
      <c r="AG307" s="92"/>
    </row>
    <row r="308" spans="1:33" ht="14.4">
      <c r="A308" s="270"/>
      <c r="B308" s="97">
        <f t="shared" si="52"/>
        <v>31</v>
      </c>
      <c r="C308" s="325"/>
      <c r="D308" s="260"/>
      <c r="E308" s="95"/>
      <c r="G308" s="52"/>
      <c r="H308" s="52"/>
      <c r="I308" s="256"/>
      <c r="J308" s="98">
        <f t="shared" si="53"/>
        <v>0</v>
      </c>
      <c r="K308" s="118" t="e">
        <f t="shared" si="54"/>
        <v>#DIV/0!</v>
      </c>
      <c r="L308" s="15"/>
      <c r="M308" s="15"/>
      <c r="N308" s="15">
        <f t="shared" si="55"/>
        <v>0</v>
      </c>
      <c r="O308" s="70" t="e">
        <f t="shared" si="56"/>
        <v>#DIV/0!</v>
      </c>
      <c r="P308" s="70"/>
      <c r="Q308" s="70">
        <f t="shared" si="57"/>
        <v>0</v>
      </c>
      <c r="R308" s="70"/>
      <c r="S308" s="70"/>
      <c r="T308" s="70"/>
      <c r="U308" s="15"/>
      <c r="V308" s="70" t="e">
        <f t="shared" si="58"/>
        <v>#DIV/0!</v>
      </c>
      <c r="W308" s="15"/>
      <c r="X308" s="15"/>
      <c r="Y308" s="15">
        <f t="shared" si="59"/>
        <v>0</v>
      </c>
      <c r="Z308" s="52"/>
      <c r="AA308" s="98">
        <f t="shared" si="60"/>
        <v>0</v>
      </c>
      <c r="AB308" s="52"/>
      <c r="AC308" s="98">
        <f t="shared" si="61"/>
        <v>0</v>
      </c>
      <c r="AD308" s="98">
        <f t="shared" si="62"/>
        <v>0</v>
      </c>
      <c r="AE308" s="238" t="e">
        <f t="shared" si="63"/>
        <v>#DIV/0!</v>
      </c>
      <c r="AF308" s="125" t="e">
        <f t="shared" si="64"/>
        <v>#DIV/0!</v>
      </c>
      <c r="AG308" s="92"/>
    </row>
    <row r="309" spans="1:33" ht="14.4">
      <c r="A309" s="270"/>
      <c r="B309" s="97">
        <f t="shared" si="52"/>
        <v>31</v>
      </c>
      <c r="C309" s="325"/>
      <c r="D309" s="260"/>
      <c r="E309" s="95"/>
      <c r="G309" s="52"/>
      <c r="H309" s="52"/>
      <c r="I309" s="256"/>
      <c r="J309" s="98">
        <f t="shared" si="53"/>
        <v>0</v>
      </c>
      <c r="K309" s="118" t="e">
        <f t="shared" si="54"/>
        <v>#DIV/0!</v>
      </c>
      <c r="L309" s="15"/>
      <c r="M309" s="15"/>
      <c r="N309" s="15">
        <f t="shared" si="55"/>
        <v>0</v>
      </c>
      <c r="O309" s="70" t="e">
        <f t="shared" si="56"/>
        <v>#DIV/0!</v>
      </c>
      <c r="P309" s="70"/>
      <c r="Q309" s="70">
        <f t="shared" si="57"/>
        <v>0</v>
      </c>
      <c r="R309" s="70"/>
      <c r="S309" s="70"/>
      <c r="T309" s="70"/>
      <c r="U309" s="15"/>
      <c r="V309" s="70" t="e">
        <f t="shared" si="58"/>
        <v>#DIV/0!</v>
      </c>
      <c r="W309" s="15"/>
      <c r="X309" s="15"/>
      <c r="Y309" s="15">
        <f t="shared" si="59"/>
        <v>0</v>
      </c>
      <c r="Z309" s="52"/>
      <c r="AA309" s="98">
        <f t="shared" si="60"/>
        <v>0</v>
      </c>
      <c r="AB309" s="52"/>
      <c r="AC309" s="98">
        <f t="shared" si="61"/>
        <v>0</v>
      </c>
      <c r="AD309" s="98">
        <f t="shared" si="62"/>
        <v>0</v>
      </c>
      <c r="AE309" s="238" t="e">
        <f t="shared" si="63"/>
        <v>#DIV/0!</v>
      </c>
      <c r="AF309" s="125" t="e">
        <f t="shared" si="64"/>
        <v>#DIV/0!</v>
      </c>
      <c r="AG309" s="92"/>
    </row>
    <row r="310" spans="1:33" ht="14.4">
      <c r="A310" s="270"/>
      <c r="B310" s="97">
        <f t="shared" si="52"/>
        <v>31</v>
      </c>
      <c r="C310" s="325"/>
      <c r="D310" s="260"/>
      <c r="E310" s="95"/>
      <c r="G310" s="52"/>
      <c r="H310" s="52"/>
      <c r="I310" s="256"/>
      <c r="J310" s="98">
        <f t="shared" si="53"/>
        <v>0</v>
      </c>
      <c r="K310" s="118" t="e">
        <f t="shared" si="54"/>
        <v>#DIV/0!</v>
      </c>
      <c r="L310" s="15"/>
      <c r="M310" s="15"/>
      <c r="N310" s="15">
        <f t="shared" si="55"/>
        <v>0</v>
      </c>
      <c r="O310" s="70" t="e">
        <f t="shared" si="56"/>
        <v>#DIV/0!</v>
      </c>
      <c r="P310" s="70"/>
      <c r="Q310" s="70">
        <f t="shared" si="57"/>
        <v>0</v>
      </c>
      <c r="R310" s="70"/>
      <c r="S310" s="70"/>
      <c r="T310" s="70"/>
      <c r="U310" s="15"/>
      <c r="V310" s="70" t="e">
        <f t="shared" si="58"/>
        <v>#DIV/0!</v>
      </c>
      <c r="W310" s="15"/>
      <c r="X310" s="15"/>
      <c r="Y310" s="15">
        <f t="shared" si="59"/>
        <v>0</v>
      </c>
      <c r="Z310" s="52"/>
      <c r="AA310" s="98">
        <f t="shared" si="60"/>
        <v>0</v>
      </c>
      <c r="AB310" s="52"/>
      <c r="AC310" s="98">
        <f t="shared" si="61"/>
        <v>0</v>
      </c>
      <c r="AD310" s="98">
        <f t="shared" si="62"/>
        <v>0</v>
      </c>
      <c r="AE310" s="238" t="e">
        <f t="shared" si="63"/>
        <v>#DIV/0!</v>
      </c>
      <c r="AF310" s="125" t="e">
        <f t="shared" si="64"/>
        <v>#DIV/0!</v>
      </c>
      <c r="AG310" s="92"/>
    </row>
    <row r="311" spans="1:33" ht="14.4">
      <c r="A311" s="270"/>
      <c r="B311" s="97">
        <f t="shared" si="52"/>
        <v>31</v>
      </c>
      <c r="C311" s="325"/>
      <c r="D311" s="260"/>
      <c r="E311" s="95"/>
      <c r="G311" s="52"/>
      <c r="H311" s="52"/>
      <c r="I311" s="256"/>
      <c r="J311" s="98">
        <f t="shared" si="53"/>
        <v>0</v>
      </c>
      <c r="K311" s="118" t="e">
        <f t="shared" si="54"/>
        <v>#DIV/0!</v>
      </c>
      <c r="L311" s="15"/>
      <c r="M311" s="15"/>
      <c r="N311" s="15">
        <f t="shared" si="55"/>
        <v>0</v>
      </c>
      <c r="O311" s="70" t="e">
        <f t="shared" si="56"/>
        <v>#DIV/0!</v>
      </c>
      <c r="P311" s="70"/>
      <c r="Q311" s="70">
        <f t="shared" si="57"/>
        <v>0</v>
      </c>
      <c r="R311" s="70"/>
      <c r="S311" s="70"/>
      <c r="T311" s="70"/>
      <c r="U311" s="15"/>
      <c r="V311" s="70" t="e">
        <f t="shared" si="58"/>
        <v>#DIV/0!</v>
      </c>
      <c r="W311" s="15"/>
      <c r="X311" s="15"/>
      <c r="Y311" s="15">
        <f t="shared" si="59"/>
        <v>0</v>
      </c>
      <c r="Z311" s="52"/>
      <c r="AA311" s="98">
        <f t="shared" si="60"/>
        <v>0</v>
      </c>
      <c r="AB311" s="52"/>
      <c r="AC311" s="98">
        <f t="shared" si="61"/>
        <v>0</v>
      </c>
      <c r="AD311" s="98">
        <f t="shared" si="62"/>
        <v>0</v>
      </c>
      <c r="AE311" s="238" t="e">
        <f t="shared" si="63"/>
        <v>#DIV/0!</v>
      </c>
      <c r="AF311" s="125" t="e">
        <f t="shared" si="64"/>
        <v>#DIV/0!</v>
      </c>
      <c r="AG311" s="92"/>
    </row>
    <row r="312" spans="1:33" ht="14.4">
      <c r="A312" s="270"/>
      <c r="B312" s="97">
        <f t="shared" si="52"/>
        <v>31</v>
      </c>
      <c r="C312" s="325"/>
      <c r="D312" s="260"/>
      <c r="E312" s="95"/>
      <c r="G312" s="52"/>
      <c r="H312" s="52"/>
      <c r="I312" s="256"/>
      <c r="J312" s="98">
        <f t="shared" si="53"/>
        <v>0</v>
      </c>
      <c r="K312" s="118" t="e">
        <f t="shared" si="54"/>
        <v>#DIV/0!</v>
      </c>
      <c r="L312" s="15"/>
      <c r="M312" s="15"/>
      <c r="N312" s="15">
        <f t="shared" si="55"/>
        <v>0</v>
      </c>
      <c r="O312" s="70" t="e">
        <f t="shared" si="56"/>
        <v>#DIV/0!</v>
      </c>
      <c r="P312" s="70"/>
      <c r="Q312" s="70">
        <f t="shared" si="57"/>
        <v>0</v>
      </c>
      <c r="R312" s="70"/>
      <c r="S312" s="70"/>
      <c r="T312" s="70"/>
      <c r="U312" s="15"/>
      <c r="V312" s="70" t="e">
        <f t="shared" si="58"/>
        <v>#DIV/0!</v>
      </c>
      <c r="W312" s="15"/>
      <c r="X312" s="15"/>
      <c r="Y312" s="15">
        <f t="shared" si="59"/>
        <v>0</v>
      </c>
      <c r="Z312" s="52"/>
      <c r="AA312" s="98">
        <f t="shared" si="60"/>
        <v>0</v>
      </c>
      <c r="AB312" s="52"/>
      <c r="AC312" s="98">
        <f t="shared" si="61"/>
        <v>0</v>
      </c>
      <c r="AD312" s="98">
        <f t="shared" si="62"/>
        <v>0</v>
      </c>
      <c r="AE312" s="238" t="e">
        <f t="shared" si="63"/>
        <v>#DIV/0!</v>
      </c>
      <c r="AF312" s="125" t="e">
        <f t="shared" si="64"/>
        <v>#DIV/0!</v>
      </c>
      <c r="AG312" s="92"/>
    </row>
    <row r="313" spans="1:33" ht="14.4">
      <c r="A313" s="270"/>
      <c r="B313" s="97">
        <f t="shared" si="52"/>
        <v>31</v>
      </c>
      <c r="C313" s="325"/>
      <c r="D313" s="260"/>
      <c r="E313" s="95"/>
      <c r="G313" s="52"/>
      <c r="H313" s="52"/>
      <c r="I313" s="256"/>
      <c r="J313" s="98">
        <f t="shared" si="53"/>
        <v>0</v>
      </c>
      <c r="K313" s="118" t="e">
        <f t="shared" si="54"/>
        <v>#DIV/0!</v>
      </c>
      <c r="L313" s="15"/>
      <c r="M313" s="15"/>
      <c r="N313" s="15">
        <f t="shared" si="55"/>
        <v>0</v>
      </c>
      <c r="O313" s="70" t="e">
        <f t="shared" si="56"/>
        <v>#DIV/0!</v>
      </c>
      <c r="P313" s="70"/>
      <c r="Q313" s="70">
        <f t="shared" si="57"/>
        <v>0</v>
      </c>
      <c r="R313" s="70"/>
      <c r="S313" s="70"/>
      <c r="T313" s="70"/>
      <c r="U313" s="15"/>
      <c r="V313" s="70" t="e">
        <f t="shared" si="58"/>
        <v>#DIV/0!</v>
      </c>
      <c r="W313" s="15"/>
      <c r="X313" s="15"/>
      <c r="Y313" s="15">
        <f t="shared" si="59"/>
        <v>0</v>
      </c>
      <c r="Z313" s="52"/>
      <c r="AA313" s="98">
        <f t="shared" si="60"/>
        <v>0</v>
      </c>
      <c r="AB313" s="52"/>
      <c r="AC313" s="98">
        <f t="shared" si="61"/>
        <v>0</v>
      </c>
      <c r="AD313" s="98">
        <f t="shared" si="62"/>
        <v>0</v>
      </c>
      <c r="AE313" s="238" t="e">
        <f t="shared" si="63"/>
        <v>#DIV/0!</v>
      </c>
      <c r="AF313" s="125" t="e">
        <f t="shared" si="64"/>
        <v>#DIV/0!</v>
      </c>
      <c r="AG313" s="92"/>
    </row>
    <row r="314" spans="1:33" ht="14.4">
      <c r="A314" s="270"/>
      <c r="B314" s="97">
        <f t="shared" si="52"/>
        <v>31</v>
      </c>
      <c r="C314" s="325"/>
      <c r="D314" s="260"/>
      <c r="E314" s="95"/>
      <c r="G314" s="52"/>
      <c r="H314" s="52"/>
      <c r="I314" s="256"/>
      <c r="J314" s="98">
        <f t="shared" si="53"/>
        <v>0</v>
      </c>
      <c r="K314" s="118" t="e">
        <f t="shared" si="54"/>
        <v>#DIV/0!</v>
      </c>
      <c r="L314" s="15"/>
      <c r="M314" s="15"/>
      <c r="N314" s="15">
        <f t="shared" si="55"/>
        <v>0</v>
      </c>
      <c r="O314" s="70" t="e">
        <f t="shared" si="56"/>
        <v>#N/A</v>
      </c>
      <c r="P314" s="70" t="e">
        <f>VLOOKUP(C314,'[1]Profit and Loss agt new'!$D$17:$E$52,2,)</f>
        <v>#N/A</v>
      </c>
      <c r="Q314" s="70" t="e">
        <f t="shared" si="57"/>
        <v>#N/A</v>
      </c>
      <c r="R314" s="70"/>
      <c r="S314" s="70"/>
      <c r="T314" s="70"/>
      <c r="U314" s="15"/>
      <c r="V314" s="70" t="e">
        <f t="shared" si="58"/>
        <v>#DIV/0!</v>
      </c>
      <c r="W314" s="15"/>
      <c r="X314" s="15"/>
      <c r="Y314" s="15">
        <f t="shared" si="59"/>
        <v>0</v>
      </c>
      <c r="Z314" s="52"/>
      <c r="AA314" s="98">
        <f t="shared" si="60"/>
        <v>0</v>
      </c>
      <c r="AB314" s="52"/>
      <c r="AC314" s="98">
        <f t="shared" si="61"/>
        <v>0</v>
      </c>
      <c r="AD314" s="98" t="e">
        <f t="shared" si="62"/>
        <v>#N/A</v>
      </c>
      <c r="AE314" s="238" t="e">
        <f t="shared" si="63"/>
        <v>#DIV/0!</v>
      </c>
      <c r="AF314" s="125" t="e">
        <f t="shared" si="64"/>
        <v>#N/A</v>
      </c>
      <c r="AG314" s="92"/>
    </row>
    <row r="315" spans="1:33" ht="14.4">
      <c r="A315" s="270"/>
      <c r="B315" s="97">
        <f t="shared" si="52"/>
        <v>31</v>
      </c>
      <c r="C315" s="325"/>
      <c r="D315" s="260"/>
      <c r="E315" s="95"/>
      <c r="G315" s="52"/>
      <c r="H315" s="52"/>
      <c r="I315" s="256"/>
      <c r="J315" s="98">
        <f t="shared" si="53"/>
        <v>0</v>
      </c>
      <c r="K315" s="118" t="e">
        <f t="shared" si="54"/>
        <v>#DIV/0!</v>
      </c>
      <c r="L315" s="15"/>
      <c r="M315" s="15"/>
      <c r="N315" s="15">
        <f t="shared" si="55"/>
        <v>0</v>
      </c>
      <c r="O315" s="70" t="e">
        <f t="shared" si="56"/>
        <v>#DIV/0!</v>
      </c>
      <c r="P315" s="70"/>
      <c r="Q315" s="70">
        <f t="shared" si="57"/>
        <v>0</v>
      </c>
      <c r="R315" s="70"/>
      <c r="S315" s="70"/>
      <c r="T315" s="70"/>
      <c r="U315" s="15"/>
      <c r="V315" s="70" t="e">
        <f t="shared" si="58"/>
        <v>#DIV/0!</v>
      </c>
      <c r="W315" s="15"/>
      <c r="X315" s="15"/>
      <c r="Y315" s="15">
        <f t="shared" si="59"/>
        <v>0</v>
      </c>
      <c r="Z315" s="52"/>
      <c r="AA315" s="98">
        <f t="shared" si="60"/>
        <v>0</v>
      </c>
      <c r="AB315" s="52"/>
      <c r="AC315" s="98">
        <f t="shared" si="61"/>
        <v>0</v>
      </c>
      <c r="AD315" s="98">
        <f t="shared" si="62"/>
        <v>0</v>
      </c>
      <c r="AE315" s="238" t="e">
        <f t="shared" si="63"/>
        <v>#DIV/0!</v>
      </c>
      <c r="AF315" s="125" t="e">
        <f t="shared" si="64"/>
        <v>#DIV/0!</v>
      </c>
      <c r="AG315" s="92"/>
    </row>
    <row r="316" spans="1:33" ht="14.4">
      <c r="A316" s="270"/>
      <c r="B316" s="97">
        <f t="shared" si="52"/>
        <v>31</v>
      </c>
      <c r="C316" s="325"/>
      <c r="D316" s="260"/>
      <c r="E316" s="95"/>
      <c r="G316" s="52"/>
      <c r="H316" s="52"/>
      <c r="I316" s="256"/>
      <c r="J316" s="98">
        <f t="shared" si="53"/>
        <v>0</v>
      </c>
      <c r="K316" s="118" t="e">
        <f t="shared" si="54"/>
        <v>#DIV/0!</v>
      </c>
      <c r="L316" s="15"/>
      <c r="M316" s="15"/>
      <c r="N316" s="15">
        <f t="shared" si="55"/>
        <v>0</v>
      </c>
      <c r="O316" s="70" t="e">
        <f t="shared" si="56"/>
        <v>#DIV/0!</v>
      </c>
      <c r="P316" s="70"/>
      <c r="Q316" s="70">
        <f t="shared" si="57"/>
        <v>0</v>
      </c>
      <c r="R316" s="70"/>
      <c r="S316" s="70"/>
      <c r="T316" s="70"/>
      <c r="U316" s="15"/>
      <c r="V316" s="70" t="e">
        <f t="shared" si="58"/>
        <v>#DIV/0!</v>
      </c>
      <c r="W316" s="15"/>
      <c r="X316" s="15"/>
      <c r="Y316" s="15">
        <f t="shared" si="59"/>
        <v>0</v>
      </c>
      <c r="Z316" s="52"/>
      <c r="AA316" s="98">
        <f t="shared" si="60"/>
        <v>0</v>
      </c>
      <c r="AB316" s="52"/>
      <c r="AC316" s="98">
        <f t="shared" si="61"/>
        <v>0</v>
      </c>
      <c r="AD316" s="98">
        <f t="shared" si="62"/>
        <v>0</v>
      </c>
      <c r="AE316" s="238" t="e">
        <f t="shared" si="63"/>
        <v>#DIV/0!</v>
      </c>
      <c r="AF316" s="125" t="e">
        <f t="shared" si="64"/>
        <v>#DIV/0!</v>
      </c>
      <c r="AG316" s="92"/>
    </row>
    <row r="317" spans="1:33" ht="14.4">
      <c r="A317" s="270"/>
      <c r="B317" s="97">
        <f t="shared" si="52"/>
        <v>31</v>
      </c>
      <c r="C317" s="325"/>
      <c r="D317" s="260"/>
      <c r="E317" s="95"/>
      <c r="G317" s="52"/>
      <c r="H317" s="52"/>
      <c r="I317" s="256"/>
      <c r="J317" s="98">
        <f t="shared" si="53"/>
        <v>0</v>
      </c>
      <c r="K317" s="118" t="e">
        <f t="shared" si="54"/>
        <v>#DIV/0!</v>
      </c>
      <c r="L317" s="15"/>
      <c r="M317" s="15"/>
      <c r="N317" s="15">
        <f t="shared" si="55"/>
        <v>0</v>
      </c>
      <c r="O317" s="70" t="e">
        <f t="shared" si="56"/>
        <v>#DIV/0!</v>
      </c>
      <c r="P317" s="70"/>
      <c r="Q317" s="70">
        <f t="shared" si="57"/>
        <v>0</v>
      </c>
      <c r="R317" s="70"/>
      <c r="S317" s="70"/>
      <c r="T317" s="70"/>
      <c r="U317" s="15"/>
      <c r="V317" s="70" t="e">
        <f t="shared" si="58"/>
        <v>#DIV/0!</v>
      </c>
      <c r="W317" s="15"/>
      <c r="X317" s="15"/>
      <c r="Y317" s="15">
        <f t="shared" si="59"/>
        <v>0</v>
      </c>
      <c r="Z317" s="52"/>
      <c r="AA317" s="98">
        <f t="shared" si="60"/>
        <v>0</v>
      </c>
      <c r="AB317" s="52"/>
      <c r="AC317" s="98">
        <f t="shared" si="61"/>
        <v>0</v>
      </c>
      <c r="AD317" s="98">
        <f t="shared" si="62"/>
        <v>0</v>
      </c>
      <c r="AE317" s="238" t="e">
        <f t="shared" si="63"/>
        <v>#DIV/0!</v>
      </c>
      <c r="AF317" s="125" t="e">
        <f t="shared" si="64"/>
        <v>#DIV/0!</v>
      </c>
      <c r="AG317" s="92"/>
    </row>
    <row r="318" spans="1:33" ht="14.4">
      <c r="A318" s="270"/>
      <c r="B318" s="97">
        <f t="shared" si="52"/>
        <v>31</v>
      </c>
      <c r="C318" s="325"/>
      <c r="D318" s="260"/>
      <c r="E318" s="95"/>
      <c r="G318" s="52"/>
      <c r="H318" s="52"/>
      <c r="I318" s="256"/>
      <c r="J318" s="98">
        <f t="shared" si="53"/>
        <v>0</v>
      </c>
      <c r="K318" s="118" t="e">
        <f t="shared" si="54"/>
        <v>#DIV/0!</v>
      </c>
      <c r="L318" s="15"/>
      <c r="M318" s="15"/>
      <c r="N318" s="15">
        <f t="shared" si="55"/>
        <v>0</v>
      </c>
      <c r="O318" s="70" t="e">
        <f t="shared" si="56"/>
        <v>#DIV/0!</v>
      </c>
      <c r="P318" s="70"/>
      <c r="Q318" s="70">
        <f t="shared" si="57"/>
        <v>0</v>
      </c>
      <c r="R318" s="70"/>
      <c r="S318" s="70"/>
      <c r="T318" s="70"/>
      <c r="U318" s="15"/>
      <c r="V318" s="70" t="e">
        <f t="shared" si="58"/>
        <v>#DIV/0!</v>
      </c>
      <c r="W318" s="15"/>
      <c r="X318" s="15"/>
      <c r="Y318" s="15">
        <f t="shared" si="59"/>
        <v>0</v>
      </c>
      <c r="Z318" s="52"/>
      <c r="AA318" s="98">
        <f t="shared" si="60"/>
        <v>0</v>
      </c>
      <c r="AB318" s="52"/>
      <c r="AC318" s="98">
        <f t="shared" si="61"/>
        <v>0</v>
      </c>
      <c r="AD318" s="98">
        <f t="shared" si="62"/>
        <v>0</v>
      </c>
      <c r="AE318" s="238" t="e">
        <f t="shared" si="63"/>
        <v>#DIV/0!</v>
      </c>
      <c r="AF318" s="125" t="e">
        <f t="shared" si="64"/>
        <v>#DIV/0!</v>
      </c>
      <c r="AG318" s="92"/>
    </row>
    <row r="319" spans="1:33" ht="14.4">
      <c r="A319" s="270"/>
      <c r="B319" s="97">
        <f t="shared" si="52"/>
        <v>31</v>
      </c>
      <c r="C319" s="325"/>
      <c r="D319" s="260"/>
      <c r="E319" s="95"/>
      <c r="G319" s="52"/>
      <c r="H319" s="52"/>
      <c r="I319" s="256"/>
      <c r="J319" s="98">
        <f t="shared" si="53"/>
        <v>0</v>
      </c>
      <c r="K319" s="118" t="e">
        <f t="shared" si="54"/>
        <v>#DIV/0!</v>
      </c>
      <c r="L319" s="15"/>
      <c r="M319" s="15"/>
      <c r="N319" s="15">
        <f t="shared" si="55"/>
        <v>0</v>
      </c>
      <c r="O319" s="70" t="e">
        <f t="shared" si="56"/>
        <v>#DIV/0!</v>
      </c>
      <c r="P319" s="70"/>
      <c r="Q319" s="70">
        <f t="shared" si="57"/>
        <v>0</v>
      </c>
      <c r="R319" s="70"/>
      <c r="S319" s="70"/>
      <c r="T319" s="70"/>
      <c r="U319" s="15"/>
      <c r="V319" s="70" t="e">
        <f t="shared" si="58"/>
        <v>#DIV/0!</v>
      </c>
      <c r="W319" s="15"/>
      <c r="X319" s="15"/>
      <c r="Y319" s="15">
        <f t="shared" si="59"/>
        <v>0</v>
      </c>
      <c r="Z319" s="52"/>
      <c r="AA319" s="98">
        <f t="shared" si="60"/>
        <v>0</v>
      </c>
      <c r="AB319" s="52"/>
      <c r="AC319" s="98">
        <f t="shared" si="61"/>
        <v>0</v>
      </c>
      <c r="AD319" s="98">
        <f t="shared" si="62"/>
        <v>0</v>
      </c>
      <c r="AE319" s="238" t="e">
        <f t="shared" si="63"/>
        <v>#DIV/0!</v>
      </c>
      <c r="AF319" s="125" t="e">
        <f t="shared" si="64"/>
        <v>#DIV/0!</v>
      </c>
      <c r="AG319" s="92"/>
    </row>
    <row r="320" spans="1:33" ht="14.4">
      <c r="A320" s="270"/>
      <c r="B320" s="97">
        <f t="shared" si="52"/>
        <v>31</v>
      </c>
      <c r="C320" s="325"/>
      <c r="D320" s="260"/>
      <c r="E320" s="95"/>
      <c r="G320" s="52"/>
      <c r="H320" s="52"/>
      <c r="I320" s="256"/>
      <c r="J320" s="98">
        <f t="shared" si="53"/>
        <v>0</v>
      </c>
      <c r="K320" s="118" t="e">
        <f t="shared" si="54"/>
        <v>#DIV/0!</v>
      </c>
      <c r="L320" s="15"/>
      <c r="M320" s="15"/>
      <c r="N320" s="15">
        <f t="shared" si="55"/>
        <v>0</v>
      </c>
      <c r="O320" s="70" t="e">
        <f t="shared" si="56"/>
        <v>#DIV/0!</v>
      </c>
      <c r="P320" s="70"/>
      <c r="Q320" s="70">
        <f t="shared" si="57"/>
        <v>0</v>
      </c>
      <c r="R320" s="70"/>
      <c r="S320" s="70"/>
      <c r="T320" s="70"/>
      <c r="U320" s="15"/>
      <c r="V320" s="70" t="e">
        <f t="shared" si="58"/>
        <v>#DIV/0!</v>
      </c>
      <c r="W320" s="15"/>
      <c r="X320" s="15"/>
      <c r="Y320" s="15">
        <f t="shared" si="59"/>
        <v>0</v>
      </c>
      <c r="Z320" s="52"/>
      <c r="AA320" s="98">
        <f t="shared" si="60"/>
        <v>0</v>
      </c>
      <c r="AB320" s="52"/>
      <c r="AC320" s="98">
        <f t="shared" si="61"/>
        <v>0</v>
      </c>
      <c r="AD320" s="98">
        <f t="shared" si="62"/>
        <v>0</v>
      </c>
      <c r="AE320" s="238" t="e">
        <f t="shared" si="63"/>
        <v>#DIV/0!</v>
      </c>
      <c r="AF320" s="125" t="e">
        <f t="shared" si="64"/>
        <v>#DIV/0!</v>
      </c>
      <c r="AG320" s="92"/>
    </row>
    <row r="321" spans="1:33" ht="14.4">
      <c r="A321" s="270"/>
      <c r="B321" s="97">
        <f t="shared" si="52"/>
        <v>31</v>
      </c>
      <c r="C321" s="325"/>
      <c r="D321" s="260"/>
      <c r="E321" s="95"/>
      <c r="G321" s="52"/>
      <c r="H321" s="52"/>
      <c r="I321" s="256"/>
      <c r="J321" s="98">
        <f t="shared" si="53"/>
        <v>0</v>
      </c>
      <c r="K321" s="118" t="e">
        <f t="shared" si="54"/>
        <v>#DIV/0!</v>
      </c>
      <c r="L321" s="15"/>
      <c r="M321" s="15"/>
      <c r="N321" s="15">
        <f t="shared" si="55"/>
        <v>0</v>
      </c>
      <c r="O321" s="70" t="e">
        <f t="shared" si="56"/>
        <v>#DIV/0!</v>
      </c>
      <c r="P321" s="70"/>
      <c r="Q321" s="70">
        <f t="shared" si="57"/>
        <v>0</v>
      </c>
      <c r="R321" s="70"/>
      <c r="S321" s="70"/>
      <c r="T321" s="70"/>
      <c r="U321" s="15"/>
      <c r="V321" s="70" t="e">
        <f t="shared" si="58"/>
        <v>#DIV/0!</v>
      </c>
      <c r="W321" s="15"/>
      <c r="X321" s="15"/>
      <c r="Y321" s="15">
        <f t="shared" si="59"/>
        <v>0</v>
      </c>
      <c r="Z321" s="52"/>
      <c r="AA321" s="98">
        <f t="shared" si="60"/>
        <v>0</v>
      </c>
      <c r="AB321" s="52"/>
      <c r="AC321" s="98">
        <f t="shared" si="61"/>
        <v>0</v>
      </c>
      <c r="AD321" s="98">
        <f t="shared" si="62"/>
        <v>0</v>
      </c>
      <c r="AE321" s="238" t="e">
        <f t="shared" si="63"/>
        <v>#DIV/0!</v>
      </c>
      <c r="AF321" s="125" t="e">
        <f t="shared" si="64"/>
        <v>#DIV/0!</v>
      </c>
      <c r="AG321" s="92"/>
    </row>
    <row r="322" spans="1:33" ht="14.4">
      <c r="A322" s="270"/>
      <c r="B322" s="97">
        <f t="shared" si="52"/>
        <v>31</v>
      </c>
      <c r="C322" s="325"/>
      <c r="D322" s="260"/>
      <c r="E322" s="95"/>
      <c r="G322" s="52"/>
      <c r="H322" s="52"/>
      <c r="I322" s="256"/>
      <c r="J322" s="98">
        <f t="shared" si="53"/>
        <v>0</v>
      </c>
      <c r="K322" s="118" t="e">
        <f t="shared" si="54"/>
        <v>#DIV/0!</v>
      </c>
      <c r="L322" s="15"/>
      <c r="M322" s="15"/>
      <c r="N322" s="15">
        <f t="shared" si="55"/>
        <v>0</v>
      </c>
      <c r="O322" s="70" t="e">
        <f t="shared" si="56"/>
        <v>#DIV/0!</v>
      </c>
      <c r="P322" s="70"/>
      <c r="Q322" s="70">
        <f t="shared" si="57"/>
        <v>0</v>
      </c>
      <c r="R322" s="70"/>
      <c r="S322" s="70"/>
      <c r="T322" s="70"/>
      <c r="U322" s="15"/>
      <c r="V322" s="70" t="e">
        <f t="shared" si="58"/>
        <v>#DIV/0!</v>
      </c>
      <c r="W322" s="15"/>
      <c r="X322" s="15"/>
      <c r="Y322" s="15">
        <f t="shared" si="59"/>
        <v>0</v>
      </c>
      <c r="Z322" s="52"/>
      <c r="AA322" s="98">
        <f t="shared" si="60"/>
        <v>0</v>
      </c>
      <c r="AB322" s="52"/>
      <c r="AC322" s="98">
        <f t="shared" si="61"/>
        <v>0</v>
      </c>
      <c r="AD322" s="98">
        <f t="shared" si="62"/>
        <v>0</v>
      </c>
      <c r="AE322" s="238" t="e">
        <f t="shared" si="63"/>
        <v>#DIV/0!</v>
      </c>
      <c r="AF322" s="125" t="e">
        <f t="shared" si="64"/>
        <v>#DIV/0!</v>
      </c>
      <c r="AG322" s="92"/>
    </row>
    <row r="323" spans="1:33" ht="14.4">
      <c r="A323" s="270"/>
      <c r="B323" s="97">
        <f t="shared" si="52"/>
        <v>31</v>
      </c>
      <c r="C323" s="325"/>
      <c r="D323" s="260"/>
      <c r="E323" s="95"/>
      <c r="G323" s="52"/>
      <c r="H323" s="52"/>
      <c r="I323" s="256"/>
      <c r="J323" s="98">
        <f t="shared" si="53"/>
        <v>0</v>
      </c>
      <c r="K323" s="118" t="e">
        <f t="shared" si="54"/>
        <v>#DIV/0!</v>
      </c>
      <c r="L323" s="15"/>
      <c r="M323" s="15"/>
      <c r="N323" s="15">
        <f t="shared" si="55"/>
        <v>0</v>
      </c>
      <c r="O323" s="70" t="e">
        <f t="shared" si="56"/>
        <v>#N/A</v>
      </c>
      <c r="P323" s="70" t="e">
        <f>VLOOKUP(C323,'[1]Profit and Loss agt new'!$D$17:$E$52,2,)</f>
        <v>#N/A</v>
      </c>
      <c r="Q323" s="70" t="e">
        <f t="shared" si="57"/>
        <v>#N/A</v>
      </c>
      <c r="R323" s="70"/>
      <c r="S323" s="70"/>
      <c r="T323" s="70"/>
      <c r="U323" s="15"/>
      <c r="V323" s="70" t="e">
        <f t="shared" si="58"/>
        <v>#DIV/0!</v>
      </c>
      <c r="W323" s="15"/>
      <c r="X323" s="15"/>
      <c r="Y323" s="15">
        <f t="shared" si="59"/>
        <v>0</v>
      </c>
      <c r="Z323" s="52"/>
      <c r="AA323" s="98">
        <f t="shared" si="60"/>
        <v>0</v>
      </c>
      <c r="AB323" s="52"/>
      <c r="AC323" s="98">
        <f t="shared" si="61"/>
        <v>0</v>
      </c>
      <c r="AD323" s="98" t="e">
        <f t="shared" si="62"/>
        <v>#N/A</v>
      </c>
      <c r="AE323" s="238" t="e">
        <f t="shared" si="63"/>
        <v>#DIV/0!</v>
      </c>
      <c r="AF323" s="125" t="e">
        <f t="shared" si="64"/>
        <v>#N/A</v>
      </c>
      <c r="AG323" s="92"/>
    </row>
    <row r="324" spans="1:33" ht="14.4">
      <c r="A324" s="270"/>
      <c r="B324" s="97">
        <f t="shared" si="52"/>
        <v>31</v>
      </c>
      <c r="C324" s="325"/>
      <c r="D324" s="260"/>
      <c r="E324" s="95"/>
      <c r="G324" s="52"/>
      <c r="H324" s="52"/>
      <c r="I324" s="256"/>
      <c r="J324" s="98">
        <f t="shared" si="53"/>
        <v>0</v>
      </c>
      <c r="K324" s="118" t="e">
        <f t="shared" si="54"/>
        <v>#DIV/0!</v>
      </c>
      <c r="L324" s="15"/>
      <c r="M324" s="15"/>
      <c r="N324" s="15">
        <f t="shared" si="55"/>
        <v>0</v>
      </c>
      <c r="O324" s="70" t="e">
        <f t="shared" si="56"/>
        <v>#DIV/0!</v>
      </c>
      <c r="P324" s="70"/>
      <c r="Q324" s="70">
        <f t="shared" si="57"/>
        <v>0</v>
      </c>
      <c r="R324" s="70"/>
      <c r="S324" s="70"/>
      <c r="T324" s="70"/>
      <c r="U324" s="15"/>
      <c r="V324" s="70" t="e">
        <f t="shared" si="58"/>
        <v>#DIV/0!</v>
      </c>
      <c r="W324" s="15"/>
      <c r="X324" s="15"/>
      <c r="Y324" s="15">
        <f t="shared" si="59"/>
        <v>0</v>
      </c>
      <c r="Z324" s="52"/>
      <c r="AA324" s="98">
        <f t="shared" si="60"/>
        <v>0</v>
      </c>
      <c r="AB324" s="52"/>
      <c r="AC324" s="98">
        <f t="shared" si="61"/>
        <v>0</v>
      </c>
      <c r="AD324" s="98">
        <f t="shared" si="62"/>
        <v>0</v>
      </c>
      <c r="AE324" s="238" t="e">
        <f t="shared" si="63"/>
        <v>#DIV/0!</v>
      </c>
      <c r="AF324" s="125" t="e">
        <f t="shared" si="64"/>
        <v>#DIV/0!</v>
      </c>
      <c r="AG324" s="92"/>
    </row>
    <row r="325" spans="1:33" ht="14.4">
      <c r="A325" s="270"/>
      <c r="B325" s="97">
        <f t="shared" si="52"/>
        <v>31</v>
      </c>
      <c r="C325" s="325"/>
      <c r="D325" s="260"/>
      <c r="E325" s="95"/>
      <c r="G325" s="52"/>
      <c r="H325" s="52"/>
      <c r="I325" s="256"/>
      <c r="J325" s="98">
        <f t="shared" si="53"/>
        <v>0</v>
      </c>
      <c r="K325" s="118" t="e">
        <f t="shared" si="54"/>
        <v>#DIV/0!</v>
      </c>
      <c r="L325" s="15"/>
      <c r="M325" s="15"/>
      <c r="N325" s="15">
        <f t="shared" si="55"/>
        <v>0</v>
      </c>
      <c r="O325" s="70" t="e">
        <f t="shared" si="56"/>
        <v>#DIV/0!</v>
      </c>
      <c r="P325" s="70"/>
      <c r="Q325" s="70">
        <f t="shared" si="57"/>
        <v>0</v>
      </c>
      <c r="R325" s="70"/>
      <c r="S325" s="70"/>
      <c r="T325" s="70"/>
      <c r="U325" s="15"/>
      <c r="V325" s="70" t="e">
        <f t="shared" si="58"/>
        <v>#DIV/0!</v>
      </c>
      <c r="W325" s="15"/>
      <c r="X325" s="15"/>
      <c r="Y325" s="15">
        <f t="shared" si="59"/>
        <v>0</v>
      </c>
      <c r="Z325" s="52"/>
      <c r="AA325" s="98">
        <f t="shared" si="60"/>
        <v>0</v>
      </c>
      <c r="AB325" s="52"/>
      <c r="AC325" s="98">
        <f t="shared" si="61"/>
        <v>0</v>
      </c>
      <c r="AD325" s="98">
        <f t="shared" si="62"/>
        <v>0</v>
      </c>
      <c r="AE325" s="238" t="e">
        <f t="shared" si="63"/>
        <v>#DIV/0!</v>
      </c>
      <c r="AF325" s="125" t="e">
        <f t="shared" si="64"/>
        <v>#DIV/0!</v>
      </c>
      <c r="AG325" s="92"/>
    </row>
    <row r="326" spans="1:33" ht="14.4">
      <c r="A326" s="270"/>
      <c r="B326" s="97">
        <f t="shared" ref="B326:B389" si="65">EOMONTH(A326,0)</f>
        <v>31</v>
      </c>
      <c r="C326" s="325"/>
      <c r="D326" s="260"/>
      <c r="E326" s="95"/>
      <c r="G326" s="52"/>
      <c r="H326" s="52"/>
      <c r="I326" s="256"/>
      <c r="J326" s="98">
        <f t="shared" ref="J326:J389" si="66">U326</f>
        <v>0</v>
      </c>
      <c r="K326" s="118" t="e">
        <f t="shared" ref="K326:K389" si="67">L326/J326</f>
        <v>#DIV/0!</v>
      </c>
      <c r="L326" s="15"/>
      <c r="M326" s="15"/>
      <c r="N326" s="15">
        <f t="shared" ref="N326:N389" si="68">L326-M326</f>
        <v>0</v>
      </c>
      <c r="O326" s="70" t="e">
        <f t="shared" ref="O326:O389" si="69">P326/J326</f>
        <v>#DIV/0!</v>
      </c>
      <c r="P326" s="70"/>
      <c r="Q326" s="70">
        <f t="shared" ref="Q326:Q389" si="70">N326+P326</f>
        <v>0</v>
      </c>
      <c r="R326" s="70"/>
      <c r="S326" s="70"/>
      <c r="T326" s="70"/>
      <c r="U326" s="15"/>
      <c r="V326" s="70" t="e">
        <f t="shared" ref="V326:V389" si="71">W326/U326</f>
        <v>#DIV/0!</v>
      </c>
      <c r="W326" s="15"/>
      <c r="X326" s="15"/>
      <c r="Y326" s="15">
        <f t="shared" ref="Y326:Y389" si="72">W326-X326</f>
        <v>0</v>
      </c>
      <c r="Z326" s="52"/>
      <c r="AA326" s="98">
        <f t="shared" ref="AA326:AA389" si="73">Y326-Z326</f>
        <v>0</v>
      </c>
      <c r="AB326" s="52"/>
      <c r="AC326" s="98">
        <f t="shared" ref="AC326:AC389" si="74">Y326-N326</f>
        <v>0</v>
      </c>
      <c r="AD326" s="98">
        <f t="shared" ref="AD326:AD389" si="75">AA326-Q326</f>
        <v>0</v>
      </c>
      <c r="AE326" s="238" t="e">
        <f t="shared" ref="AE326:AE389" si="76">AC326/Y326</f>
        <v>#DIV/0!</v>
      </c>
      <c r="AF326" s="125" t="e">
        <f t="shared" ref="AF326:AF389" si="77">AD326/AA326</f>
        <v>#DIV/0!</v>
      </c>
      <c r="AG326" s="92"/>
    </row>
    <row r="327" spans="1:33" ht="14.4">
      <c r="A327" s="270"/>
      <c r="B327" s="97">
        <f t="shared" si="65"/>
        <v>31</v>
      </c>
      <c r="C327" s="325"/>
      <c r="D327" s="260"/>
      <c r="E327" s="95"/>
      <c r="G327" s="52"/>
      <c r="H327" s="52"/>
      <c r="I327" s="256"/>
      <c r="J327" s="98">
        <f t="shared" si="66"/>
        <v>0</v>
      </c>
      <c r="K327" s="118" t="e">
        <f t="shared" si="67"/>
        <v>#DIV/0!</v>
      </c>
      <c r="L327" s="15"/>
      <c r="M327" s="15"/>
      <c r="N327" s="15">
        <f t="shared" si="68"/>
        <v>0</v>
      </c>
      <c r="O327" s="70" t="e">
        <f t="shared" si="69"/>
        <v>#DIV/0!</v>
      </c>
      <c r="P327" s="70"/>
      <c r="Q327" s="70">
        <f t="shared" si="70"/>
        <v>0</v>
      </c>
      <c r="R327" s="70"/>
      <c r="S327" s="70"/>
      <c r="T327" s="70"/>
      <c r="U327" s="15"/>
      <c r="V327" s="70" t="e">
        <f t="shared" si="71"/>
        <v>#DIV/0!</v>
      </c>
      <c r="W327" s="15"/>
      <c r="X327" s="15"/>
      <c r="Y327" s="15">
        <f t="shared" si="72"/>
        <v>0</v>
      </c>
      <c r="Z327" s="52"/>
      <c r="AA327" s="98">
        <f t="shared" si="73"/>
        <v>0</v>
      </c>
      <c r="AB327" s="52"/>
      <c r="AC327" s="98">
        <f t="shared" si="74"/>
        <v>0</v>
      </c>
      <c r="AD327" s="98">
        <f t="shared" si="75"/>
        <v>0</v>
      </c>
      <c r="AE327" s="238" t="e">
        <f t="shared" si="76"/>
        <v>#DIV/0!</v>
      </c>
      <c r="AF327" s="125" t="e">
        <f t="shared" si="77"/>
        <v>#DIV/0!</v>
      </c>
      <c r="AG327" s="92"/>
    </row>
    <row r="328" spans="1:33" ht="14.4">
      <c r="A328" s="270"/>
      <c r="B328" s="97">
        <f t="shared" si="65"/>
        <v>31</v>
      </c>
      <c r="C328" s="325"/>
      <c r="D328" s="260"/>
      <c r="E328" s="95"/>
      <c r="G328" s="52"/>
      <c r="H328" s="52"/>
      <c r="I328" s="256"/>
      <c r="J328" s="98">
        <f t="shared" si="66"/>
        <v>0</v>
      </c>
      <c r="K328" s="118" t="e">
        <f t="shared" si="67"/>
        <v>#DIV/0!</v>
      </c>
      <c r="L328" s="15"/>
      <c r="M328" s="15"/>
      <c r="N328" s="15">
        <f t="shared" si="68"/>
        <v>0</v>
      </c>
      <c r="O328" s="70" t="e">
        <f t="shared" si="69"/>
        <v>#DIV/0!</v>
      </c>
      <c r="P328" s="70"/>
      <c r="Q328" s="70">
        <f t="shared" si="70"/>
        <v>0</v>
      </c>
      <c r="R328" s="70"/>
      <c r="S328" s="70"/>
      <c r="T328" s="70"/>
      <c r="U328" s="15"/>
      <c r="V328" s="70" t="e">
        <f t="shared" si="71"/>
        <v>#DIV/0!</v>
      </c>
      <c r="W328" s="15"/>
      <c r="X328" s="15"/>
      <c r="Y328" s="15">
        <f t="shared" si="72"/>
        <v>0</v>
      </c>
      <c r="Z328" s="52"/>
      <c r="AA328" s="98">
        <f t="shared" si="73"/>
        <v>0</v>
      </c>
      <c r="AB328" s="52"/>
      <c r="AC328" s="98">
        <f t="shared" si="74"/>
        <v>0</v>
      </c>
      <c r="AD328" s="98">
        <f t="shared" si="75"/>
        <v>0</v>
      </c>
      <c r="AE328" s="238" t="e">
        <f t="shared" si="76"/>
        <v>#DIV/0!</v>
      </c>
      <c r="AF328" s="125" t="e">
        <f t="shared" si="77"/>
        <v>#DIV/0!</v>
      </c>
      <c r="AG328" s="92"/>
    </row>
    <row r="329" spans="1:33" ht="14.4">
      <c r="A329" s="270"/>
      <c r="B329" s="97">
        <f t="shared" si="65"/>
        <v>31</v>
      </c>
      <c r="C329" s="325"/>
      <c r="D329" s="260"/>
      <c r="E329" s="95"/>
      <c r="G329" s="52"/>
      <c r="H329" s="52"/>
      <c r="I329" s="256"/>
      <c r="J329" s="98">
        <f t="shared" si="66"/>
        <v>0</v>
      </c>
      <c r="K329" s="118" t="e">
        <f t="shared" si="67"/>
        <v>#DIV/0!</v>
      </c>
      <c r="L329" s="15"/>
      <c r="M329" s="15"/>
      <c r="N329" s="15">
        <f t="shared" si="68"/>
        <v>0</v>
      </c>
      <c r="O329" s="70" t="e">
        <f t="shared" si="69"/>
        <v>#DIV/0!</v>
      </c>
      <c r="P329" s="70"/>
      <c r="Q329" s="70">
        <f t="shared" si="70"/>
        <v>0</v>
      </c>
      <c r="R329" s="70"/>
      <c r="S329" s="70"/>
      <c r="T329" s="70"/>
      <c r="U329" s="15"/>
      <c r="V329" s="70" t="e">
        <f t="shared" si="71"/>
        <v>#DIV/0!</v>
      </c>
      <c r="W329" s="15"/>
      <c r="X329" s="15"/>
      <c r="Y329" s="15">
        <f t="shared" si="72"/>
        <v>0</v>
      </c>
      <c r="Z329" s="52"/>
      <c r="AA329" s="98">
        <f t="shared" si="73"/>
        <v>0</v>
      </c>
      <c r="AB329" s="52"/>
      <c r="AC329" s="98">
        <f t="shared" si="74"/>
        <v>0</v>
      </c>
      <c r="AD329" s="98">
        <f t="shared" si="75"/>
        <v>0</v>
      </c>
      <c r="AE329" s="238" t="e">
        <f t="shared" si="76"/>
        <v>#DIV/0!</v>
      </c>
      <c r="AF329" s="125" t="e">
        <f t="shared" si="77"/>
        <v>#DIV/0!</v>
      </c>
      <c r="AG329" s="92"/>
    </row>
    <row r="330" spans="1:33" ht="14.4">
      <c r="A330" s="270"/>
      <c r="B330" s="97">
        <f t="shared" si="65"/>
        <v>31</v>
      </c>
      <c r="C330" s="325"/>
      <c r="D330" s="260"/>
      <c r="E330" s="95"/>
      <c r="G330" s="52"/>
      <c r="H330" s="52"/>
      <c r="I330" s="256"/>
      <c r="J330" s="98">
        <f t="shared" si="66"/>
        <v>0</v>
      </c>
      <c r="K330" s="118" t="e">
        <f t="shared" si="67"/>
        <v>#DIV/0!</v>
      </c>
      <c r="L330" s="15"/>
      <c r="M330" s="15"/>
      <c r="N330" s="15">
        <f t="shared" si="68"/>
        <v>0</v>
      </c>
      <c r="O330" s="70" t="e">
        <f t="shared" si="69"/>
        <v>#N/A</v>
      </c>
      <c r="P330" s="70" t="e">
        <f>VLOOKUP(C330,'[1]Profit and Loss agt new'!$D$17:$E$52,2,)</f>
        <v>#N/A</v>
      </c>
      <c r="Q330" s="70" t="e">
        <f t="shared" si="70"/>
        <v>#N/A</v>
      </c>
      <c r="R330" s="70"/>
      <c r="S330" s="70"/>
      <c r="T330" s="70"/>
      <c r="U330" s="15"/>
      <c r="V330" s="70" t="e">
        <f t="shared" si="71"/>
        <v>#DIV/0!</v>
      </c>
      <c r="W330" s="15"/>
      <c r="X330" s="15"/>
      <c r="Y330" s="15">
        <f t="shared" si="72"/>
        <v>0</v>
      </c>
      <c r="Z330" s="52"/>
      <c r="AA330" s="98">
        <f t="shared" si="73"/>
        <v>0</v>
      </c>
      <c r="AB330" s="52"/>
      <c r="AC330" s="98">
        <f t="shared" si="74"/>
        <v>0</v>
      </c>
      <c r="AD330" s="98" t="e">
        <f t="shared" si="75"/>
        <v>#N/A</v>
      </c>
      <c r="AE330" s="238" t="e">
        <f t="shared" si="76"/>
        <v>#DIV/0!</v>
      </c>
      <c r="AF330" s="125" t="e">
        <f t="shared" si="77"/>
        <v>#N/A</v>
      </c>
      <c r="AG330" s="92"/>
    </row>
    <row r="331" spans="1:33" ht="14.4">
      <c r="A331" s="270"/>
      <c r="B331" s="97">
        <f t="shared" si="65"/>
        <v>31</v>
      </c>
      <c r="C331" s="325"/>
      <c r="D331" s="260"/>
      <c r="E331" s="95"/>
      <c r="G331" s="52"/>
      <c r="H331" s="52"/>
      <c r="I331" s="256"/>
      <c r="J331" s="98">
        <f t="shared" si="66"/>
        <v>0</v>
      </c>
      <c r="K331" s="118" t="e">
        <f t="shared" si="67"/>
        <v>#DIV/0!</v>
      </c>
      <c r="L331" s="15"/>
      <c r="M331" s="15"/>
      <c r="N331" s="15">
        <f t="shared" si="68"/>
        <v>0</v>
      </c>
      <c r="O331" s="70" t="e">
        <f t="shared" si="69"/>
        <v>#DIV/0!</v>
      </c>
      <c r="P331" s="70"/>
      <c r="Q331" s="70">
        <f t="shared" si="70"/>
        <v>0</v>
      </c>
      <c r="R331" s="70"/>
      <c r="S331" s="70"/>
      <c r="T331" s="70"/>
      <c r="U331" s="15"/>
      <c r="V331" s="70" t="e">
        <f t="shared" si="71"/>
        <v>#DIV/0!</v>
      </c>
      <c r="W331" s="15"/>
      <c r="X331" s="15"/>
      <c r="Y331" s="15">
        <f t="shared" si="72"/>
        <v>0</v>
      </c>
      <c r="Z331" s="52"/>
      <c r="AA331" s="98">
        <f t="shared" si="73"/>
        <v>0</v>
      </c>
      <c r="AB331" s="52"/>
      <c r="AC331" s="98">
        <f t="shared" si="74"/>
        <v>0</v>
      </c>
      <c r="AD331" s="98">
        <f t="shared" si="75"/>
        <v>0</v>
      </c>
      <c r="AE331" s="238" t="e">
        <f t="shared" si="76"/>
        <v>#DIV/0!</v>
      </c>
      <c r="AF331" s="125" t="e">
        <f t="shared" si="77"/>
        <v>#DIV/0!</v>
      </c>
      <c r="AG331" s="92"/>
    </row>
    <row r="332" spans="1:33" ht="14.4">
      <c r="A332" s="270"/>
      <c r="B332" s="97">
        <f t="shared" si="65"/>
        <v>31</v>
      </c>
      <c r="C332" s="325"/>
      <c r="D332" s="260"/>
      <c r="E332" s="95"/>
      <c r="G332" s="52"/>
      <c r="H332" s="52"/>
      <c r="I332" s="256"/>
      <c r="J332" s="98">
        <f t="shared" si="66"/>
        <v>0</v>
      </c>
      <c r="K332" s="118" t="e">
        <f t="shared" si="67"/>
        <v>#DIV/0!</v>
      </c>
      <c r="L332" s="15"/>
      <c r="M332" s="15"/>
      <c r="N332" s="15">
        <f t="shared" si="68"/>
        <v>0</v>
      </c>
      <c r="O332" s="70" t="e">
        <f t="shared" si="69"/>
        <v>#N/A</v>
      </c>
      <c r="P332" s="70" t="e">
        <f>VLOOKUP(C332,'[1]Profit and Loss agt new'!$D$17:$E$52,2,)</f>
        <v>#N/A</v>
      </c>
      <c r="Q332" s="70" t="e">
        <f t="shared" si="70"/>
        <v>#N/A</v>
      </c>
      <c r="R332" s="70"/>
      <c r="S332" s="70"/>
      <c r="T332" s="70"/>
      <c r="U332" s="15"/>
      <c r="V332" s="70" t="e">
        <f t="shared" si="71"/>
        <v>#DIV/0!</v>
      </c>
      <c r="W332" s="15"/>
      <c r="X332" s="15"/>
      <c r="Y332" s="15">
        <f t="shared" si="72"/>
        <v>0</v>
      </c>
      <c r="Z332" s="52"/>
      <c r="AA332" s="98">
        <f t="shared" si="73"/>
        <v>0</v>
      </c>
      <c r="AB332" s="52"/>
      <c r="AC332" s="98">
        <f t="shared" si="74"/>
        <v>0</v>
      </c>
      <c r="AD332" s="98" t="e">
        <f t="shared" si="75"/>
        <v>#N/A</v>
      </c>
      <c r="AE332" s="238" t="e">
        <f t="shared" si="76"/>
        <v>#DIV/0!</v>
      </c>
      <c r="AF332" s="125" t="e">
        <f t="shared" si="77"/>
        <v>#N/A</v>
      </c>
      <c r="AG332" s="92"/>
    </row>
    <row r="333" spans="1:33" ht="14.4">
      <c r="A333" s="270"/>
      <c r="B333" s="97">
        <f t="shared" si="65"/>
        <v>31</v>
      </c>
      <c r="C333" s="325"/>
      <c r="D333" s="260"/>
      <c r="E333" s="95"/>
      <c r="G333" s="52"/>
      <c r="H333" s="52"/>
      <c r="I333" s="256"/>
      <c r="J333" s="98">
        <f t="shared" si="66"/>
        <v>0</v>
      </c>
      <c r="K333" s="118" t="e">
        <f t="shared" si="67"/>
        <v>#DIV/0!</v>
      </c>
      <c r="L333" s="15"/>
      <c r="M333" s="15"/>
      <c r="N333" s="15">
        <f t="shared" si="68"/>
        <v>0</v>
      </c>
      <c r="O333" s="70" t="e">
        <f t="shared" si="69"/>
        <v>#DIV/0!</v>
      </c>
      <c r="P333" s="70"/>
      <c r="Q333" s="70">
        <f t="shared" si="70"/>
        <v>0</v>
      </c>
      <c r="R333" s="70"/>
      <c r="S333" s="70"/>
      <c r="T333" s="70"/>
      <c r="U333" s="15"/>
      <c r="V333" s="70" t="e">
        <f t="shared" si="71"/>
        <v>#DIV/0!</v>
      </c>
      <c r="W333" s="15"/>
      <c r="X333" s="15"/>
      <c r="Y333" s="15">
        <f t="shared" si="72"/>
        <v>0</v>
      </c>
      <c r="Z333" s="52"/>
      <c r="AA333" s="98">
        <f t="shared" si="73"/>
        <v>0</v>
      </c>
      <c r="AB333" s="52"/>
      <c r="AC333" s="98">
        <f t="shared" si="74"/>
        <v>0</v>
      </c>
      <c r="AD333" s="98">
        <f t="shared" si="75"/>
        <v>0</v>
      </c>
      <c r="AE333" s="238" t="e">
        <f t="shared" si="76"/>
        <v>#DIV/0!</v>
      </c>
      <c r="AF333" s="125" t="e">
        <f t="shared" si="77"/>
        <v>#DIV/0!</v>
      </c>
      <c r="AG333" s="92"/>
    </row>
    <row r="334" spans="1:33" ht="14.4">
      <c r="A334" s="270"/>
      <c r="B334" s="97">
        <f t="shared" si="65"/>
        <v>31</v>
      </c>
      <c r="C334" s="325"/>
      <c r="D334" s="260"/>
      <c r="E334" s="95"/>
      <c r="G334" s="52"/>
      <c r="H334" s="52"/>
      <c r="I334" s="256"/>
      <c r="J334" s="98">
        <f t="shared" si="66"/>
        <v>0</v>
      </c>
      <c r="K334" s="118" t="e">
        <f t="shared" si="67"/>
        <v>#DIV/0!</v>
      </c>
      <c r="L334" s="15"/>
      <c r="M334" s="15"/>
      <c r="N334" s="15">
        <f t="shared" si="68"/>
        <v>0</v>
      </c>
      <c r="O334" s="70" t="e">
        <f t="shared" si="69"/>
        <v>#DIV/0!</v>
      </c>
      <c r="P334" s="70"/>
      <c r="Q334" s="70">
        <f t="shared" si="70"/>
        <v>0</v>
      </c>
      <c r="R334" s="70"/>
      <c r="S334" s="70"/>
      <c r="T334" s="70"/>
      <c r="U334" s="15"/>
      <c r="V334" s="70" t="e">
        <f t="shared" si="71"/>
        <v>#DIV/0!</v>
      </c>
      <c r="W334" s="15"/>
      <c r="X334" s="15"/>
      <c r="Y334" s="15">
        <f t="shared" si="72"/>
        <v>0</v>
      </c>
      <c r="Z334" s="52"/>
      <c r="AA334" s="98">
        <f t="shared" si="73"/>
        <v>0</v>
      </c>
      <c r="AB334" s="52"/>
      <c r="AC334" s="98">
        <f t="shared" si="74"/>
        <v>0</v>
      </c>
      <c r="AD334" s="98">
        <f t="shared" si="75"/>
        <v>0</v>
      </c>
      <c r="AE334" s="238" t="e">
        <f t="shared" si="76"/>
        <v>#DIV/0!</v>
      </c>
      <c r="AF334" s="125" t="e">
        <f t="shared" si="77"/>
        <v>#DIV/0!</v>
      </c>
      <c r="AG334" s="92"/>
    </row>
    <row r="335" spans="1:33" ht="14.4">
      <c r="A335" s="270"/>
      <c r="B335" s="97">
        <f t="shared" si="65"/>
        <v>31</v>
      </c>
      <c r="C335" s="325"/>
      <c r="D335" s="260"/>
      <c r="E335" s="95"/>
      <c r="G335" s="52"/>
      <c r="H335" s="52"/>
      <c r="I335" s="256"/>
      <c r="J335" s="98">
        <f t="shared" si="66"/>
        <v>0</v>
      </c>
      <c r="K335" s="118" t="e">
        <f t="shared" si="67"/>
        <v>#DIV/0!</v>
      </c>
      <c r="L335" s="15"/>
      <c r="M335" s="15"/>
      <c r="N335" s="15">
        <f t="shared" si="68"/>
        <v>0</v>
      </c>
      <c r="O335" s="70" t="e">
        <f t="shared" si="69"/>
        <v>#DIV/0!</v>
      </c>
      <c r="P335" s="70"/>
      <c r="Q335" s="70">
        <f t="shared" si="70"/>
        <v>0</v>
      </c>
      <c r="R335" s="70"/>
      <c r="S335" s="70"/>
      <c r="T335" s="70"/>
      <c r="U335" s="15"/>
      <c r="V335" s="70" t="e">
        <f t="shared" si="71"/>
        <v>#DIV/0!</v>
      </c>
      <c r="W335" s="15"/>
      <c r="X335" s="15"/>
      <c r="Y335" s="15">
        <f t="shared" si="72"/>
        <v>0</v>
      </c>
      <c r="Z335" s="52"/>
      <c r="AA335" s="98">
        <f t="shared" si="73"/>
        <v>0</v>
      </c>
      <c r="AB335" s="52"/>
      <c r="AC335" s="98">
        <f t="shared" si="74"/>
        <v>0</v>
      </c>
      <c r="AD335" s="98">
        <f t="shared" si="75"/>
        <v>0</v>
      </c>
      <c r="AE335" s="238" t="e">
        <f t="shared" si="76"/>
        <v>#DIV/0!</v>
      </c>
      <c r="AF335" s="125" t="e">
        <f t="shared" si="77"/>
        <v>#DIV/0!</v>
      </c>
      <c r="AG335" s="92"/>
    </row>
    <row r="336" spans="1:33" ht="14.4">
      <c r="A336" s="270"/>
      <c r="B336" s="97">
        <f t="shared" si="65"/>
        <v>31</v>
      </c>
      <c r="C336" s="325"/>
      <c r="D336" s="260"/>
      <c r="E336" s="95"/>
      <c r="G336" s="52"/>
      <c r="H336" s="52"/>
      <c r="I336" s="256"/>
      <c r="J336" s="98">
        <f t="shared" si="66"/>
        <v>0</v>
      </c>
      <c r="K336" s="118" t="e">
        <f t="shared" si="67"/>
        <v>#DIV/0!</v>
      </c>
      <c r="L336" s="15"/>
      <c r="M336" s="15"/>
      <c r="N336" s="15">
        <f t="shared" si="68"/>
        <v>0</v>
      </c>
      <c r="O336" s="70" t="e">
        <f t="shared" si="69"/>
        <v>#DIV/0!</v>
      </c>
      <c r="P336" s="70"/>
      <c r="Q336" s="70">
        <f t="shared" si="70"/>
        <v>0</v>
      </c>
      <c r="R336" s="70"/>
      <c r="S336" s="70"/>
      <c r="T336" s="70"/>
      <c r="U336" s="15"/>
      <c r="V336" s="70" t="e">
        <f t="shared" si="71"/>
        <v>#DIV/0!</v>
      </c>
      <c r="W336" s="15"/>
      <c r="X336" s="15"/>
      <c r="Y336" s="15">
        <f t="shared" si="72"/>
        <v>0</v>
      </c>
      <c r="Z336" s="52"/>
      <c r="AA336" s="98">
        <f t="shared" si="73"/>
        <v>0</v>
      </c>
      <c r="AB336" s="52"/>
      <c r="AC336" s="98">
        <f t="shared" si="74"/>
        <v>0</v>
      </c>
      <c r="AD336" s="98">
        <f t="shared" si="75"/>
        <v>0</v>
      </c>
      <c r="AE336" s="238" t="e">
        <f t="shared" si="76"/>
        <v>#DIV/0!</v>
      </c>
      <c r="AF336" s="125" t="e">
        <f t="shared" si="77"/>
        <v>#DIV/0!</v>
      </c>
      <c r="AG336" s="92"/>
    </row>
    <row r="337" spans="1:33" ht="14.4">
      <c r="A337" s="270"/>
      <c r="B337" s="97">
        <f t="shared" si="65"/>
        <v>31</v>
      </c>
      <c r="C337" s="325"/>
      <c r="D337" s="260"/>
      <c r="E337" s="95"/>
      <c r="G337" s="52"/>
      <c r="H337" s="52"/>
      <c r="I337" s="256"/>
      <c r="J337" s="98">
        <f t="shared" si="66"/>
        <v>0</v>
      </c>
      <c r="K337" s="118" t="e">
        <f t="shared" si="67"/>
        <v>#DIV/0!</v>
      </c>
      <c r="L337" s="15"/>
      <c r="M337" s="15"/>
      <c r="N337" s="15">
        <f t="shared" si="68"/>
        <v>0</v>
      </c>
      <c r="O337" s="70" t="e">
        <f t="shared" si="69"/>
        <v>#DIV/0!</v>
      </c>
      <c r="P337" s="70"/>
      <c r="Q337" s="70">
        <f t="shared" si="70"/>
        <v>0</v>
      </c>
      <c r="R337" s="70"/>
      <c r="S337" s="70"/>
      <c r="T337" s="70"/>
      <c r="U337" s="15"/>
      <c r="V337" s="70" t="e">
        <f t="shared" si="71"/>
        <v>#DIV/0!</v>
      </c>
      <c r="W337" s="15"/>
      <c r="X337" s="15"/>
      <c r="Y337" s="15">
        <f t="shared" si="72"/>
        <v>0</v>
      </c>
      <c r="Z337" s="52"/>
      <c r="AA337" s="98">
        <f t="shared" si="73"/>
        <v>0</v>
      </c>
      <c r="AB337" s="52"/>
      <c r="AC337" s="98">
        <f t="shared" si="74"/>
        <v>0</v>
      </c>
      <c r="AD337" s="98">
        <f t="shared" si="75"/>
        <v>0</v>
      </c>
      <c r="AE337" s="238" t="e">
        <f t="shared" si="76"/>
        <v>#DIV/0!</v>
      </c>
      <c r="AF337" s="125" t="e">
        <f t="shared" si="77"/>
        <v>#DIV/0!</v>
      </c>
      <c r="AG337" s="92"/>
    </row>
    <row r="338" spans="1:33" ht="14.4">
      <c r="A338" s="270"/>
      <c r="B338" s="97">
        <f t="shared" si="65"/>
        <v>31</v>
      </c>
      <c r="C338" s="325"/>
      <c r="D338" s="260"/>
      <c r="E338" s="95"/>
      <c r="G338" s="52"/>
      <c r="H338" s="52"/>
      <c r="I338" s="256"/>
      <c r="J338" s="98">
        <f t="shared" si="66"/>
        <v>0</v>
      </c>
      <c r="K338" s="118" t="e">
        <f t="shared" si="67"/>
        <v>#DIV/0!</v>
      </c>
      <c r="L338" s="15"/>
      <c r="M338" s="15"/>
      <c r="N338" s="15">
        <f t="shared" si="68"/>
        <v>0</v>
      </c>
      <c r="O338" s="70" t="e">
        <f t="shared" si="69"/>
        <v>#N/A</v>
      </c>
      <c r="P338" s="70" t="e">
        <f>VLOOKUP(C338,'[1]Profit and Loss agt new'!$D$17:$E$52,2,)</f>
        <v>#N/A</v>
      </c>
      <c r="Q338" s="70" t="e">
        <f t="shared" si="70"/>
        <v>#N/A</v>
      </c>
      <c r="R338" s="70"/>
      <c r="S338" s="70"/>
      <c r="T338" s="70"/>
      <c r="U338" s="15"/>
      <c r="V338" s="70" t="e">
        <f t="shared" si="71"/>
        <v>#DIV/0!</v>
      </c>
      <c r="W338" s="15"/>
      <c r="X338" s="15"/>
      <c r="Y338" s="15">
        <f t="shared" si="72"/>
        <v>0</v>
      </c>
      <c r="Z338" s="52"/>
      <c r="AA338" s="98">
        <f t="shared" si="73"/>
        <v>0</v>
      </c>
      <c r="AB338" s="52"/>
      <c r="AC338" s="98">
        <f t="shared" si="74"/>
        <v>0</v>
      </c>
      <c r="AD338" s="98" t="e">
        <f t="shared" si="75"/>
        <v>#N/A</v>
      </c>
      <c r="AE338" s="238" t="e">
        <f t="shared" si="76"/>
        <v>#DIV/0!</v>
      </c>
      <c r="AF338" s="125" t="e">
        <f t="shared" si="77"/>
        <v>#N/A</v>
      </c>
      <c r="AG338" s="92"/>
    </row>
    <row r="339" spans="1:33" ht="14.4">
      <c r="A339" s="270"/>
      <c r="B339" s="97">
        <f t="shared" si="65"/>
        <v>31</v>
      </c>
      <c r="C339" s="325"/>
      <c r="D339" s="260"/>
      <c r="E339" s="95"/>
      <c r="G339" s="52"/>
      <c r="H339" s="52"/>
      <c r="I339" s="256"/>
      <c r="J339" s="98">
        <f t="shared" si="66"/>
        <v>0</v>
      </c>
      <c r="K339" s="118" t="e">
        <f t="shared" si="67"/>
        <v>#DIV/0!</v>
      </c>
      <c r="L339" s="15"/>
      <c r="M339" s="15"/>
      <c r="N339" s="15">
        <f t="shared" si="68"/>
        <v>0</v>
      </c>
      <c r="O339" s="70" t="e">
        <f t="shared" si="69"/>
        <v>#N/A</v>
      </c>
      <c r="P339" s="70" t="e">
        <f>VLOOKUP(C339,'[1]Profit and Loss agt new'!$D$17:$E$52,2,)</f>
        <v>#N/A</v>
      </c>
      <c r="Q339" s="70" t="e">
        <f t="shared" si="70"/>
        <v>#N/A</v>
      </c>
      <c r="R339" s="70"/>
      <c r="S339" s="70"/>
      <c r="T339" s="70"/>
      <c r="U339" s="15"/>
      <c r="V339" s="70" t="e">
        <f t="shared" si="71"/>
        <v>#DIV/0!</v>
      </c>
      <c r="W339" s="15"/>
      <c r="X339" s="15"/>
      <c r="Y339" s="15">
        <f t="shared" si="72"/>
        <v>0</v>
      </c>
      <c r="Z339" s="52"/>
      <c r="AA339" s="98">
        <f t="shared" si="73"/>
        <v>0</v>
      </c>
      <c r="AB339" s="52"/>
      <c r="AC339" s="98">
        <f t="shared" si="74"/>
        <v>0</v>
      </c>
      <c r="AD339" s="98" t="e">
        <f t="shared" si="75"/>
        <v>#N/A</v>
      </c>
      <c r="AE339" s="238" t="e">
        <f t="shared" si="76"/>
        <v>#DIV/0!</v>
      </c>
      <c r="AF339" s="125" t="e">
        <f t="shared" si="77"/>
        <v>#N/A</v>
      </c>
      <c r="AG339" s="92"/>
    </row>
    <row r="340" spans="1:33" ht="14.4">
      <c r="A340" s="270"/>
      <c r="B340" s="97">
        <f t="shared" si="65"/>
        <v>31</v>
      </c>
      <c r="C340" s="325"/>
      <c r="D340" s="260"/>
      <c r="E340" s="95"/>
      <c r="G340" s="52"/>
      <c r="H340" s="52"/>
      <c r="I340" s="256"/>
      <c r="J340" s="98">
        <f t="shared" si="66"/>
        <v>0</v>
      </c>
      <c r="K340" s="118" t="e">
        <f t="shared" si="67"/>
        <v>#DIV/0!</v>
      </c>
      <c r="L340" s="15"/>
      <c r="M340" s="15"/>
      <c r="N340" s="15">
        <f t="shared" si="68"/>
        <v>0</v>
      </c>
      <c r="O340" s="70" t="e">
        <f t="shared" si="69"/>
        <v>#N/A</v>
      </c>
      <c r="P340" s="70" t="e">
        <f>VLOOKUP(C340,'[1]Profit and Loss agt new'!$D$17:$E$52,2,)</f>
        <v>#N/A</v>
      </c>
      <c r="Q340" s="70" t="e">
        <f t="shared" si="70"/>
        <v>#N/A</v>
      </c>
      <c r="R340" s="70"/>
      <c r="S340" s="70"/>
      <c r="T340" s="70"/>
      <c r="U340" s="15"/>
      <c r="V340" s="70" t="e">
        <f t="shared" si="71"/>
        <v>#DIV/0!</v>
      </c>
      <c r="W340" s="15"/>
      <c r="X340" s="15"/>
      <c r="Y340" s="15">
        <f t="shared" si="72"/>
        <v>0</v>
      </c>
      <c r="Z340" s="52"/>
      <c r="AA340" s="98">
        <f t="shared" si="73"/>
        <v>0</v>
      </c>
      <c r="AB340" s="52"/>
      <c r="AC340" s="98">
        <f t="shared" si="74"/>
        <v>0</v>
      </c>
      <c r="AD340" s="98" t="e">
        <f t="shared" si="75"/>
        <v>#N/A</v>
      </c>
      <c r="AE340" s="238" t="e">
        <f t="shared" si="76"/>
        <v>#DIV/0!</v>
      </c>
      <c r="AF340" s="125" t="e">
        <f t="shared" si="77"/>
        <v>#N/A</v>
      </c>
      <c r="AG340" s="92"/>
    </row>
    <row r="341" spans="1:33" ht="14.4">
      <c r="A341" s="270"/>
      <c r="B341" s="97">
        <f t="shared" si="65"/>
        <v>31</v>
      </c>
      <c r="C341" s="325"/>
      <c r="D341" s="260"/>
      <c r="E341" s="95"/>
      <c r="G341" s="52"/>
      <c r="H341" s="52"/>
      <c r="I341" s="256"/>
      <c r="J341" s="98">
        <f t="shared" si="66"/>
        <v>0</v>
      </c>
      <c r="K341" s="118" t="e">
        <f t="shared" si="67"/>
        <v>#DIV/0!</v>
      </c>
      <c r="L341" s="15"/>
      <c r="M341" s="15"/>
      <c r="N341" s="15">
        <f t="shared" si="68"/>
        <v>0</v>
      </c>
      <c r="O341" s="70" t="e">
        <f t="shared" si="69"/>
        <v>#DIV/0!</v>
      </c>
      <c r="P341" s="70"/>
      <c r="Q341" s="70">
        <f t="shared" si="70"/>
        <v>0</v>
      </c>
      <c r="R341" s="70"/>
      <c r="S341" s="70"/>
      <c r="T341" s="70"/>
      <c r="U341" s="15"/>
      <c r="V341" s="70" t="e">
        <f t="shared" si="71"/>
        <v>#DIV/0!</v>
      </c>
      <c r="W341" s="15"/>
      <c r="X341" s="15"/>
      <c r="Y341" s="15">
        <f t="shared" si="72"/>
        <v>0</v>
      </c>
      <c r="Z341" s="52"/>
      <c r="AA341" s="98">
        <f t="shared" si="73"/>
        <v>0</v>
      </c>
      <c r="AB341" s="52"/>
      <c r="AC341" s="98">
        <f t="shared" si="74"/>
        <v>0</v>
      </c>
      <c r="AD341" s="98">
        <f t="shared" si="75"/>
        <v>0</v>
      </c>
      <c r="AE341" s="238" t="e">
        <f t="shared" si="76"/>
        <v>#DIV/0!</v>
      </c>
      <c r="AF341" s="125" t="e">
        <f t="shared" si="77"/>
        <v>#DIV/0!</v>
      </c>
      <c r="AG341" s="92"/>
    </row>
    <row r="342" spans="1:33" ht="14.4">
      <c r="A342" s="270"/>
      <c r="B342" s="97">
        <f t="shared" si="65"/>
        <v>31</v>
      </c>
      <c r="C342" s="325"/>
      <c r="D342" s="260"/>
      <c r="E342" s="95"/>
      <c r="G342" s="52"/>
      <c r="H342" s="52"/>
      <c r="I342" s="256"/>
      <c r="J342" s="98">
        <f t="shared" si="66"/>
        <v>0</v>
      </c>
      <c r="K342" s="118" t="e">
        <f t="shared" si="67"/>
        <v>#DIV/0!</v>
      </c>
      <c r="L342" s="15"/>
      <c r="M342" s="15"/>
      <c r="N342" s="15">
        <f t="shared" si="68"/>
        <v>0</v>
      </c>
      <c r="O342" s="70" t="e">
        <f t="shared" si="69"/>
        <v>#DIV/0!</v>
      </c>
      <c r="P342" s="70"/>
      <c r="Q342" s="70">
        <f t="shared" si="70"/>
        <v>0</v>
      </c>
      <c r="R342" s="70"/>
      <c r="S342" s="70"/>
      <c r="T342" s="70"/>
      <c r="U342" s="15"/>
      <c r="V342" s="70" t="e">
        <f t="shared" si="71"/>
        <v>#DIV/0!</v>
      </c>
      <c r="W342" s="15"/>
      <c r="X342" s="15"/>
      <c r="Y342" s="15">
        <f t="shared" si="72"/>
        <v>0</v>
      </c>
      <c r="Z342" s="52"/>
      <c r="AA342" s="98">
        <f t="shared" si="73"/>
        <v>0</v>
      </c>
      <c r="AB342" s="52"/>
      <c r="AC342" s="98">
        <f t="shared" si="74"/>
        <v>0</v>
      </c>
      <c r="AD342" s="98">
        <f t="shared" si="75"/>
        <v>0</v>
      </c>
      <c r="AE342" s="238" t="e">
        <f t="shared" si="76"/>
        <v>#DIV/0!</v>
      </c>
      <c r="AF342" s="125" t="e">
        <f t="shared" si="77"/>
        <v>#DIV/0!</v>
      </c>
      <c r="AG342" s="92"/>
    </row>
    <row r="343" spans="1:33" ht="14.4">
      <c r="A343" s="270"/>
      <c r="B343" s="97">
        <f t="shared" si="65"/>
        <v>31</v>
      </c>
      <c r="C343" s="325"/>
      <c r="D343" s="260"/>
      <c r="E343" s="95"/>
      <c r="G343" s="52"/>
      <c r="H343" s="52"/>
      <c r="I343" s="256"/>
      <c r="J343" s="98">
        <f t="shared" si="66"/>
        <v>0</v>
      </c>
      <c r="K343" s="118" t="e">
        <f t="shared" si="67"/>
        <v>#DIV/0!</v>
      </c>
      <c r="L343" s="15"/>
      <c r="M343" s="15"/>
      <c r="N343" s="15">
        <f t="shared" si="68"/>
        <v>0</v>
      </c>
      <c r="O343" s="70" t="e">
        <f t="shared" si="69"/>
        <v>#DIV/0!</v>
      </c>
      <c r="P343" s="70"/>
      <c r="Q343" s="70">
        <f t="shared" si="70"/>
        <v>0</v>
      </c>
      <c r="R343" s="70"/>
      <c r="S343" s="70"/>
      <c r="T343" s="70"/>
      <c r="U343" s="15"/>
      <c r="V343" s="70" t="e">
        <f t="shared" si="71"/>
        <v>#DIV/0!</v>
      </c>
      <c r="W343" s="15"/>
      <c r="X343" s="15"/>
      <c r="Y343" s="15">
        <f t="shared" si="72"/>
        <v>0</v>
      </c>
      <c r="Z343" s="52"/>
      <c r="AA343" s="98">
        <f t="shared" si="73"/>
        <v>0</v>
      </c>
      <c r="AB343" s="52"/>
      <c r="AC343" s="98">
        <f t="shared" si="74"/>
        <v>0</v>
      </c>
      <c r="AD343" s="98">
        <f t="shared" si="75"/>
        <v>0</v>
      </c>
      <c r="AE343" s="238" t="e">
        <f t="shared" si="76"/>
        <v>#DIV/0!</v>
      </c>
      <c r="AF343" s="125" t="e">
        <f t="shared" si="77"/>
        <v>#DIV/0!</v>
      </c>
      <c r="AG343" s="92"/>
    </row>
    <row r="344" spans="1:33" ht="14.4">
      <c r="A344" s="270"/>
      <c r="B344" s="97">
        <f t="shared" si="65"/>
        <v>31</v>
      </c>
      <c r="C344" s="325"/>
      <c r="D344" s="260"/>
      <c r="E344" s="95"/>
      <c r="G344" s="52"/>
      <c r="H344" s="52"/>
      <c r="I344" s="256"/>
      <c r="J344" s="98">
        <f t="shared" si="66"/>
        <v>0</v>
      </c>
      <c r="K344" s="118" t="e">
        <f t="shared" si="67"/>
        <v>#DIV/0!</v>
      </c>
      <c r="L344" s="15"/>
      <c r="M344" s="15"/>
      <c r="N344" s="15">
        <f t="shared" si="68"/>
        <v>0</v>
      </c>
      <c r="O344" s="70" t="e">
        <f t="shared" si="69"/>
        <v>#DIV/0!</v>
      </c>
      <c r="P344" s="70"/>
      <c r="Q344" s="70">
        <f t="shared" si="70"/>
        <v>0</v>
      </c>
      <c r="R344" s="70"/>
      <c r="S344" s="70"/>
      <c r="T344" s="70"/>
      <c r="U344" s="15"/>
      <c r="V344" s="70" t="e">
        <f t="shared" si="71"/>
        <v>#DIV/0!</v>
      </c>
      <c r="W344" s="15"/>
      <c r="X344" s="15"/>
      <c r="Y344" s="15">
        <f t="shared" si="72"/>
        <v>0</v>
      </c>
      <c r="Z344" s="52"/>
      <c r="AA344" s="98">
        <f t="shared" si="73"/>
        <v>0</v>
      </c>
      <c r="AB344" s="52"/>
      <c r="AC344" s="98">
        <f t="shared" si="74"/>
        <v>0</v>
      </c>
      <c r="AD344" s="98">
        <f t="shared" si="75"/>
        <v>0</v>
      </c>
      <c r="AE344" s="238" t="e">
        <f t="shared" si="76"/>
        <v>#DIV/0!</v>
      </c>
      <c r="AF344" s="125" t="e">
        <f t="shared" si="77"/>
        <v>#DIV/0!</v>
      </c>
      <c r="AG344" s="92"/>
    </row>
    <row r="345" spans="1:33" ht="14.4">
      <c r="A345" s="270"/>
      <c r="B345" s="97">
        <f t="shared" si="65"/>
        <v>31</v>
      </c>
      <c r="C345" s="325"/>
      <c r="D345" s="260"/>
      <c r="E345" s="95"/>
      <c r="G345" s="52"/>
      <c r="H345" s="52"/>
      <c r="I345" s="256"/>
      <c r="J345" s="98">
        <f t="shared" si="66"/>
        <v>0</v>
      </c>
      <c r="K345" s="118" t="e">
        <f t="shared" si="67"/>
        <v>#DIV/0!</v>
      </c>
      <c r="L345" s="15"/>
      <c r="M345" s="15"/>
      <c r="N345" s="15">
        <f t="shared" si="68"/>
        <v>0</v>
      </c>
      <c r="O345" s="70" t="e">
        <f t="shared" si="69"/>
        <v>#DIV/0!</v>
      </c>
      <c r="P345" s="70"/>
      <c r="Q345" s="70">
        <f t="shared" si="70"/>
        <v>0</v>
      </c>
      <c r="R345" s="70"/>
      <c r="S345" s="70"/>
      <c r="T345" s="70"/>
      <c r="U345" s="15"/>
      <c r="V345" s="70" t="e">
        <f t="shared" si="71"/>
        <v>#DIV/0!</v>
      </c>
      <c r="W345" s="15"/>
      <c r="X345" s="15"/>
      <c r="Y345" s="15">
        <f t="shared" si="72"/>
        <v>0</v>
      </c>
      <c r="Z345" s="52"/>
      <c r="AA345" s="98">
        <f t="shared" si="73"/>
        <v>0</v>
      </c>
      <c r="AB345" s="52"/>
      <c r="AC345" s="98">
        <f t="shared" si="74"/>
        <v>0</v>
      </c>
      <c r="AD345" s="98">
        <f t="shared" si="75"/>
        <v>0</v>
      </c>
      <c r="AE345" s="238" t="e">
        <f t="shared" si="76"/>
        <v>#DIV/0!</v>
      </c>
      <c r="AF345" s="125" t="e">
        <f t="shared" si="77"/>
        <v>#DIV/0!</v>
      </c>
      <c r="AG345" s="92"/>
    </row>
    <row r="346" spans="1:33" ht="14.4">
      <c r="A346" s="270"/>
      <c r="B346" s="97">
        <f t="shared" si="65"/>
        <v>31</v>
      </c>
      <c r="C346" s="325"/>
      <c r="D346" s="260"/>
      <c r="E346" s="95"/>
      <c r="G346" s="52"/>
      <c r="H346" s="52"/>
      <c r="I346" s="256"/>
      <c r="J346" s="98">
        <f t="shared" si="66"/>
        <v>0</v>
      </c>
      <c r="K346" s="118" t="e">
        <f t="shared" si="67"/>
        <v>#DIV/0!</v>
      </c>
      <c r="L346" s="15"/>
      <c r="M346" s="15"/>
      <c r="N346" s="15">
        <f t="shared" si="68"/>
        <v>0</v>
      </c>
      <c r="O346" s="70" t="e">
        <f t="shared" si="69"/>
        <v>#DIV/0!</v>
      </c>
      <c r="P346" s="70"/>
      <c r="Q346" s="70">
        <f t="shared" si="70"/>
        <v>0</v>
      </c>
      <c r="R346" s="70"/>
      <c r="S346" s="70"/>
      <c r="T346" s="70"/>
      <c r="U346" s="15"/>
      <c r="V346" s="70" t="e">
        <f t="shared" si="71"/>
        <v>#DIV/0!</v>
      </c>
      <c r="W346" s="15"/>
      <c r="X346" s="15"/>
      <c r="Y346" s="15">
        <f t="shared" si="72"/>
        <v>0</v>
      </c>
      <c r="Z346" s="52"/>
      <c r="AA346" s="98">
        <f t="shared" si="73"/>
        <v>0</v>
      </c>
      <c r="AB346" s="52"/>
      <c r="AC346" s="98">
        <f t="shared" si="74"/>
        <v>0</v>
      </c>
      <c r="AD346" s="98">
        <f t="shared" si="75"/>
        <v>0</v>
      </c>
      <c r="AE346" s="238" t="e">
        <f t="shared" si="76"/>
        <v>#DIV/0!</v>
      </c>
      <c r="AF346" s="125" t="e">
        <f t="shared" si="77"/>
        <v>#DIV/0!</v>
      </c>
      <c r="AG346" s="92"/>
    </row>
    <row r="347" spans="1:33" ht="14.4">
      <c r="A347" s="270"/>
      <c r="B347" s="97">
        <f t="shared" si="65"/>
        <v>31</v>
      </c>
      <c r="C347" s="325"/>
      <c r="D347" s="260"/>
      <c r="E347" s="95"/>
      <c r="G347" s="52"/>
      <c r="H347" s="52"/>
      <c r="I347" s="256"/>
      <c r="J347" s="98">
        <f t="shared" si="66"/>
        <v>0</v>
      </c>
      <c r="K347" s="118" t="e">
        <f t="shared" si="67"/>
        <v>#DIV/0!</v>
      </c>
      <c r="L347" s="15"/>
      <c r="M347" s="15"/>
      <c r="N347" s="15">
        <f t="shared" si="68"/>
        <v>0</v>
      </c>
      <c r="O347" s="70" t="e">
        <f t="shared" si="69"/>
        <v>#DIV/0!</v>
      </c>
      <c r="P347" s="70"/>
      <c r="Q347" s="70">
        <f t="shared" si="70"/>
        <v>0</v>
      </c>
      <c r="R347" s="70"/>
      <c r="S347" s="70"/>
      <c r="T347" s="70"/>
      <c r="U347" s="15"/>
      <c r="V347" s="70" t="e">
        <f t="shared" si="71"/>
        <v>#DIV/0!</v>
      </c>
      <c r="W347" s="15"/>
      <c r="X347" s="15"/>
      <c r="Y347" s="15">
        <f t="shared" si="72"/>
        <v>0</v>
      </c>
      <c r="Z347" s="52"/>
      <c r="AA347" s="98">
        <f t="shared" si="73"/>
        <v>0</v>
      </c>
      <c r="AB347" s="52"/>
      <c r="AC347" s="98">
        <f t="shared" si="74"/>
        <v>0</v>
      </c>
      <c r="AD347" s="98">
        <f t="shared" si="75"/>
        <v>0</v>
      </c>
      <c r="AE347" s="238" t="e">
        <f t="shared" si="76"/>
        <v>#DIV/0!</v>
      </c>
      <c r="AF347" s="125" t="e">
        <f t="shared" si="77"/>
        <v>#DIV/0!</v>
      </c>
      <c r="AG347" s="92"/>
    </row>
    <row r="348" spans="1:33" ht="14.4">
      <c r="A348" s="270"/>
      <c r="B348" s="97">
        <f t="shared" si="65"/>
        <v>31</v>
      </c>
      <c r="C348" s="325"/>
      <c r="D348" s="260"/>
      <c r="E348" s="95"/>
      <c r="G348" s="52"/>
      <c r="H348" s="52"/>
      <c r="I348" s="256"/>
      <c r="J348" s="98">
        <f t="shared" si="66"/>
        <v>0</v>
      </c>
      <c r="K348" s="118" t="e">
        <f t="shared" si="67"/>
        <v>#DIV/0!</v>
      </c>
      <c r="L348" s="15"/>
      <c r="M348" s="15"/>
      <c r="N348" s="15">
        <f t="shared" si="68"/>
        <v>0</v>
      </c>
      <c r="O348" s="70" t="e">
        <f t="shared" si="69"/>
        <v>#N/A</v>
      </c>
      <c r="P348" s="70" t="e">
        <f>VLOOKUP(C348,'[1]Profit and Loss agt new'!$D$17:$E$52,2,)</f>
        <v>#N/A</v>
      </c>
      <c r="Q348" s="70" t="e">
        <f t="shared" si="70"/>
        <v>#N/A</v>
      </c>
      <c r="R348" s="70"/>
      <c r="S348" s="70"/>
      <c r="T348" s="70"/>
      <c r="U348" s="15"/>
      <c r="V348" s="70" t="e">
        <f t="shared" si="71"/>
        <v>#DIV/0!</v>
      </c>
      <c r="W348" s="15"/>
      <c r="X348" s="15"/>
      <c r="Y348" s="15">
        <f t="shared" si="72"/>
        <v>0</v>
      </c>
      <c r="Z348" s="52"/>
      <c r="AA348" s="98">
        <f t="shared" si="73"/>
        <v>0</v>
      </c>
      <c r="AB348" s="52"/>
      <c r="AC348" s="98">
        <f t="shared" si="74"/>
        <v>0</v>
      </c>
      <c r="AD348" s="98" t="e">
        <f t="shared" si="75"/>
        <v>#N/A</v>
      </c>
      <c r="AE348" s="238" t="e">
        <f t="shared" si="76"/>
        <v>#DIV/0!</v>
      </c>
      <c r="AF348" s="125" t="e">
        <f t="shared" si="77"/>
        <v>#N/A</v>
      </c>
      <c r="AG348" s="92"/>
    </row>
    <row r="349" spans="1:33" ht="14.4">
      <c r="A349" s="270"/>
      <c r="B349" s="97">
        <f t="shared" si="65"/>
        <v>31</v>
      </c>
      <c r="C349" s="325"/>
      <c r="D349" s="260"/>
      <c r="E349" s="95"/>
      <c r="G349" s="52"/>
      <c r="H349" s="52"/>
      <c r="I349" s="256"/>
      <c r="J349" s="98">
        <f t="shared" si="66"/>
        <v>0</v>
      </c>
      <c r="K349" s="118" t="e">
        <f t="shared" si="67"/>
        <v>#DIV/0!</v>
      </c>
      <c r="L349" s="15"/>
      <c r="M349" s="15"/>
      <c r="N349" s="15">
        <f t="shared" si="68"/>
        <v>0</v>
      </c>
      <c r="O349" s="70" t="e">
        <f t="shared" si="69"/>
        <v>#N/A</v>
      </c>
      <c r="P349" s="70" t="e">
        <f>VLOOKUP(C349,'[1]Profit and Loss agt new'!$D$17:$E$52,2,)</f>
        <v>#N/A</v>
      </c>
      <c r="Q349" s="70" t="e">
        <f t="shared" si="70"/>
        <v>#N/A</v>
      </c>
      <c r="R349" s="70"/>
      <c r="S349" s="70"/>
      <c r="T349" s="70"/>
      <c r="U349" s="15"/>
      <c r="V349" s="70" t="e">
        <f t="shared" si="71"/>
        <v>#DIV/0!</v>
      </c>
      <c r="W349" s="15"/>
      <c r="X349" s="15"/>
      <c r="Y349" s="15">
        <f t="shared" si="72"/>
        <v>0</v>
      </c>
      <c r="Z349" s="52"/>
      <c r="AA349" s="98">
        <f t="shared" si="73"/>
        <v>0</v>
      </c>
      <c r="AB349" s="52"/>
      <c r="AC349" s="98">
        <f t="shared" si="74"/>
        <v>0</v>
      </c>
      <c r="AD349" s="98" t="e">
        <f t="shared" si="75"/>
        <v>#N/A</v>
      </c>
      <c r="AE349" s="238" t="e">
        <f t="shared" si="76"/>
        <v>#DIV/0!</v>
      </c>
      <c r="AF349" s="125" t="e">
        <f t="shared" si="77"/>
        <v>#N/A</v>
      </c>
      <c r="AG349" s="92"/>
    </row>
    <row r="350" spans="1:33" ht="14.4">
      <c r="A350" s="270"/>
      <c r="B350" s="97">
        <f t="shared" si="65"/>
        <v>31</v>
      </c>
      <c r="C350" s="325"/>
      <c r="D350" s="260"/>
      <c r="E350" s="95"/>
      <c r="G350" s="52"/>
      <c r="H350" s="52"/>
      <c r="I350" s="256"/>
      <c r="J350" s="98">
        <f t="shared" si="66"/>
        <v>0</v>
      </c>
      <c r="K350" s="118" t="e">
        <f t="shared" si="67"/>
        <v>#DIV/0!</v>
      </c>
      <c r="L350" s="15"/>
      <c r="M350" s="15"/>
      <c r="N350" s="15">
        <f t="shared" si="68"/>
        <v>0</v>
      </c>
      <c r="O350" s="70" t="e">
        <f t="shared" si="69"/>
        <v>#DIV/0!</v>
      </c>
      <c r="P350" s="70"/>
      <c r="Q350" s="70">
        <f t="shared" si="70"/>
        <v>0</v>
      </c>
      <c r="R350" s="70"/>
      <c r="S350" s="70"/>
      <c r="T350" s="70"/>
      <c r="U350" s="15"/>
      <c r="V350" s="70" t="e">
        <f t="shared" si="71"/>
        <v>#DIV/0!</v>
      </c>
      <c r="W350" s="15"/>
      <c r="X350" s="15"/>
      <c r="Y350" s="15">
        <f t="shared" si="72"/>
        <v>0</v>
      </c>
      <c r="Z350" s="52"/>
      <c r="AA350" s="98">
        <f t="shared" si="73"/>
        <v>0</v>
      </c>
      <c r="AB350" s="52"/>
      <c r="AC350" s="98">
        <f t="shared" si="74"/>
        <v>0</v>
      </c>
      <c r="AD350" s="98">
        <f t="shared" si="75"/>
        <v>0</v>
      </c>
      <c r="AE350" s="238" t="e">
        <f t="shared" si="76"/>
        <v>#DIV/0!</v>
      </c>
      <c r="AF350" s="125" t="e">
        <f t="shared" si="77"/>
        <v>#DIV/0!</v>
      </c>
      <c r="AG350" s="92"/>
    </row>
    <row r="351" spans="1:33" ht="14.4">
      <c r="A351" s="270"/>
      <c r="B351" s="97">
        <f t="shared" si="65"/>
        <v>31</v>
      </c>
      <c r="C351" s="325"/>
      <c r="D351" s="260"/>
      <c r="E351" s="95"/>
      <c r="G351" s="52"/>
      <c r="H351" s="52"/>
      <c r="I351" s="256"/>
      <c r="J351" s="98">
        <f t="shared" si="66"/>
        <v>0</v>
      </c>
      <c r="K351" s="118" t="e">
        <f t="shared" si="67"/>
        <v>#DIV/0!</v>
      </c>
      <c r="L351" s="15"/>
      <c r="M351" s="15"/>
      <c r="N351" s="15">
        <f t="shared" si="68"/>
        <v>0</v>
      </c>
      <c r="O351" s="70" t="e">
        <f t="shared" si="69"/>
        <v>#DIV/0!</v>
      </c>
      <c r="P351" s="70"/>
      <c r="Q351" s="70">
        <f t="shared" si="70"/>
        <v>0</v>
      </c>
      <c r="R351" s="70"/>
      <c r="S351" s="70"/>
      <c r="T351" s="70"/>
      <c r="U351" s="15"/>
      <c r="V351" s="70" t="e">
        <f t="shared" si="71"/>
        <v>#DIV/0!</v>
      </c>
      <c r="W351" s="15"/>
      <c r="X351" s="15"/>
      <c r="Y351" s="15">
        <f t="shared" si="72"/>
        <v>0</v>
      </c>
      <c r="Z351" s="52"/>
      <c r="AA351" s="98">
        <f t="shared" si="73"/>
        <v>0</v>
      </c>
      <c r="AB351" s="52"/>
      <c r="AC351" s="98">
        <f t="shared" si="74"/>
        <v>0</v>
      </c>
      <c r="AD351" s="98">
        <f t="shared" si="75"/>
        <v>0</v>
      </c>
      <c r="AE351" s="238" t="e">
        <f t="shared" si="76"/>
        <v>#DIV/0!</v>
      </c>
      <c r="AF351" s="125" t="e">
        <f t="shared" si="77"/>
        <v>#DIV/0!</v>
      </c>
      <c r="AG351" s="92"/>
    </row>
    <row r="352" spans="1:33" ht="14.4">
      <c r="A352" s="270"/>
      <c r="B352" s="97">
        <f t="shared" si="65"/>
        <v>31</v>
      </c>
      <c r="C352" s="325"/>
      <c r="D352" s="260"/>
      <c r="E352" s="95"/>
      <c r="G352" s="52"/>
      <c r="H352" s="52"/>
      <c r="I352" s="256"/>
      <c r="J352" s="98">
        <f t="shared" si="66"/>
        <v>0</v>
      </c>
      <c r="K352" s="118" t="e">
        <f t="shared" si="67"/>
        <v>#DIV/0!</v>
      </c>
      <c r="L352" s="15"/>
      <c r="M352" s="15"/>
      <c r="N352" s="15">
        <f t="shared" si="68"/>
        <v>0</v>
      </c>
      <c r="O352" s="70" t="e">
        <f t="shared" si="69"/>
        <v>#N/A</v>
      </c>
      <c r="P352" s="70" t="e">
        <f>VLOOKUP(C352,'[1]Profit and Loss agt new'!$D$17:$E$52,2,)</f>
        <v>#N/A</v>
      </c>
      <c r="Q352" s="70" t="e">
        <f t="shared" si="70"/>
        <v>#N/A</v>
      </c>
      <c r="R352" s="70"/>
      <c r="S352" s="70"/>
      <c r="T352" s="70"/>
      <c r="U352" s="15"/>
      <c r="V352" s="70" t="e">
        <f t="shared" si="71"/>
        <v>#DIV/0!</v>
      </c>
      <c r="W352" s="15"/>
      <c r="X352" s="15"/>
      <c r="Y352" s="15">
        <f t="shared" si="72"/>
        <v>0</v>
      </c>
      <c r="Z352" s="52"/>
      <c r="AA352" s="98">
        <f t="shared" si="73"/>
        <v>0</v>
      </c>
      <c r="AB352" s="52"/>
      <c r="AC352" s="98">
        <f t="shared" si="74"/>
        <v>0</v>
      </c>
      <c r="AD352" s="98" t="e">
        <f t="shared" si="75"/>
        <v>#N/A</v>
      </c>
      <c r="AE352" s="238" t="e">
        <f t="shared" si="76"/>
        <v>#DIV/0!</v>
      </c>
      <c r="AF352" s="125" t="e">
        <f t="shared" si="77"/>
        <v>#N/A</v>
      </c>
      <c r="AG352" s="92"/>
    </row>
    <row r="353" spans="1:33" ht="14.4">
      <c r="A353" s="270"/>
      <c r="B353" s="97">
        <f t="shared" si="65"/>
        <v>31</v>
      </c>
      <c r="C353" s="325"/>
      <c r="D353" s="260"/>
      <c r="E353" s="95"/>
      <c r="G353" s="52"/>
      <c r="H353" s="52"/>
      <c r="I353" s="256"/>
      <c r="J353" s="98">
        <f t="shared" si="66"/>
        <v>0</v>
      </c>
      <c r="K353" s="118" t="e">
        <f t="shared" si="67"/>
        <v>#DIV/0!</v>
      </c>
      <c r="L353" s="15"/>
      <c r="M353" s="15"/>
      <c r="N353" s="15">
        <f t="shared" si="68"/>
        <v>0</v>
      </c>
      <c r="O353" s="70" t="e">
        <f t="shared" si="69"/>
        <v>#DIV/0!</v>
      </c>
      <c r="P353" s="70"/>
      <c r="Q353" s="70">
        <f t="shared" si="70"/>
        <v>0</v>
      </c>
      <c r="R353" s="70"/>
      <c r="S353" s="70"/>
      <c r="T353" s="70"/>
      <c r="U353" s="15"/>
      <c r="V353" s="70" t="e">
        <f t="shared" si="71"/>
        <v>#DIV/0!</v>
      </c>
      <c r="W353" s="15"/>
      <c r="X353" s="15"/>
      <c r="Y353" s="15">
        <f t="shared" si="72"/>
        <v>0</v>
      </c>
      <c r="Z353" s="52"/>
      <c r="AA353" s="98">
        <f t="shared" si="73"/>
        <v>0</v>
      </c>
      <c r="AB353" s="52"/>
      <c r="AC353" s="98">
        <f t="shared" si="74"/>
        <v>0</v>
      </c>
      <c r="AD353" s="98">
        <f t="shared" si="75"/>
        <v>0</v>
      </c>
      <c r="AE353" s="238" t="e">
        <f t="shared" si="76"/>
        <v>#DIV/0!</v>
      </c>
      <c r="AF353" s="125" t="e">
        <f t="shared" si="77"/>
        <v>#DIV/0!</v>
      </c>
      <c r="AG353" s="92"/>
    </row>
    <row r="354" spans="1:33" ht="14.4">
      <c r="A354" s="270"/>
      <c r="B354" s="97">
        <f t="shared" si="65"/>
        <v>31</v>
      </c>
      <c r="C354" s="325"/>
      <c r="D354" s="260"/>
      <c r="E354" s="95"/>
      <c r="G354" s="52"/>
      <c r="H354" s="52"/>
      <c r="I354" s="256"/>
      <c r="J354" s="98">
        <f t="shared" si="66"/>
        <v>0</v>
      </c>
      <c r="K354" s="118" t="e">
        <f t="shared" si="67"/>
        <v>#DIV/0!</v>
      </c>
      <c r="L354" s="15"/>
      <c r="M354" s="15"/>
      <c r="N354" s="15">
        <f t="shared" si="68"/>
        <v>0</v>
      </c>
      <c r="O354" s="70" t="e">
        <f t="shared" si="69"/>
        <v>#N/A</v>
      </c>
      <c r="P354" s="70" t="e">
        <f>VLOOKUP(C354,'[1]Profit and Loss agt new'!$D$17:$E$52,2,)</f>
        <v>#N/A</v>
      </c>
      <c r="Q354" s="70" t="e">
        <f t="shared" si="70"/>
        <v>#N/A</v>
      </c>
      <c r="R354" s="70"/>
      <c r="S354" s="70"/>
      <c r="T354" s="70"/>
      <c r="U354" s="15"/>
      <c r="V354" s="70" t="e">
        <f t="shared" si="71"/>
        <v>#DIV/0!</v>
      </c>
      <c r="W354" s="15"/>
      <c r="X354" s="15"/>
      <c r="Y354" s="15">
        <f t="shared" si="72"/>
        <v>0</v>
      </c>
      <c r="Z354" s="52"/>
      <c r="AA354" s="98">
        <f t="shared" si="73"/>
        <v>0</v>
      </c>
      <c r="AB354" s="52"/>
      <c r="AC354" s="98">
        <f t="shared" si="74"/>
        <v>0</v>
      </c>
      <c r="AD354" s="98" t="e">
        <f t="shared" si="75"/>
        <v>#N/A</v>
      </c>
      <c r="AE354" s="238" t="e">
        <f t="shared" si="76"/>
        <v>#DIV/0!</v>
      </c>
      <c r="AF354" s="125" t="e">
        <f t="shared" si="77"/>
        <v>#N/A</v>
      </c>
      <c r="AG354" s="92"/>
    </row>
    <row r="355" spans="1:33" ht="14.4">
      <c r="A355" s="270"/>
      <c r="B355" s="97">
        <f t="shared" si="65"/>
        <v>31</v>
      </c>
      <c r="C355" s="325"/>
      <c r="D355" s="260"/>
      <c r="E355" s="95"/>
      <c r="G355" s="52"/>
      <c r="H355" s="52"/>
      <c r="I355" s="256"/>
      <c r="J355" s="98">
        <f t="shared" si="66"/>
        <v>0</v>
      </c>
      <c r="K355" s="118" t="e">
        <f t="shared" si="67"/>
        <v>#DIV/0!</v>
      </c>
      <c r="L355" s="15"/>
      <c r="M355" s="15"/>
      <c r="N355" s="15">
        <f t="shared" si="68"/>
        <v>0</v>
      </c>
      <c r="O355" s="70" t="e">
        <f t="shared" si="69"/>
        <v>#DIV/0!</v>
      </c>
      <c r="P355" s="70"/>
      <c r="Q355" s="70">
        <f t="shared" si="70"/>
        <v>0</v>
      </c>
      <c r="R355" s="70"/>
      <c r="S355" s="70"/>
      <c r="T355" s="70"/>
      <c r="U355" s="15"/>
      <c r="V355" s="70" t="e">
        <f t="shared" si="71"/>
        <v>#DIV/0!</v>
      </c>
      <c r="W355" s="15"/>
      <c r="X355" s="15"/>
      <c r="Y355" s="15">
        <f t="shared" si="72"/>
        <v>0</v>
      </c>
      <c r="Z355" s="52"/>
      <c r="AA355" s="98">
        <f t="shared" si="73"/>
        <v>0</v>
      </c>
      <c r="AB355" s="52"/>
      <c r="AC355" s="98">
        <f t="shared" si="74"/>
        <v>0</v>
      </c>
      <c r="AD355" s="98">
        <f t="shared" si="75"/>
        <v>0</v>
      </c>
      <c r="AE355" s="238" t="e">
        <f t="shared" si="76"/>
        <v>#DIV/0!</v>
      </c>
      <c r="AF355" s="125" t="e">
        <f t="shared" si="77"/>
        <v>#DIV/0!</v>
      </c>
      <c r="AG355" s="92"/>
    </row>
    <row r="356" spans="1:33" ht="14.4">
      <c r="A356" s="270"/>
      <c r="B356" s="97">
        <f t="shared" si="65"/>
        <v>31</v>
      </c>
      <c r="C356" s="325"/>
      <c r="D356" s="260"/>
      <c r="E356" s="95"/>
      <c r="G356" s="52"/>
      <c r="H356" s="52"/>
      <c r="I356" s="256"/>
      <c r="J356" s="98">
        <f t="shared" si="66"/>
        <v>0</v>
      </c>
      <c r="K356" s="118" t="e">
        <f t="shared" si="67"/>
        <v>#DIV/0!</v>
      </c>
      <c r="L356" s="15"/>
      <c r="M356" s="15"/>
      <c r="N356" s="15">
        <f t="shared" si="68"/>
        <v>0</v>
      </c>
      <c r="O356" s="70" t="e">
        <f t="shared" si="69"/>
        <v>#DIV/0!</v>
      </c>
      <c r="P356" s="70"/>
      <c r="Q356" s="70">
        <f t="shared" si="70"/>
        <v>0</v>
      </c>
      <c r="R356" s="70"/>
      <c r="S356" s="70"/>
      <c r="T356" s="70"/>
      <c r="U356" s="15"/>
      <c r="V356" s="70" t="e">
        <f t="shared" si="71"/>
        <v>#DIV/0!</v>
      </c>
      <c r="W356" s="15"/>
      <c r="X356" s="15"/>
      <c r="Y356" s="15">
        <f t="shared" si="72"/>
        <v>0</v>
      </c>
      <c r="Z356" s="52"/>
      <c r="AA356" s="98">
        <f t="shared" si="73"/>
        <v>0</v>
      </c>
      <c r="AB356" s="52"/>
      <c r="AC356" s="98">
        <f t="shared" si="74"/>
        <v>0</v>
      </c>
      <c r="AD356" s="98">
        <f t="shared" si="75"/>
        <v>0</v>
      </c>
      <c r="AE356" s="238" t="e">
        <f t="shared" si="76"/>
        <v>#DIV/0!</v>
      </c>
      <c r="AF356" s="125" t="e">
        <f t="shared" si="77"/>
        <v>#DIV/0!</v>
      </c>
      <c r="AG356" s="92"/>
    </row>
    <row r="357" spans="1:33" ht="14.4">
      <c r="A357" s="270"/>
      <c r="B357" s="97">
        <f t="shared" si="65"/>
        <v>31</v>
      </c>
      <c r="C357" s="325"/>
      <c r="D357" s="260"/>
      <c r="E357" s="95"/>
      <c r="G357" s="52"/>
      <c r="H357" s="52"/>
      <c r="I357" s="256"/>
      <c r="J357" s="98">
        <f t="shared" si="66"/>
        <v>0</v>
      </c>
      <c r="K357" s="118" t="e">
        <f t="shared" si="67"/>
        <v>#DIV/0!</v>
      </c>
      <c r="L357" s="15"/>
      <c r="M357" s="15"/>
      <c r="N357" s="15">
        <f t="shared" si="68"/>
        <v>0</v>
      </c>
      <c r="O357" s="70" t="e">
        <f t="shared" si="69"/>
        <v>#DIV/0!</v>
      </c>
      <c r="P357" s="70"/>
      <c r="Q357" s="70">
        <f t="shared" si="70"/>
        <v>0</v>
      </c>
      <c r="R357" s="70"/>
      <c r="S357" s="70"/>
      <c r="T357" s="70"/>
      <c r="U357" s="15"/>
      <c r="V357" s="70" t="e">
        <f t="shared" si="71"/>
        <v>#DIV/0!</v>
      </c>
      <c r="W357" s="15"/>
      <c r="X357" s="15"/>
      <c r="Y357" s="15">
        <f t="shared" si="72"/>
        <v>0</v>
      </c>
      <c r="Z357" s="52"/>
      <c r="AA357" s="98">
        <f t="shared" si="73"/>
        <v>0</v>
      </c>
      <c r="AB357" s="52"/>
      <c r="AC357" s="98">
        <f t="shared" si="74"/>
        <v>0</v>
      </c>
      <c r="AD357" s="98">
        <f t="shared" si="75"/>
        <v>0</v>
      </c>
      <c r="AE357" s="238" t="e">
        <f t="shared" si="76"/>
        <v>#DIV/0!</v>
      </c>
      <c r="AF357" s="125" t="e">
        <f t="shared" si="77"/>
        <v>#DIV/0!</v>
      </c>
      <c r="AG357" s="92"/>
    </row>
    <row r="358" spans="1:33" ht="14.4">
      <c r="A358" s="270"/>
      <c r="B358" s="97">
        <f t="shared" si="65"/>
        <v>31</v>
      </c>
      <c r="C358" s="325"/>
      <c r="D358" s="260"/>
      <c r="E358" s="95"/>
      <c r="G358" s="52"/>
      <c r="H358" s="52"/>
      <c r="I358" s="256"/>
      <c r="J358" s="98">
        <f t="shared" si="66"/>
        <v>0</v>
      </c>
      <c r="K358" s="118" t="e">
        <f t="shared" si="67"/>
        <v>#DIV/0!</v>
      </c>
      <c r="L358" s="15"/>
      <c r="M358" s="15"/>
      <c r="N358" s="15">
        <f t="shared" si="68"/>
        <v>0</v>
      </c>
      <c r="O358" s="70" t="e">
        <f t="shared" si="69"/>
        <v>#N/A</v>
      </c>
      <c r="P358" s="70" t="e">
        <f>VLOOKUP(C358,'[1]Profit and Loss agt new'!$D$17:$E$52,2,)</f>
        <v>#N/A</v>
      </c>
      <c r="Q358" s="70" t="e">
        <f t="shared" si="70"/>
        <v>#N/A</v>
      </c>
      <c r="R358" s="70"/>
      <c r="S358" s="70"/>
      <c r="T358" s="70"/>
      <c r="U358" s="15"/>
      <c r="V358" s="70" t="e">
        <f t="shared" si="71"/>
        <v>#DIV/0!</v>
      </c>
      <c r="W358" s="15"/>
      <c r="X358" s="15"/>
      <c r="Y358" s="15">
        <f t="shared" si="72"/>
        <v>0</v>
      </c>
      <c r="Z358" s="52"/>
      <c r="AA358" s="98">
        <f t="shared" si="73"/>
        <v>0</v>
      </c>
      <c r="AB358" s="52"/>
      <c r="AC358" s="98">
        <f t="shared" si="74"/>
        <v>0</v>
      </c>
      <c r="AD358" s="98" t="e">
        <f t="shared" si="75"/>
        <v>#N/A</v>
      </c>
      <c r="AE358" s="238" t="e">
        <f t="shared" si="76"/>
        <v>#DIV/0!</v>
      </c>
      <c r="AF358" s="125" t="e">
        <f t="shared" si="77"/>
        <v>#N/A</v>
      </c>
      <c r="AG358" s="92"/>
    </row>
    <row r="359" spans="1:33" ht="14.4">
      <c r="A359" s="270"/>
      <c r="B359" s="97">
        <f t="shared" si="65"/>
        <v>31</v>
      </c>
      <c r="C359" s="325"/>
      <c r="D359" s="260"/>
      <c r="E359" s="95"/>
      <c r="G359" s="52"/>
      <c r="H359" s="52"/>
      <c r="I359" s="256"/>
      <c r="J359" s="98">
        <f t="shared" si="66"/>
        <v>0</v>
      </c>
      <c r="K359" s="118" t="e">
        <f t="shared" si="67"/>
        <v>#DIV/0!</v>
      </c>
      <c r="L359" s="15"/>
      <c r="M359" s="15"/>
      <c r="N359" s="15">
        <f t="shared" si="68"/>
        <v>0</v>
      </c>
      <c r="O359" s="70" t="e">
        <f t="shared" si="69"/>
        <v>#DIV/0!</v>
      </c>
      <c r="P359" s="70"/>
      <c r="Q359" s="70">
        <f t="shared" si="70"/>
        <v>0</v>
      </c>
      <c r="R359" s="70"/>
      <c r="S359" s="70"/>
      <c r="T359" s="70"/>
      <c r="U359" s="15"/>
      <c r="V359" s="70" t="e">
        <f t="shared" si="71"/>
        <v>#DIV/0!</v>
      </c>
      <c r="W359" s="15"/>
      <c r="X359" s="15"/>
      <c r="Y359" s="15">
        <f t="shared" si="72"/>
        <v>0</v>
      </c>
      <c r="Z359" s="52"/>
      <c r="AA359" s="98">
        <f t="shared" si="73"/>
        <v>0</v>
      </c>
      <c r="AB359" s="52"/>
      <c r="AC359" s="98">
        <f t="shared" si="74"/>
        <v>0</v>
      </c>
      <c r="AD359" s="98">
        <f t="shared" si="75"/>
        <v>0</v>
      </c>
      <c r="AE359" s="238" t="e">
        <f t="shared" si="76"/>
        <v>#DIV/0!</v>
      </c>
      <c r="AF359" s="125" t="e">
        <f t="shared" si="77"/>
        <v>#DIV/0!</v>
      </c>
      <c r="AG359" s="92"/>
    </row>
    <row r="360" spans="1:33" ht="14.4">
      <c r="A360" s="270"/>
      <c r="B360" s="97">
        <f t="shared" si="65"/>
        <v>31</v>
      </c>
      <c r="C360" s="325"/>
      <c r="D360" s="260"/>
      <c r="E360" s="95"/>
      <c r="G360" s="52"/>
      <c r="H360" s="52"/>
      <c r="I360" s="256"/>
      <c r="J360" s="98">
        <f t="shared" si="66"/>
        <v>0</v>
      </c>
      <c r="K360" s="118" t="e">
        <f t="shared" si="67"/>
        <v>#DIV/0!</v>
      </c>
      <c r="L360" s="15"/>
      <c r="M360" s="15"/>
      <c r="N360" s="15">
        <f t="shared" si="68"/>
        <v>0</v>
      </c>
      <c r="O360" s="70" t="e">
        <f t="shared" si="69"/>
        <v>#DIV/0!</v>
      </c>
      <c r="P360" s="70"/>
      <c r="Q360" s="70">
        <f t="shared" si="70"/>
        <v>0</v>
      </c>
      <c r="R360" s="70"/>
      <c r="S360" s="70"/>
      <c r="T360" s="70"/>
      <c r="U360" s="15"/>
      <c r="V360" s="70" t="e">
        <f t="shared" si="71"/>
        <v>#DIV/0!</v>
      </c>
      <c r="W360" s="15"/>
      <c r="X360" s="15"/>
      <c r="Y360" s="15">
        <f t="shared" si="72"/>
        <v>0</v>
      </c>
      <c r="Z360" s="52"/>
      <c r="AA360" s="98">
        <f t="shared" si="73"/>
        <v>0</v>
      </c>
      <c r="AB360" s="52"/>
      <c r="AC360" s="98">
        <f t="shared" si="74"/>
        <v>0</v>
      </c>
      <c r="AD360" s="98">
        <f t="shared" si="75"/>
        <v>0</v>
      </c>
      <c r="AE360" s="238" t="e">
        <f t="shared" si="76"/>
        <v>#DIV/0!</v>
      </c>
      <c r="AF360" s="125" t="e">
        <f t="shared" si="77"/>
        <v>#DIV/0!</v>
      </c>
      <c r="AG360" s="92"/>
    </row>
    <row r="361" spans="1:33" ht="14.4">
      <c r="A361" s="270"/>
      <c r="B361" s="97">
        <f t="shared" si="65"/>
        <v>31</v>
      </c>
      <c r="C361" s="325"/>
      <c r="D361" s="260"/>
      <c r="E361" s="95"/>
      <c r="G361" s="52"/>
      <c r="H361" s="52"/>
      <c r="I361" s="256"/>
      <c r="J361" s="98">
        <f t="shared" si="66"/>
        <v>0</v>
      </c>
      <c r="K361" s="118" t="e">
        <f t="shared" si="67"/>
        <v>#DIV/0!</v>
      </c>
      <c r="L361" s="15"/>
      <c r="M361" s="15"/>
      <c r="N361" s="15">
        <f t="shared" si="68"/>
        <v>0</v>
      </c>
      <c r="O361" s="70" t="e">
        <f t="shared" si="69"/>
        <v>#N/A</v>
      </c>
      <c r="P361" s="70" t="e">
        <f>VLOOKUP(C361,'[1]Profit and Loss agt new'!$D$17:$E$52,2,)</f>
        <v>#N/A</v>
      </c>
      <c r="Q361" s="70" t="e">
        <f t="shared" si="70"/>
        <v>#N/A</v>
      </c>
      <c r="R361" s="70"/>
      <c r="S361" s="70"/>
      <c r="T361" s="70"/>
      <c r="U361" s="15"/>
      <c r="V361" s="70" t="e">
        <f t="shared" si="71"/>
        <v>#DIV/0!</v>
      </c>
      <c r="W361" s="15"/>
      <c r="X361" s="15"/>
      <c r="Y361" s="15">
        <f t="shared" si="72"/>
        <v>0</v>
      </c>
      <c r="Z361" s="52"/>
      <c r="AA361" s="98">
        <f t="shared" si="73"/>
        <v>0</v>
      </c>
      <c r="AB361" s="52"/>
      <c r="AC361" s="98">
        <f t="shared" si="74"/>
        <v>0</v>
      </c>
      <c r="AD361" s="98" t="e">
        <f t="shared" si="75"/>
        <v>#N/A</v>
      </c>
      <c r="AE361" s="238" t="e">
        <f t="shared" si="76"/>
        <v>#DIV/0!</v>
      </c>
      <c r="AF361" s="125" t="e">
        <f t="shared" si="77"/>
        <v>#N/A</v>
      </c>
      <c r="AG361" s="92"/>
    </row>
    <row r="362" spans="1:33" ht="14.4">
      <c r="A362" s="270"/>
      <c r="B362" s="97">
        <f t="shared" si="65"/>
        <v>31</v>
      </c>
      <c r="C362" s="325"/>
      <c r="D362" s="260"/>
      <c r="E362" s="95"/>
      <c r="G362" s="52"/>
      <c r="H362" s="52"/>
      <c r="I362" s="256"/>
      <c r="J362" s="98">
        <f t="shared" si="66"/>
        <v>0</v>
      </c>
      <c r="K362" s="118" t="e">
        <f t="shared" si="67"/>
        <v>#DIV/0!</v>
      </c>
      <c r="L362" s="15"/>
      <c r="M362" s="15"/>
      <c r="N362" s="15">
        <f t="shared" si="68"/>
        <v>0</v>
      </c>
      <c r="O362" s="70" t="e">
        <f t="shared" si="69"/>
        <v>#DIV/0!</v>
      </c>
      <c r="P362" s="70"/>
      <c r="Q362" s="70">
        <f t="shared" si="70"/>
        <v>0</v>
      </c>
      <c r="R362" s="70"/>
      <c r="S362" s="70"/>
      <c r="T362" s="70"/>
      <c r="U362" s="15"/>
      <c r="V362" s="70" t="e">
        <f t="shared" si="71"/>
        <v>#DIV/0!</v>
      </c>
      <c r="W362" s="15"/>
      <c r="X362" s="15"/>
      <c r="Y362" s="15">
        <f t="shared" si="72"/>
        <v>0</v>
      </c>
      <c r="Z362" s="52"/>
      <c r="AA362" s="98">
        <f t="shared" si="73"/>
        <v>0</v>
      </c>
      <c r="AB362" s="52"/>
      <c r="AC362" s="98">
        <f t="shared" si="74"/>
        <v>0</v>
      </c>
      <c r="AD362" s="98">
        <f t="shared" si="75"/>
        <v>0</v>
      </c>
      <c r="AE362" s="238" t="e">
        <f t="shared" si="76"/>
        <v>#DIV/0!</v>
      </c>
      <c r="AF362" s="125" t="e">
        <f t="shared" si="77"/>
        <v>#DIV/0!</v>
      </c>
      <c r="AG362" s="92"/>
    </row>
    <row r="363" spans="1:33" ht="14.4">
      <c r="A363" s="270"/>
      <c r="B363" s="97">
        <f t="shared" si="65"/>
        <v>31</v>
      </c>
      <c r="C363" s="325"/>
      <c r="D363" s="260"/>
      <c r="E363" s="95"/>
      <c r="G363" s="52"/>
      <c r="H363" s="52"/>
      <c r="I363" s="256"/>
      <c r="J363" s="98">
        <f t="shared" si="66"/>
        <v>0</v>
      </c>
      <c r="K363" s="118" t="e">
        <f t="shared" si="67"/>
        <v>#DIV/0!</v>
      </c>
      <c r="L363" s="15"/>
      <c r="M363" s="15"/>
      <c r="N363" s="15">
        <f t="shared" si="68"/>
        <v>0</v>
      </c>
      <c r="O363" s="70" t="e">
        <f t="shared" si="69"/>
        <v>#DIV/0!</v>
      </c>
      <c r="P363" s="70"/>
      <c r="Q363" s="70">
        <f t="shared" si="70"/>
        <v>0</v>
      </c>
      <c r="R363" s="70"/>
      <c r="S363" s="70"/>
      <c r="T363" s="70"/>
      <c r="U363" s="15"/>
      <c r="V363" s="70" t="e">
        <f t="shared" si="71"/>
        <v>#DIV/0!</v>
      </c>
      <c r="W363" s="15"/>
      <c r="X363" s="15"/>
      <c r="Y363" s="15">
        <f t="shared" si="72"/>
        <v>0</v>
      </c>
      <c r="Z363" s="52"/>
      <c r="AA363" s="98">
        <f t="shared" si="73"/>
        <v>0</v>
      </c>
      <c r="AB363" s="52"/>
      <c r="AC363" s="98">
        <f t="shared" si="74"/>
        <v>0</v>
      </c>
      <c r="AD363" s="98">
        <f t="shared" si="75"/>
        <v>0</v>
      </c>
      <c r="AE363" s="238" t="e">
        <f t="shared" si="76"/>
        <v>#DIV/0!</v>
      </c>
      <c r="AF363" s="125" t="e">
        <f t="shared" si="77"/>
        <v>#DIV/0!</v>
      </c>
      <c r="AG363" s="92"/>
    </row>
    <row r="364" spans="1:33" ht="14.4">
      <c r="A364" s="270"/>
      <c r="B364" s="97">
        <f t="shared" si="65"/>
        <v>31</v>
      </c>
      <c r="C364" s="325"/>
      <c r="D364" s="260"/>
      <c r="E364" s="95"/>
      <c r="G364" s="52"/>
      <c r="H364" s="52"/>
      <c r="I364" s="256"/>
      <c r="J364" s="98">
        <f t="shared" si="66"/>
        <v>0</v>
      </c>
      <c r="K364" s="118" t="e">
        <f t="shared" si="67"/>
        <v>#DIV/0!</v>
      </c>
      <c r="L364" s="15"/>
      <c r="M364" s="15"/>
      <c r="N364" s="15">
        <f t="shared" si="68"/>
        <v>0</v>
      </c>
      <c r="O364" s="70" t="e">
        <f t="shared" si="69"/>
        <v>#DIV/0!</v>
      </c>
      <c r="P364" s="70"/>
      <c r="Q364" s="70">
        <f t="shared" si="70"/>
        <v>0</v>
      </c>
      <c r="R364" s="70"/>
      <c r="S364" s="70"/>
      <c r="T364" s="70"/>
      <c r="U364" s="15"/>
      <c r="V364" s="70" t="e">
        <f t="shared" si="71"/>
        <v>#DIV/0!</v>
      </c>
      <c r="W364" s="15"/>
      <c r="X364" s="15"/>
      <c r="Y364" s="15">
        <f t="shared" si="72"/>
        <v>0</v>
      </c>
      <c r="Z364" s="52"/>
      <c r="AA364" s="98">
        <f t="shared" si="73"/>
        <v>0</v>
      </c>
      <c r="AB364" s="52"/>
      <c r="AC364" s="98">
        <f t="shared" si="74"/>
        <v>0</v>
      </c>
      <c r="AD364" s="98">
        <f t="shared" si="75"/>
        <v>0</v>
      </c>
      <c r="AE364" s="238" t="e">
        <f t="shared" si="76"/>
        <v>#DIV/0!</v>
      </c>
      <c r="AF364" s="125" t="e">
        <f t="shared" si="77"/>
        <v>#DIV/0!</v>
      </c>
      <c r="AG364" s="92"/>
    </row>
    <row r="365" spans="1:33" ht="14.4">
      <c r="A365" s="270"/>
      <c r="B365" s="97">
        <f t="shared" si="65"/>
        <v>31</v>
      </c>
      <c r="C365" s="325"/>
      <c r="D365" s="260"/>
      <c r="E365" s="95"/>
      <c r="G365" s="52"/>
      <c r="H365" s="52"/>
      <c r="I365" s="256"/>
      <c r="J365" s="98">
        <f t="shared" si="66"/>
        <v>0</v>
      </c>
      <c r="K365" s="118" t="e">
        <f t="shared" si="67"/>
        <v>#DIV/0!</v>
      </c>
      <c r="L365" s="15"/>
      <c r="M365" s="15"/>
      <c r="N365" s="15">
        <f t="shared" si="68"/>
        <v>0</v>
      </c>
      <c r="O365" s="70" t="e">
        <f t="shared" si="69"/>
        <v>#DIV/0!</v>
      </c>
      <c r="P365" s="70"/>
      <c r="Q365" s="70">
        <f t="shared" si="70"/>
        <v>0</v>
      </c>
      <c r="R365" s="70"/>
      <c r="S365" s="70"/>
      <c r="T365" s="70"/>
      <c r="U365" s="15"/>
      <c r="V365" s="70" t="e">
        <f t="shared" si="71"/>
        <v>#DIV/0!</v>
      </c>
      <c r="W365" s="15"/>
      <c r="X365" s="15"/>
      <c r="Y365" s="15">
        <f t="shared" si="72"/>
        <v>0</v>
      </c>
      <c r="Z365" s="52"/>
      <c r="AA365" s="98">
        <f t="shared" si="73"/>
        <v>0</v>
      </c>
      <c r="AB365" s="52"/>
      <c r="AC365" s="98">
        <f t="shared" si="74"/>
        <v>0</v>
      </c>
      <c r="AD365" s="98">
        <f t="shared" si="75"/>
        <v>0</v>
      </c>
      <c r="AE365" s="238" t="e">
        <f t="shared" si="76"/>
        <v>#DIV/0!</v>
      </c>
      <c r="AF365" s="125" t="e">
        <f t="shared" si="77"/>
        <v>#DIV/0!</v>
      </c>
      <c r="AG365" s="92"/>
    </row>
    <row r="366" spans="1:33" ht="14.4">
      <c r="A366" s="270"/>
      <c r="B366" s="97">
        <f t="shared" si="65"/>
        <v>31</v>
      </c>
      <c r="C366" s="325"/>
      <c r="D366" s="260"/>
      <c r="E366" s="95"/>
      <c r="G366" s="52"/>
      <c r="H366" s="52"/>
      <c r="I366" s="256"/>
      <c r="J366" s="98">
        <f t="shared" si="66"/>
        <v>0</v>
      </c>
      <c r="K366" s="118" t="e">
        <f t="shared" si="67"/>
        <v>#DIV/0!</v>
      </c>
      <c r="L366" s="15"/>
      <c r="M366" s="15"/>
      <c r="N366" s="15">
        <f t="shared" si="68"/>
        <v>0</v>
      </c>
      <c r="O366" s="70" t="e">
        <f t="shared" si="69"/>
        <v>#DIV/0!</v>
      </c>
      <c r="P366" s="70"/>
      <c r="Q366" s="70">
        <f t="shared" si="70"/>
        <v>0</v>
      </c>
      <c r="R366" s="70"/>
      <c r="S366" s="70"/>
      <c r="T366" s="70"/>
      <c r="U366" s="15"/>
      <c r="V366" s="70" t="e">
        <f t="shared" si="71"/>
        <v>#DIV/0!</v>
      </c>
      <c r="W366" s="15"/>
      <c r="X366" s="15"/>
      <c r="Y366" s="15">
        <f t="shared" si="72"/>
        <v>0</v>
      </c>
      <c r="Z366" s="52"/>
      <c r="AA366" s="98">
        <f t="shared" si="73"/>
        <v>0</v>
      </c>
      <c r="AB366" s="52"/>
      <c r="AC366" s="98">
        <f t="shared" si="74"/>
        <v>0</v>
      </c>
      <c r="AD366" s="98">
        <f t="shared" si="75"/>
        <v>0</v>
      </c>
      <c r="AE366" s="238" t="e">
        <f t="shared" si="76"/>
        <v>#DIV/0!</v>
      </c>
      <c r="AF366" s="125" t="e">
        <f t="shared" si="77"/>
        <v>#DIV/0!</v>
      </c>
      <c r="AG366" s="92"/>
    </row>
    <row r="367" spans="1:33" ht="14.4">
      <c r="A367" s="270"/>
      <c r="B367" s="97">
        <f t="shared" si="65"/>
        <v>31</v>
      </c>
      <c r="C367" s="325"/>
      <c r="D367" s="260"/>
      <c r="E367" s="95"/>
      <c r="G367" s="52"/>
      <c r="H367" s="52"/>
      <c r="I367" s="256"/>
      <c r="J367" s="98">
        <f t="shared" si="66"/>
        <v>0</v>
      </c>
      <c r="K367" s="118" t="e">
        <f t="shared" si="67"/>
        <v>#DIV/0!</v>
      </c>
      <c r="L367" s="15"/>
      <c r="M367" s="15"/>
      <c r="N367" s="15">
        <f t="shared" si="68"/>
        <v>0</v>
      </c>
      <c r="O367" s="70" t="e">
        <f t="shared" si="69"/>
        <v>#DIV/0!</v>
      </c>
      <c r="P367" s="70"/>
      <c r="Q367" s="70">
        <f t="shared" si="70"/>
        <v>0</v>
      </c>
      <c r="R367" s="70"/>
      <c r="S367" s="70"/>
      <c r="T367" s="70"/>
      <c r="U367" s="15"/>
      <c r="V367" s="70" t="e">
        <f t="shared" si="71"/>
        <v>#DIV/0!</v>
      </c>
      <c r="W367" s="15"/>
      <c r="X367" s="15"/>
      <c r="Y367" s="15">
        <f t="shared" si="72"/>
        <v>0</v>
      </c>
      <c r="Z367" s="52"/>
      <c r="AA367" s="98">
        <f t="shared" si="73"/>
        <v>0</v>
      </c>
      <c r="AB367" s="52"/>
      <c r="AC367" s="98">
        <f t="shared" si="74"/>
        <v>0</v>
      </c>
      <c r="AD367" s="98">
        <f t="shared" si="75"/>
        <v>0</v>
      </c>
      <c r="AE367" s="238" t="e">
        <f t="shared" si="76"/>
        <v>#DIV/0!</v>
      </c>
      <c r="AF367" s="125" t="e">
        <f t="shared" si="77"/>
        <v>#DIV/0!</v>
      </c>
      <c r="AG367" s="92"/>
    </row>
    <row r="368" spans="1:33" ht="14.4">
      <c r="A368" s="270"/>
      <c r="B368" s="97">
        <f t="shared" si="65"/>
        <v>31</v>
      </c>
      <c r="C368" s="325"/>
      <c r="D368" s="260"/>
      <c r="E368" s="95"/>
      <c r="G368" s="52"/>
      <c r="H368" s="52"/>
      <c r="I368" s="256"/>
      <c r="J368" s="98">
        <f t="shared" si="66"/>
        <v>0</v>
      </c>
      <c r="K368" s="118" t="e">
        <f t="shared" si="67"/>
        <v>#DIV/0!</v>
      </c>
      <c r="L368" s="15"/>
      <c r="M368" s="15"/>
      <c r="N368" s="15">
        <f t="shared" si="68"/>
        <v>0</v>
      </c>
      <c r="O368" s="70" t="e">
        <f t="shared" si="69"/>
        <v>#N/A</v>
      </c>
      <c r="P368" s="70" t="e">
        <f>VLOOKUP(C368,'[1]Profit and Loss agt new'!$D$17:$E$52,2,)</f>
        <v>#N/A</v>
      </c>
      <c r="Q368" s="70" t="e">
        <f t="shared" si="70"/>
        <v>#N/A</v>
      </c>
      <c r="R368" s="70"/>
      <c r="S368" s="70"/>
      <c r="T368" s="70"/>
      <c r="U368" s="15"/>
      <c r="V368" s="70" t="e">
        <f t="shared" si="71"/>
        <v>#DIV/0!</v>
      </c>
      <c r="W368" s="15"/>
      <c r="X368" s="15"/>
      <c r="Y368" s="15">
        <f t="shared" si="72"/>
        <v>0</v>
      </c>
      <c r="Z368" s="52"/>
      <c r="AA368" s="98">
        <f t="shared" si="73"/>
        <v>0</v>
      </c>
      <c r="AB368" s="52"/>
      <c r="AC368" s="98">
        <f t="shared" si="74"/>
        <v>0</v>
      </c>
      <c r="AD368" s="98" t="e">
        <f t="shared" si="75"/>
        <v>#N/A</v>
      </c>
      <c r="AE368" s="238" t="e">
        <f t="shared" si="76"/>
        <v>#DIV/0!</v>
      </c>
      <c r="AF368" s="125" t="e">
        <f t="shared" si="77"/>
        <v>#N/A</v>
      </c>
      <c r="AG368" s="92"/>
    </row>
    <row r="369" spans="1:33" ht="14.4">
      <c r="A369" s="270"/>
      <c r="B369" s="97">
        <f t="shared" si="65"/>
        <v>31</v>
      </c>
      <c r="C369" s="325"/>
      <c r="D369" s="260"/>
      <c r="E369" s="95"/>
      <c r="G369" s="52"/>
      <c r="H369" s="52"/>
      <c r="I369" s="256"/>
      <c r="J369" s="98">
        <f t="shared" si="66"/>
        <v>0</v>
      </c>
      <c r="K369" s="118" t="e">
        <f t="shared" si="67"/>
        <v>#DIV/0!</v>
      </c>
      <c r="L369" s="15"/>
      <c r="M369" s="15"/>
      <c r="N369" s="15">
        <f t="shared" si="68"/>
        <v>0</v>
      </c>
      <c r="O369" s="70" t="e">
        <f t="shared" si="69"/>
        <v>#DIV/0!</v>
      </c>
      <c r="P369" s="70"/>
      <c r="Q369" s="70">
        <f t="shared" si="70"/>
        <v>0</v>
      </c>
      <c r="R369" s="70"/>
      <c r="S369" s="70"/>
      <c r="T369" s="70"/>
      <c r="U369" s="15"/>
      <c r="V369" s="70" t="e">
        <f t="shared" si="71"/>
        <v>#DIV/0!</v>
      </c>
      <c r="W369" s="15"/>
      <c r="X369" s="15"/>
      <c r="Y369" s="15">
        <f t="shared" si="72"/>
        <v>0</v>
      </c>
      <c r="Z369" s="52"/>
      <c r="AA369" s="98">
        <f t="shared" si="73"/>
        <v>0</v>
      </c>
      <c r="AB369" s="52"/>
      <c r="AC369" s="98">
        <f t="shared" si="74"/>
        <v>0</v>
      </c>
      <c r="AD369" s="98">
        <f t="shared" si="75"/>
        <v>0</v>
      </c>
      <c r="AE369" s="238" t="e">
        <f t="shared" si="76"/>
        <v>#DIV/0!</v>
      </c>
      <c r="AF369" s="125" t="e">
        <f t="shared" si="77"/>
        <v>#DIV/0!</v>
      </c>
      <c r="AG369" s="92"/>
    </row>
    <row r="370" spans="1:33" ht="14.4">
      <c r="A370" s="270"/>
      <c r="B370" s="97">
        <f t="shared" si="65"/>
        <v>31</v>
      </c>
      <c r="C370" s="325"/>
      <c r="D370" s="260"/>
      <c r="E370" s="95"/>
      <c r="G370" s="52"/>
      <c r="H370" s="52"/>
      <c r="I370" s="256"/>
      <c r="J370" s="98">
        <f t="shared" si="66"/>
        <v>0</v>
      </c>
      <c r="K370" s="118" t="e">
        <f t="shared" si="67"/>
        <v>#DIV/0!</v>
      </c>
      <c r="L370" s="15"/>
      <c r="M370" s="15"/>
      <c r="N370" s="15">
        <f t="shared" si="68"/>
        <v>0</v>
      </c>
      <c r="O370" s="70" t="e">
        <f t="shared" si="69"/>
        <v>#DIV/0!</v>
      </c>
      <c r="P370" s="70"/>
      <c r="Q370" s="70">
        <f t="shared" si="70"/>
        <v>0</v>
      </c>
      <c r="R370" s="70"/>
      <c r="S370" s="70"/>
      <c r="T370" s="70"/>
      <c r="U370" s="15"/>
      <c r="V370" s="70" t="e">
        <f t="shared" si="71"/>
        <v>#DIV/0!</v>
      </c>
      <c r="W370" s="15"/>
      <c r="X370" s="15"/>
      <c r="Y370" s="15">
        <f t="shared" si="72"/>
        <v>0</v>
      </c>
      <c r="Z370" s="52"/>
      <c r="AA370" s="98">
        <f t="shared" si="73"/>
        <v>0</v>
      </c>
      <c r="AB370" s="52"/>
      <c r="AC370" s="98">
        <f t="shared" si="74"/>
        <v>0</v>
      </c>
      <c r="AD370" s="98">
        <f t="shared" si="75"/>
        <v>0</v>
      </c>
      <c r="AE370" s="238" t="e">
        <f t="shared" si="76"/>
        <v>#DIV/0!</v>
      </c>
      <c r="AF370" s="125" t="e">
        <f t="shared" si="77"/>
        <v>#DIV/0!</v>
      </c>
      <c r="AG370" s="92"/>
    </row>
    <row r="371" spans="1:33" ht="14.4">
      <c r="A371" s="270"/>
      <c r="B371" s="97">
        <f t="shared" si="65"/>
        <v>31</v>
      </c>
      <c r="C371" s="325"/>
      <c r="D371" s="260"/>
      <c r="E371" s="95"/>
      <c r="G371" s="52"/>
      <c r="H371" s="52"/>
      <c r="I371" s="256"/>
      <c r="J371" s="98">
        <f t="shared" si="66"/>
        <v>0</v>
      </c>
      <c r="K371" s="118" t="e">
        <f t="shared" si="67"/>
        <v>#DIV/0!</v>
      </c>
      <c r="L371" s="15"/>
      <c r="M371" s="15"/>
      <c r="N371" s="15">
        <f t="shared" si="68"/>
        <v>0</v>
      </c>
      <c r="O371" s="70" t="e">
        <f t="shared" si="69"/>
        <v>#DIV/0!</v>
      </c>
      <c r="P371" s="70"/>
      <c r="Q371" s="70">
        <f t="shared" si="70"/>
        <v>0</v>
      </c>
      <c r="R371" s="70"/>
      <c r="S371" s="70"/>
      <c r="T371" s="70"/>
      <c r="U371" s="15"/>
      <c r="V371" s="70" t="e">
        <f t="shared" si="71"/>
        <v>#DIV/0!</v>
      </c>
      <c r="W371" s="15"/>
      <c r="X371" s="15"/>
      <c r="Y371" s="15">
        <f t="shared" si="72"/>
        <v>0</v>
      </c>
      <c r="Z371" s="52"/>
      <c r="AA371" s="98">
        <f t="shared" si="73"/>
        <v>0</v>
      </c>
      <c r="AB371" s="52"/>
      <c r="AC371" s="98">
        <f t="shared" si="74"/>
        <v>0</v>
      </c>
      <c r="AD371" s="98">
        <f t="shared" si="75"/>
        <v>0</v>
      </c>
      <c r="AE371" s="238" t="e">
        <f t="shared" si="76"/>
        <v>#DIV/0!</v>
      </c>
      <c r="AF371" s="125" t="e">
        <f t="shared" si="77"/>
        <v>#DIV/0!</v>
      </c>
      <c r="AG371" s="92"/>
    </row>
    <row r="372" spans="1:33" ht="14.4">
      <c r="A372" s="270"/>
      <c r="B372" s="97">
        <f t="shared" si="65"/>
        <v>31</v>
      </c>
      <c r="C372" s="325"/>
      <c r="D372" s="260"/>
      <c r="E372" s="95"/>
      <c r="G372" s="52"/>
      <c r="H372" s="52"/>
      <c r="I372" s="256"/>
      <c r="J372" s="98">
        <f t="shared" si="66"/>
        <v>0</v>
      </c>
      <c r="K372" s="118" t="e">
        <f t="shared" si="67"/>
        <v>#DIV/0!</v>
      </c>
      <c r="L372" s="15"/>
      <c r="M372" s="15"/>
      <c r="N372" s="15">
        <f t="shared" si="68"/>
        <v>0</v>
      </c>
      <c r="O372" s="70" t="e">
        <f t="shared" si="69"/>
        <v>#DIV/0!</v>
      </c>
      <c r="P372" s="70"/>
      <c r="Q372" s="70">
        <f t="shared" si="70"/>
        <v>0</v>
      </c>
      <c r="R372" s="70"/>
      <c r="S372" s="70"/>
      <c r="T372" s="70"/>
      <c r="U372" s="15"/>
      <c r="V372" s="70" t="e">
        <f t="shared" si="71"/>
        <v>#DIV/0!</v>
      </c>
      <c r="W372" s="15"/>
      <c r="X372" s="15"/>
      <c r="Y372" s="15">
        <f t="shared" si="72"/>
        <v>0</v>
      </c>
      <c r="Z372" s="52"/>
      <c r="AA372" s="98">
        <f t="shared" si="73"/>
        <v>0</v>
      </c>
      <c r="AB372" s="52"/>
      <c r="AC372" s="98">
        <f t="shared" si="74"/>
        <v>0</v>
      </c>
      <c r="AD372" s="98">
        <f t="shared" si="75"/>
        <v>0</v>
      </c>
      <c r="AE372" s="238" t="e">
        <f t="shared" si="76"/>
        <v>#DIV/0!</v>
      </c>
      <c r="AF372" s="125" t="e">
        <f t="shared" si="77"/>
        <v>#DIV/0!</v>
      </c>
      <c r="AG372" s="92"/>
    </row>
    <row r="373" spans="1:33" ht="14.4">
      <c r="A373" s="270"/>
      <c r="B373" s="97">
        <f t="shared" si="65"/>
        <v>31</v>
      </c>
      <c r="C373" s="325"/>
      <c r="D373" s="260"/>
      <c r="E373" s="95"/>
      <c r="G373" s="52"/>
      <c r="H373" s="52"/>
      <c r="I373" s="256"/>
      <c r="J373" s="98">
        <f t="shared" si="66"/>
        <v>0</v>
      </c>
      <c r="K373" s="118" t="e">
        <f t="shared" si="67"/>
        <v>#DIV/0!</v>
      </c>
      <c r="L373" s="15"/>
      <c r="M373" s="15"/>
      <c r="N373" s="15">
        <f t="shared" si="68"/>
        <v>0</v>
      </c>
      <c r="O373" s="70" t="e">
        <f t="shared" si="69"/>
        <v>#N/A</v>
      </c>
      <c r="P373" s="70" t="e">
        <f>VLOOKUP(C373,'[1]Profit and Loss agt new'!$D$17:$E$52,2,)</f>
        <v>#N/A</v>
      </c>
      <c r="Q373" s="70" t="e">
        <f t="shared" si="70"/>
        <v>#N/A</v>
      </c>
      <c r="R373" s="70"/>
      <c r="S373" s="70"/>
      <c r="T373" s="70"/>
      <c r="U373" s="15"/>
      <c r="V373" s="70" t="e">
        <f t="shared" si="71"/>
        <v>#DIV/0!</v>
      </c>
      <c r="W373" s="15"/>
      <c r="X373" s="15"/>
      <c r="Y373" s="15">
        <f t="shared" si="72"/>
        <v>0</v>
      </c>
      <c r="Z373" s="52"/>
      <c r="AA373" s="98">
        <f t="shared" si="73"/>
        <v>0</v>
      </c>
      <c r="AB373" s="52"/>
      <c r="AC373" s="98">
        <f t="shared" si="74"/>
        <v>0</v>
      </c>
      <c r="AD373" s="98" t="e">
        <f t="shared" si="75"/>
        <v>#N/A</v>
      </c>
      <c r="AE373" s="238" t="e">
        <f t="shared" si="76"/>
        <v>#DIV/0!</v>
      </c>
      <c r="AF373" s="125" t="e">
        <f t="shared" si="77"/>
        <v>#N/A</v>
      </c>
      <c r="AG373" s="92"/>
    </row>
    <row r="374" spans="1:33" ht="14.4">
      <c r="A374" s="270"/>
      <c r="B374" s="97">
        <f t="shared" si="65"/>
        <v>31</v>
      </c>
      <c r="C374" s="325"/>
      <c r="D374" s="260"/>
      <c r="E374" s="95"/>
      <c r="G374" s="52"/>
      <c r="H374" s="52"/>
      <c r="I374" s="256"/>
      <c r="J374" s="98">
        <f t="shared" si="66"/>
        <v>0</v>
      </c>
      <c r="K374" s="118" t="e">
        <f t="shared" si="67"/>
        <v>#DIV/0!</v>
      </c>
      <c r="L374" s="15"/>
      <c r="M374" s="15"/>
      <c r="N374" s="15">
        <f t="shared" si="68"/>
        <v>0</v>
      </c>
      <c r="O374" s="70" t="e">
        <f t="shared" si="69"/>
        <v>#N/A</v>
      </c>
      <c r="P374" s="70" t="e">
        <f>VLOOKUP(C374,'[1]Profit and Loss agt new'!$D$17:$E$52,2,)</f>
        <v>#N/A</v>
      </c>
      <c r="Q374" s="70" t="e">
        <f t="shared" si="70"/>
        <v>#N/A</v>
      </c>
      <c r="R374" s="70"/>
      <c r="S374" s="70"/>
      <c r="T374" s="70"/>
      <c r="U374" s="15"/>
      <c r="V374" s="70" t="e">
        <f t="shared" si="71"/>
        <v>#DIV/0!</v>
      </c>
      <c r="W374" s="15"/>
      <c r="X374" s="15"/>
      <c r="Y374" s="15">
        <f t="shared" si="72"/>
        <v>0</v>
      </c>
      <c r="Z374" s="52"/>
      <c r="AA374" s="98">
        <f t="shared" si="73"/>
        <v>0</v>
      </c>
      <c r="AB374" s="52"/>
      <c r="AC374" s="98">
        <f t="shared" si="74"/>
        <v>0</v>
      </c>
      <c r="AD374" s="98" t="e">
        <f t="shared" si="75"/>
        <v>#N/A</v>
      </c>
      <c r="AE374" s="238" t="e">
        <f t="shared" si="76"/>
        <v>#DIV/0!</v>
      </c>
      <c r="AF374" s="125" t="e">
        <f t="shared" si="77"/>
        <v>#N/A</v>
      </c>
      <c r="AG374" s="92"/>
    </row>
    <row r="375" spans="1:33" ht="14.4">
      <c r="A375" s="270"/>
      <c r="B375" s="97">
        <f t="shared" si="65"/>
        <v>31</v>
      </c>
      <c r="C375" s="325"/>
      <c r="D375" s="260"/>
      <c r="E375" s="95"/>
      <c r="G375" s="52"/>
      <c r="H375" s="52"/>
      <c r="I375" s="256"/>
      <c r="J375" s="98">
        <f t="shared" si="66"/>
        <v>0</v>
      </c>
      <c r="K375" s="118" t="e">
        <f t="shared" si="67"/>
        <v>#DIV/0!</v>
      </c>
      <c r="L375" s="15"/>
      <c r="M375" s="15"/>
      <c r="N375" s="15">
        <f t="shared" si="68"/>
        <v>0</v>
      </c>
      <c r="O375" s="70" t="e">
        <f t="shared" si="69"/>
        <v>#DIV/0!</v>
      </c>
      <c r="P375" s="70"/>
      <c r="Q375" s="70">
        <f t="shared" si="70"/>
        <v>0</v>
      </c>
      <c r="R375" s="70"/>
      <c r="S375" s="70"/>
      <c r="T375" s="70"/>
      <c r="U375" s="15"/>
      <c r="V375" s="70" t="e">
        <f t="shared" si="71"/>
        <v>#DIV/0!</v>
      </c>
      <c r="W375" s="15"/>
      <c r="X375" s="15"/>
      <c r="Y375" s="15">
        <f t="shared" si="72"/>
        <v>0</v>
      </c>
      <c r="Z375" s="52"/>
      <c r="AA375" s="98">
        <f t="shared" si="73"/>
        <v>0</v>
      </c>
      <c r="AB375" s="52"/>
      <c r="AC375" s="98">
        <f t="shared" si="74"/>
        <v>0</v>
      </c>
      <c r="AD375" s="98">
        <f t="shared" si="75"/>
        <v>0</v>
      </c>
      <c r="AE375" s="238" t="e">
        <f t="shared" si="76"/>
        <v>#DIV/0!</v>
      </c>
      <c r="AF375" s="125" t="e">
        <f t="shared" si="77"/>
        <v>#DIV/0!</v>
      </c>
      <c r="AG375" s="92"/>
    </row>
    <row r="376" spans="1:33" ht="14.4">
      <c r="A376" s="270"/>
      <c r="B376" s="97">
        <f t="shared" si="65"/>
        <v>31</v>
      </c>
      <c r="C376" s="325"/>
      <c r="D376" s="260"/>
      <c r="E376" s="95"/>
      <c r="G376" s="52"/>
      <c r="H376" s="52"/>
      <c r="I376" s="256"/>
      <c r="J376" s="98">
        <f t="shared" si="66"/>
        <v>0</v>
      </c>
      <c r="K376" s="118" t="e">
        <f t="shared" si="67"/>
        <v>#DIV/0!</v>
      </c>
      <c r="L376" s="15"/>
      <c r="M376" s="15"/>
      <c r="N376" s="15">
        <f t="shared" si="68"/>
        <v>0</v>
      </c>
      <c r="O376" s="70" t="e">
        <f t="shared" si="69"/>
        <v>#DIV/0!</v>
      </c>
      <c r="P376" s="70"/>
      <c r="Q376" s="70">
        <f t="shared" si="70"/>
        <v>0</v>
      </c>
      <c r="R376" s="70"/>
      <c r="S376" s="70"/>
      <c r="T376" s="70"/>
      <c r="U376" s="15"/>
      <c r="V376" s="70" t="e">
        <f t="shared" si="71"/>
        <v>#DIV/0!</v>
      </c>
      <c r="W376" s="15"/>
      <c r="X376" s="15"/>
      <c r="Y376" s="15">
        <f t="shared" si="72"/>
        <v>0</v>
      </c>
      <c r="Z376" s="52"/>
      <c r="AA376" s="98">
        <f t="shared" si="73"/>
        <v>0</v>
      </c>
      <c r="AB376" s="52"/>
      <c r="AC376" s="98">
        <f t="shared" si="74"/>
        <v>0</v>
      </c>
      <c r="AD376" s="98">
        <f t="shared" si="75"/>
        <v>0</v>
      </c>
      <c r="AE376" s="238" t="e">
        <f t="shared" si="76"/>
        <v>#DIV/0!</v>
      </c>
      <c r="AF376" s="125" t="e">
        <f t="shared" si="77"/>
        <v>#DIV/0!</v>
      </c>
      <c r="AG376" s="92"/>
    </row>
    <row r="377" spans="1:33" ht="14.4">
      <c r="A377" s="270"/>
      <c r="B377" s="97">
        <f t="shared" si="65"/>
        <v>31</v>
      </c>
      <c r="C377" s="325"/>
      <c r="D377" s="260"/>
      <c r="E377" s="95"/>
      <c r="G377" s="52"/>
      <c r="H377" s="52"/>
      <c r="I377" s="256"/>
      <c r="J377" s="98">
        <f t="shared" si="66"/>
        <v>0</v>
      </c>
      <c r="K377" s="118" t="e">
        <f t="shared" si="67"/>
        <v>#DIV/0!</v>
      </c>
      <c r="L377" s="15"/>
      <c r="M377" s="15"/>
      <c r="N377" s="15">
        <f t="shared" si="68"/>
        <v>0</v>
      </c>
      <c r="O377" s="70" t="e">
        <f t="shared" si="69"/>
        <v>#DIV/0!</v>
      </c>
      <c r="P377" s="70"/>
      <c r="Q377" s="70">
        <f t="shared" si="70"/>
        <v>0</v>
      </c>
      <c r="R377" s="70"/>
      <c r="S377" s="70"/>
      <c r="T377" s="70"/>
      <c r="U377" s="15"/>
      <c r="V377" s="70" t="e">
        <f t="shared" si="71"/>
        <v>#DIV/0!</v>
      </c>
      <c r="W377" s="15"/>
      <c r="X377" s="15"/>
      <c r="Y377" s="15">
        <f t="shared" si="72"/>
        <v>0</v>
      </c>
      <c r="Z377" s="52"/>
      <c r="AA377" s="98">
        <f t="shared" si="73"/>
        <v>0</v>
      </c>
      <c r="AB377" s="52"/>
      <c r="AC377" s="98">
        <f t="shared" si="74"/>
        <v>0</v>
      </c>
      <c r="AD377" s="98">
        <f t="shared" si="75"/>
        <v>0</v>
      </c>
      <c r="AE377" s="238" t="e">
        <f t="shared" si="76"/>
        <v>#DIV/0!</v>
      </c>
      <c r="AF377" s="125" t="e">
        <f t="shared" si="77"/>
        <v>#DIV/0!</v>
      </c>
      <c r="AG377" s="92"/>
    </row>
    <row r="378" spans="1:33" ht="14.4">
      <c r="A378" s="270"/>
      <c r="B378" s="97">
        <f t="shared" si="65"/>
        <v>31</v>
      </c>
      <c r="C378" s="325"/>
      <c r="D378" s="260"/>
      <c r="E378" s="95"/>
      <c r="G378" s="52"/>
      <c r="H378" s="52"/>
      <c r="I378" s="256"/>
      <c r="J378" s="98">
        <f t="shared" si="66"/>
        <v>0</v>
      </c>
      <c r="K378" s="118" t="e">
        <f t="shared" si="67"/>
        <v>#DIV/0!</v>
      </c>
      <c r="L378" s="15"/>
      <c r="M378" s="15"/>
      <c r="N378" s="15">
        <f t="shared" si="68"/>
        <v>0</v>
      </c>
      <c r="O378" s="70" t="e">
        <f t="shared" si="69"/>
        <v>#DIV/0!</v>
      </c>
      <c r="P378" s="70"/>
      <c r="Q378" s="70">
        <f t="shared" si="70"/>
        <v>0</v>
      </c>
      <c r="R378" s="70"/>
      <c r="S378" s="70"/>
      <c r="T378" s="70"/>
      <c r="U378" s="15"/>
      <c r="V378" s="70" t="e">
        <f t="shared" si="71"/>
        <v>#DIV/0!</v>
      </c>
      <c r="W378" s="15"/>
      <c r="X378" s="15"/>
      <c r="Y378" s="15">
        <f t="shared" si="72"/>
        <v>0</v>
      </c>
      <c r="Z378" s="52"/>
      <c r="AA378" s="98">
        <f t="shared" si="73"/>
        <v>0</v>
      </c>
      <c r="AB378" s="52"/>
      <c r="AC378" s="98">
        <f t="shared" si="74"/>
        <v>0</v>
      </c>
      <c r="AD378" s="98">
        <f t="shared" si="75"/>
        <v>0</v>
      </c>
      <c r="AE378" s="238" t="e">
        <f t="shared" si="76"/>
        <v>#DIV/0!</v>
      </c>
      <c r="AF378" s="125" t="e">
        <f t="shared" si="77"/>
        <v>#DIV/0!</v>
      </c>
      <c r="AG378" s="92"/>
    </row>
    <row r="379" spans="1:33" ht="14.4">
      <c r="A379" s="270"/>
      <c r="B379" s="97">
        <f t="shared" si="65"/>
        <v>31</v>
      </c>
      <c r="C379" s="325"/>
      <c r="D379" s="260"/>
      <c r="E379" s="95"/>
      <c r="G379" s="52"/>
      <c r="H379" s="52"/>
      <c r="I379" s="256"/>
      <c r="J379" s="98">
        <f t="shared" si="66"/>
        <v>0</v>
      </c>
      <c r="K379" s="118" t="e">
        <f t="shared" si="67"/>
        <v>#DIV/0!</v>
      </c>
      <c r="L379" s="15"/>
      <c r="M379" s="15"/>
      <c r="N379" s="15">
        <f t="shared" si="68"/>
        <v>0</v>
      </c>
      <c r="O379" s="70" t="e">
        <f t="shared" si="69"/>
        <v>#DIV/0!</v>
      </c>
      <c r="P379" s="70"/>
      <c r="Q379" s="70">
        <f t="shared" si="70"/>
        <v>0</v>
      </c>
      <c r="R379" s="70"/>
      <c r="S379" s="70"/>
      <c r="T379" s="70"/>
      <c r="U379" s="15"/>
      <c r="V379" s="70" t="e">
        <f t="shared" si="71"/>
        <v>#DIV/0!</v>
      </c>
      <c r="W379" s="15"/>
      <c r="X379" s="15"/>
      <c r="Y379" s="15">
        <f t="shared" si="72"/>
        <v>0</v>
      </c>
      <c r="Z379" s="52"/>
      <c r="AA379" s="98">
        <f t="shared" si="73"/>
        <v>0</v>
      </c>
      <c r="AB379" s="52"/>
      <c r="AC379" s="98">
        <f t="shared" si="74"/>
        <v>0</v>
      </c>
      <c r="AD379" s="98">
        <f t="shared" si="75"/>
        <v>0</v>
      </c>
      <c r="AE379" s="238" t="e">
        <f t="shared" si="76"/>
        <v>#DIV/0!</v>
      </c>
      <c r="AF379" s="125" t="e">
        <f t="shared" si="77"/>
        <v>#DIV/0!</v>
      </c>
      <c r="AG379" s="92"/>
    </row>
    <row r="380" spans="1:33" ht="14.4">
      <c r="A380" s="270"/>
      <c r="B380" s="97">
        <f t="shared" si="65"/>
        <v>31</v>
      </c>
      <c r="C380" s="325"/>
      <c r="D380" s="260"/>
      <c r="E380" s="95"/>
      <c r="G380" s="52"/>
      <c r="H380" s="52"/>
      <c r="I380" s="256"/>
      <c r="J380" s="98">
        <f t="shared" si="66"/>
        <v>0</v>
      </c>
      <c r="K380" s="118" t="e">
        <f t="shared" si="67"/>
        <v>#DIV/0!</v>
      </c>
      <c r="L380" s="15"/>
      <c r="M380" s="15"/>
      <c r="N380" s="15">
        <f t="shared" si="68"/>
        <v>0</v>
      </c>
      <c r="O380" s="70" t="e">
        <f t="shared" si="69"/>
        <v>#DIV/0!</v>
      </c>
      <c r="P380" s="70"/>
      <c r="Q380" s="70">
        <f t="shared" si="70"/>
        <v>0</v>
      </c>
      <c r="R380" s="70"/>
      <c r="S380" s="70"/>
      <c r="T380" s="70"/>
      <c r="U380" s="15"/>
      <c r="V380" s="70" t="e">
        <f t="shared" si="71"/>
        <v>#DIV/0!</v>
      </c>
      <c r="W380" s="15"/>
      <c r="X380" s="15"/>
      <c r="Y380" s="15">
        <f t="shared" si="72"/>
        <v>0</v>
      </c>
      <c r="Z380" s="52"/>
      <c r="AA380" s="98">
        <f t="shared" si="73"/>
        <v>0</v>
      </c>
      <c r="AB380" s="52"/>
      <c r="AC380" s="98">
        <f t="shared" si="74"/>
        <v>0</v>
      </c>
      <c r="AD380" s="98">
        <f t="shared" si="75"/>
        <v>0</v>
      </c>
      <c r="AE380" s="238" t="e">
        <f t="shared" si="76"/>
        <v>#DIV/0!</v>
      </c>
      <c r="AF380" s="125" t="e">
        <f t="shared" si="77"/>
        <v>#DIV/0!</v>
      </c>
      <c r="AG380" s="92"/>
    </row>
    <row r="381" spans="1:33" ht="14.4">
      <c r="A381" s="270"/>
      <c r="B381" s="97">
        <f t="shared" si="65"/>
        <v>31</v>
      </c>
      <c r="C381" s="325"/>
      <c r="D381" s="260"/>
      <c r="E381" s="95"/>
      <c r="G381" s="52"/>
      <c r="H381" s="52"/>
      <c r="I381" s="256"/>
      <c r="J381" s="98">
        <f t="shared" si="66"/>
        <v>0</v>
      </c>
      <c r="K381" s="118" t="e">
        <f t="shared" si="67"/>
        <v>#DIV/0!</v>
      </c>
      <c r="L381" s="15"/>
      <c r="M381" s="15"/>
      <c r="N381" s="15">
        <f t="shared" si="68"/>
        <v>0</v>
      </c>
      <c r="O381" s="70" t="e">
        <f t="shared" si="69"/>
        <v>#DIV/0!</v>
      </c>
      <c r="P381" s="70"/>
      <c r="Q381" s="70">
        <f t="shared" si="70"/>
        <v>0</v>
      </c>
      <c r="R381" s="70"/>
      <c r="S381" s="70"/>
      <c r="T381" s="70"/>
      <c r="U381" s="15"/>
      <c r="V381" s="70" t="e">
        <f t="shared" si="71"/>
        <v>#DIV/0!</v>
      </c>
      <c r="W381" s="15"/>
      <c r="X381" s="15"/>
      <c r="Y381" s="15">
        <f t="shared" si="72"/>
        <v>0</v>
      </c>
      <c r="Z381" s="52"/>
      <c r="AA381" s="98">
        <f t="shared" si="73"/>
        <v>0</v>
      </c>
      <c r="AB381" s="52"/>
      <c r="AC381" s="98">
        <f t="shared" si="74"/>
        <v>0</v>
      </c>
      <c r="AD381" s="98">
        <f t="shared" si="75"/>
        <v>0</v>
      </c>
      <c r="AE381" s="238" t="e">
        <f t="shared" si="76"/>
        <v>#DIV/0!</v>
      </c>
      <c r="AF381" s="125" t="e">
        <f t="shared" si="77"/>
        <v>#DIV/0!</v>
      </c>
      <c r="AG381" s="92"/>
    </row>
    <row r="382" spans="1:33" ht="14.4">
      <c r="A382" s="270"/>
      <c r="B382" s="97">
        <f t="shared" si="65"/>
        <v>31</v>
      </c>
      <c r="C382" s="325"/>
      <c r="D382" s="260"/>
      <c r="E382" s="95"/>
      <c r="G382" s="52"/>
      <c r="H382" s="52"/>
      <c r="I382" s="256"/>
      <c r="J382" s="98">
        <f t="shared" si="66"/>
        <v>0</v>
      </c>
      <c r="K382" s="118" t="e">
        <f t="shared" si="67"/>
        <v>#DIV/0!</v>
      </c>
      <c r="L382" s="15"/>
      <c r="M382" s="15"/>
      <c r="N382" s="15">
        <f t="shared" si="68"/>
        <v>0</v>
      </c>
      <c r="O382" s="70" t="e">
        <f t="shared" si="69"/>
        <v>#DIV/0!</v>
      </c>
      <c r="P382" s="70"/>
      <c r="Q382" s="70">
        <f t="shared" si="70"/>
        <v>0</v>
      </c>
      <c r="R382" s="70"/>
      <c r="S382" s="70"/>
      <c r="T382" s="70"/>
      <c r="U382" s="15"/>
      <c r="V382" s="70" t="e">
        <f t="shared" si="71"/>
        <v>#DIV/0!</v>
      </c>
      <c r="W382" s="15"/>
      <c r="X382" s="15"/>
      <c r="Y382" s="15">
        <f t="shared" si="72"/>
        <v>0</v>
      </c>
      <c r="Z382" s="52"/>
      <c r="AA382" s="98">
        <f t="shared" si="73"/>
        <v>0</v>
      </c>
      <c r="AB382" s="52"/>
      <c r="AC382" s="98">
        <f t="shared" si="74"/>
        <v>0</v>
      </c>
      <c r="AD382" s="98">
        <f t="shared" si="75"/>
        <v>0</v>
      </c>
      <c r="AE382" s="238" t="e">
        <f t="shared" si="76"/>
        <v>#DIV/0!</v>
      </c>
      <c r="AF382" s="125" t="e">
        <f t="shared" si="77"/>
        <v>#DIV/0!</v>
      </c>
      <c r="AG382" s="92"/>
    </row>
    <row r="383" spans="1:33" ht="14.4">
      <c r="A383" s="270"/>
      <c r="B383" s="97">
        <f t="shared" si="65"/>
        <v>31</v>
      </c>
      <c r="C383" s="325"/>
      <c r="D383" s="260"/>
      <c r="E383" s="95"/>
      <c r="G383" s="52"/>
      <c r="H383" s="52"/>
      <c r="I383" s="256"/>
      <c r="J383" s="98">
        <f t="shared" si="66"/>
        <v>0</v>
      </c>
      <c r="K383" s="118" t="e">
        <f t="shared" si="67"/>
        <v>#DIV/0!</v>
      </c>
      <c r="L383" s="15"/>
      <c r="M383" s="15"/>
      <c r="N383" s="15">
        <f t="shared" si="68"/>
        <v>0</v>
      </c>
      <c r="O383" s="70" t="e">
        <f t="shared" si="69"/>
        <v>#DIV/0!</v>
      </c>
      <c r="P383" s="70"/>
      <c r="Q383" s="70">
        <f t="shared" si="70"/>
        <v>0</v>
      </c>
      <c r="R383" s="70"/>
      <c r="S383" s="70"/>
      <c r="T383" s="70"/>
      <c r="U383" s="15"/>
      <c r="V383" s="70" t="e">
        <f t="shared" si="71"/>
        <v>#DIV/0!</v>
      </c>
      <c r="W383" s="15"/>
      <c r="X383" s="15"/>
      <c r="Y383" s="15">
        <f t="shared" si="72"/>
        <v>0</v>
      </c>
      <c r="Z383" s="52"/>
      <c r="AA383" s="98">
        <f t="shared" si="73"/>
        <v>0</v>
      </c>
      <c r="AB383" s="52"/>
      <c r="AC383" s="98">
        <f t="shared" si="74"/>
        <v>0</v>
      </c>
      <c r="AD383" s="98">
        <f t="shared" si="75"/>
        <v>0</v>
      </c>
      <c r="AE383" s="238" t="e">
        <f t="shared" si="76"/>
        <v>#DIV/0!</v>
      </c>
      <c r="AF383" s="125" t="e">
        <f t="shared" si="77"/>
        <v>#DIV/0!</v>
      </c>
      <c r="AG383" s="92"/>
    </row>
    <row r="384" spans="1:33" ht="14.4">
      <c r="A384" s="270"/>
      <c r="B384" s="97">
        <f t="shared" si="65"/>
        <v>31</v>
      </c>
      <c r="C384" s="325"/>
      <c r="D384" s="260"/>
      <c r="E384" s="95"/>
      <c r="G384" s="52"/>
      <c r="H384" s="52"/>
      <c r="I384" s="256"/>
      <c r="J384" s="98">
        <f t="shared" si="66"/>
        <v>0</v>
      </c>
      <c r="K384" s="118" t="e">
        <f t="shared" si="67"/>
        <v>#DIV/0!</v>
      </c>
      <c r="L384" s="15"/>
      <c r="M384" s="15"/>
      <c r="N384" s="15">
        <f t="shared" si="68"/>
        <v>0</v>
      </c>
      <c r="O384" s="70" t="e">
        <f t="shared" si="69"/>
        <v>#DIV/0!</v>
      </c>
      <c r="P384" s="70"/>
      <c r="Q384" s="70">
        <f t="shared" si="70"/>
        <v>0</v>
      </c>
      <c r="R384" s="70"/>
      <c r="S384" s="70"/>
      <c r="T384" s="70"/>
      <c r="U384" s="15"/>
      <c r="V384" s="70" t="e">
        <f t="shared" si="71"/>
        <v>#DIV/0!</v>
      </c>
      <c r="W384" s="15"/>
      <c r="X384" s="15"/>
      <c r="Y384" s="15">
        <f t="shared" si="72"/>
        <v>0</v>
      </c>
      <c r="Z384" s="52"/>
      <c r="AA384" s="98">
        <f t="shared" si="73"/>
        <v>0</v>
      </c>
      <c r="AB384" s="52"/>
      <c r="AC384" s="98">
        <f t="shared" si="74"/>
        <v>0</v>
      </c>
      <c r="AD384" s="98">
        <f t="shared" si="75"/>
        <v>0</v>
      </c>
      <c r="AE384" s="238" t="e">
        <f t="shared" si="76"/>
        <v>#DIV/0!</v>
      </c>
      <c r="AF384" s="125" t="e">
        <f t="shared" si="77"/>
        <v>#DIV/0!</v>
      </c>
      <c r="AG384" s="92"/>
    </row>
    <row r="385" spans="1:33" ht="14.4">
      <c r="A385" s="270"/>
      <c r="B385" s="97">
        <f t="shared" si="65"/>
        <v>31</v>
      </c>
      <c r="C385" s="325"/>
      <c r="D385" s="260"/>
      <c r="E385" s="95"/>
      <c r="G385" s="52"/>
      <c r="H385" s="52"/>
      <c r="I385" s="256"/>
      <c r="J385" s="98">
        <f t="shared" si="66"/>
        <v>0</v>
      </c>
      <c r="K385" s="118" t="e">
        <f t="shared" si="67"/>
        <v>#DIV/0!</v>
      </c>
      <c r="L385" s="15"/>
      <c r="M385" s="15"/>
      <c r="N385" s="15">
        <f t="shared" si="68"/>
        <v>0</v>
      </c>
      <c r="O385" s="70" t="e">
        <f t="shared" si="69"/>
        <v>#N/A</v>
      </c>
      <c r="P385" s="70" t="e">
        <f>VLOOKUP(C385,'[1]Profit and Loss agt new'!$D$17:$E$52,2,)</f>
        <v>#N/A</v>
      </c>
      <c r="Q385" s="70" t="e">
        <f t="shared" si="70"/>
        <v>#N/A</v>
      </c>
      <c r="R385" s="70"/>
      <c r="S385" s="70"/>
      <c r="T385" s="70"/>
      <c r="U385" s="15"/>
      <c r="V385" s="70" t="e">
        <f t="shared" si="71"/>
        <v>#DIV/0!</v>
      </c>
      <c r="W385" s="15"/>
      <c r="X385" s="15"/>
      <c r="Y385" s="15">
        <f t="shared" si="72"/>
        <v>0</v>
      </c>
      <c r="Z385" s="52"/>
      <c r="AA385" s="98">
        <f t="shared" si="73"/>
        <v>0</v>
      </c>
      <c r="AB385" s="52"/>
      <c r="AC385" s="98">
        <f t="shared" si="74"/>
        <v>0</v>
      </c>
      <c r="AD385" s="98" t="e">
        <f t="shared" si="75"/>
        <v>#N/A</v>
      </c>
      <c r="AE385" s="238" t="e">
        <f t="shared" si="76"/>
        <v>#DIV/0!</v>
      </c>
      <c r="AF385" s="125" t="e">
        <f t="shared" si="77"/>
        <v>#N/A</v>
      </c>
      <c r="AG385" s="92"/>
    </row>
    <row r="386" spans="1:33" ht="14.4">
      <c r="A386" s="270"/>
      <c r="B386" s="97">
        <f t="shared" si="65"/>
        <v>31</v>
      </c>
      <c r="C386" s="325"/>
      <c r="D386" s="260"/>
      <c r="E386" s="95"/>
      <c r="G386" s="52"/>
      <c r="H386" s="52"/>
      <c r="I386" s="256"/>
      <c r="J386" s="98">
        <f t="shared" si="66"/>
        <v>0</v>
      </c>
      <c r="K386" s="118" t="e">
        <f t="shared" si="67"/>
        <v>#DIV/0!</v>
      </c>
      <c r="L386" s="15"/>
      <c r="M386" s="15"/>
      <c r="N386" s="15">
        <f t="shared" si="68"/>
        <v>0</v>
      </c>
      <c r="O386" s="70" t="e">
        <f t="shared" si="69"/>
        <v>#DIV/0!</v>
      </c>
      <c r="P386" s="70"/>
      <c r="Q386" s="70">
        <f t="shared" si="70"/>
        <v>0</v>
      </c>
      <c r="R386" s="70"/>
      <c r="S386" s="70"/>
      <c r="T386" s="70"/>
      <c r="U386" s="15"/>
      <c r="V386" s="70" t="e">
        <f t="shared" si="71"/>
        <v>#DIV/0!</v>
      </c>
      <c r="W386" s="15"/>
      <c r="X386" s="15"/>
      <c r="Y386" s="15">
        <f t="shared" si="72"/>
        <v>0</v>
      </c>
      <c r="Z386" s="52"/>
      <c r="AA386" s="98">
        <f t="shared" si="73"/>
        <v>0</v>
      </c>
      <c r="AB386" s="52"/>
      <c r="AC386" s="98">
        <f t="shared" si="74"/>
        <v>0</v>
      </c>
      <c r="AD386" s="98">
        <f t="shared" si="75"/>
        <v>0</v>
      </c>
      <c r="AE386" s="238" t="e">
        <f t="shared" si="76"/>
        <v>#DIV/0!</v>
      </c>
      <c r="AF386" s="125" t="e">
        <f t="shared" si="77"/>
        <v>#DIV/0!</v>
      </c>
      <c r="AG386" s="92"/>
    </row>
    <row r="387" spans="1:33" ht="14.4">
      <c r="A387" s="270"/>
      <c r="B387" s="97">
        <f t="shared" si="65"/>
        <v>31</v>
      </c>
      <c r="C387" s="325"/>
      <c r="D387" s="260"/>
      <c r="E387" s="95"/>
      <c r="G387" s="52"/>
      <c r="H387" s="52"/>
      <c r="I387" s="256"/>
      <c r="J387" s="98">
        <f t="shared" si="66"/>
        <v>0</v>
      </c>
      <c r="K387" s="118" t="e">
        <f t="shared" si="67"/>
        <v>#DIV/0!</v>
      </c>
      <c r="L387" s="15"/>
      <c r="M387" s="15"/>
      <c r="N387" s="15">
        <f t="shared" si="68"/>
        <v>0</v>
      </c>
      <c r="O387" s="70" t="e">
        <f t="shared" si="69"/>
        <v>#DIV/0!</v>
      </c>
      <c r="P387" s="70"/>
      <c r="Q387" s="70">
        <f t="shared" si="70"/>
        <v>0</v>
      </c>
      <c r="R387" s="70"/>
      <c r="S387" s="70"/>
      <c r="T387" s="70"/>
      <c r="U387" s="15"/>
      <c r="V387" s="70" t="e">
        <f t="shared" si="71"/>
        <v>#DIV/0!</v>
      </c>
      <c r="W387" s="15"/>
      <c r="X387" s="15"/>
      <c r="Y387" s="15">
        <f t="shared" si="72"/>
        <v>0</v>
      </c>
      <c r="Z387" s="52"/>
      <c r="AA387" s="98">
        <f t="shared" si="73"/>
        <v>0</v>
      </c>
      <c r="AB387" s="52"/>
      <c r="AC387" s="98">
        <f t="shared" si="74"/>
        <v>0</v>
      </c>
      <c r="AD387" s="98">
        <f t="shared" si="75"/>
        <v>0</v>
      </c>
      <c r="AE387" s="238" t="e">
        <f t="shared" si="76"/>
        <v>#DIV/0!</v>
      </c>
      <c r="AF387" s="125" t="e">
        <f t="shared" si="77"/>
        <v>#DIV/0!</v>
      </c>
      <c r="AG387" s="92"/>
    </row>
    <row r="388" spans="1:33" ht="14.4">
      <c r="A388" s="270"/>
      <c r="B388" s="97">
        <f t="shared" si="65"/>
        <v>31</v>
      </c>
      <c r="C388" s="325"/>
      <c r="D388" s="260"/>
      <c r="E388" s="95"/>
      <c r="G388" s="52"/>
      <c r="H388" s="52"/>
      <c r="I388" s="256"/>
      <c r="J388" s="98">
        <f t="shared" si="66"/>
        <v>0</v>
      </c>
      <c r="K388" s="118" t="e">
        <f t="shared" si="67"/>
        <v>#DIV/0!</v>
      </c>
      <c r="L388" s="15"/>
      <c r="M388" s="15"/>
      <c r="N388" s="15">
        <f t="shared" si="68"/>
        <v>0</v>
      </c>
      <c r="O388" s="70" t="e">
        <f t="shared" si="69"/>
        <v>#DIV/0!</v>
      </c>
      <c r="P388" s="70"/>
      <c r="Q388" s="70">
        <f t="shared" si="70"/>
        <v>0</v>
      </c>
      <c r="R388" s="70"/>
      <c r="S388" s="70"/>
      <c r="T388" s="70"/>
      <c r="U388" s="15"/>
      <c r="V388" s="70" t="e">
        <f t="shared" si="71"/>
        <v>#DIV/0!</v>
      </c>
      <c r="W388" s="15"/>
      <c r="X388" s="15"/>
      <c r="Y388" s="15">
        <f t="shared" si="72"/>
        <v>0</v>
      </c>
      <c r="Z388" s="52"/>
      <c r="AA388" s="98">
        <f t="shared" si="73"/>
        <v>0</v>
      </c>
      <c r="AB388" s="52"/>
      <c r="AC388" s="98">
        <f t="shared" si="74"/>
        <v>0</v>
      </c>
      <c r="AD388" s="98">
        <f t="shared" si="75"/>
        <v>0</v>
      </c>
      <c r="AE388" s="238" t="e">
        <f t="shared" si="76"/>
        <v>#DIV/0!</v>
      </c>
      <c r="AF388" s="125" t="e">
        <f t="shared" si="77"/>
        <v>#DIV/0!</v>
      </c>
      <c r="AG388" s="92"/>
    </row>
    <row r="389" spans="1:33" ht="14.4">
      <c r="A389" s="270"/>
      <c r="B389" s="97">
        <f t="shared" si="65"/>
        <v>31</v>
      </c>
      <c r="C389" s="325"/>
      <c r="D389" s="260"/>
      <c r="E389" s="95"/>
      <c r="G389" s="52"/>
      <c r="H389" s="52"/>
      <c r="I389" s="256"/>
      <c r="J389" s="98">
        <f t="shared" si="66"/>
        <v>0</v>
      </c>
      <c r="K389" s="118" t="e">
        <f t="shared" si="67"/>
        <v>#DIV/0!</v>
      </c>
      <c r="L389" s="15"/>
      <c r="M389" s="15"/>
      <c r="N389" s="15">
        <f t="shared" si="68"/>
        <v>0</v>
      </c>
      <c r="O389" s="70" t="e">
        <f t="shared" si="69"/>
        <v>#DIV/0!</v>
      </c>
      <c r="P389" s="70"/>
      <c r="Q389" s="70">
        <f t="shared" si="70"/>
        <v>0</v>
      </c>
      <c r="R389" s="70"/>
      <c r="S389" s="70"/>
      <c r="T389" s="70"/>
      <c r="U389" s="15"/>
      <c r="V389" s="70" t="e">
        <f t="shared" si="71"/>
        <v>#DIV/0!</v>
      </c>
      <c r="W389" s="15"/>
      <c r="X389" s="15"/>
      <c r="Y389" s="15">
        <f t="shared" si="72"/>
        <v>0</v>
      </c>
      <c r="Z389" s="52"/>
      <c r="AA389" s="98">
        <f t="shared" si="73"/>
        <v>0</v>
      </c>
      <c r="AB389" s="52"/>
      <c r="AC389" s="98">
        <f t="shared" si="74"/>
        <v>0</v>
      </c>
      <c r="AD389" s="98">
        <f t="shared" si="75"/>
        <v>0</v>
      </c>
      <c r="AE389" s="238" t="e">
        <f t="shared" si="76"/>
        <v>#DIV/0!</v>
      </c>
      <c r="AF389" s="125" t="e">
        <f t="shared" si="77"/>
        <v>#DIV/0!</v>
      </c>
      <c r="AG389" s="92"/>
    </row>
    <row r="390" spans="1:33" ht="14.4">
      <c r="A390" s="270"/>
      <c r="B390" s="97">
        <f t="shared" ref="B390:B453" si="78">EOMONTH(A390,0)</f>
        <v>31</v>
      </c>
      <c r="C390" s="325"/>
      <c r="D390" s="260"/>
      <c r="E390" s="95"/>
      <c r="G390" s="52"/>
      <c r="H390" s="52"/>
      <c r="I390" s="256"/>
      <c r="J390" s="98">
        <f t="shared" ref="J390:J453" si="79">U390</f>
        <v>0</v>
      </c>
      <c r="K390" s="118" t="e">
        <f t="shared" ref="K390:K453" si="80">L390/J390</f>
        <v>#DIV/0!</v>
      </c>
      <c r="L390" s="15"/>
      <c r="M390" s="15"/>
      <c r="N390" s="15">
        <f t="shared" ref="N390:N453" si="81">L390-M390</f>
        <v>0</v>
      </c>
      <c r="O390" s="70" t="e">
        <f t="shared" ref="O390:O453" si="82">P390/J390</f>
        <v>#N/A</v>
      </c>
      <c r="P390" s="70" t="e">
        <f>VLOOKUP(C390,'[1]Profit and Loss agt new'!$D$17:$E$52,2,)</f>
        <v>#N/A</v>
      </c>
      <c r="Q390" s="70" t="e">
        <f t="shared" ref="Q390:Q453" si="83">N390+P390</f>
        <v>#N/A</v>
      </c>
      <c r="R390" s="70"/>
      <c r="S390" s="70"/>
      <c r="T390" s="70"/>
      <c r="U390" s="15"/>
      <c r="V390" s="70" t="e">
        <f t="shared" ref="V390:V453" si="84">W390/U390</f>
        <v>#DIV/0!</v>
      </c>
      <c r="W390" s="15"/>
      <c r="X390" s="15"/>
      <c r="Y390" s="15">
        <f t="shared" ref="Y390:Y453" si="85">W390-X390</f>
        <v>0</v>
      </c>
      <c r="Z390" s="52"/>
      <c r="AA390" s="98">
        <f t="shared" ref="AA390:AA453" si="86">Y390-Z390</f>
        <v>0</v>
      </c>
      <c r="AB390" s="52"/>
      <c r="AC390" s="98">
        <f t="shared" ref="AC390:AC453" si="87">Y390-N390</f>
        <v>0</v>
      </c>
      <c r="AD390" s="98" t="e">
        <f t="shared" ref="AD390:AD453" si="88">AA390-Q390</f>
        <v>#N/A</v>
      </c>
      <c r="AE390" s="238" t="e">
        <f t="shared" ref="AE390:AE453" si="89">AC390/Y390</f>
        <v>#DIV/0!</v>
      </c>
      <c r="AF390" s="125" t="e">
        <f t="shared" ref="AF390:AF453" si="90">AD390/AA390</f>
        <v>#N/A</v>
      </c>
      <c r="AG390" s="92"/>
    </row>
    <row r="391" spans="1:33" ht="14.4">
      <c r="A391" s="270"/>
      <c r="B391" s="97">
        <f t="shared" si="78"/>
        <v>31</v>
      </c>
      <c r="C391" s="325"/>
      <c r="D391" s="260"/>
      <c r="E391" s="95"/>
      <c r="G391" s="52"/>
      <c r="H391" s="52"/>
      <c r="I391" s="256"/>
      <c r="J391" s="98">
        <f t="shared" si="79"/>
        <v>0</v>
      </c>
      <c r="K391" s="118" t="e">
        <f t="shared" si="80"/>
        <v>#DIV/0!</v>
      </c>
      <c r="L391" s="15"/>
      <c r="M391" s="15"/>
      <c r="N391" s="15">
        <f t="shared" si="81"/>
        <v>0</v>
      </c>
      <c r="O391" s="70" t="e">
        <f t="shared" si="82"/>
        <v>#DIV/0!</v>
      </c>
      <c r="P391" s="70"/>
      <c r="Q391" s="70">
        <f t="shared" si="83"/>
        <v>0</v>
      </c>
      <c r="R391" s="70"/>
      <c r="S391" s="70"/>
      <c r="T391" s="70"/>
      <c r="U391" s="15"/>
      <c r="V391" s="70" t="e">
        <f t="shared" si="84"/>
        <v>#DIV/0!</v>
      </c>
      <c r="W391" s="15"/>
      <c r="X391" s="15"/>
      <c r="Y391" s="15">
        <f t="shared" si="85"/>
        <v>0</v>
      </c>
      <c r="Z391" s="52"/>
      <c r="AA391" s="98">
        <f t="shared" si="86"/>
        <v>0</v>
      </c>
      <c r="AB391" s="52"/>
      <c r="AC391" s="98">
        <f t="shared" si="87"/>
        <v>0</v>
      </c>
      <c r="AD391" s="98">
        <f t="shared" si="88"/>
        <v>0</v>
      </c>
      <c r="AE391" s="238" t="e">
        <f t="shared" si="89"/>
        <v>#DIV/0!</v>
      </c>
      <c r="AF391" s="125" t="e">
        <f t="shared" si="90"/>
        <v>#DIV/0!</v>
      </c>
      <c r="AG391" s="92"/>
    </row>
    <row r="392" spans="1:33" ht="14.4">
      <c r="A392" s="270"/>
      <c r="B392" s="97">
        <f t="shared" si="78"/>
        <v>31</v>
      </c>
      <c r="C392" s="325"/>
      <c r="D392" s="260"/>
      <c r="E392" s="95"/>
      <c r="G392" s="52"/>
      <c r="H392" s="52"/>
      <c r="I392" s="256"/>
      <c r="J392" s="98">
        <f t="shared" si="79"/>
        <v>0</v>
      </c>
      <c r="K392" s="118" t="e">
        <f t="shared" si="80"/>
        <v>#DIV/0!</v>
      </c>
      <c r="L392" s="15"/>
      <c r="M392" s="15"/>
      <c r="N392" s="15">
        <f t="shared" si="81"/>
        <v>0</v>
      </c>
      <c r="O392" s="70" t="e">
        <f t="shared" si="82"/>
        <v>#DIV/0!</v>
      </c>
      <c r="P392" s="70"/>
      <c r="Q392" s="70">
        <f t="shared" si="83"/>
        <v>0</v>
      </c>
      <c r="R392" s="70"/>
      <c r="S392" s="70"/>
      <c r="T392" s="70"/>
      <c r="U392" s="15"/>
      <c r="V392" s="70" t="e">
        <f t="shared" si="84"/>
        <v>#DIV/0!</v>
      </c>
      <c r="W392" s="15"/>
      <c r="X392" s="15"/>
      <c r="Y392" s="15">
        <f t="shared" si="85"/>
        <v>0</v>
      </c>
      <c r="Z392" s="52"/>
      <c r="AA392" s="98">
        <f t="shared" si="86"/>
        <v>0</v>
      </c>
      <c r="AB392" s="52"/>
      <c r="AC392" s="98">
        <f t="shared" si="87"/>
        <v>0</v>
      </c>
      <c r="AD392" s="98">
        <f t="shared" si="88"/>
        <v>0</v>
      </c>
      <c r="AE392" s="238" t="e">
        <f t="shared" si="89"/>
        <v>#DIV/0!</v>
      </c>
      <c r="AF392" s="125" t="e">
        <f t="shared" si="90"/>
        <v>#DIV/0!</v>
      </c>
      <c r="AG392" s="92"/>
    </row>
    <row r="393" spans="1:33" ht="14.4">
      <c r="A393" s="270"/>
      <c r="B393" s="97">
        <f t="shared" si="78"/>
        <v>31</v>
      </c>
      <c r="C393" s="325"/>
      <c r="D393" s="260"/>
      <c r="E393" s="95"/>
      <c r="G393" s="52"/>
      <c r="H393" s="52"/>
      <c r="I393" s="256"/>
      <c r="J393" s="98">
        <f t="shared" si="79"/>
        <v>0</v>
      </c>
      <c r="K393" s="118" t="e">
        <f t="shared" si="80"/>
        <v>#DIV/0!</v>
      </c>
      <c r="L393" s="15"/>
      <c r="M393" s="15"/>
      <c r="N393" s="15">
        <f t="shared" si="81"/>
        <v>0</v>
      </c>
      <c r="O393" s="70" t="e">
        <f t="shared" si="82"/>
        <v>#DIV/0!</v>
      </c>
      <c r="P393" s="70"/>
      <c r="Q393" s="70">
        <f t="shared" si="83"/>
        <v>0</v>
      </c>
      <c r="R393" s="70"/>
      <c r="S393" s="70"/>
      <c r="T393" s="70"/>
      <c r="U393" s="15"/>
      <c r="V393" s="70" t="e">
        <f t="shared" si="84"/>
        <v>#DIV/0!</v>
      </c>
      <c r="W393" s="15"/>
      <c r="X393" s="15"/>
      <c r="Y393" s="15">
        <f t="shared" si="85"/>
        <v>0</v>
      </c>
      <c r="Z393" s="52"/>
      <c r="AA393" s="98">
        <f t="shared" si="86"/>
        <v>0</v>
      </c>
      <c r="AB393" s="52"/>
      <c r="AC393" s="98">
        <f t="shared" si="87"/>
        <v>0</v>
      </c>
      <c r="AD393" s="98">
        <f t="shared" si="88"/>
        <v>0</v>
      </c>
      <c r="AE393" s="238" t="e">
        <f t="shared" si="89"/>
        <v>#DIV/0!</v>
      </c>
      <c r="AF393" s="125" t="e">
        <f t="shared" si="90"/>
        <v>#DIV/0!</v>
      </c>
      <c r="AG393" s="92"/>
    </row>
    <row r="394" spans="1:33" ht="14.4">
      <c r="A394" s="270"/>
      <c r="B394" s="97">
        <f t="shared" si="78"/>
        <v>31</v>
      </c>
      <c r="C394" s="325"/>
      <c r="D394" s="260"/>
      <c r="E394" s="95"/>
      <c r="G394" s="52"/>
      <c r="H394" s="52"/>
      <c r="I394" s="256"/>
      <c r="J394" s="98">
        <f t="shared" si="79"/>
        <v>0</v>
      </c>
      <c r="K394" s="118" t="e">
        <f t="shared" si="80"/>
        <v>#DIV/0!</v>
      </c>
      <c r="L394" s="15"/>
      <c r="M394" s="15"/>
      <c r="N394" s="15">
        <f t="shared" si="81"/>
        <v>0</v>
      </c>
      <c r="O394" s="70" t="e">
        <f t="shared" si="82"/>
        <v>#DIV/0!</v>
      </c>
      <c r="P394" s="70"/>
      <c r="Q394" s="70">
        <f t="shared" si="83"/>
        <v>0</v>
      </c>
      <c r="R394" s="70"/>
      <c r="S394" s="70"/>
      <c r="T394" s="70"/>
      <c r="U394" s="15"/>
      <c r="V394" s="70" t="e">
        <f t="shared" si="84"/>
        <v>#DIV/0!</v>
      </c>
      <c r="W394" s="15"/>
      <c r="X394" s="15"/>
      <c r="Y394" s="15">
        <f t="shared" si="85"/>
        <v>0</v>
      </c>
      <c r="Z394" s="52"/>
      <c r="AA394" s="98">
        <f t="shared" si="86"/>
        <v>0</v>
      </c>
      <c r="AB394" s="52"/>
      <c r="AC394" s="98">
        <f t="shared" si="87"/>
        <v>0</v>
      </c>
      <c r="AD394" s="98">
        <f t="shared" si="88"/>
        <v>0</v>
      </c>
      <c r="AE394" s="238" t="e">
        <f t="shared" si="89"/>
        <v>#DIV/0!</v>
      </c>
      <c r="AF394" s="125" t="e">
        <f t="shared" si="90"/>
        <v>#DIV/0!</v>
      </c>
      <c r="AG394" s="92"/>
    </row>
    <row r="395" spans="1:33" ht="14.4">
      <c r="A395" s="270"/>
      <c r="B395" s="97">
        <f t="shared" si="78"/>
        <v>31</v>
      </c>
      <c r="C395" s="325"/>
      <c r="D395" s="260"/>
      <c r="E395" s="95"/>
      <c r="G395" s="52"/>
      <c r="H395" s="52"/>
      <c r="I395" s="256"/>
      <c r="J395" s="98">
        <f t="shared" si="79"/>
        <v>0</v>
      </c>
      <c r="K395" s="118" t="e">
        <f t="shared" si="80"/>
        <v>#DIV/0!</v>
      </c>
      <c r="L395" s="15"/>
      <c r="M395" s="15"/>
      <c r="N395" s="15">
        <f t="shared" si="81"/>
        <v>0</v>
      </c>
      <c r="O395" s="70" t="e">
        <f t="shared" si="82"/>
        <v>#DIV/0!</v>
      </c>
      <c r="P395" s="70"/>
      <c r="Q395" s="70">
        <f t="shared" si="83"/>
        <v>0</v>
      </c>
      <c r="R395" s="70"/>
      <c r="S395" s="70"/>
      <c r="T395" s="70"/>
      <c r="U395" s="15"/>
      <c r="V395" s="70" t="e">
        <f t="shared" si="84"/>
        <v>#DIV/0!</v>
      </c>
      <c r="W395" s="15"/>
      <c r="X395" s="15"/>
      <c r="Y395" s="15">
        <f t="shared" si="85"/>
        <v>0</v>
      </c>
      <c r="Z395" s="52"/>
      <c r="AA395" s="98">
        <f t="shared" si="86"/>
        <v>0</v>
      </c>
      <c r="AB395" s="52"/>
      <c r="AC395" s="98">
        <f t="shared" si="87"/>
        <v>0</v>
      </c>
      <c r="AD395" s="98">
        <f t="shared" si="88"/>
        <v>0</v>
      </c>
      <c r="AE395" s="238" t="e">
        <f t="shared" si="89"/>
        <v>#DIV/0!</v>
      </c>
      <c r="AF395" s="125" t="e">
        <f t="shared" si="90"/>
        <v>#DIV/0!</v>
      </c>
      <c r="AG395" s="92"/>
    </row>
    <row r="396" spans="1:33" ht="14.4">
      <c r="A396" s="270"/>
      <c r="B396" s="97">
        <f t="shared" si="78"/>
        <v>31</v>
      </c>
      <c r="C396" s="325"/>
      <c r="D396" s="260"/>
      <c r="E396" s="95"/>
      <c r="G396" s="52"/>
      <c r="H396" s="52"/>
      <c r="I396" s="256"/>
      <c r="J396" s="98">
        <f t="shared" si="79"/>
        <v>0</v>
      </c>
      <c r="K396" s="118" t="e">
        <f t="shared" si="80"/>
        <v>#DIV/0!</v>
      </c>
      <c r="L396" s="15"/>
      <c r="M396" s="15"/>
      <c r="N396" s="15">
        <f t="shared" si="81"/>
        <v>0</v>
      </c>
      <c r="O396" s="70" t="e">
        <f t="shared" si="82"/>
        <v>#DIV/0!</v>
      </c>
      <c r="P396" s="70"/>
      <c r="Q396" s="70">
        <f t="shared" si="83"/>
        <v>0</v>
      </c>
      <c r="R396" s="70"/>
      <c r="S396" s="70"/>
      <c r="T396" s="70"/>
      <c r="U396" s="15"/>
      <c r="V396" s="70" t="e">
        <f t="shared" si="84"/>
        <v>#DIV/0!</v>
      </c>
      <c r="W396" s="15"/>
      <c r="X396" s="15"/>
      <c r="Y396" s="15">
        <f t="shared" si="85"/>
        <v>0</v>
      </c>
      <c r="Z396" s="52"/>
      <c r="AA396" s="98">
        <f t="shared" si="86"/>
        <v>0</v>
      </c>
      <c r="AB396" s="52"/>
      <c r="AC396" s="98">
        <f t="shared" si="87"/>
        <v>0</v>
      </c>
      <c r="AD396" s="98">
        <f t="shared" si="88"/>
        <v>0</v>
      </c>
      <c r="AE396" s="238" t="e">
        <f t="shared" si="89"/>
        <v>#DIV/0!</v>
      </c>
      <c r="AF396" s="125" t="e">
        <f t="shared" si="90"/>
        <v>#DIV/0!</v>
      </c>
      <c r="AG396" s="92"/>
    </row>
    <row r="397" spans="1:33" ht="14.4">
      <c r="A397" s="270"/>
      <c r="B397" s="97">
        <f t="shared" si="78"/>
        <v>31</v>
      </c>
      <c r="C397" s="325"/>
      <c r="D397" s="260"/>
      <c r="E397" s="95"/>
      <c r="G397" s="52"/>
      <c r="H397" s="52"/>
      <c r="I397" s="256"/>
      <c r="J397" s="98">
        <f t="shared" si="79"/>
        <v>0</v>
      </c>
      <c r="K397" s="118" t="e">
        <f t="shared" si="80"/>
        <v>#DIV/0!</v>
      </c>
      <c r="L397" s="15"/>
      <c r="M397" s="15"/>
      <c r="N397" s="15">
        <f t="shared" si="81"/>
        <v>0</v>
      </c>
      <c r="O397" s="70" t="e">
        <f t="shared" si="82"/>
        <v>#DIV/0!</v>
      </c>
      <c r="P397" s="70"/>
      <c r="Q397" s="70">
        <f t="shared" si="83"/>
        <v>0</v>
      </c>
      <c r="R397" s="70"/>
      <c r="S397" s="70"/>
      <c r="T397" s="70"/>
      <c r="U397" s="15"/>
      <c r="V397" s="70" t="e">
        <f t="shared" si="84"/>
        <v>#DIV/0!</v>
      </c>
      <c r="W397" s="15"/>
      <c r="X397" s="15"/>
      <c r="Y397" s="15">
        <f t="shared" si="85"/>
        <v>0</v>
      </c>
      <c r="Z397" s="52"/>
      <c r="AA397" s="98">
        <f t="shared" si="86"/>
        <v>0</v>
      </c>
      <c r="AB397" s="52"/>
      <c r="AC397" s="98">
        <f t="shared" si="87"/>
        <v>0</v>
      </c>
      <c r="AD397" s="98">
        <f t="shared" si="88"/>
        <v>0</v>
      </c>
      <c r="AE397" s="238" t="e">
        <f t="shared" si="89"/>
        <v>#DIV/0!</v>
      </c>
      <c r="AF397" s="125" t="e">
        <f t="shared" si="90"/>
        <v>#DIV/0!</v>
      </c>
      <c r="AG397" s="92"/>
    </row>
    <row r="398" spans="1:33" ht="14.4">
      <c r="A398" s="270"/>
      <c r="B398" s="97">
        <f t="shared" si="78"/>
        <v>31</v>
      </c>
      <c r="C398" s="325"/>
      <c r="D398" s="260"/>
      <c r="E398" s="95"/>
      <c r="G398" s="52"/>
      <c r="H398" s="52"/>
      <c r="I398" s="256"/>
      <c r="J398" s="98">
        <f t="shared" si="79"/>
        <v>0</v>
      </c>
      <c r="K398" s="118" t="e">
        <f t="shared" si="80"/>
        <v>#DIV/0!</v>
      </c>
      <c r="L398" s="15"/>
      <c r="M398" s="15"/>
      <c r="N398" s="15">
        <f t="shared" si="81"/>
        <v>0</v>
      </c>
      <c r="O398" s="70" t="e">
        <f t="shared" si="82"/>
        <v>#DIV/0!</v>
      </c>
      <c r="P398" s="70"/>
      <c r="Q398" s="70">
        <f t="shared" si="83"/>
        <v>0</v>
      </c>
      <c r="R398" s="70"/>
      <c r="S398" s="70"/>
      <c r="T398" s="70"/>
      <c r="U398" s="15"/>
      <c r="V398" s="70" t="e">
        <f t="shared" si="84"/>
        <v>#DIV/0!</v>
      </c>
      <c r="W398" s="15"/>
      <c r="X398" s="15"/>
      <c r="Y398" s="15">
        <f t="shared" si="85"/>
        <v>0</v>
      </c>
      <c r="Z398" s="52"/>
      <c r="AA398" s="98">
        <f t="shared" si="86"/>
        <v>0</v>
      </c>
      <c r="AB398" s="52"/>
      <c r="AC398" s="98">
        <f t="shared" si="87"/>
        <v>0</v>
      </c>
      <c r="AD398" s="98">
        <f t="shared" si="88"/>
        <v>0</v>
      </c>
      <c r="AE398" s="238" t="e">
        <f t="shared" si="89"/>
        <v>#DIV/0!</v>
      </c>
      <c r="AF398" s="125" t="e">
        <f t="shared" si="90"/>
        <v>#DIV/0!</v>
      </c>
      <c r="AG398" s="92"/>
    </row>
    <row r="399" spans="1:33" ht="14.4">
      <c r="A399" s="270"/>
      <c r="B399" s="97">
        <f t="shared" si="78"/>
        <v>31</v>
      </c>
      <c r="C399" s="325"/>
      <c r="D399" s="260"/>
      <c r="E399" s="95"/>
      <c r="G399" s="52"/>
      <c r="H399" s="52"/>
      <c r="I399" s="256"/>
      <c r="J399" s="98">
        <f t="shared" si="79"/>
        <v>0</v>
      </c>
      <c r="K399" s="118" t="e">
        <f t="shared" si="80"/>
        <v>#DIV/0!</v>
      </c>
      <c r="L399" s="15"/>
      <c r="M399" s="15"/>
      <c r="N399" s="15">
        <f t="shared" si="81"/>
        <v>0</v>
      </c>
      <c r="O399" s="70" t="e">
        <f t="shared" si="82"/>
        <v>#DIV/0!</v>
      </c>
      <c r="P399" s="70"/>
      <c r="Q399" s="70">
        <f t="shared" si="83"/>
        <v>0</v>
      </c>
      <c r="R399" s="70"/>
      <c r="S399" s="70"/>
      <c r="T399" s="70"/>
      <c r="U399" s="15"/>
      <c r="V399" s="70" t="e">
        <f t="shared" si="84"/>
        <v>#DIV/0!</v>
      </c>
      <c r="W399" s="15"/>
      <c r="X399" s="15"/>
      <c r="Y399" s="15">
        <f t="shared" si="85"/>
        <v>0</v>
      </c>
      <c r="Z399" s="52"/>
      <c r="AA399" s="98">
        <f t="shared" si="86"/>
        <v>0</v>
      </c>
      <c r="AB399" s="52"/>
      <c r="AC399" s="98">
        <f t="shared" si="87"/>
        <v>0</v>
      </c>
      <c r="AD399" s="98">
        <f t="shared" si="88"/>
        <v>0</v>
      </c>
      <c r="AE399" s="238" t="e">
        <f t="shared" si="89"/>
        <v>#DIV/0!</v>
      </c>
      <c r="AF399" s="125" t="e">
        <f t="shared" si="90"/>
        <v>#DIV/0!</v>
      </c>
      <c r="AG399" s="92"/>
    </row>
    <row r="400" spans="1:33" ht="14.4">
      <c r="A400" s="270"/>
      <c r="B400" s="97">
        <f t="shared" si="78"/>
        <v>31</v>
      </c>
      <c r="C400" s="325"/>
      <c r="D400" s="260"/>
      <c r="E400" s="95"/>
      <c r="G400" s="52"/>
      <c r="H400" s="52"/>
      <c r="I400" s="256"/>
      <c r="J400" s="98">
        <f t="shared" si="79"/>
        <v>0</v>
      </c>
      <c r="K400" s="118" t="e">
        <f t="shared" si="80"/>
        <v>#DIV/0!</v>
      </c>
      <c r="L400" s="15"/>
      <c r="M400" s="15"/>
      <c r="N400" s="15">
        <f t="shared" si="81"/>
        <v>0</v>
      </c>
      <c r="O400" s="70" t="e">
        <f t="shared" si="82"/>
        <v>#DIV/0!</v>
      </c>
      <c r="P400" s="70"/>
      <c r="Q400" s="70">
        <f t="shared" si="83"/>
        <v>0</v>
      </c>
      <c r="R400" s="70"/>
      <c r="S400" s="70"/>
      <c r="T400" s="70"/>
      <c r="U400" s="15"/>
      <c r="V400" s="70" t="e">
        <f t="shared" si="84"/>
        <v>#DIV/0!</v>
      </c>
      <c r="W400" s="15"/>
      <c r="X400" s="15"/>
      <c r="Y400" s="15">
        <f t="shared" si="85"/>
        <v>0</v>
      </c>
      <c r="Z400" s="52"/>
      <c r="AA400" s="98">
        <f t="shared" si="86"/>
        <v>0</v>
      </c>
      <c r="AB400" s="52"/>
      <c r="AC400" s="98">
        <f t="shared" si="87"/>
        <v>0</v>
      </c>
      <c r="AD400" s="98">
        <f t="shared" si="88"/>
        <v>0</v>
      </c>
      <c r="AE400" s="238" t="e">
        <f t="shared" si="89"/>
        <v>#DIV/0!</v>
      </c>
      <c r="AF400" s="125" t="e">
        <f t="shared" si="90"/>
        <v>#DIV/0!</v>
      </c>
      <c r="AG400" s="92"/>
    </row>
    <row r="401" spans="1:33" ht="14.4">
      <c r="A401" s="270"/>
      <c r="B401" s="97">
        <f t="shared" si="78"/>
        <v>31</v>
      </c>
      <c r="C401" s="325"/>
      <c r="D401" s="260"/>
      <c r="E401" s="95"/>
      <c r="G401" s="52"/>
      <c r="H401" s="52"/>
      <c r="I401" s="256"/>
      <c r="J401" s="98">
        <f t="shared" si="79"/>
        <v>0</v>
      </c>
      <c r="K401" s="118" t="e">
        <f t="shared" si="80"/>
        <v>#DIV/0!</v>
      </c>
      <c r="L401" s="15"/>
      <c r="M401" s="15"/>
      <c r="N401" s="15">
        <f t="shared" si="81"/>
        <v>0</v>
      </c>
      <c r="O401" s="70" t="e">
        <f t="shared" si="82"/>
        <v>#DIV/0!</v>
      </c>
      <c r="P401" s="70"/>
      <c r="Q401" s="70">
        <f t="shared" si="83"/>
        <v>0</v>
      </c>
      <c r="R401" s="70"/>
      <c r="S401" s="70"/>
      <c r="T401" s="70"/>
      <c r="U401" s="15"/>
      <c r="V401" s="70" t="e">
        <f t="shared" si="84"/>
        <v>#DIV/0!</v>
      </c>
      <c r="W401" s="15"/>
      <c r="X401" s="15"/>
      <c r="Y401" s="15">
        <f t="shared" si="85"/>
        <v>0</v>
      </c>
      <c r="Z401" s="52"/>
      <c r="AA401" s="98">
        <f t="shared" si="86"/>
        <v>0</v>
      </c>
      <c r="AB401" s="52"/>
      <c r="AC401" s="98">
        <f t="shared" si="87"/>
        <v>0</v>
      </c>
      <c r="AD401" s="98">
        <f t="shared" si="88"/>
        <v>0</v>
      </c>
      <c r="AE401" s="238" t="e">
        <f t="shared" si="89"/>
        <v>#DIV/0!</v>
      </c>
      <c r="AF401" s="125" t="e">
        <f t="shared" si="90"/>
        <v>#DIV/0!</v>
      </c>
      <c r="AG401" s="92"/>
    </row>
    <row r="402" spans="1:33" ht="14.4">
      <c r="A402" s="270"/>
      <c r="B402" s="97">
        <f t="shared" si="78"/>
        <v>31</v>
      </c>
      <c r="C402" s="325"/>
      <c r="D402" s="260"/>
      <c r="E402" s="95"/>
      <c r="G402" s="52"/>
      <c r="H402" s="52"/>
      <c r="I402" s="256"/>
      <c r="J402" s="98">
        <f t="shared" si="79"/>
        <v>0</v>
      </c>
      <c r="K402" s="118" t="e">
        <f t="shared" si="80"/>
        <v>#DIV/0!</v>
      </c>
      <c r="L402" s="15"/>
      <c r="M402" s="15"/>
      <c r="N402" s="15">
        <f t="shared" si="81"/>
        <v>0</v>
      </c>
      <c r="O402" s="70" t="e">
        <f t="shared" si="82"/>
        <v>#DIV/0!</v>
      </c>
      <c r="P402" s="70"/>
      <c r="Q402" s="70">
        <f t="shared" si="83"/>
        <v>0</v>
      </c>
      <c r="R402" s="70"/>
      <c r="S402" s="70"/>
      <c r="T402" s="70"/>
      <c r="U402" s="15"/>
      <c r="V402" s="70" t="e">
        <f t="shared" si="84"/>
        <v>#DIV/0!</v>
      </c>
      <c r="W402" s="15"/>
      <c r="X402" s="15"/>
      <c r="Y402" s="15">
        <f t="shared" si="85"/>
        <v>0</v>
      </c>
      <c r="Z402" s="52"/>
      <c r="AA402" s="98">
        <f t="shared" si="86"/>
        <v>0</v>
      </c>
      <c r="AB402" s="52"/>
      <c r="AC402" s="98">
        <f t="shared" si="87"/>
        <v>0</v>
      </c>
      <c r="AD402" s="98">
        <f t="shared" si="88"/>
        <v>0</v>
      </c>
      <c r="AE402" s="238" t="e">
        <f t="shared" si="89"/>
        <v>#DIV/0!</v>
      </c>
      <c r="AF402" s="125" t="e">
        <f t="shared" si="90"/>
        <v>#DIV/0!</v>
      </c>
      <c r="AG402" s="92"/>
    </row>
    <row r="403" spans="1:33" ht="14.4">
      <c r="A403" s="270"/>
      <c r="B403" s="97">
        <f t="shared" si="78"/>
        <v>31</v>
      </c>
      <c r="C403" s="325"/>
      <c r="D403" s="260"/>
      <c r="E403" s="95"/>
      <c r="G403" s="52"/>
      <c r="H403" s="52"/>
      <c r="I403" s="256"/>
      <c r="J403" s="98">
        <f t="shared" si="79"/>
        <v>0</v>
      </c>
      <c r="K403" s="118" t="e">
        <f t="shared" si="80"/>
        <v>#DIV/0!</v>
      </c>
      <c r="L403" s="15"/>
      <c r="M403" s="15"/>
      <c r="N403" s="15">
        <f t="shared" si="81"/>
        <v>0</v>
      </c>
      <c r="O403" s="70" t="e">
        <f t="shared" si="82"/>
        <v>#DIV/0!</v>
      </c>
      <c r="P403" s="70"/>
      <c r="Q403" s="70">
        <f t="shared" si="83"/>
        <v>0</v>
      </c>
      <c r="R403" s="70"/>
      <c r="S403" s="70"/>
      <c r="T403" s="70"/>
      <c r="U403" s="15"/>
      <c r="V403" s="70" t="e">
        <f t="shared" si="84"/>
        <v>#DIV/0!</v>
      </c>
      <c r="W403" s="15"/>
      <c r="X403" s="15"/>
      <c r="Y403" s="15">
        <f t="shared" si="85"/>
        <v>0</v>
      </c>
      <c r="Z403" s="52"/>
      <c r="AA403" s="98">
        <f t="shared" si="86"/>
        <v>0</v>
      </c>
      <c r="AB403" s="52"/>
      <c r="AC403" s="98">
        <f t="shared" si="87"/>
        <v>0</v>
      </c>
      <c r="AD403" s="98">
        <f t="shared" si="88"/>
        <v>0</v>
      </c>
      <c r="AE403" s="238" t="e">
        <f t="shared" si="89"/>
        <v>#DIV/0!</v>
      </c>
      <c r="AF403" s="125" t="e">
        <f t="shared" si="90"/>
        <v>#DIV/0!</v>
      </c>
      <c r="AG403" s="92"/>
    </row>
    <row r="404" spans="1:33" ht="14.4">
      <c r="A404" s="270"/>
      <c r="B404" s="97">
        <f t="shared" si="78"/>
        <v>31</v>
      </c>
      <c r="C404" s="325"/>
      <c r="D404" s="260"/>
      <c r="E404" s="95"/>
      <c r="G404" s="52"/>
      <c r="H404" s="52"/>
      <c r="I404" s="256"/>
      <c r="J404" s="98">
        <f t="shared" si="79"/>
        <v>0</v>
      </c>
      <c r="K404" s="118" t="e">
        <f t="shared" si="80"/>
        <v>#DIV/0!</v>
      </c>
      <c r="L404" s="15"/>
      <c r="M404" s="15"/>
      <c r="N404" s="15">
        <f t="shared" si="81"/>
        <v>0</v>
      </c>
      <c r="O404" s="70" t="e">
        <f t="shared" si="82"/>
        <v>#N/A</v>
      </c>
      <c r="P404" s="70" t="e">
        <f>VLOOKUP(C404,'[1]Profit and Loss agt new'!$D$17:$E$52,2,)</f>
        <v>#N/A</v>
      </c>
      <c r="Q404" s="70" t="e">
        <f t="shared" si="83"/>
        <v>#N/A</v>
      </c>
      <c r="R404" s="70"/>
      <c r="S404" s="70"/>
      <c r="T404" s="70"/>
      <c r="U404" s="15"/>
      <c r="V404" s="70" t="e">
        <f t="shared" si="84"/>
        <v>#DIV/0!</v>
      </c>
      <c r="W404" s="15"/>
      <c r="X404" s="15"/>
      <c r="Y404" s="15">
        <f t="shared" si="85"/>
        <v>0</v>
      </c>
      <c r="Z404" s="52"/>
      <c r="AA404" s="98">
        <f t="shared" si="86"/>
        <v>0</v>
      </c>
      <c r="AB404" s="52"/>
      <c r="AC404" s="98">
        <f t="shared" si="87"/>
        <v>0</v>
      </c>
      <c r="AD404" s="98" t="e">
        <f t="shared" si="88"/>
        <v>#N/A</v>
      </c>
      <c r="AE404" s="238" t="e">
        <f t="shared" si="89"/>
        <v>#DIV/0!</v>
      </c>
      <c r="AF404" s="125" t="e">
        <f t="shared" si="90"/>
        <v>#N/A</v>
      </c>
      <c r="AG404" s="92"/>
    </row>
    <row r="405" spans="1:33" ht="14.4">
      <c r="A405" s="270"/>
      <c r="B405" s="97">
        <f t="shared" si="78"/>
        <v>31</v>
      </c>
      <c r="C405" s="325"/>
      <c r="D405" s="260"/>
      <c r="E405" s="95"/>
      <c r="G405" s="52"/>
      <c r="H405" s="52"/>
      <c r="I405" s="256"/>
      <c r="J405" s="98">
        <f t="shared" si="79"/>
        <v>0</v>
      </c>
      <c r="K405" s="118" t="e">
        <f t="shared" si="80"/>
        <v>#DIV/0!</v>
      </c>
      <c r="L405" s="15"/>
      <c r="M405" s="15"/>
      <c r="N405" s="15">
        <f t="shared" si="81"/>
        <v>0</v>
      </c>
      <c r="O405" s="70" t="e">
        <f t="shared" si="82"/>
        <v>#DIV/0!</v>
      </c>
      <c r="P405" s="70"/>
      <c r="Q405" s="70">
        <f t="shared" si="83"/>
        <v>0</v>
      </c>
      <c r="R405" s="70"/>
      <c r="S405" s="70"/>
      <c r="T405" s="70"/>
      <c r="U405" s="15"/>
      <c r="V405" s="70" t="e">
        <f t="shared" si="84"/>
        <v>#DIV/0!</v>
      </c>
      <c r="W405" s="15"/>
      <c r="X405" s="15"/>
      <c r="Y405" s="15">
        <f t="shared" si="85"/>
        <v>0</v>
      </c>
      <c r="Z405" s="52"/>
      <c r="AA405" s="98">
        <f t="shared" si="86"/>
        <v>0</v>
      </c>
      <c r="AB405" s="52"/>
      <c r="AC405" s="98">
        <f t="shared" si="87"/>
        <v>0</v>
      </c>
      <c r="AD405" s="98">
        <f t="shared" si="88"/>
        <v>0</v>
      </c>
      <c r="AE405" s="238" t="e">
        <f t="shared" si="89"/>
        <v>#DIV/0!</v>
      </c>
      <c r="AF405" s="125" t="e">
        <f t="shared" si="90"/>
        <v>#DIV/0!</v>
      </c>
      <c r="AG405" s="92"/>
    </row>
    <row r="406" spans="1:33" ht="14.4">
      <c r="A406" s="270"/>
      <c r="B406" s="97">
        <f t="shared" si="78"/>
        <v>31</v>
      </c>
      <c r="C406" s="325"/>
      <c r="D406" s="260"/>
      <c r="E406" s="95"/>
      <c r="G406" s="52"/>
      <c r="H406" s="52"/>
      <c r="I406" s="256"/>
      <c r="J406" s="98">
        <f t="shared" si="79"/>
        <v>0</v>
      </c>
      <c r="K406" s="118" t="e">
        <f t="shared" si="80"/>
        <v>#DIV/0!</v>
      </c>
      <c r="L406" s="15"/>
      <c r="M406" s="15"/>
      <c r="N406" s="15">
        <f t="shared" si="81"/>
        <v>0</v>
      </c>
      <c r="O406" s="70" t="e">
        <f t="shared" si="82"/>
        <v>#DIV/0!</v>
      </c>
      <c r="P406" s="70"/>
      <c r="Q406" s="70">
        <f t="shared" si="83"/>
        <v>0</v>
      </c>
      <c r="R406" s="70"/>
      <c r="S406" s="70"/>
      <c r="T406" s="70"/>
      <c r="U406" s="15"/>
      <c r="V406" s="70" t="e">
        <f t="shared" si="84"/>
        <v>#DIV/0!</v>
      </c>
      <c r="W406" s="15"/>
      <c r="X406" s="15"/>
      <c r="Y406" s="15">
        <f t="shared" si="85"/>
        <v>0</v>
      </c>
      <c r="Z406" s="52"/>
      <c r="AA406" s="98">
        <f t="shared" si="86"/>
        <v>0</v>
      </c>
      <c r="AB406" s="52"/>
      <c r="AC406" s="98">
        <f t="shared" si="87"/>
        <v>0</v>
      </c>
      <c r="AD406" s="98">
        <f t="shared" si="88"/>
        <v>0</v>
      </c>
      <c r="AE406" s="238" t="e">
        <f t="shared" si="89"/>
        <v>#DIV/0!</v>
      </c>
      <c r="AF406" s="125" t="e">
        <f t="shared" si="90"/>
        <v>#DIV/0!</v>
      </c>
      <c r="AG406" s="92"/>
    </row>
    <row r="407" spans="1:33" ht="14.4">
      <c r="A407" s="270"/>
      <c r="B407" s="97">
        <f t="shared" si="78"/>
        <v>31</v>
      </c>
      <c r="C407" s="325"/>
      <c r="D407" s="260"/>
      <c r="E407" s="95"/>
      <c r="G407" s="52"/>
      <c r="H407" s="52"/>
      <c r="I407" s="256"/>
      <c r="J407" s="98">
        <f t="shared" si="79"/>
        <v>0</v>
      </c>
      <c r="K407" s="118" t="e">
        <f t="shared" si="80"/>
        <v>#DIV/0!</v>
      </c>
      <c r="L407" s="15"/>
      <c r="M407" s="15"/>
      <c r="N407" s="15">
        <f t="shared" si="81"/>
        <v>0</v>
      </c>
      <c r="O407" s="70" t="e">
        <f t="shared" si="82"/>
        <v>#N/A</v>
      </c>
      <c r="P407" s="70" t="e">
        <f>VLOOKUP(C407,'[1]Profit and Loss agt new'!$D$17:$E$52,2,)</f>
        <v>#N/A</v>
      </c>
      <c r="Q407" s="70" t="e">
        <f t="shared" si="83"/>
        <v>#N/A</v>
      </c>
      <c r="R407" s="70"/>
      <c r="S407" s="70"/>
      <c r="T407" s="70"/>
      <c r="U407" s="15"/>
      <c r="V407" s="70" t="e">
        <f t="shared" si="84"/>
        <v>#DIV/0!</v>
      </c>
      <c r="W407" s="15"/>
      <c r="X407" s="15"/>
      <c r="Y407" s="15">
        <f t="shared" si="85"/>
        <v>0</v>
      </c>
      <c r="Z407" s="52"/>
      <c r="AA407" s="98">
        <f t="shared" si="86"/>
        <v>0</v>
      </c>
      <c r="AB407" s="52"/>
      <c r="AC407" s="98">
        <f t="shared" si="87"/>
        <v>0</v>
      </c>
      <c r="AD407" s="98" t="e">
        <f t="shared" si="88"/>
        <v>#N/A</v>
      </c>
      <c r="AE407" s="238" t="e">
        <f t="shared" si="89"/>
        <v>#DIV/0!</v>
      </c>
      <c r="AF407" s="125" t="e">
        <f t="shared" si="90"/>
        <v>#N/A</v>
      </c>
      <c r="AG407" s="92"/>
    </row>
    <row r="408" spans="1:33" ht="14.4">
      <c r="A408" s="270"/>
      <c r="B408" s="97">
        <f t="shared" si="78"/>
        <v>31</v>
      </c>
      <c r="C408" s="325"/>
      <c r="D408" s="260"/>
      <c r="E408" s="95"/>
      <c r="G408" s="52"/>
      <c r="H408" s="52"/>
      <c r="I408" s="256"/>
      <c r="J408" s="98">
        <f t="shared" si="79"/>
        <v>0</v>
      </c>
      <c r="K408" s="118" t="e">
        <f t="shared" si="80"/>
        <v>#DIV/0!</v>
      </c>
      <c r="L408" s="15"/>
      <c r="M408" s="15"/>
      <c r="N408" s="15">
        <f t="shared" si="81"/>
        <v>0</v>
      </c>
      <c r="O408" s="70" t="e">
        <f t="shared" si="82"/>
        <v>#DIV/0!</v>
      </c>
      <c r="P408" s="70"/>
      <c r="Q408" s="70">
        <f t="shared" si="83"/>
        <v>0</v>
      </c>
      <c r="R408" s="70"/>
      <c r="S408" s="70"/>
      <c r="T408" s="70"/>
      <c r="U408" s="15"/>
      <c r="V408" s="70" t="e">
        <f t="shared" si="84"/>
        <v>#DIV/0!</v>
      </c>
      <c r="W408" s="15"/>
      <c r="X408" s="15"/>
      <c r="Y408" s="15">
        <f t="shared" si="85"/>
        <v>0</v>
      </c>
      <c r="Z408" s="52"/>
      <c r="AA408" s="98">
        <f t="shared" si="86"/>
        <v>0</v>
      </c>
      <c r="AB408" s="52"/>
      <c r="AC408" s="98">
        <f t="shared" si="87"/>
        <v>0</v>
      </c>
      <c r="AD408" s="98">
        <f t="shared" si="88"/>
        <v>0</v>
      </c>
      <c r="AE408" s="238" t="e">
        <f t="shared" si="89"/>
        <v>#DIV/0!</v>
      </c>
      <c r="AF408" s="125" t="e">
        <f t="shared" si="90"/>
        <v>#DIV/0!</v>
      </c>
      <c r="AG408" s="92"/>
    </row>
    <row r="409" spans="1:33" ht="14.4">
      <c r="A409" s="270"/>
      <c r="B409" s="97">
        <f t="shared" si="78"/>
        <v>31</v>
      </c>
      <c r="C409" s="325"/>
      <c r="D409" s="260"/>
      <c r="E409" s="95"/>
      <c r="G409" s="52"/>
      <c r="H409" s="52"/>
      <c r="I409" s="256"/>
      <c r="J409" s="98">
        <f t="shared" si="79"/>
        <v>0</v>
      </c>
      <c r="K409" s="118" t="e">
        <f t="shared" si="80"/>
        <v>#DIV/0!</v>
      </c>
      <c r="L409" s="15"/>
      <c r="M409" s="15"/>
      <c r="N409" s="15">
        <f t="shared" si="81"/>
        <v>0</v>
      </c>
      <c r="O409" s="70" t="e">
        <f t="shared" si="82"/>
        <v>#N/A</v>
      </c>
      <c r="P409" s="70" t="e">
        <f>VLOOKUP(C409,'[1]Profit and Loss agt new'!$D$17:$E$52,2,)</f>
        <v>#N/A</v>
      </c>
      <c r="Q409" s="70" t="e">
        <f t="shared" si="83"/>
        <v>#N/A</v>
      </c>
      <c r="R409" s="70"/>
      <c r="S409" s="70"/>
      <c r="T409" s="70"/>
      <c r="U409" s="15"/>
      <c r="V409" s="70" t="e">
        <f t="shared" si="84"/>
        <v>#DIV/0!</v>
      </c>
      <c r="W409" s="15"/>
      <c r="X409" s="15"/>
      <c r="Y409" s="15">
        <f t="shared" si="85"/>
        <v>0</v>
      </c>
      <c r="Z409" s="52"/>
      <c r="AA409" s="98">
        <f t="shared" si="86"/>
        <v>0</v>
      </c>
      <c r="AB409" s="52"/>
      <c r="AC409" s="98">
        <f t="shared" si="87"/>
        <v>0</v>
      </c>
      <c r="AD409" s="98" t="e">
        <f t="shared" si="88"/>
        <v>#N/A</v>
      </c>
      <c r="AE409" s="238" t="e">
        <f t="shared" si="89"/>
        <v>#DIV/0!</v>
      </c>
      <c r="AF409" s="125" t="e">
        <f t="shared" si="90"/>
        <v>#N/A</v>
      </c>
      <c r="AG409" s="92"/>
    </row>
    <row r="410" spans="1:33" ht="14.4">
      <c r="A410" s="270"/>
      <c r="B410" s="97">
        <f t="shared" si="78"/>
        <v>31</v>
      </c>
      <c r="C410" s="325"/>
      <c r="D410" s="260"/>
      <c r="E410" s="95"/>
      <c r="G410" s="52"/>
      <c r="H410" s="52"/>
      <c r="I410" s="256"/>
      <c r="J410" s="98">
        <f t="shared" si="79"/>
        <v>0</v>
      </c>
      <c r="K410" s="118" t="e">
        <f t="shared" si="80"/>
        <v>#DIV/0!</v>
      </c>
      <c r="L410" s="15"/>
      <c r="M410" s="15"/>
      <c r="N410" s="15">
        <f t="shared" si="81"/>
        <v>0</v>
      </c>
      <c r="O410" s="70" t="e">
        <f t="shared" si="82"/>
        <v>#DIV/0!</v>
      </c>
      <c r="P410" s="70"/>
      <c r="Q410" s="70">
        <f t="shared" si="83"/>
        <v>0</v>
      </c>
      <c r="R410" s="70"/>
      <c r="S410" s="70"/>
      <c r="T410" s="70"/>
      <c r="U410" s="15"/>
      <c r="V410" s="70" t="e">
        <f t="shared" si="84"/>
        <v>#DIV/0!</v>
      </c>
      <c r="W410" s="15"/>
      <c r="X410" s="15"/>
      <c r="Y410" s="15">
        <f t="shared" si="85"/>
        <v>0</v>
      </c>
      <c r="Z410" s="52"/>
      <c r="AA410" s="98">
        <f t="shared" si="86"/>
        <v>0</v>
      </c>
      <c r="AB410" s="52"/>
      <c r="AC410" s="98">
        <f t="shared" si="87"/>
        <v>0</v>
      </c>
      <c r="AD410" s="98">
        <f t="shared" si="88"/>
        <v>0</v>
      </c>
      <c r="AE410" s="238" t="e">
        <f t="shared" si="89"/>
        <v>#DIV/0!</v>
      </c>
      <c r="AF410" s="125" t="e">
        <f t="shared" si="90"/>
        <v>#DIV/0!</v>
      </c>
      <c r="AG410" s="92"/>
    </row>
    <row r="411" spans="1:33" ht="14.4">
      <c r="A411" s="270"/>
      <c r="B411" s="97">
        <f t="shared" si="78"/>
        <v>31</v>
      </c>
      <c r="C411" s="325"/>
      <c r="D411" s="260"/>
      <c r="E411" s="95"/>
      <c r="G411" s="52"/>
      <c r="H411" s="52"/>
      <c r="I411" s="256"/>
      <c r="J411" s="98">
        <f t="shared" si="79"/>
        <v>0</v>
      </c>
      <c r="K411" s="118" t="e">
        <f t="shared" si="80"/>
        <v>#DIV/0!</v>
      </c>
      <c r="L411" s="15"/>
      <c r="M411" s="15"/>
      <c r="N411" s="15">
        <f t="shared" si="81"/>
        <v>0</v>
      </c>
      <c r="O411" s="70" t="e">
        <f t="shared" si="82"/>
        <v>#N/A</v>
      </c>
      <c r="P411" s="70" t="e">
        <f>VLOOKUP(C411,'[1]Profit and Loss agt new'!$D$17:$E$52,2,)</f>
        <v>#N/A</v>
      </c>
      <c r="Q411" s="70" t="e">
        <f t="shared" si="83"/>
        <v>#N/A</v>
      </c>
      <c r="R411" s="70"/>
      <c r="S411" s="70"/>
      <c r="T411" s="70"/>
      <c r="U411" s="15"/>
      <c r="V411" s="70" t="e">
        <f t="shared" si="84"/>
        <v>#DIV/0!</v>
      </c>
      <c r="W411" s="15"/>
      <c r="X411" s="15"/>
      <c r="Y411" s="15">
        <f t="shared" si="85"/>
        <v>0</v>
      </c>
      <c r="Z411" s="52"/>
      <c r="AA411" s="98">
        <f t="shared" si="86"/>
        <v>0</v>
      </c>
      <c r="AB411" s="52"/>
      <c r="AC411" s="98">
        <f t="shared" si="87"/>
        <v>0</v>
      </c>
      <c r="AD411" s="98" t="e">
        <f t="shared" si="88"/>
        <v>#N/A</v>
      </c>
      <c r="AE411" s="238" t="e">
        <f t="shared" si="89"/>
        <v>#DIV/0!</v>
      </c>
      <c r="AF411" s="125" t="e">
        <f t="shared" si="90"/>
        <v>#N/A</v>
      </c>
      <c r="AG411" s="92"/>
    </row>
    <row r="412" spans="1:33" ht="14.4">
      <c r="A412" s="270"/>
      <c r="B412" s="97">
        <f t="shared" si="78"/>
        <v>31</v>
      </c>
      <c r="C412" s="325"/>
      <c r="D412" s="260"/>
      <c r="E412" s="95"/>
      <c r="G412" s="52"/>
      <c r="H412" s="52"/>
      <c r="I412" s="256"/>
      <c r="J412" s="98">
        <f t="shared" si="79"/>
        <v>0</v>
      </c>
      <c r="K412" s="118" t="e">
        <f t="shared" si="80"/>
        <v>#DIV/0!</v>
      </c>
      <c r="L412" s="15"/>
      <c r="M412" s="15"/>
      <c r="N412" s="15">
        <f t="shared" si="81"/>
        <v>0</v>
      </c>
      <c r="O412" s="70" t="e">
        <f t="shared" si="82"/>
        <v>#DIV/0!</v>
      </c>
      <c r="P412" s="70"/>
      <c r="Q412" s="70">
        <f t="shared" si="83"/>
        <v>0</v>
      </c>
      <c r="R412" s="70"/>
      <c r="S412" s="70"/>
      <c r="T412" s="70"/>
      <c r="U412" s="15"/>
      <c r="V412" s="70" t="e">
        <f t="shared" si="84"/>
        <v>#DIV/0!</v>
      </c>
      <c r="W412" s="15"/>
      <c r="X412" s="15"/>
      <c r="Y412" s="15">
        <f t="shared" si="85"/>
        <v>0</v>
      </c>
      <c r="Z412" s="52"/>
      <c r="AA412" s="98">
        <f t="shared" si="86"/>
        <v>0</v>
      </c>
      <c r="AB412" s="52"/>
      <c r="AC412" s="98">
        <f t="shared" si="87"/>
        <v>0</v>
      </c>
      <c r="AD412" s="98">
        <f t="shared" si="88"/>
        <v>0</v>
      </c>
      <c r="AE412" s="238" t="e">
        <f t="shared" si="89"/>
        <v>#DIV/0!</v>
      </c>
      <c r="AF412" s="125" t="e">
        <f t="shared" si="90"/>
        <v>#DIV/0!</v>
      </c>
      <c r="AG412" s="92"/>
    </row>
    <row r="413" spans="1:33" ht="14.4">
      <c r="A413" s="270"/>
      <c r="B413" s="97">
        <f t="shared" si="78"/>
        <v>31</v>
      </c>
      <c r="C413" s="325"/>
      <c r="D413" s="260"/>
      <c r="E413" s="95"/>
      <c r="G413" s="52"/>
      <c r="H413" s="52"/>
      <c r="I413" s="256"/>
      <c r="J413" s="98">
        <f t="shared" si="79"/>
        <v>0</v>
      </c>
      <c r="K413" s="118" t="e">
        <f t="shared" si="80"/>
        <v>#DIV/0!</v>
      </c>
      <c r="L413" s="15"/>
      <c r="M413" s="15"/>
      <c r="N413" s="15">
        <f t="shared" si="81"/>
        <v>0</v>
      </c>
      <c r="O413" s="70" t="e">
        <f t="shared" si="82"/>
        <v>#N/A</v>
      </c>
      <c r="P413" s="70" t="e">
        <f>VLOOKUP(C413,'[1]Profit and Loss agt new'!$D$17:$E$52,2,)</f>
        <v>#N/A</v>
      </c>
      <c r="Q413" s="70" t="e">
        <f t="shared" si="83"/>
        <v>#N/A</v>
      </c>
      <c r="R413" s="70"/>
      <c r="S413" s="70"/>
      <c r="T413" s="70"/>
      <c r="U413" s="15"/>
      <c r="V413" s="70" t="e">
        <f t="shared" si="84"/>
        <v>#DIV/0!</v>
      </c>
      <c r="W413" s="15"/>
      <c r="X413" s="15"/>
      <c r="Y413" s="15">
        <f t="shared" si="85"/>
        <v>0</v>
      </c>
      <c r="Z413" s="52"/>
      <c r="AA413" s="98">
        <f t="shared" si="86"/>
        <v>0</v>
      </c>
      <c r="AB413" s="52"/>
      <c r="AC413" s="98">
        <f t="shared" si="87"/>
        <v>0</v>
      </c>
      <c r="AD413" s="98" t="e">
        <f t="shared" si="88"/>
        <v>#N/A</v>
      </c>
      <c r="AE413" s="238" t="e">
        <f t="shared" si="89"/>
        <v>#DIV/0!</v>
      </c>
      <c r="AF413" s="125" t="e">
        <f t="shared" si="90"/>
        <v>#N/A</v>
      </c>
      <c r="AG413" s="92"/>
    </row>
    <row r="414" spans="1:33" ht="14.4">
      <c r="A414" s="270"/>
      <c r="B414" s="97">
        <f t="shared" si="78"/>
        <v>31</v>
      </c>
      <c r="C414" s="325"/>
      <c r="D414" s="260"/>
      <c r="E414" s="95"/>
      <c r="G414" s="52"/>
      <c r="H414" s="52"/>
      <c r="I414" s="256"/>
      <c r="J414" s="98">
        <f t="shared" si="79"/>
        <v>0</v>
      </c>
      <c r="K414" s="118" t="e">
        <f t="shared" si="80"/>
        <v>#DIV/0!</v>
      </c>
      <c r="L414" s="15"/>
      <c r="M414" s="15"/>
      <c r="N414" s="15">
        <f t="shared" si="81"/>
        <v>0</v>
      </c>
      <c r="O414" s="70" t="e">
        <f t="shared" si="82"/>
        <v>#DIV/0!</v>
      </c>
      <c r="P414" s="70"/>
      <c r="Q414" s="70">
        <f t="shared" si="83"/>
        <v>0</v>
      </c>
      <c r="R414" s="70"/>
      <c r="S414" s="70"/>
      <c r="T414" s="70"/>
      <c r="U414" s="15"/>
      <c r="V414" s="70" t="e">
        <f t="shared" si="84"/>
        <v>#DIV/0!</v>
      </c>
      <c r="W414" s="15"/>
      <c r="X414" s="15"/>
      <c r="Y414" s="15">
        <f t="shared" si="85"/>
        <v>0</v>
      </c>
      <c r="Z414" s="52"/>
      <c r="AA414" s="98">
        <f t="shared" si="86"/>
        <v>0</v>
      </c>
      <c r="AB414" s="52"/>
      <c r="AC414" s="98">
        <f t="shared" si="87"/>
        <v>0</v>
      </c>
      <c r="AD414" s="98">
        <f t="shared" si="88"/>
        <v>0</v>
      </c>
      <c r="AE414" s="238" t="e">
        <f t="shared" si="89"/>
        <v>#DIV/0!</v>
      </c>
      <c r="AF414" s="125" t="e">
        <f t="shared" si="90"/>
        <v>#DIV/0!</v>
      </c>
      <c r="AG414" s="92"/>
    </row>
    <row r="415" spans="1:33" ht="14.4">
      <c r="A415" s="270"/>
      <c r="B415" s="97">
        <f t="shared" si="78"/>
        <v>31</v>
      </c>
      <c r="C415" s="325"/>
      <c r="D415" s="260"/>
      <c r="E415" s="95"/>
      <c r="G415" s="52"/>
      <c r="H415" s="52"/>
      <c r="I415" s="256"/>
      <c r="J415" s="98">
        <f t="shared" si="79"/>
        <v>0</v>
      </c>
      <c r="K415" s="118" t="e">
        <f t="shared" si="80"/>
        <v>#DIV/0!</v>
      </c>
      <c r="L415" s="15"/>
      <c r="M415" s="15"/>
      <c r="N415" s="15">
        <f t="shared" si="81"/>
        <v>0</v>
      </c>
      <c r="O415" s="70" t="e">
        <f t="shared" si="82"/>
        <v>#DIV/0!</v>
      </c>
      <c r="P415" s="70"/>
      <c r="Q415" s="70">
        <f t="shared" si="83"/>
        <v>0</v>
      </c>
      <c r="R415" s="70"/>
      <c r="S415" s="70"/>
      <c r="T415" s="70"/>
      <c r="U415" s="15"/>
      <c r="V415" s="70" t="e">
        <f t="shared" si="84"/>
        <v>#DIV/0!</v>
      </c>
      <c r="W415" s="15"/>
      <c r="X415" s="15"/>
      <c r="Y415" s="15">
        <f t="shared" si="85"/>
        <v>0</v>
      </c>
      <c r="Z415" s="52"/>
      <c r="AA415" s="98">
        <f t="shared" si="86"/>
        <v>0</v>
      </c>
      <c r="AB415" s="52"/>
      <c r="AC415" s="98">
        <f t="shared" si="87"/>
        <v>0</v>
      </c>
      <c r="AD415" s="98">
        <f t="shared" si="88"/>
        <v>0</v>
      </c>
      <c r="AE415" s="238" t="e">
        <f t="shared" si="89"/>
        <v>#DIV/0!</v>
      </c>
      <c r="AF415" s="125" t="e">
        <f t="shared" si="90"/>
        <v>#DIV/0!</v>
      </c>
      <c r="AG415" s="92"/>
    </row>
    <row r="416" spans="1:33" ht="14.4">
      <c r="A416" s="270"/>
      <c r="B416" s="97">
        <f t="shared" si="78"/>
        <v>31</v>
      </c>
      <c r="C416" s="325"/>
      <c r="D416" s="260"/>
      <c r="E416" s="95"/>
      <c r="G416" s="52"/>
      <c r="H416" s="52"/>
      <c r="I416" s="256"/>
      <c r="J416" s="98">
        <f t="shared" si="79"/>
        <v>0</v>
      </c>
      <c r="K416" s="118" t="e">
        <f t="shared" si="80"/>
        <v>#DIV/0!</v>
      </c>
      <c r="L416" s="15"/>
      <c r="M416" s="15"/>
      <c r="N416" s="15">
        <f t="shared" si="81"/>
        <v>0</v>
      </c>
      <c r="O416" s="70" t="e">
        <f t="shared" si="82"/>
        <v>#DIV/0!</v>
      </c>
      <c r="P416" s="70"/>
      <c r="Q416" s="70">
        <f t="shared" si="83"/>
        <v>0</v>
      </c>
      <c r="R416" s="70"/>
      <c r="S416" s="70"/>
      <c r="T416" s="70"/>
      <c r="U416" s="15"/>
      <c r="V416" s="70" t="e">
        <f t="shared" si="84"/>
        <v>#DIV/0!</v>
      </c>
      <c r="W416" s="15"/>
      <c r="X416" s="15"/>
      <c r="Y416" s="15">
        <f t="shared" si="85"/>
        <v>0</v>
      </c>
      <c r="Z416" s="52"/>
      <c r="AA416" s="98">
        <f t="shared" si="86"/>
        <v>0</v>
      </c>
      <c r="AB416" s="52"/>
      <c r="AC416" s="98">
        <f t="shared" si="87"/>
        <v>0</v>
      </c>
      <c r="AD416" s="98">
        <f t="shared" si="88"/>
        <v>0</v>
      </c>
      <c r="AE416" s="238" t="e">
        <f t="shared" si="89"/>
        <v>#DIV/0!</v>
      </c>
      <c r="AF416" s="125" t="e">
        <f t="shared" si="90"/>
        <v>#DIV/0!</v>
      </c>
      <c r="AG416" s="92"/>
    </row>
    <row r="417" spans="1:33" ht="14.4">
      <c r="A417" s="270"/>
      <c r="B417" s="97">
        <f t="shared" si="78"/>
        <v>31</v>
      </c>
      <c r="C417" s="325"/>
      <c r="D417" s="260"/>
      <c r="E417" s="95"/>
      <c r="G417" s="52"/>
      <c r="H417" s="52"/>
      <c r="I417" s="256"/>
      <c r="J417" s="98">
        <f t="shared" si="79"/>
        <v>0</v>
      </c>
      <c r="K417" s="118" t="e">
        <f t="shared" si="80"/>
        <v>#DIV/0!</v>
      </c>
      <c r="L417" s="15"/>
      <c r="M417" s="15"/>
      <c r="N417" s="15">
        <f t="shared" si="81"/>
        <v>0</v>
      </c>
      <c r="O417" s="70" t="e">
        <f t="shared" si="82"/>
        <v>#DIV/0!</v>
      </c>
      <c r="P417" s="70"/>
      <c r="Q417" s="70">
        <f t="shared" si="83"/>
        <v>0</v>
      </c>
      <c r="R417" s="70"/>
      <c r="S417" s="70"/>
      <c r="T417" s="70"/>
      <c r="U417" s="15"/>
      <c r="V417" s="70" t="e">
        <f t="shared" si="84"/>
        <v>#DIV/0!</v>
      </c>
      <c r="W417" s="15"/>
      <c r="X417" s="15"/>
      <c r="Y417" s="15">
        <f t="shared" si="85"/>
        <v>0</v>
      </c>
      <c r="Z417" s="52"/>
      <c r="AA417" s="98">
        <f t="shared" si="86"/>
        <v>0</v>
      </c>
      <c r="AB417" s="52"/>
      <c r="AC417" s="98">
        <f t="shared" si="87"/>
        <v>0</v>
      </c>
      <c r="AD417" s="98">
        <f t="shared" si="88"/>
        <v>0</v>
      </c>
      <c r="AE417" s="238" t="e">
        <f t="shared" si="89"/>
        <v>#DIV/0!</v>
      </c>
      <c r="AF417" s="125" t="e">
        <f t="shared" si="90"/>
        <v>#DIV/0!</v>
      </c>
      <c r="AG417" s="92"/>
    </row>
    <row r="418" spans="1:33" ht="14.4">
      <c r="A418" s="270"/>
      <c r="B418" s="97">
        <f t="shared" si="78"/>
        <v>31</v>
      </c>
      <c r="C418" s="325"/>
      <c r="D418" s="260"/>
      <c r="E418" s="95"/>
      <c r="G418" s="52"/>
      <c r="H418" s="52"/>
      <c r="I418" s="256"/>
      <c r="J418" s="98">
        <f t="shared" si="79"/>
        <v>0</v>
      </c>
      <c r="K418" s="118" t="e">
        <f t="shared" si="80"/>
        <v>#DIV/0!</v>
      </c>
      <c r="L418" s="15"/>
      <c r="M418" s="15"/>
      <c r="N418" s="15">
        <f t="shared" si="81"/>
        <v>0</v>
      </c>
      <c r="O418" s="70" t="e">
        <f t="shared" si="82"/>
        <v>#DIV/0!</v>
      </c>
      <c r="P418" s="70"/>
      <c r="Q418" s="70">
        <f t="shared" si="83"/>
        <v>0</v>
      </c>
      <c r="R418" s="70"/>
      <c r="S418" s="70"/>
      <c r="T418" s="70"/>
      <c r="U418" s="15"/>
      <c r="V418" s="70" t="e">
        <f t="shared" si="84"/>
        <v>#DIV/0!</v>
      </c>
      <c r="W418" s="15"/>
      <c r="X418" s="15"/>
      <c r="Y418" s="15">
        <f t="shared" si="85"/>
        <v>0</v>
      </c>
      <c r="Z418" s="52"/>
      <c r="AA418" s="98">
        <f t="shared" si="86"/>
        <v>0</v>
      </c>
      <c r="AB418" s="52"/>
      <c r="AC418" s="98">
        <f t="shared" si="87"/>
        <v>0</v>
      </c>
      <c r="AD418" s="98">
        <f t="shared" si="88"/>
        <v>0</v>
      </c>
      <c r="AE418" s="238" t="e">
        <f t="shared" si="89"/>
        <v>#DIV/0!</v>
      </c>
      <c r="AF418" s="125" t="e">
        <f t="shared" si="90"/>
        <v>#DIV/0!</v>
      </c>
      <c r="AG418" s="92"/>
    </row>
    <row r="419" spans="1:33" ht="14.4">
      <c r="A419" s="270"/>
      <c r="B419" s="97">
        <f t="shared" si="78"/>
        <v>31</v>
      </c>
      <c r="C419" s="325"/>
      <c r="D419" s="260"/>
      <c r="E419" s="95"/>
      <c r="G419" s="52"/>
      <c r="H419" s="52"/>
      <c r="I419" s="256"/>
      <c r="J419" s="98">
        <f t="shared" si="79"/>
        <v>0</v>
      </c>
      <c r="K419" s="118" t="e">
        <f t="shared" si="80"/>
        <v>#DIV/0!</v>
      </c>
      <c r="L419" s="15"/>
      <c r="M419" s="15"/>
      <c r="N419" s="15">
        <f t="shared" si="81"/>
        <v>0</v>
      </c>
      <c r="O419" s="70" t="e">
        <f t="shared" si="82"/>
        <v>#DIV/0!</v>
      </c>
      <c r="P419" s="70"/>
      <c r="Q419" s="70">
        <f t="shared" si="83"/>
        <v>0</v>
      </c>
      <c r="R419" s="70"/>
      <c r="S419" s="70"/>
      <c r="T419" s="70"/>
      <c r="U419" s="15"/>
      <c r="V419" s="70" t="e">
        <f t="shared" si="84"/>
        <v>#DIV/0!</v>
      </c>
      <c r="W419" s="15"/>
      <c r="X419" s="15"/>
      <c r="Y419" s="15">
        <f t="shared" si="85"/>
        <v>0</v>
      </c>
      <c r="Z419" s="52"/>
      <c r="AA419" s="98">
        <f t="shared" si="86"/>
        <v>0</v>
      </c>
      <c r="AB419" s="52"/>
      <c r="AC419" s="98">
        <f t="shared" si="87"/>
        <v>0</v>
      </c>
      <c r="AD419" s="98">
        <f t="shared" si="88"/>
        <v>0</v>
      </c>
      <c r="AE419" s="238" t="e">
        <f t="shared" si="89"/>
        <v>#DIV/0!</v>
      </c>
      <c r="AF419" s="125" t="e">
        <f t="shared" si="90"/>
        <v>#DIV/0!</v>
      </c>
      <c r="AG419" s="92"/>
    </row>
    <row r="420" spans="1:33" ht="14.4">
      <c r="A420" s="270"/>
      <c r="B420" s="97">
        <f t="shared" si="78"/>
        <v>31</v>
      </c>
      <c r="C420" s="325"/>
      <c r="D420" s="260"/>
      <c r="E420" s="95"/>
      <c r="G420" s="52"/>
      <c r="H420" s="52"/>
      <c r="I420" s="256"/>
      <c r="J420" s="98">
        <f t="shared" si="79"/>
        <v>0</v>
      </c>
      <c r="K420" s="118" t="e">
        <f t="shared" si="80"/>
        <v>#DIV/0!</v>
      </c>
      <c r="L420" s="15"/>
      <c r="M420" s="15"/>
      <c r="N420" s="15">
        <f t="shared" si="81"/>
        <v>0</v>
      </c>
      <c r="O420" s="70" t="e">
        <f t="shared" si="82"/>
        <v>#N/A</v>
      </c>
      <c r="P420" s="70" t="e">
        <f>VLOOKUP(C420,'[1]Profit and Loss agt new'!$D$17:$E$52,2,)</f>
        <v>#N/A</v>
      </c>
      <c r="Q420" s="70" t="e">
        <f t="shared" si="83"/>
        <v>#N/A</v>
      </c>
      <c r="R420" s="70"/>
      <c r="S420" s="70"/>
      <c r="T420" s="70"/>
      <c r="U420" s="15"/>
      <c r="V420" s="70" t="e">
        <f t="shared" si="84"/>
        <v>#DIV/0!</v>
      </c>
      <c r="W420" s="15"/>
      <c r="X420" s="15"/>
      <c r="Y420" s="15">
        <f t="shared" si="85"/>
        <v>0</v>
      </c>
      <c r="Z420" s="52"/>
      <c r="AA420" s="98">
        <f t="shared" si="86"/>
        <v>0</v>
      </c>
      <c r="AB420" s="52"/>
      <c r="AC420" s="98">
        <f t="shared" si="87"/>
        <v>0</v>
      </c>
      <c r="AD420" s="98" t="e">
        <f t="shared" si="88"/>
        <v>#N/A</v>
      </c>
      <c r="AE420" s="238" t="e">
        <f t="shared" si="89"/>
        <v>#DIV/0!</v>
      </c>
      <c r="AF420" s="125" t="e">
        <f t="shared" si="90"/>
        <v>#N/A</v>
      </c>
      <c r="AG420" s="92"/>
    </row>
    <row r="421" spans="1:33" ht="14.4">
      <c r="A421" s="270"/>
      <c r="B421" s="97">
        <f t="shared" si="78"/>
        <v>31</v>
      </c>
      <c r="C421" s="325"/>
      <c r="D421" s="260"/>
      <c r="E421" s="95"/>
      <c r="G421" s="52"/>
      <c r="H421" s="52"/>
      <c r="I421" s="256"/>
      <c r="J421" s="98">
        <f t="shared" si="79"/>
        <v>0</v>
      </c>
      <c r="K421" s="118" t="e">
        <f t="shared" si="80"/>
        <v>#DIV/0!</v>
      </c>
      <c r="L421" s="15"/>
      <c r="M421" s="15"/>
      <c r="N421" s="15">
        <f t="shared" si="81"/>
        <v>0</v>
      </c>
      <c r="O421" s="70" t="e">
        <f t="shared" si="82"/>
        <v>#DIV/0!</v>
      </c>
      <c r="P421" s="70"/>
      <c r="Q421" s="70">
        <f t="shared" si="83"/>
        <v>0</v>
      </c>
      <c r="R421" s="70"/>
      <c r="S421" s="70"/>
      <c r="T421" s="70"/>
      <c r="U421" s="15"/>
      <c r="V421" s="70" t="e">
        <f t="shared" si="84"/>
        <v>#DIV/0!</v>
      </c>
      <c r="W421" s="15"/>
      <c r="X421" s="15"/>
      <c r="Y421" s="15">
        <f t="shared" si="85"/>
        <v>0</v>
      </c>
      <c r="Z421" s="52"/>
      <c r="AA421" s="98">
        <f t="shared" si="86"/>
        <v>0</v>
      </c>
      <c r="AB421" s="52"/>
      <c r="AC421" s="98">
        <f t="shared" si="87"/>
        <v>0</v>
      </c>
      <c r="AD421" s="98">
        <f t="shared" si="88"/>
        <v>0</v>
      </c>
      <c r="AE421" s="238" t="e">
        <f t="shared" si="89"/>
        <v>#DIV/0!</v>
      </c>
      <c r="AF421" s="125" t="e">
        <f t="shared" si="90"/>
        <v>#DIV/0!</v>
      </c>
      <c r="AG421" s="92"/>
    </row>
    <row r="422" spans="1:33" ht="14.4">
      <c r="A422" s="270"/>
      <c r="B422" s="97">
        <f t="shared" si="78"/>
        <v>31</v>
      </c>
      <c r="C422" s="325"/>
      <c r="D422" s="260"/>
      <c r="E422" s="95"/>
      <c r="G422" s="52"/>
      <c r="H422" s="52"/>
      <c r="I422" s="256"/>
      <c r="J422" s="98">
        <f t="shared" si="79"/>
        <v>0</v>
      </c>
      <c r="K422" s="118" t="e">
        <f t="shared" si="80"/>
        <v>#DIV/0!</v>
      </c>
      <c r="L422" s="15"/>
      <c r="M422" s="15"/>
      <c r="N422" s="15">
        <f t="shared" si="81"/>
        <v>0</v>
      </c>
      <c r="O422" s="70" t="e">
        <f t="shared" si="82"/>
        <v>#DIV/0!</v>
      </c>
      <c r="P422" s="70"/>
      <c r="Q422" s="70">
        <f t="shared" si="83"/>
        <v>0</v>
      </c>
      <c r="R422" s="70"/>
      <c r="S422" s="70"/>
      <c r="T422" s="70"/>
      <c r="U422" s="15"/>
      <c r="V422" s="70" t="e">
        <f t="shared" si="84"/>
        <v>#DIV/0!</v>
      </c>
      <c r="W422" s="15"/>
      <c r="X422" s="15"/>
      <c r="Y422" s="15">
        <f t="shared" si="85"/>
        <v>0</v>
      </c>
      <c r="Z422" s="52"/>
      <c r="AA422" s="98">
        <f t="shared" si="86"/>
        <v>0</v>
      </c>
      <c r="AB422" s="52"/>
      <c r="AC422" s="98">
        <f t="shared" si="87"/>
        <v>0</v>
      </c>
      <c r="AD422" s="98">
        <f t="shared" si="88"/>
        <v>0</v>
      </c>
      <c r="AE422" s="238" t="e">
        <f t="shared" si="89"/>
        <v>#DIV/0!</v>
      </c>
      <c r="AF422" s="125" t="e">
        <f t="shared" si="90"/>
        <v>#DIV/0!</v>
      </c>
      <c r="AG422" s="92"/>
    </row>
    <row r="423" spans="1:33" ht="14.4">
      <c r="A423" s="270"/>
      <c r="B423" s="97">
        <f t="shared" si="78"/>
        <v>31</v>
      </c>
      <c r="C423" s="325"/>
      <c r="D423" s="260"/>
      <c r="E423" s="95"/>
      <c r="G423" s="52"/>
      <c r="H423" s="52"/>
      <c r="I423" s="256"/>
      <c r="J423" s="98">
        <f t="shared" si="79"/>
        <v>0</v>
      </c>
      <c r="K423" s="118" t="e">
        <f t="shared" si="80"/>
        <v>#DIV/0!</v>
      </c>
      <c r="L423" s="15"/>
      <c r="M423" s="15"/>
      <c r="N423" s="15">
        <f t="shared" si="81"/>
        <v>0</v>
      </c>
      <c r="O423" s="70" t="e">
        <f t="shared" si="82"/>
        <v>#DIV/0!</v>
      </c>
      <c r="P423" s="70"/>
      <c r="Q423" s="70">
        <f t="shared" si="83"/>
        <v>0</v>
      </c>
      <c r="R423" s="70"/>
      <c r="S423" s="70"/>
      <c r="T423" s="70"/>
      <c r="U423" s="15"/>
      <c r="V423" s="70" t="e">
        <f t="shared" si="84"/>
        <v>#DIV/0!</v>
      </c>
      <c r="W423" s="15"/>
      <c r="X423" s="15"/>
      <c r="Y423" s="15">
        <f t="shared" si="85"/>
        <v>0</v>
      </c>
      <c r="Z423" s="52"/>
      <c r="AA423" s="98">
        <f t="shared" si="86"/>
        <v>0</v>
      </c>
      <c r="AB423" s="52"/>
      <c r="AC423" s="98">
        <f t="shared" si="87"/>
        <v>0</v>
      </c>
      <c r="AD423" s="98">
        <f t="shared" si="88"/>
        <v>0</v>
      </c>
      <c r="AE423" s="238" t="e">
        <f t="shared" si="89"/>
        <v>#DIV/0!</v>
      </c>
      <c r="AF423" s="125" t="e">
        <f t="shared" si="90"/>
        <v>#DIV/0!</v>
      </c>
      <c r="AG423" s="92"/>
    </row>
    <row r="424" spans="1:33" ht="14.4">
      <c r="A424" s="270"/>
      <c r="B424" s="97">
        <f t="shared" si="78"/>
        <v>31</v>
      </c>
      <c r="C424" s="325"/>
      <c r="D424" s="260"/>
      <c r="E424" s="95"/>
      <c r="G424" s="52"/>
      <c r="H424" s="52"/>
      <c r="I424" s="256"/>
      <c r="J424" s="98">
        <f t="shared" si="79"/>
        <v>0</v>
      </c>
      <c r="K424" s="118" t="e">
        <f t="shared" si="80"/>
        <v>#DIV/0!</v>
      </c>
      <c r="L424" s="15"/>
      <c r="M424" s="15"/>
      <c r="N424" s="15">
        <f t="shared" si="81"/>
        <v>0</v>
      </c>
      <c r="O424" s="70" t="e">
        <f t="shared" si="82"/>
        <v>#DIV/0!</v>
      </c>
      <c r="P424" s="70"/>
      <c r="Q424" s="70">
        <f t="shared" si="83"/>
        <v>0</v>
      </c>
      <c r="R424" s="70"/>
      <c r="S424" s="70"/>
      <c r="T424" s="70"/>
      <c r="U424" s="15"/>
      <c r="V424" s="70" t="e">
        <f t="shared" si="84"/>
        <v>#DIV/0!</v>
      </c>
      <c r="W424" s="15"/>
      <c r="X424" s="15"/>
      <c r="Y424" s="15">
        <f t="shared" si="85"/>
        <v>0</v>
      </c>
      <c r="Z424" s="52"/>
      <c r="AA424" s="98">
        <f t="shared" si="86"/>
        <v>0</v>
      </c>
      <c r="AB424" s="52"/>
      <c r="AC424" s="98">
        <f t="shared" si="87"/>
        <v>0</v>
      </c>
      <c r="AD424" s="98">
        <f t="shared" si="88"/>
        <v>0</v>
      </c>
      <c r="AE424" s="238" t="e">
        <f t="shared" si="89"/>
        <v>#DIV/0!</v>
      </c>
      <c r="AF424" s="125" t="e">
        <f t="shared" si="90"/>
        <v>#DIV/0!</v>
      </c>
      <c r="AG424" s="92"/>
    </row>
    <row r="425" spans="1:33" ht="14.4">
      <c r="A425" s="270"/>
      <c r="B425" s="97">
        <f t="shared" si="78"/>
        <v>31</v>
      </c>
      <c r="C425" s="325"/>
      <c r="D425" s="260"/>
      <c r="E425" s="95"/>
      <c r="G425" s="52"/>
      <c r="H425" s="52"/>
      <c r="I425" s="256"/>
      <c r="J425" s="98">
        <f t="shared" si="79"/>
        <v>0</v>
      </c>
      <c r="K425" s="118" t="e">
        <f t="shared" si="80"/>
        <v>#DIV/0!</v>
      </c>
      <c r="L425" s="15"/>
      <c r="M425" s="15"/>
      <c r="N425" s="15">
        <f t="shared" si="81"/>
        <v>0</v>
      </c>
      <c r="O425" s="70" t="e">
        <f t="shared" si="82"/>
        <v>#DIV/0!</v>
      </c>
      <c r="P425" s="70"/>
      <c r="Q425" s="70">
        <f t="shared" si="83"/>
        <v>0</v>
      </c>
      <c r="R425" s="70"/>
      <c r="S425" s="70"/>
      <c r="T425" s="70"/>
      <c r="U425" s="15"/>
      <c r="V425" s="70" t="e">
        <f t="shared" si="84"/>
        <v>#DIV/0!</v>
      </c>
      <c r="W425" s="15"/>
      <c r="X425" s="15"/>
      <c r="Y425" s="15">
        <f t="shared" si="85"/>
        <v>0</v>
      </c>
      <c r="Z425" s="52"/>
      <c r="AA425" s="98">
        <f t="shared" si="86"/>
        <v>0</v>
      </c>
      <c r="AB425" s="52"/>
      <c r="AC425" s="98">
        <f t="shared" si="87"/>
        <v>0</v>
      </c>
      <c r="AD425" s="98">
        <f t="shared" si="88"/>
        <v>0</v>
      </c>
      <c r="AE425" s="238" t="e">
        <f t="shared" si="89"/>
        <v>#DIV/0!</v>
      </c>
      <c r="AF425" s="125" t="e">
        <f t="shared" si="90"/>
        <v>#DIV/0!</v>
      </c>
      <c r="AG425" s="92"/>
    </row>
    <row r="426" spans="1:33" ht="14.4">
      <c r="A426" s="270"/>
      <c r="B426" s="97">
        <f t="shared" si="78"/>
        <v>31</v>
      </c>
      <c r="C426" s="325"/>
      <c r="D426" s="260"/>
      <c r="E426" s="95"/>
      <c r="G426" s="52"/>
      <c r="H426" s="52"/>
      <c r="I426" s="256"/>
      <c r="J426" s="98">
        <f t="shared" si="79"/>
        <v>0</v>
      </c>
      <c r="K426" s="118" t="e">
        <f t="shared" si="80"/>
        <v>#DIV/0!</v>
      </c>
      <c r="L426" s="15"/>
      <c r="M426" s="15"/>
      <c r="N426" s="15">
        <f t="shared" si="81"/>
        <v>0</v>
      </c>
      <c r="O426" s="70" t="e">
        <f t="shared" si="82"/>
        <v>#DIV/0!</v>
      </c>
      <c r="P426" s="70"/>
      <c r="Q426" s="70">
        <f t="shared" si="83"/>
        <v>0</v>
      </c>
      <c r="R426" s="70"/>
      <c r="S426" s="70"/>
      <c r="T426" s="70"/>
      <c r="U426" s="15"/>
      <c r="V426" s="70" t="e">
        <f t="shared" si="84"/>
        <v>#DIV/0!</v>
      </c>
      <c r="W426" s="15"/>
      <c r="X426" s="15"/>
      <c r="Y426" s="15">
        <f t="shared" si="85"/>
        <v>0</v>
      </c>
      <c r="Z426" s="52"/>
      <c r="AA426" s="98">
        <f t="shared" si="86"/>
        <v>0</v>
      </c>
      <c r="AB426" s="52"/>
      <c r="AC426" s="98">
        <f t="shared" si="87"/>
        <v>0</v>
      </c>
      <c r="AD426" s="98">
        <f t="shared" si="88"/>
        <v>0</v>
      </c>
      <c r="AE426" s="238" t="e">
        <f t="shared" si="89"/>
        <v>#DIV/0!</v>
      </c>
      <c r="AF426" s="125" t="e">
        <f t="shared" si="90"/>
        <v>#DIV/0!</v>
      </c>
      <c r="AG426" s="92"/>
    </row>
    <row r="427" spans="1:33" ht="14.4">
      <c r="A427" s="270"/>
      <c r="B427" s="97">
        <f t="shared" si="78"/>
        <v>31</v>
      </c>
      <c r="C427" s="325"/>
      <c r="D427" s="260"/>
      <c r="E427" s="95"/>
      <c r="G427" s="52"/>
      <c r="H427" s="52"/>
      <c r="I427" s="256"/>
      <c r="J427" s="98">
        <f t="shared" si="79"/>
        <v>0</v>
      </c>
      <c r="K427" s="118" t="e">
        <f t="shared" si="80"/>
        <v>#DIV/0!</v>
      </c>
      <c r="L427" s="15"/>
      <c r="M427" s="15"/>
      <c r="N427" s="15">
        <f t="shared" si="81"/>
        <v>0</v>
      </c>
      <c r="O427" s="70" t="e">
        <f t="shared" si="82"/>
        <v>#DIV/0!</v>
      </c>
      <c r="P427" s="70"/>
      <c r="Q427" s="70">
        <f t="shared" si="83"/>
        <v>0</v>
      </c>
      <c r="R427" s="70"/>
      <c r="S427" s="70"/>
      <c r="T427" s="70"/>
      <c r="U427" s="15"/>
      <c r="V427" s="70" t="e">
        <f t="shared" si="84"/>
        <v>#DIV/0!</v>
      </c>
      <c r="W427" s="15"/>
      <c r="X427" s="15"/>
      <c r="Y427" s="15">
        <f t="shared" si="85"/>
        <v>0</v>
      </c>
      <c r="Z427" s="52"/>
      <c r="AA427" s="98">
        <f t="shared" si="86"/>
        <v>0</v>
      </c>
      <c r="AB427" s="52"/>
      <c r="AC427" s="98">
        <f t="shared" si="87"/>
        <v>0</v>
      </c>
      <c r="AD427" s="98">
        <f t="shared" si="88"/>
        <v>0</v>
      </c>
      <c r="AE427" s="238" t="e">
        <f t="shared" si="89"/>
        <v>#DIV/0!</v>
      </c>
      <c r="AF427" s="125" t="e">
        <f t="shared" si="90"/>
        <v>#DIV/0!</v>
      </c>
      <c r="AG427" s="92"/>
    </row>
    <row r="428" spans="1:33" ht="14.4">
      <c r="A428" s="270"/>
      <c r="B428" s="97">
        <f t="shared" si="78"/>
        <v>31</v>
      </c>
      <c r="C428" s="325"/>
      <c r="D428" s="260"/>
      <c r="E428" s="95"/>
      <c r="G428" s="52"/>
      <c r="H428" s="52"/>
      <c r="I428" s="256"/>
      <c r="J428" s="98">
        <f t="shared" si="79"/>
        <v>0</v>
      </c>
      <c r="K428" s="118" t="e">
        <f t="shared" si="80"/>
        <v>#DIV/0!</v>
      </c>
      <c r="L428" s="15"/>
      <c r="M428" s="15"/>
      <c r="N428" s="15">
        <f t="shared" si="81"/>
        <v>0</v>
      </c>
      <c r="O428" s="70" t="e">
        <f t="shared" si="82"/>
        <v>#DIV/0!</v>
      </c>
      <c r="P428" s="70"/>
      <c r="Q428" s="70">
        <f t="shared" si="83"/>
        <v>0</v>
      </c>
      <c r="R428" s="70"/>
      <c r="S428" s="70"/>
      <c r="T428" s="70"/>
      <c r="U428" s="15"/>
      <c r="V428" s="70" t="e">
        <f t="shared" si="84"/>
        <v>#DIV/0!</v>
      </c>
      <c r="W428" s="15"/>
      <c r="X428" s="15"/>
      <c r="Y428" s="15">
        <f t="shared" si="85"/>
        <v>0</v>
      </c>
      <c r="Z428" s="52"/>
      <c r="AA428" s="98">
        <f t="shared" si="86"/>
        <v>0</v>
      </c>
      <c r="AB428" s="52"/>
      <c r="AC428" s="98">
        <f t="shared" si="87"/>
        <v>0</v>
      </c>
      <c r="AD428" s="98">
        <f t="shared" si="88"/>
        <v>0</v>
      </c>
      <c r="AE428" s="238" t="e">
        <f t="shared" si="89"/>
        <v>#DIV/0!</v>
      </c>
      <c r="AF428" s="125" t="e">
        <f t="shared" si="90"/>
        <v>#DIV/0!</v>
      </c>
      <c r="AG428" s="92"/>
    </row>
    <row r="429" spans="1:33" ht="14.4">
      <c r="A429" s="270"/>
      <c r="B429" s="97">
        <f t="shared" si="78"/>
        <v>31</v>
      </c>
      <c r="C429" s="325"/>
      <c r="D429" s="260"/>
      <c r="E429" s="95"/>
      <c r="G429" s="52"/>
      <c r="H429" s="52"/>
      <c r="I429" s="256"/>
      <c r="J429" s="98">
        <f t="shared" si="79"/>
        <v>0</v>
      </c>
      <c r="K429" s="118" t="e">
        <f t="shared" si="80"/>
        <v>#DIV/0!</v>
      </c>
      <c r="L429" s="15"/>
      <c r="M429" s="15"/>
      <c r="N429" s="15">
        <f t="shared" si="81"/>
        <v>0</v>
      </c>
      <c r="O429" s="70" t="e">
        <f t="shared" si="82"/>
        <v>#DIV/0!</v>
      </c>
      <c r="P429" s="70"/>
      <c r="Q429" s="70">
        <f t="shared" si="83"/>
        <v>0</v>
      </c>
      <c r="R429" s="70"/>
      <c r="S429" s="70"/>
      <c r="T429" s="70"/>
      <c r="U429" s="15"/>
      <c r="V429" s="70" t="e">
        <f t="shared" si="84"/>
        <v>#DIV/0!</v>
      </c>
      <c r="W429" s="15"/>
      <c r="X429" s="15"/>
      <c r="Y429" s="15">
        <f t="shared" si="85"/>
        <v>0</v>
      </c>
      <c r="Z429" s="52"/>
      <c r="AA429" s="98">
        <f t="shared" si="86"/>
        <v>0</v>
      </c>
      <c r="AB429" s="52"/>
      <c r="AC429" s="98">
        <f t="shared" si="87"/>
        <v>0</v>
      </c>
      <c r="AD429" s="98">
        <f t="shared" si="88"/>
        <v>0</v>
      </c>
      <c r="AE429" s="238" t="e">
        <f t="shared" si="89"/>
        <v>#DIV/0!</v>
      </c>
      <c r="AF429" s="125" t="e">
        <f t="shared" si="90"/>
        <v>#DIV/0!</v>
      </c>
      <c r="AG429" s="92"/>
    </row>
    <row r="430" spans="1:33" ht="14.4">
      <c r="A430" s="270"/>
      <c r="B430" s="97">
        <f t="shared" si="78"/>
        <v>31</v>
      </c>
      <c r="C430" s="325"/>
      <c r="D430" s="260"/>
      <c r="E430" s="95"/>
      <c r="G430" s="52"/>
      <c r="H430" s="52"/>
      <c r="I430" s="256"/>
      <c r="J430" s="98">
        <f t="shared" si="79"/>
        <v>0</v>
      </c>
      <c r="K430" s="118" t="e">
        <f t="shared" si="80"/>
        <v>#DIV/0!</v>
      </c>
      <c r="L430" s="15"/>
      <c r="M430" s="15"/>
      <c r="N430" s="15">
        <f t="shared" si="81"/>
        <v>0</v>
      </c>
      <c r="O430" s="70" t="e">
        <f t="shared" si="82"/>
        <v>#DIV/0!</v>
      </c>
      <c r="P430" s="70"/>
      <c r="Q430" s="70">
        <f t="shared" si="83"/>
        <v>0</v>
      </c>
      <c r="R430" s="70"/>
      <c r="S430" s="70"/>
      <c r="T430" s="70"/>
      <c r="U430" s="15"/>
      <c r="V430" s="70" t="e">
        <f t="shared" si="84"/>
        <v>#DIV/0!</v>
      </c>
      <c r="W430" s="15"/>
      <c r="X430" s="15"/>
      <c r="Y430" s="15">
        <f t="shared" si="85"/>
        <v>0</v>
      </c>
      <c r="Z430" s="52"/>
      <c r="AA430" s="98">
        <f t="shared" si="86"/>
        <v>0</v>
      </c>
      <c r="AB430" s="52"/>
      <c r="AC430" s="98">
        <f t="shared" si="87"/>
        <v>0</v>
      </c>
      <c r="AD430" s="98">
        <f t="shared" si="88"/>
        <v>0</v>
      </c>
      <c r="AE430" s="238" t="e">
        <f t="shared" si="89"/>
        <v>#DIV/0!</v>
      </c>
      <c r="AF430" s="125" t="e">
        <f t="shared" si="90"/>
        <v>#DIV/0!</v>
      </c>
      <c r="AG430" s="92"/>
    </row>
    <row r="431" spans="1:33" ht="14.4">
      <c r="A431" s="270"/>
      <c r="B431" s="97">
        <f t="shared" si="78"/>
        <v>31</v>
      </c>
      <c r="C431" s="325"/>
      <c r="D431" s="260"/>
      <c r="E431" s="95"/>
      <c r="G431" s="52"/>
      <c r="H431" s="52"/>
      <c r="I431" s="256"/>
      <c r="J431" s="98">
        <f t="shared" si="79"/>
        <v>0</v>
      </c>
      <c r="K431" s="118" t="e">
        <f t="shared" si="80"/>
        <v>#DIV/0!</v>
      </c>
      <c r="L431" s="15"/>
      <c r="M431" s="15"/>
      <c r="N431" s="15">
        <f t="shared" si="81"/>
        <v>0</v>
      </c>
      <c r="O431" s="70" t="e">
        <f t="shared" si="82"/>
        <v>#DIV/0!</v>
      </c>
      <c r="P431" s="70"/>
      <c r="Q431" s="70">
        <f t="shared" si="83"/>
        <v>0</v>
      </c>
      <c r="R431" s="70"/>
      <c r="S431" s="70"/>
      <c r="T431" s="70"/>
      <c r="U431" s="15"/>
      <c r="V431" s="70" t="e">
        <f t="shared" si="84"/>
        <v>#DIV/0!</v>
      </c>
      <c r="W431" s="15"/>
      <c r="X431" s="15"/>
      <c r="Y431" s="15">
        <f t="shared" si="85"/>
        <v>0</v>
      </c>
      <c r="Z431" s="52"/>
      <c r="AA431" s="98">
        <f t="shared" si="86"/>
        <v>0</v>
      </c>
      <c r="AB431" s="52"/>
      <c r="AC431" s="98">
        <f t="shared" si="87"/>
        <v>0</v>
      </c>
      <c r="AD431" s="98">
        <f t="shared" si="88"/>
        <v>0</v>
      </c>
      <c r="AE431" s="238" t="e">
        <f t="shared" si="89"/>
        <v>#DIV/0!</v>
      </c>
      <c r="AF431" s="125" t="e">
        <f t="shared" si="90"/>
        <v>#DIV/0!</v>
      </c>
      <c r="AG431" s="92"/>
    </row>
    <row r="432" spans="1:33" ht="14.4">
      <c r="A432" s="270"/>
      <c r="B432" s="97">
        <f t="shared" si="78"/>
        <v>31</v>
      </c>
      <c r="C432" s="325"/>
      <c r="D432" s="260"/>
      <c r="E432" s="95"/>
      <c r="G432" s="52"/>
      <c r="H432" s="52"/>
      <c r="I432" s="256"/>
      <c r="J432" s="98">
        <f t="shared" si="79"/>
        <v>0</v>
      </c>
      <c r="K432" s="118" t="e">
        <f t="shared" si="80"/>
        <v>#DIV/0!</v>
      </c>
      <c r="L432" s="15"/>
      <c r="M432" s="15"/>
      <c r="N432" s="15">
        <f t="shared" si="81"/>
        <v>0</v>
      </c>
      <c r="O432" s="70" t="e">
        <f t="shared" si="82"/>
        <v>#DIV/0!</v>
      </c>
      <c r="P432" s="70"/>
      <c r="Q432" s="70">
        <f t="shared" si="83"/>
        <v>0</v>
      </c>
      <c r="R432" s="70"/>
      <c r="S432" s="70"/>
      <c r="T432" s="70"/>
      <c r="U432" s="15"/>
      <c r="V432" s="70" t="e">
        <f t="shared" si="84"/>
        <v>#DIV/0!</v>
      </c>
      <c r="W432" s="15"/>
      <c r="X432" s="15"/>
      <c r="Y432" s="15">
        <f t="shared" si="85"/>
        <v>0</v>
      </c>
      <c r="Z432" s="52"/>
      <c r="AA432" s="98">
        <f t="shared" si="86"/>
        <v>0</v>
      </c>
      <c r="AB432" s="52"/>
      <c r="AC432" s="98">
        <f t="shared" si="87"/>
        <v>0</v>
      </c>
      <c r="AD432" s="98">
        <f t="shared" si="88"/>
        <v>0</v>
      </c>
      <c r="AE432" s="238" t="e">
        <f t="shared" si="89"/>
        <v>#DIV/0!</v>
      </c>
      <c r="AF432" s="125" t="e">
        <f t="shared" si="90"/>
        <v>#DIV/0!</v>
      </c>
      <c r="AG432" s="92"/>
    </row>
    <row r="433" spans="1:33" ht="14.4">
      <c r="A433" s="270"/>
      <c r="B433" s="97">
        <f t="shared" si="78"/>
        <v>31</v>
      </c>
      <c r="C433" s="325"/>
      <c r="D433" s="260"/>
      <c r="E433" s="95"/>
      <c r="G433" s="52"/>
      <c r="H433" s="52"/>
      <c r="I433" s="256"/>
      <c r="J433" s="98">
        <f t="shared" si="79"/>
        <v>0</v>
      </c>
      <c r="K433" s="118" t="e">
        <f t="shared" si="80"/>
        <v>#DIV/0!</v>
      </c>
      <c r="L433" s="15"/>
      <c r="M433" s="15"/>
      <c r="N433" s="15">
        <f t="shared" si="81"/>
        <v>0</v>
      </c>
      <c r="O433" s="70" t="e">
        <f t="shared" si="82"/>
        <v>#DIV/0!</v>
      </c>
      <c r="P433" s="70"/>
      <c r="Q433" s="70">
        <f t="shared" si="83"/>
        <v>0</v>
      </c>
      <c r="R433" s="70"/>
      <c r="S433" s="70"/>
      <c r="T433" s="70"/>
      <c r="U433" s="15"/>
      <c r="V433" s="70" t="e">
        <f t="shared" si="84"/>
        <v>#DIV/0!</v>
      </c>
      <c r="W433" s="15"/>
      <c r="X433" s="15"/>
      <c r="Y433" s="15">
        <f t="shared" si="85"/>
        <v>0</v>
      </c>
      <c r="Z433" s="52"/>
      <c r="AA433" s="98">
        <f t="shared" si="86"/>
        <v>0</v>
      </c>
      <c r="AB433" s="52"/>
      <c r="AC433" s="98">
        <f t="shared" si="87"/>
        <v>0</v>
      </c>
      <c r="AD433" s="98">
        <f t="shared" si="88"/>
        <v>0</v>
      </c>
      <c r="AE433" s="238" t="e">
        <f t="shared" si="89"/>
        <v>#DIV/0!</v>
      </c>
      <c r="AF433" s="125" t="e">
        <f t="shared" si="90"/>
        <v>#DIV/0!</v>
      </c>
      <c r="AG433" s="92"/>
    </row>
    <row r="434" spans="1:33" ht="14.4">
      <c r="A434" s="270"/>
      <c r="B434" s="97">
        <f t="shared" si="78"/>
        <v>31</v>
      </c>
      <c r="C434" s="325"/>
      <c r="D434" s="260"/>
      <c r="E434" s="95"/>
      <c r="G434" s="52"/>
      <c r="H434" s="52"/>
      <c r="I434" s="256"/>
      <c r="J434" s="98">
        <f t="shared" si="79"/>
        <v>0</v>
      </c>
      <c r="K434" s="118" t="e">
        <f t="shared" si="80"/>
        <v>#DIV/0!</v>
      </c>
      <c r="L434" s="15"/>
      <c r="M434" s="15"/>
      <c r="N434" s="15">
        <f t="shared" si="81"/>
        <v>0</v>
      </c>
      <c r="O434" s="70" t="e">
        <f t="shared" si="82"/>
        <v>#DIV/0!</v>
      </c>
      <c r="P434" s="70"/>
      <c r="Q434" s="70">
        <f t="shared" si="83"/>
        <v>0</v>
      </c>
      <c r="R434" s="70"/>
      <c r="S434" s="70"/>
      <c r="T434" s="70"/>
      <c r="U434" s="15"/>
      <c r="V434" s="70" t="e">
        <f t="shared" si="84"/>
        <v>#DIV/0!</v>
      </c>
      <c r="W434" s="15"/>
      <c r="X434" s="15"/>
      <c r="Y434" s="15">
        <f t="shared" si="85"/>
        <v>0</v>
      </c>
      <c r="Z434" s="52"/>
      <c r="AA434" s="98">
        <f t="shared" si="86"/>
        <v>0</v>
      </c>
      <c r="AB434" s="52"/>
      <c r="AC434" s="98">
        <f t="shared" si="87"/>
        <v>0</v>
      </c>
      <c r="AD434" s="98">
        <f t="shared" si="88"/>
        <v>0</v>
      </c>
      <c r="AE434" s="238" t="e">
        <f t="shared" si="89"/>
        <v>#DIV/0!</v>
      </c>
      <c r="AF434" s="125" t="e">
        <f t="shared" si="90"/>
        <v>#DIV/0!</v>
      </c>
      <c r="AG434" s="92"/>
    </row>
    <row r="435" spans="1:33" ht="14.4">
      <c r="A435" s="270"/>
      <c r="B435" s="97">
        <f t="shared" si="78"/>
        <v>31</v>
      </c>
      <c r="C435" s="325"/>
      <c r="D435" s="260"/>
      <c r="E435" s="95"/>
      <c r="G435" s="52"/>
      <c r="H435" s="52"/>
      <c r="I435" s="256"/>
      <c r="J435" s="98">
        <f t="shared" si="79"/>
        <v>0</v>
      </c>
      <c r="K435" s="118" t="e">
        <f t="shared" si="80"/>
        <v>#DIV/0!</v>
      </c>
      <c r="L435" s="15"/>
      <c r="M435" s="15"/>
      <c r="N435" s="15">
        <f t="shared" si="81"/>
        <v>0</v>
      </c>
      <c r="O435" s="70" t="e">
        <f t="shared" si="82"/>
        <v>#DIV/0!</v>
      </c>
      <c r="P435" s="70"/>
      <c r="Q435" s="70">
        <f t="shared" si="83"/>
        <v>0</v>
      </c>
      <c r="R435" s="70"/>
      <c r="S435" s="70"/>
      <c r="T435" s="70"/>
      <c r="U435" s="15"/>
      <c r="V435" s="70" t="e">
        <f t="shared" si="84"/>
        <v>#DIV/0!</v>
      </c>
      <c r="W435" s="15"/>
      <c r="X435" s="15"/>
      <c r="Y435" s="15">
        <f t="shared" si="85"/>
        <v>0</v>
      </c>
      <c r="Z435" s="52"/>
      <c r="AA435" s="98">
        <f t="shared" si="86"/>
        <v>0</v>
      </c>
      <c r="AB435" s="52"/>
      <c r="AC435" s="98">
        <f t="shared" si="87"/>
        <v>0</v>
      </c>
      <c r="AD435" s="98">
        <f t="shared" si="88"/>
        <v>0</v>
      </c>
      <c r="AE435" s="238" t="e">
        <f t="shared" si="89"/>
        <v>#DIV/0!</v>
      </c>
      <c r="AF435" s="125" t="e">
        <f t="shared" si="90"/>
        <v>#DIV/0!</v>
      </c>
      <c r="AG435" s="92"/>
    </row>
    <row r="436" spans="1:33" ht="14.4">
      <c r="A436" s="270"/>
      <c r="B436" s="97">
        <f t="shared" si="78"/>
        <v>31</v>
      </c>
      <c r="C436" s="325"/>
      <c r="D436" s="260"/>
      <c r="E436" s="95"/>
      <c r="G436" s="52"/>
      <c r="H436" s="52"/>
      <c r="I436" s="256"/>
      <c r="J436" s="98">
        <f t="shared" si="79"/>
        <v>0</v>
      </c>
      <c r="K436" s="118" t="e">
        <f t="shared" si="80"/>
        <v>#DIV/0!</v>
      </c>
      <c r="L436" s="15"/>
      <c r="M436" s="15"/>
      <c r="N436" s="15">
        <f t="shared" si="81"/>
        <v>0</v>
      </c>
      <c r="O436" s="70" t="e">
        <f t="shared" si="82"/>
        <v>#DIV/0!</v>
      </c>
      <c r="P436" s="70"/>
      <c r="Q436" s="70">
        <f t="shared" si="83"/>
        <v>0</v>
      </c>
      <c r="R436" s="70"/>
      <c r="S436" s="70"/>
      <c r="T436" s="70"/>
      <c r="U436" s="15"/>
      <c r="V436" s="70" t="e">
        <f t="shared" si="84"/>
        <v>#DIV/0!</v>
      </c>
      <c r="W436" s="15"/>
      <c r="X436" s="15"/>
      <c r="Y436" s="15">
        <f t="shared" si="85"/>
        <v>0</v>
      </c>
      <c r="Z436" s="52"/>
      <c r="AA436" s="98">
        <f t="shared" si="86"/>
        <v>0</v>
      </c>
      <c r="AB436" s="52"/>
      <c r="AC436" s="98">
        <f t="shared" si="87"/>
        <v>0</v>
      </c>
      <c r="AD436" s="98">
        <f t="shared" si="88"/>
        <v>0</v>
      </c>
      <c r="AE436" s="238" t="e">
        <f t="shared" si="89"/>
        <v>#DIV/0!</v>
      </c>
      <c r="AF436" s="125" t="e">
        <f t="shared" si="90"/>
        <v>#DIV/0!</v>
      </c>
      <c r="AG436" s="92"/>
    </row>
    <row r="437" spans="1:33" ht="14.4">
      <c r="A437" s="270"/>
      <c r="B437" s="97">
        <f t="shared" si="78"/>
        <v>31</v>
      </c>
      <c r="C437" s="325"/>
      <c r="D437" s="260"/>
      <c r="E437" s="95"/>
      <c r="G437" s="52"/>
      <c r="H437" s="52"/>
      <c r="I437" s="256"/>
      <c r="J437" s="98">
        <f t="shared" si="79"/>
        <v>0</v>
      </c>
      <c r="K437" s="118" t="e">
        <f t="shared" si="80"/>
        <v>#DIV/0!</v>
      </c>
      <c r="L437" s="15"/>
      <c r="M437" s="15"/>
      <c r="N437" s="15">
        <f t="shared" si="81"/>
        <v>0</v>
      </c>
      <c r="O437" s="70" t="e">
        <f t="shared" si="82"/>
        <v>#DIV/0!</v>
      </c>
      <c r="P437" s="70"/>
      <c r="Q437" s="70">
        <f t="shared" si="83"/>
        <v>0</v>
      </c>
      <c r="R437" s="70"/>
      <c r="S437" s="70"/>
      <c r="T437" s="70"/>
      <c r="U437" s="15"/>
      <c r="V437" s="70" t="e">
        <f t="shared" si="84"/>
        <v>#DIV/0!</v>
      </c>
      <c r="W437" s="15"/>
      <c r="X437" s="15"/>
      <c r="Y437" s="15">
        <f t="shared" si="85"/>
        <v>0</v>
      </c>
      <c r="Z437" s="52"/>
      <c r="AA437" s="98">
        <f t="shared" si="86"/>
        <v>0</v>
      </c>
      <c r="AB437" s="52"/>
      <c r="AC437" s="98">
        <f t="shared" si="87"/>
        <v>0</v>
      </c>
      <c r="AD437" s="98">
        <f t="shared" si="88"/>
        <v>0</v>
      </c>
      <c r="AE437" s="238" t="e">
        <f t="shared" si="89"/>
        <v>#DIV/0!</v>
      </c>
      <c r="AF437" s="125" t="e">
        <f t="shared" si="90"/>
        <v>#DIV/0!</v>
      </c>
      <c r="AG437" s="92"/>
    </row>
    <row r="438" spans="1:33" ht="14.4">
      <c r="A438" s="270"/>
      <c r="B438" s="97">
        <f t="shared" si="78"/>
        <v>31</v>
      </c>
      <c r="C438" s="325"/>
      <c r="D438" s="260"/>
      <c r="E438" s="95"/>
      <c r="G438" s="52"/>
      <c r="H438" s="52"/>
      <c r="I438" s="256"/>
      <c r="J438" s="98">
        <f t="shared" si="79"/>
        <v>0</v>
      </c>
      <c r="K438" s="118" t="e">
        <f t="shared" si="80"/>
        <v>#DIV/0!</v>
      </c>
      <c r="L438" s="15"/>
      <c r="M438" s="15"/>
      <c r="N438" s="15">
        <f t="shared" si="81"/>
        <v>0</v>
      </c>
      <c r="O438" s="70" t="e">
        <f t="shared" si="82"/>
        <v>#DIV/0!</v>
      </c>
      <c r="P438" s="70"/>
      <c r="Q438" s="70">
        <f t="shared" si="83"/>
        <v>0</v>
      </c>
      <c r="R438" s="70"/>
      <c r="S438" s="70"/>
      <c r="T438" s="70"/>
      <c r="U438" s="15"/>
      <c r="V438" s="70" t="e">
        <f t="shared" si="84"/>
        <v>#DIV/0!</v>
      </c>
      <c r="W438" s="15"/>
      <c r="X438" s="15"/>
      <c r="Y438" s="15">
        <f t="shared" si="85"/>
        <v>0</v>
      </c>
      <c r="Z438" s="52"/>
      <c r="AA438" s="98">
        <f t="shared" si="86"/>
        <v>0</v>
      </c>
      <c r="AB438" s="52"/>
      <c r="AC438" s="98">
        <f t="shared" si="87"/>
        <v>0</v>
      </c>
      <c r="AD438" s="98">
        <f t="shared" si="88"/>
        <v>0</v>
      </c>
      <c r="AE438" s="238" t="e">
        <f t="shared" si="89"/>
        <v>#DIV/0!</v>
      </c>
      <c r="AF438" s="125" t="e">
        <f t="shared" si="90"/>
        <v>#DIV/0!</v>
      </c>
      <c r="AG438" s="92"/>
    </row>
    <row r="439" spans="1:33" ht="14.4">
      <c r="A439" s="270"/>
      <c r="B439" s="97">
        <f t="shared" si="78"/>
        <v>31</v>
      </c>
      <c r="C439" s="325"/>
      <c r="D439" s="260"/>
      <c r="E439" s="95"/>
      <c r="G439" s="52"/>
      <c r="H439" s="52"/>
      <c r="I439" s="256"/>
      <c r="J439" s="98">
        <f t="shared" si="79"/>
        <v>0</v>
      </c>
      <c r="K439" s="118" t="e">
        <f t="shared" si="80"/>
        <v>#DIV/0!</v>
      </c>
      <c r="L439" s="15"/>
      <c r="M439" s="15"/>
      <c r="N439" s="15">
        <f t="shared" si="81"/>
        <v>0</v>
      </c>
      <c r="O439" s="70" t="e">
        <f t="shared" si="82"/>
        <v>#DIV/0!</v>
      </c>
      <c r="P439" s="70"/>
      <c r="Q439" s="70">
        <f t="shared" si="83"/>
        <v>0</v>
      </c>
      <c r="R439" s="70"/>
      <c r="S439" s="70"/>
      <c r="T439" s="70"/>
      <c r="U439" s="15"/>
      <c r="V439" s="70" t="e">
        <f t="shared" si="84"/>
        <v>#DIV/0!</v>
      </c>
      <c r="W439" s="15"/>
      <c r="X439" s="15"/>
      <c r="Y439" s="15">
        <f t="shared" si="85"/>
        <v>0</v>
      </c>
      <c r="Z439" s="52"/>
      <c r="AA439" s="98">
        <f t="shared" si="86"/>
        <v>0</v>
      </c>
      <c r="AB439" s="52"/>
      <c r="AC439" s="98">
        <f t="shared" si="87"/>
        <v>0</v>
      </c>
      <c r="AD439" s="98">
        <f t="shared" si="88"/>
        <v>0</v>
      </c>
      <c r="AE439" s="238" t="e">
        <f t="shared" si="89"/>
        <v>#DIV/0!</v>
      </c>
      <c r="AF439" s="125" t="e">
        <f t="shared" si="90"/>
        <v>#DIV/0!</v>
      </c>
      <c r="AG439" s="92"/>
    </row>
    <row r="440" spans="1:33" ht="14.4">
      <c r="A440" s="270"/>
      <c r="B440" s="97">
        <f t="shared" si="78"/>
        <v>31</v>
      </c>
      <c r="C440" s="325"/>
      <c r="D440" s="260"/>
      <c r="E440" s="95"/>
      <c r="G440" s="52"/>
      <c r="H440" s="52"/>
      <c r="I440" s="256"/>
      <c r="J440" s="98">
        <f t="shared" si="79"/>
        <v>0</v>
      </c>
      <c r="K440" s="118" t="e">
        <f t="shared" si="80"/>
        <v>#DIV/0!</v>
      </c>
      <c r="L440" s="15"/>
      <c r="M440" s="15"/>
      <c r="N440" s="15">
        <f t="shared" si="81"/>
        <v>0</v>
      </c>
      <c r="O440" s="70" t="e">
        <f t="shared" si="82"/>
        <v>#DIV/0!</v>
      </c>
      <c r="P440" s="70"/>
      <c r="Q440" s="70">
        <f t="shared" si="83"/>
        <v>0</v>
      </c>
      <c r="R440" s="70"/>
      <c r="S440" s="70"/>
      <c r="T440" s="70"/>
      <c r="U440" s="15"/>
      <c r="V440" s="70" t="e">
        <f t="shared" si="84"/>
        <v>#DIV/0!</v>
      </c>
      <c r="W440" s="15"/>
      <c r="X440" s="15"/>
      <c r="Y440" s="15">
        <f t="shared" si="85"/>
        <v>0</v>
      </c>
      <c r="Z440" s="52"/>
      <c r="AA440" s="98">
        <f t="shared" si="86"/>
        <v>0</v>
      </c>
      <c r="AB440" s="52"/>
      <c r="AC440" s="98">
        <f t="shared" si="87"/>
        <v>0</v>
      </c>
      <c r="AD440" s="98">
        <f t="shared" si="88"/>
        <v>0</v>
      </c>
      <c r="AE440" s="238" t="e">
        <f t="shared" si="89"/>
        <v>#DIV/0!</v>
      </c>
      <c r="AF440" s="125" t="e">
        <f t="shared" si="90"/>
        <v>#DIV/0!</v>
      </c>
      <c r="AG440" s="92"/>
    </row>
    <row r="441" spans="1:33" ht="14.4">
      <c r="A441" s="270"/>
      <c r="B441" s="97">
        <f t="shared" si="78"/>
        <v>31</v>
      </c>
      <c r="C441" s="325"/>
      <c r="D441" s="260"/>
      <c r="E441" s="95"/>
      <c r="G441" s="52"/>
      <c r="H441" s="52"/>
      <c r="I441" s="256"/>
      <c r="J441" s="98">
        <f t="shared" si="79"/>
        <v>0</v>
      </c>
      <c r="K441" s="118" t="e">
        <f t="shared" si="80"/>
        <v>#DIV/0!</v>
      </c>
      <c r="L441" s="15"/>
      <c r="M441" s="15"/>
      <c r="N441" s="15">
        <f t="shared" si="81"/>
        <v>0</v>
      </c>
      <c r="O441" s="70" t="e">
        <f t="shared" si="82"/>
        <v>#DIV/0!</v>
      </c>
      <c r="P441" s="70"/>
      <c r="Q441" s="70">
        <f t="shared" si="83"/>
        <v>0</v>
      </c>
      <c r="R441" s="70"/>
      <c r="S441" s="70"/>
      <c r="T441" s="70"/>
      <c r="U441" s="15"/>
      <c r="V441" s="70" t="e">
        <f t="shared" si="84"/>
        <v>#DIV/0!</v>
      </c>
      <c r="W441" s="15"/>
      <c r="X441" s="15"/>
      <c r="Y441" s="15">
        <f t="shared" si="85"/>
        <v>0</v>
      </c>
      <c r="Z441" s="52"/>
      <c r="AA441" s="98">
        <f t="shared" si="86"/>
        <v>0</v>
      </c>
      <c r="AB441" s="52"/>
      <c r="AC441" s="98">
        <f t="shared" si="87"/>
        <v>0</v>
      </c>
      <c r="AD441" s="98">
        <f t="shared" si="88"/>
        <v>0</v>
      </c>
      <c r="AE441" s="238" t="e">
        <f t="shared" si="89"/>
        <v>#DIV/0!</v>
      </c>
      <c r="AF441" s="125" t="e">
        <f t="shared" si="90"/>
        <v>#DIV/0!</v>
      </c>
      <c r="AG441" s="92"/>
    </row>
    <row r="442" spans="1:33" ht="14.4">
      <c r="A442" s="270"/>
      <c r="B442" s="97">
        <f t="shared" si="78"/>
        <v>31</v>
      </c>
      <c r="C442" s="325"/>
      <c r="D442" s="260"/>
      <c r="E442" s="95"/>
      <c r="G442" s="52"/>
      <c r="H442" s="52"/>
      <c r="I442" s="256"/>
      <c r="J442" s="98">
        <f t="shared" si="79"/>
        <v>0</v>
      </c>
      <c r="K442" s="118" t="e">
        <f t="shared" si="80"/>
        <v>#DIV/0!</v>
      </c>
      <c r="L442" s="15"/>
      <c r="M442" s="15"/>
      <c r="N442" s="15">
        <f t="shared" si="81"/>
        <v>0</v>
      </c>
      <c r="O442" s="70" t="e">
        <f t="shared" si="82"/>
        <v>#DIV/0!</v>
      </c>
      <c r="P442" s="70"/>
      <c r="Q442" s="70">
        <f t="shared" si="83"/>
        <v>0</v>
      </c>
      <c r="R442" s="70"/>
      <c r="S442" s="70"/>
      <c r="T442" s="70"/>
      <c r="U442" s="15"/>
      <c r="V442" s="70" t="e">
        <f t="shared" si="84"/>
        <v>#DIV/0!</v>
      </c>
      <c r="W442" s="15"/>
      <c r="X442" s="15"/>
      <c r="Y442" s="15">
        <f t="shared" si="85"/>
        <v>0</v>
      </c>
      <c r="Z442" s="52"/>
      <c r="AA442" s="98">
        <f t="shared" si="86"/>
        <v>0</v>
      </c>
      <c r="AB442" s="52"/>
      <c r="AC442" s="98">
        <f t="shared" si="87"/>
        <v>0</v>
      </c>
      <c r="AD442" s="98">
        <f t="shared" si="88"/>
        <v>0</v>
      </c>
      <c r="AE442" s="238" t="e">
        <f t="shared" si="89"/>
        <v>#DIV/0!</v>
      </c>
      <c r="AF442" s="125" t="e">
        <f t="shared" si="90"/>
        <v>#DIV/0!</v>
      </c>
      <c r="AG442" s="92"/>
    </row>
    <row r="443" spans="1:33" ht="14.4">
      <c r="A443" s="270"/>
      <c r="B443" s="97">
        <f t="shared" si="78"/>
        <v>31</v>
      </c>
      <c r="C443" s="325"/>
      <c r="D443" s="260"/>
      <c r="E443" s="95"/>
      <c r="G443" s="52"/>
      <c r="H443" s="52"/>
      <c r="I443" s="256"/>
      <c r="J443" s="98">
        <f t="shared" si="79"/>
        <v>0</v>
      </c>
      <c r="K443" s="118" t="e">
        <f t="shared" si="80"/>
        <v>#DIV/0!</v>
      </c>
      <c r="L443" s="15"/>
      <c r="M443" s="15"/>
      <c r="N443" s="15">
        <f t="shared" si="81"/>
        <v>0</v>
      </c>
      <c r="O443" s="70" t="e">
        <f t="shared" si="82"/>
        <v>#DIV/0!</v>
      </c>
      <c r="P443" s="70"/>
      <c r="Q443" s="70">
        <f t="shared" si="83"/>
        <v>0</v>
      </c>
      <c r="R443" s="70"/>
      <c r="S443" s="70"/>
      <c r="T443" s="70"/>
      <c r="U443" s="15"/>
      <c r="V443" s="70" t="e">
        <f t="shared" si="84"/>
        <v>#DIV/0!</v>
      </c>
      <c r="W443" s="15"/>
      <c r="X443" s="15"/>
      <c r="Y443" s="15">
        <f t="shared" si="85"/>
        <v>0</v>
      </c>
      <c r="Z443" s="52"/>
      <c r="AA443" s="98">
        <f t="shared" si="86"/>
        <v>0</v>
      </c>
      <c r="AB443" s="52"/>
      <c r="AC443" s="98">
        <f t="shared" si="87"/>
        <v>0</v>
      </c>
      <c r="AD443" s="98">
        <f t="shared" si="88"/>
        <v>0</v>
      </c>
      <c r="AE443" s="238" t="e">
        <f t="shared" si="89"/>
        <v>#DIV/0!</v>
      </c>
      <c r="AF443" s="125" t="e">
        <f t="shared" si="90"/>
        <v>#DIV/0!</v>
      </c>
      <c r="AG443" s="92"/>
    </row>
    <row r="444" spans="1:33" ht="14.4">
      <c r="A444" s="270"/>
      <c r="B444" s="97">
        <f t="shared" si="78"/>
        <v>31</v>
      </c>
      <c r="C444" s="325"/>
      <c r="D444" s="260"/>
      <c r="E444" s="95"/>
      <c r="G444" s="52"/>
      <c r="H444" s="52"/>
      <c r="I444" s="256"/>
      <c r="J444" s="98">
        <f t="shared" si="79"/>
        <v>0</v>
      </c>
      <c r="K444" s="118" t="e">
        <f t="shared" si="80"/>
        <v>#DIV/0!</v>
      </c>
      <c r="L444" s="15"/>
      <c r="M444" s="15"/>
      <c r="N444" s="15">
        <f t="shared" si="81"/>
        <v>0</v>
      </c>
      <c r="O444" s="70" t="e">
        <f t="shared" si="82"/>
        <v>#DIV/0!</v>
      </c>
      <c r="P444" s="70"/>
      <c r="Q444" s="70">
        <f t="shared" si="83"/>
        <v>0</v>
      </c>
      <c r="R444" s="70"/>
      <c r="S444" s="70"/>
      <c r="T444" s="70"/>
      <c r="U444" s="15"/>
      <c r="V444" s="70" t="e">
        <f t="shared" si="84"/>
        <v>#DIV/0!</v>
      </c>
      <c r="W444" s="15"/>
      <c r="X444" s="15"/>
      <c r="Y444" s="15">
        <f t="shared" si="85"/>
        <v>0</v>
      </c>
      <c r="Z444" s="52"/>
      <c r="AA444" s="98">
        <f t="shared" si="86"/>
        <v>0</v>
      </c>
      <c r="AB444" s="52"/>
      <c r="AC444" s="98">
        <f t="shared" si="87"/>
        <v>0</v>
      </c>
      <c r="AD444" s="98">
        <f t="shared" si="88"/>
        <v>0</v>
      </c>
      <c r="AE444" s="238" t="e">
        <f t="shared" si="89"/>
        <v>#DIV/0!</v>
      </c>
      <c r="AF444" s="125" t="e">
        <f t="shared" si="90"/>
        <v>#DIV/0!</v>
      </c>
      <c r="AG444" s="92"/>
    </row>
    <row r="445" spans="1:33" ht="14.4">
      <c r="A445" s="270"/>
      <c r="B445" s="97">
        <f t="shared" si="78"/>
        <v>31</v>
      </c>
      <c r="C445" s="325"/>
      <c r="D445" s="260"/>
      <c r="E445" s="95"/>
      <c r="G445" s="52"/>
      <c r="H445" s="52"/>
      <c r="I445" s="256"/>
      <c r="J445" s="98">
        <f t="shared" si="79"/>
        <v>0</v>
      </c>
      <c r="K445" s="118" t="e">
        <f t="shared" si="80"/>
        <v>#DIV/0!</v>
      </c>
      <c r="L445" s="15"/>
      <c r="M445" s="15"/>
      <c r="N445" s="15">
        <f t="shared" si="81"/>
        <v>0</v>
      </c>
      <c r="O445" s="70" t="e">
        <f t="shared" si="82"/>
        <v>#DIV/0!</v>
      </c>
      <c r="P445" s="70"/>
      <c r="Q445" s="70">
        <f t="shared" si="83"/>
        <v>0</v>
      </c>
      <c r="R445" s="70"/>
      <c r="S445" s="70"/>
      <c r="T445" s="70"/>
      <c r="U445" s="15"/>
      <c r="V445" s="70" t="e">
        <f t="shared" si="84"/>
        <v>#DIV/0!</v>
      </c>
      <c r="W445" s="15"/>
      <c r="X445" s="15"/>
      <c r="Y445" s="15">
        <f t="shared" si="85"/>
        <v>0</v>
      </c>
      <c r="Z445" s="52"/>
      <c r="AA445" s="98">
        <f t="shared" si="86"/>
        <v>0</v>
      </c>
      <c r="AB445" s="52"/>
      <c r="AC445" s="98">
        <f t="shared" si="87"/>
        <v>0</v>
      </c>
      <c r="AD445" s="98">
        <f t="shared" si="88"/>
        <v>0</v>
      </c>
      <c r="AE445" s="238" t="e">
        <f t="shared" si="89"/>
        <v>#DIV/0!</v>
      </c>
      <c r="AF445" s="125" t="e">
        <f t="shared" si="90"/>
        <v>#DIV/0!</v>
      </c>
      <c r="AG445" s="92"/>
    </row>
    <row r="446" spans="1:33" ht="14.4">
      <c r="A446" s="270"/>
      <c r="B446" s="97">
        <f t="shared" si="78"/>
        <v>31</v>
      </c>
      <c r="C446" s="325"/>
      <c r="D446" s="260"/>
      <c r="E446" s="95"/>
      <c r="G446" s="52"/>
      <c r="H446" s="52"/>
      <c r="I446" s="256"/>
      <c r="J446" s="98">
        <f t="shared" si="79"/>
        <v>0</v>
      </c>
      <c r="K446" s="118" t="e">
        <f t="shared" si="80"/>
        <v>#DIV/0!</v>
      </c>
      <c r="L446" s="15"/>
      <c r="M446" s="15"/>
      <c r="N446" s="15">
        <f t="shared" si="81"/>
        <v>0</v>
      </c>
      <c r="O446" s="70" t="e">
        <f t="shared" si="82"/>
        <v>#DIV/0!</v>
      </c>
      <c r="P446" s="70"/>
      <c r="Q446" s="70">
        <f t="shared" si="83"/>
        <v>0</v>
      </c>
      <c r="R446" s="70"/>
      <c r="S446" s="70"/>
      <c r="T446" s="70"/>
      <c r="U446" s="15"/>
      <c r="V446" s="70" t="e">
        <f t="shared" si="84"/>
        <v>#DIV/0!</v>
      </c>
      <c r="W446" s="15"/>
      <c r="X446" s="15"/>
      <c r="Y446" s="15">
        <f t="shared" si="85"/>
        <v>0</v>
      </c>
      <c r="Z446" s="52"/>
      <c r="AA446" s="98">
        <f t="shared" si="86"/>
        <v>0</v>
      </c>
      <c r="AB446" s="52"/>
      <c r="AC446" s="98">
        <f t="shared" si="87"/>
        <v>0</v>
      </c>
      <c r="AD446" s="98">
        <f t="shared" si="88"/>
        <v>0</v>
      </c>
      <c r="AE446" s="238" t="e">
        <f t="shared" si="89"/>
        <v>#DIV/0!</v>
      </c>
      <c r="AF446" s="125" t="e">
        <f t="shared" si="90"/>
        <v>#DIV/0!</v>
      </c>
      <c r="AG446" s="92"/>
    </row>
    <row r="447" spans="1:33" ht="14.4">
      <c r="A447" s="270"/>
      <c r="B447" s="97">
        <f t="shared" si="78"/>
        <v>31</v>
      </c>
      <c r="C447" s="325"/>
      <c r="D447" s="260"/>
      <c r="E447" s="95"/>
      <c r="G447" s="52"/>
      <c r="H447" s="52"/>
      <c r="I447" s="256"/>
      <c r="J447" s="98">
        <f t="shared" si="79"/>
        <v>0</v>
      </c>
      <c r="K447" s="118" t="e">
        <f t="shared" si="80"/>
        <v>#DIV/0!</v>
      </c>
      <c r="L447" s="15"/>
      <c r="M447" s="15"/>
      <c r="N447" s="15">
        <f t="shared" si="81"/>
        <v>0</v>
      </c>
      <c r="O447" s="70" t="e">
        <f t="shared" si="82"/>
        <v>#DIV/0!</v>
      </c>
      <c r="P447" s="70"/>
      <c r="Q447" s="70">
        <f t="shared" si="83"/>
        <v>0</v>
      </c>
      <c r="R447" s="70"/>
      <c r="S447" s="70"/>
      <c r="T447" s="70"/>
      <c r="U447" s="15"/>
      <c r="V447" s="70" t="e">
        <f t="shared" si="84"/>
        <v>#DIV/0!</v>
      </c>
      <c r="W447" s="15"/>
      <c r="X447" s="15"/>
      <c r="Y447" s="15">
        <f t="shared" si="85"/>
        <v>0</v>
      </c>
      <c r="Z447" s="52"/>
      <c r="AA447" s="98">
        <f t="shared" si="86"/>
        <v>0</v>
      </c>
      <c r="AB447" s="52"/>
      <c r="AC447" s="98">
        <f t="shared" si="87"/>
        <v>0</v>
      </c>
      <c r="AD447" s="98">
        <f t="shared" si="88"/>
        <v>0</v>
      </c>
      <c r="AE447" s="238" t="e">
        <f t="shared" si="89"/>
        <v>#DIV/0!</v>
      </c>
      <c r="AF447" s="125" t="e">
        <f t="shared" si="90"/>
        <v>#DIV/0!</v>
      </c>
      <c r="AG447" s="92"/>
    </row>
    <row r="448" spans="1:33" ht="14.4">
      <c r="A448" s="270"/>
      <c r="B448" s="97">
        <f t="shared" si="78"/>
        <v>31</v>
      </c>
      <c r="C448" s="325"/>
      <c r="D448" s="260"/>
      <c r="E448" s="95"/>
      <c r="G448" s="52"/>
      <c r="H448" s="52"/>
      <c r="I448" s="256"/>
      <c r="J448" s="98">
        <f t="shared" si="79"/>
        <v>0</v>
      </c>
      <c r="K448" s="118" t="e">
        <f t="shared" si="80"/>
        <v>#DIV/0!</v>
      </c>
      <c r="L448" s="15"/>
      <c r="M448" s="15"/>
      <c r="N448" s="15">
        <f t="shared" si="81"/>
        <v>0</v>
      </c>
      <c r="O448" s="70" t="e">
        <f t="shared" si="82"/>
        <v>#DIV/0!</v>
      </c>
      <c r="P448" s="70"/>
      <c r="Q448" s="70">
        <f t="shared" si="83"/>
        <v>0</v>
      </c>
      <c r="R448" s="70"/>
      <c r="S448" s="70"/>
      <c r="T448" s="70"/>
      <c r="U448" s="15"/>
      <c r="V448" s="70" t="e">
        <f t="shared" si="84"/>
        <v>#DIV/0!</v>
      </c>
      <c r="W448" s="15"/>
      <c r="X448" s="15"/>
      <c r="Y448" s="15">
        <f t="shared" si="85"/>
        <v>0</v>
      </c>
      <c r="Z448" s="52"/>
      <c r="AA448" s="98">
        <f t="shared" si="86"/>
        <v>0</v>
      </c>
      <c r="AB448" s="52"/>
      <c r="AC448" s="98">
        <f t="shared" si="87"/>
        <v>0</v>
      </c>
      <c r="AD448" s="98">
        <f t="shared" si="88"/>
        <v>0</v>
      </c>
      <c r="AE448" s="238" t="e">
        <f t="shared" si="89"/>
        <v>#DIV/0!</v>
      </c>
      <c r="AF448" s="125" t="e">
        <f t="shared" si="90"/>
        <v>#DIV/0!</v>
      </c>
      <c r="AG448" s="92"/>
    </row>
    <row r="449" spans="1:33" ht="14.4">
      <c r="A449" s="270"/>
      <c r="B449" s="97">
        <f t="shared" si="78"/>
        <v>31</v>
      </c>
      <c r="C449" s="325"/>
      <c r="D449" s="260"/>
      <c r="E449" s="95"/>
      <c r="G449" s="52"/>
      <c r="H449" s="52"/>
      <c r="I449" s="256"/>
      <c r="J449" s="98">
        <f t="shared" si="79"/>
        <v>0</v>
      </c>
      <c r="K449" s="118" t="e">
        <f t="shared" si="80"/>
        <v>#DIV/0!</v>
      </c>
      <c r="L449" s="15"/>
      <c r="M449" s="15"/>
      <c r="N449" s="15">
        <f t="shared" si="81"/>
        <v>0</v>
      </c>
      <c r="O449" s="70" t="e">
        <f t="shared" si="82"/>
        <v>#DIV/0!</v>
      </c>
      <c r="P449" s="70"/>
      <c r="Q449" s="70">
        <f t="shared" si="83"/>
        <v>0</v>
      </c>
      <c r="R449" s="70"/>
      <c r="S449" s="70"/>
      <c r="T449" s="70"/>
      <c r="U449" s="15"/>
      <c r="V449" s="70" t="e">
        <f t="shared" si="84"/>
        <v>#DIV/0!</v>
      </c>
      <c r="W449" s="15"/>
      <c r="X449" s="15"/>
      <c r="Y449" s="15">
        <f t="shared" si="85"/>
        <v>0</v>
      </c>
      <c r="Z449" s="52"/>
      <c r="AA449" s="98">
        <f t="shared" si="86"/>
        <v>0</v>
      </c>
      <c r="AB449" s="52"/>
      <c r="AC449" s="98">
        <f t="shared" si="87"/>
        <v>0</v>
      </c>
      <c r="AD449" s="98">
        <f t="shared" si="88"/>
        <v>0</v>
      </c>
      <c r="AE449" s="238" t="e">
        <f t="shared" si="89"/>
        <v>#DIV/0!</v>
      </c>
      <c r="AF449" s="125" t="e">
        <f t="shared" si="90"/>
        <v>#DIV/0!</v>
      </c>
      <c r="AG449" s="92"/>
    </row>
    <row r="450" spans="1:33" ht="14.4">
      <c r="A450" s="270"/>
      <c r="B450" s="97">
        <f t="shared" si="78"/>
        <v>31</v>
      </c>
      <c r="C450" s="325"/>
      <c r="D450" s="260"/>
      <c r="E450" s="95"/>
      <c r="G450" s="52"/>
      <c r="H450" s="52"/>
      <c r="I450" s="256"/>
      <c r="J450" s="98">
        <f t="shared" si="79"/>
        <v>0</v>
      </c>
      <c r="K450" s="118" t="e">
        <f t="shared" si="80"/>
        <v>#DIV/0!</v>
      </c>
      <c r="L450" s="15"/>
      <c r="M450" s="15"/>
      <c r="N450" s="15">
        <f t="shared" si="81"/>
        <v>0</v>
      </c>
      <c r="O450" s="70" t="e">
        <f t="shared" si="82"/>
        <v>#DIV/0!</v>
      </c>
      <c r="P450" s="70"/>
      <c r="Q450" s="70">
        <f t="shared" si="83"/>
        <v>0</v>
      </c>
      <c r="R450" s="70"/>
      <c r="S450" s="70"/>
      <c r="T450" s="70"/>
      <c r="U450" s="15"/>
      <c r="V450" s="70" t="e">
        <f t="shared" si="84"/>
        <v>#DIV/0!</v>
      </c>
      <c r="W450" s="15"/>
      <c r="X450" s="15"/>
      <c r="Y450" s="15">
        <f t="shared" si="85"/>
        <v>0</v>
      </c>
      <c r="Z450" s="52"/>
      <c r="AA450" s="98">
        <f t="shared" si="86"/>
        <v>0</v>
      </c>
      <c r="AB450" s="52"/>
      <c r="AC450" s="98">
        <f t="shared" si="87"/>
        <v>0</v>
      </c>
      <c r="AD450" s="98">
        <f t="shared" si="88"/>
        <v>0</v>
      </c>
      <c r="AE450" s="238" t="e">
        <f t="shared" si="89"/>
        <v>#DIV/0!</v>
      </c>
      <c r="AF450" s="125" t="e">
        <f t="shared" si="90"/>
        <v>#DIV/0!</v>
      </c>
      <c r="AG450" s="92"/>
    </row>
    <row r="451" spans="1:33" ht="14.4">
      <c r="A451" s="270"/>
      <c r="B451" s="97">
        <f t="shared" si="78"/>
        <v>31</v>
      </c>
      <c r="C451" s="325"/>
      <c r="D451" s="260"/>
      <c r="E451" s="95"/>
      <c r="G451" s="52"/>
      <c r="H451" s="52"/>
      <c r="I451" s="256"/>
      <c r="J451" s="98">
        <f t="shared" si="79"/>
        <v>0</v>
      </c>
      <c r="K451" s="118" t="e">
        <f t="shared" si="80"/>
        <v>#DIV/0!</v>
      </c>
      <c r="L451" s="15"/>
      <c r="M451" s="15"/>
      <c r="N451" s="15">
        <f t="shared" si="81"/>
        <v>0</v>
      </c>
      <c r="O451" s="70" t="e">
        <f t="shared" si="82"/>
        <v>#DIV/0!</v>
      </c>
      <c r="P451" s="70"/>
      <c r="Q451" s="70">
        <f t="shared" si="83"/>
        <v>0</v>
      </c>
      <c r="R451" s="70"/>
      <c r="S451" s="70"/>
      <c r="T451" s="70"/>
      <c r="U451" s="15"/>
      <c r="V451" s="70" t="e">
        <f t="shared" si="84"/>
        <v>#DIV/0!</v>
      </c>
      <c r="W451" s="15"/>
      <c r="X451" s="15"/>
      <c r="Y451" s="15">
        <f t="shared" si="85"/>
        <v>0</v>
      </c>
      <c r="Z451" s="52"/>
      <c r="AA451" s="98">
        <f t="shared" si="86"/>
        <v>0</v>
      </c>
      <c r="AB451" s="52"/>
      <c r="AC451" s="98">
        <f t="shared" si="87"/>
        <v>0</v>
      </c>
      <c r="AD451" s="98">
        <f t="shared" si="88"/>
        <v>0</v>
      </c>
      <c r="AE451" s="238" t="e">
        <f t="shared" si="89"/>
        <v>#DIV/0!</v>
      </c>
      <c r="AF451" s="125" t="e">
        <f t="shared" si="90"/>
        <v>#DIV/0!</v>
      </c>
      <c r="AG451" s="92"/>
    </row>
    <row r="452" spans="1:33" ht="14.4">
      <c r="A452" s="270"/>
      <c r="B452" s="97">
        <f t="shared" si="78"/>
        <v>31</v>
      </c>
      <c r="C452" s="325"/>
      <c r="D452" s="260"/>
      <c r="E452" s="95"/>
      <c r="G452" s="52"/>
      <c r="H452" s="52"/>
      <c r="I452" s="256"/>
      <c r="J452" s="98">
        <f t="shared" si="79"/>
        <v>0</v>
      </c>
      <c r="K452" s="118" t="e">
        <f t="shared" si="80"/>
        <v>#DIV/0!</v>
      </c>
      <c r="L452" s="15"/>
      <c r="M452" s="15"/>
      <c r="N452" s="15">
        <f t="shared" si="81"/>
        <v>0</v>
      </c>
      <c r="O452" s="70" t="e">
        <f t="shared" si="82"/>
        <v>#DIV/0!</v>
      </c>
      <c r="P452" s="70"/>
      <c r="Q452" s="70">
        <f t="shared" si="83"/>
        <v>0</v>
      </c>
      <c r="R452" s="70"/>
      <c r="S452" s="70"/>
      <c r="T452" s="70"/>
      <c r="U452" s="15"/>
      <c r="V452" s="70" t="e">
        <f t="shared" si="84"/>
        <v>#DIV/0!</v>
      </c>
      <c r="W452" s="15"/>
      <c r="X452" s="15"/>
      <c r="Y452" s="15">
        <f t="shared" si="85"/>
        <v>0</v>
      </c>
      <c r="Z452" s="52"/>
      <c r="AA452" s="98">
        <f t="shared" si="86"/>
        <v>0</v>
      </c>
      <c r="AB452" s="52"/>
      <c r="AC452" s="98">
        <f t="shared" si="87"/>
        <v>0</v>
      </c>
      <c r="AD452" s="98">
        <f t="shared" si="88"/>
        <v>0</v>
      </c>
      <c r="AE452" s="238" t="e">
        <f t="shared" si="89"/>
        <v>#DIV/0!</v>
      </c>
      <c r="AF452" s="125" t="e">
        <f t="shared" si="90"/>
        <v>#DIV/0!</v>
      </c>
      <c r="AG452" s="92"/>
    </row>
    <row r="453" spans="1:33" ht="14.4">
      <c r="A453" s="270"/>
      <c r="B453" s="97">
        <f t="shared" si="78"/>
        <v>31</v>
      </c>
      <c r="C453" s="325"/>
      <c r="D453" s="260"/>
      <c r="E453" s="95"/>
      <c r="G453" s="52"/>
      <c r="H453" s="52"/>
      <c r="I453" s="256"/>
      <c r="J453" s="98">
        <f t="shared" si="79"/>
        <v>0</v>
      </c>
      <c r="K453" s="118" t="e">
        <f t="shared" si="80"/>
        <v>#DIV/0!</v>
      </c>
      <c r="L453" s="15"/>
      <c r="M453" s="15"/>
      <c r="N453" s="15">
        <f t="shared" si="81"/>
        <v>0</v>
      </c>
      <c r="O453" s="70" t="e">
        <f t="shared" si="82"/>
        <v>#DIV/0!</v>
      </c>
      <c r="P453" s="70"/>
      <c r="Q453" s="70">
        <f t="shared" si="83"/>
        <v>0</v>
      </c>
      <c r="R453" s="70"/>
      <c r="S453" s="70"/>
      <c r="T453" s="70"/>
      <c r="U453" s="15"/>
      <c r="V453" s="70" t="e">
        <f t="shared" si="84"/>
        <v>#DIV/0!</v>
      </c>
      <c r="W453" s="15"/>
      <c r="X453" s="15"/>
      <c r="Y453" s="15">
        <f t="shared" si="85"/>
        <v>0</v>
      </c>
      <c r="Z453" s="52"/>
      <c r="AA453" s="98">
        <f t="shared" si="86"/>
        <v>0</v>
      </c>
      <c r="AB453" s="52"/>
      <c r="AC453" s="98">
        <f t="shared" si="87"/>
        <v>0</v>
      </c>
      <c r="AD453" s="98">
        <f t="shared" si="88"/>
        <v>0</v>
      </c>
      <c r="AE453" s="238" t="e">
        <f t="shared" si="89"/>
        <v>#DIV/0!</v>
      </c>
      <c r="AF453" s="125" t="e">
        <f t="shared" si="90"/>
        <v>#DIV/0!</v>
      </c>
      <c r="AG453" s="92"/>
    </row>
    <row r="454" spans="1:33" ht="14.4">
      <c r="A454" s="270"/>
      <c r="B454" s="97">
        <f t="shared" ref="B454:B517" si="91">EOMONTH(A454,0)</f>
        <v>31</v>
      </c>
      <c r="C454" s="325"/>
      <c r="D454" s="260"/>
      <c r="E454" s="95"/>
      <c r="G454" s="52"/>
      <c r="H454" s="52"/>
      <c r="I454" s="256"/>
      <c r="J454" s="98">
        <f t="shared" ref="J454:J517" si="92">U454</f>
        <v>0</v>
      </c>
      <c r="K454" s="118" t="e">
        <f t="shared" ref="K454:K517" si="93">L454/J454</f>
        <v>#DIV/0!</v>
      </c>
      <c r="L454" s="15"/>
      <c r="M454" s="15"/>
      <c r="N454" s="15">
        <f t="shared" ref="N454:N517" si="94">L454-M454</f>
        <v>0</v>
      </c>
      <c r="O454" s="70" t="e">
        <f t="shared" ref="O454:O517" si="95">P454/J454</f>
        <v>#DIV/0!</v>
      </c>
      <c r="P454" s="70"/>
      <c r="Q454" s="70">
        <f t="shared" ref="Q454:Q517" si="96">N454+P454</f>
        <v>0</v>
      </c>
      <c r="R454" s="70"/>
      <c r="S454" s="70"/>
      <c r="T454" s="70"/>
      <c r="U454" s="15"/>
      <c r="V454" s="70" t="e">
        <f t="shared" ref="V454:V517" si="97">W454/U454</f>
        <v>#DIV/0!</v>
      </c>
      <c r="W454" s="15"/>
      <c r="X454" s="15"/>
      <c r="Y454" s="15">
        <f t="shared" ref="Y454:Y517" si="98">W454-X454</f>
        <v>0</v>
      </c>
      <c r="Z454" s="52"/>
      <c r="AA454" s="98">
        <f t="shared" ref="AA454:AA517" si="99">Y454-Z454</f>
        <v>0</v>
      </c>
      <c r="AB454" s="52"/>
      <c r="AC454" s="98">
        <f t="shared" ref="AC454:AC517" si="100">Y454-N454</f>
        <v>0</v>
      </c>
      <c r="AD454" s="98">
        <f t="shared" ref="AD454:AD517" si="101">AA454-Q454</f>
        <v>0</v>
      </c>
      <c r="AE454" s="238" t="e">
        <f t="shared" ref="AE454:AE517" si="102">AC454/Y454</f>
        <v>#DIV/0!</v>
      </c>
      <c r="AF454" s="125" t="e">
        <f t="shared" ref="AF454:AF517" si="103">AD454/AA454</f>
        <v>#DIV/0!</v>
      </c>
      <c r="AG454" s="92"/>
    </row>
    <row r="455" spans="1:33" ht="14.4">
      <c r="A455" s="270"/>
      <c r="B455" s="97">
        <f t="shared" si="91"/>
        <v>31</v>
      </c>
      <c r="C455" s="325"/>
      <c r="D455" s="260"/>
      <c r="E455" s="95"/>
      <c r="G455" s="52"/>
      <c r="H455" s="52"/>
      <c r="I455" s="256"/>
      <c r="J455" s="98">
        <f t="shared" si="92"/>
        <v>0</v>
      </c>
      <c r="K455" s="118" t="e">
        <f t="shared" si="93"/>
        <v>#DIV/0!</v>
      </c>
      <c r="L455" s="15"/>
      <c r="M455" s="15"/>
      <c r="N455" s="15">
        <f t="shared" si="94"/>
        <v>0</v>
      </c>
      <c r="O455" s="70" t="e">
        <f t="shared" si="95"/>
        <v>#DIV/0!</v>
      </c>
      <c r="P455" s="70"/>
      <c r="Q455" s="70">
        <f t="shared" si="96"/>
        <v>0</v>
      </c>
      <c r="R455" s="70"/>
      <c r="S455" s="70"/>
      <c r="T455" s="70"/>
      <c r="U455" s="15"/>
      <c r="V455" s="70" t="e">
        <f t="shared" si="97"/>
        <v>#DIV/0!</v>
      </c>
      <c r="W455" s="15"/>
      <c r="X455" s="15"/>
      <c r="Y455" s="15">
        <f t="shared" si="98"/>
        <v>0</v>
      </c>
      <c r="Z455" s="52"/>
      <c r="AA455" s="98">
        <f t="shared" si="99"/>
        <v>0</v>
      </c>
      <c r="AB455" s="52"/>
      <c r="AC455" s="98">
        <f t="shared" si="100"/>
        <v>0</v>
      </c>
      <c r="AD455" s="98">
        <f t="shared" si="101"/>
        <v>0</v>
      </c>
      <c r="AE455" s="238" t="e">
        <f t="shared" si="102"/>
        <v>#DIV/0!</v>
      </c>
      <c r="AF455" s="125" t="e">
        <f t="shared" si="103"/>
        <v>#DIV/0!</v>
      </c>
      <c r="AG455" s="92"/>
    </row>
    <row r="456" spans="1:33" ht="14.4">
      <c r="A456" s="270"/>
      <c r="B456" s="97">
        <f t="shared" si="91"/>
        <v>31</v>
      </c>
      <c r="C456" s="325"/>
      <c r="D456" s="260"/>
      <c r="E456" s="95"/>
      <c r="G456" s="52"/>
      <c r="H456" s="52"/>
      <c r="I456" s="256"/>
      <c r="J456" s="98">
        <f t="shared" si="92"/>
        <v>0</v>
      </c>
      <c r="K456" s="118" t="e">
        <f t="shared" si="93"/>
        <v>#DIV/0!</v>
      </c>
      <c r="L456" s="15"/>
      <c r="M456" s="15"/>
      <c r="N456" s="15">
        <f t="shared" si="94"/>
        <v>0</v>
      </c>
      <c r="O456" s="70" t="e">
        <f t="shared" si="95"/>
        <v>#N/A</v>
      </c>
      <c r="P456" s="70" t="e">
        <f>VLOOKUP(C456,'[1]Profit and Loss agt new'!$D$17:$E$52,2,)</f>
        <v>#N/A</v>
      </c>
      <c r="Q456" s="70" t="e">
        <f t="shared" si="96"/>
        <v>#N/A</v>
      </c>
      <c r="R456" s="70"/>
      <c r="S456" s="70"/>
      <c r="T456" s="70"/>
      <c r="U456" s="15"/>
      <c r="V456" s="70" t="e">
        <f t="shared" si="97"/>
        <v>#DIV/0!</v>
      </c>
      <c r="W456" s="15"/>
      <c r="X456" s="15"/>
      <c r="Y456" s="15">
        <f t="shared" si="98"/>
        <v>0</v>
      </c>
      <c r="Z456" s="52"/>
      <c r="AA456" s="98">
        <f t="shared" si="99"/>
        <v>0</v>
      </c>
      <c r="AB456" s="52"/>
      <c r="AC456" s="98">
        <f t="shared" si="100"/>
        <v>0</v>
      </c>
      <c r="AD456" s="98" t="e">
        <f t="shared" si="101"/>
        <v>#N/A</v>
      </c>
      <c r="AE456" s="238" t="e">
        <f t="shared" si="102"/>
        <v>#DIV/0!</v>
      </c>
      <c r="AF456" s="125" t="e">
        <f t="shared" si="103"/>
        <v>#N/A</v>
      </c>
      <c r="AG456" s="92"/>
    </row>
    <row r="457" spans="1:33" ht="14.4">
      <c r="A457" s="270"/>
      <c r="B457" s="97">
        <f t="shared" si="91"/>
        <v>31</v>
      </c>
      <c r="C457" s="325"/>
      <c r="D457" s="260"/>
      <c r="E457" s="95"/>
      <c r="G457" s="52"/>
      <c r="H457" s="52"/>
      <c r="I457" s="256"/>
      <c r="J457" s="98">
        <f t="shared" si="92"/>
        <v>0</v>
      </c>
      <c r="K457" s="118" t="e">
        <f t="shared" si="93"/>
        <v>#DIV/0!</v>
      </c>
      <c r="L457" s="15"/>
      <c r="M457" s="15"/>
      <c r="N457" s="15">
        <f t="shared" si="94"/>
        <v>0</v>
      </c>
      <c r="O457" s="70" t="e">
        <f t="shared" si="95"/>
        <v>#DIV/0!</v>
      </c>
      <c r="P457" s="70"/>
      <c r="Q457" s="70">
        <f t="shared" si="96"/>
        <v>0</v>
      </c>
      <c r="R457" s="70"/>
      <c r="S457" s="70"/>
      <c r="T457" s="70"/>
      <c r="U457" s="15"/>
      <c r="V457" s="70" t="e">
        <f t="shared" si="97"/>
        <v>#DIV/0!</v>
      </c>
      <c r="W457" s="15"/>
      <c r="X457" s="15"/>
      <c r="Y457" s="15">
        <f t="shared" si="98"/>
        <v>0</v>
      </c>
      <c r="Z457" s="52"/>
      <c r="AA457" s="98">
        <f t="shared" si="99"/>
        <v>0</v>
      </c>
      <c r="AB457" s="52"/>
      <c r="AC457" s="98">
        <f t="shared" si="100"/>
        <v>0</v>
      </c>
      <c r="AD457" s="98">
        <f t="shared" si="101"/>
        <v>0</v>
      </c>
      <c r="AE457" s="238" t="e">
        <f t="shared" si="102"/>
        <v>#DIV/0!</v>
      </c>
      <c r="AF457" s="125" t="e">
        <f t="shared" si="103"/>
        <v>#DIV/0!</v>
      </c>
      <c r="AG457" s="92"/>
    </row>
    <row r="458" spans="1:33" ht="14.4">
      <c r="A458" s="270"/>
      <c r="B458" s="97">
        <f t="shared" si="91"/>
        <v>31</v>
      </c>
      <c r="C458" s="325"/>
      <c r="D458" s="260"/>
      <c r="E458" s="95"/>
      <c r="G458" s="52"/>
      <c r="H458" s="52"/>
      <c r="I458" s="256"/>
      <c r="J458" s="98">
        <f t="shared" si="92"/>
        <v>0</v>
      </c>
      <c r="K458" s="118" t="e">
        <f t="shared" si="93"/>
        <v>#DIV/0!</v>
      </c>
      <c r="L458" s="15"/>
      <c r="M458" s="15"/>
      <c r="N458" s="15">
        <f t="shared" si="94"/>
        <v>0</v>
      </c>
      <c r="O458" s="70" t="e">
        <f t="shared" si="95"/>
        <v>#DIV/0!</v>
      </c>
      <c r="P458" s="70"/>
      <c r="Q458" s="70">
        <f t="shared" si="96"/>
        <v>0</v>
      </c>
      <c r="R458" s="70"/>
      <c r="S458" s="70"/>
      <c r="T458" s="70"/>
      <c r="U458" s="15"/>
      <c r="V458" s="70" t="e">
        <f t="shared" si="97"/>
        <v>#DIV/0!</v>
      </c>
      <c r="W458" s="15"/>
      <c r="X458" s="15"/>
      <c r="Y458" s="15">
        <f t="shared" si="98"/>
        <v>0</v>
      </c>
      <c r="Z458" s="52"/>
      <c r="AA458" s="98">
        <f t="shared" si="99"/>
        <v>0</v>
      </c>
      <c r="AB458" s="52"/>
      <c r="AC458" s="98">
        <f t="shared" si="100"/>
        <v>0</v>
      </c>
      <c r="AD458" s="98">
        <f t="shared" si="101"/>
        <v>0</v>
      </c>
      <c r="AE458" s="238" t="e">
        <f t="shared" si="102"/>
        <v>#DIV/0!</v>
      </c>
      <c r="AF458" s="125" t="e">
        <f t="shared" si="103"/>
        <v>#DIV/0!</v>
      </c>
      <c r="AG458" s="92"/>
    </row>
    <row r="459" spans="1:33" ht="14.4">
      <c r="A459" s="270"/>
      <c r="B459" s="97">
        <f t="shared" si="91"/>
        <v>31</v>
      </c>
      <c r="C459" s="325"/>
      <c r="D459" s="260"/>
      <c r="E459" s="95"/>
      <c r="G459" s="52"/>
      <c r="H459" s="52"/>
      <c r="I459" s="256"/>
      <c r="J459" s="98">
        <f t="shared" si="92"/>
        <v>0</v>
      </c>
      <c r="K459" s="118" t="e">
        <f t="shared" si="93"/>
        <v>#DIV/0!</v>
      </c>
      <c r="L459" s="15"/>
      <c r="M459" s="15"/>
      <c r="N459" s="15">
        <f t="shared" si="94"/>
        <v>0</v>
      </c>
      <c r="O459" s="70" t="e">
        <f t="shared" si="95"/>
        <v>#DIV/0!</v>
      </c>
      <c r="P459" s="70"/>
      <c r="Q459" s="70">
        <f t="shared" si="96"/>
        <v>0</v>
      </c>
      <c r="R459" s="70"/>
      <c r="S459" s="70"/>
      <c r="T459" s="70"/>
      <c r="U459" s="15"/>
      <c r="V459" s="70" t="e">
        <f t="shared" si="97"/>
        <v>#DIV/0!</v>
      </c>
      <c r="W459" s="15"/>
      <c r="X459" s="15"/>
      <c r="Y459" s="15">
        <f t="shared" si="98"/>
        <v>0</v>
      </c>
      <c r="Z459" s="52"/>
      <c r="AA459" s="98">
        <f t="shared" si="99"/>
        <v>0</v>
      </c>
      <c r="AB459" s="52"/>
      <c r="AC459" s="98">
        <f t="shared" si="100"/>
        <v>0</v>
      </c>
      <c r="AD459" s="98">
        <f t="shared" si="101"/>
        <v>0</v>
      </c>
      <c r="AE459" s="238" t="e">
        <f t="shared" si="102"/>
        <v>#DIV/0!</v>
      </c>
      <c r="AF459" s="125" t="e">
        <f t="shared" si="103"/>
        <v>#DIV/0!</v>
      </c>
      <c r="AG459" s="92"/>
    </row>
    <row r="460" spans="1:33" ht="14.4">
      <c r="A460" s="270"/>
      <c r="B460" s="97">
        <f t="shared" si="91"/>
        <v>31</v>
      </c>
      <c r="C460" s="325"/>
      <c r="D460" s="260"/>
      <c r="E460" s="95"/>
      <c r="G460" s="52"/>
      <c r="H460" s="52"/>
      <c r="I460" s="256"/>
      <c r="J460" s="98">
        <f t="shared" si="92"/>
        <v>0</v>
      </c>
      <c r="K460" s="118" t="e">
        <f t="shared" si="93"/>
        <v>#DIV/0!</v>
      </c>
      <c r="L460" s="15"/>
      <c r="M460" s="15"/>
      <c r="N460" s="15">
        <f t="shared" si="94"/>
        <v>0</v>
      </c>
      <c r="O460" s="70" t="e">
        <f t="shared" si="95"/>
        <v>#DIV/0!</v>
      </c>
      <c r="P460" s="70"/>
      <c r="Q460" s="70">
        <f t="shared" si="96"/>
        <v>0</v>
      </c>
      <c r="R460" s="70"/>
      <c r="S460" s="70"/>
      <c r="T460" s="70"/>
      <c r="U460" s="15"/>
      <c r="V460" s="70" t="e">
        <f t="shared" si="97"/>
        <v>#DIV/0!</v>
      </c>
      <c r="W460" s="15"/>
      <c r="X460" s="15"/>
      <c r="Y460" s="15">
        <f t="shared" si="98"/>
        <v>0</v>
      </c>
      <c r="Z460" s="52"/>
      <c r="AA460" s="98">
        <f t="shared" si="99"/>
        <v>0</v>
      </c>
      <c r="AB460" s="52"/>
      <c r="AC460" s="98">
        <f t="shared" si="100"/>
        <v>0</v>
      </c>
      <c r="AD460" s="98">
        <f t="shared" si="101"/>
        <v>0</v>
      </c>
      <c r="AE460" s="238" t="e">
        <f t="shared" si="102"/>
        <v>#DIV/0!</v>
      </c>
      <c r="AF460" s="125" t="e">
        <f t="shared" si="103"/>
        <v>#DIV/0!</v>
      </c>
      <c r="AG460" s="92"/>
    </row>
    <row r="461" spans="1:33" ht="14.4">
      <c r="A461" s="270"/>
      <c r="B461" s="97">
        <f t="shared" si="91"/>
        <v>31</v>
      </c>
      <c r="C461" s="325"/>
      <c r="D461" s="260"/>
      <c r="E461" s="95"/>
      <c r="G461" s="52"/>
      <c r="H461" s="52"/>
      <c r="I461" s="256"/>
      <c r="J461" s="98">
        <f t="shared" si="92"/>
        <v>0</v>
      </c>
      <c r="K461" s="118" t="e">
        <f t="shared" si="93"/>
        <v>#DIV/0!</v>
      </c>
      <c r="L461" s="15"/>
      <c r="M461" s="15"/>
      <c r="N461" s="15">
        <f t="shared" si="94"/>
        <v>0</v>
      </c>
      <c r="O461" s="70" t="e">
        <f t="shared" si="95"/>
        <v>#DIV/0!</v>
      </c>
      <c r="P461" s="70"/>
      <c r="Q461" s="70">
        <f t="shared" si="96"/>
        <v>0</v>
      </c>
      <c r="R461" s="70"/>
      <c r="S461" s="70"/>
      <c r="T461" s="70"/>
      <c r="U461" s="15"/>
      <c r="V461" s="70" t="e">
        <f t="shared" si="97"/>
        <v>#DIV/0!</v>
      </c>
      <c r="W461" s="15"/>
      <c r="X461" s="15"/>
      <c r="Y461" s="15">
        <f t="shared" si="98"/>
        <v>0</v>
      </c>
      <c r="Z461" s="52"/>
      <c r="AA461" s="98">
        <f t="shared" si="99"/>
        <v>0</v>
      </c>
      <c r="AB461" s="52"/>
      <c r="AC461" s="98">
        <f t="shared" si="100"/>
        <v>0</v>
      </c>
      <c r="AD461" s="98">
        <f t="shared" si="101"/>
        <v>0</v>
      </c>
      <c r="AE461" s="238" t="e">
        <f t="shared" si="102"/>
        <v>#DIV/0!</v>
      </c>
      <c r="AF461" s="125" t="e">
        <f t="shared" si="103"/>
        <v>#DIV/0!</v>
      </c>
      <c r="AG461" s="92"/>
    </row>
    <row r="462" spans="1:33" ht="14.4">
      <c r="A462" s="270"/>
      <c r="B462" s="97">
        <f t="shared" si="91"/>
        <v>31</v>
      </c>
      <c r="C462" s="325"/>
      <c r="D462" s="260"/>
      <c r="E462" s="95"/>
      <c r="G462" s="52"/>
      <c r="H462" s="52"/>
      <c r="I462" s="256"/>
      <c r="J462" s="98">
        <f t="shared" si="92"/>
        <v>0</v>
      </c>
      <c r="K462" s="118" t="e">
        <f t="shared" si="93"/>
        <v>#DIV/0!</v>
      </c>
      <c r="L462" s="15"/>
      <c r="M462" s="15"/>
      <c r="N462" s="15">
        <f t="shared" si="94"/>
        <v>0</v>
      </c>
      <c r="O462" s="70" t="e">
        <f t="shared" si="95"/>
        <v>#DIV/0!</v>
      </c>
      <c r="P462" s="70"/>
      <c r="Q462" s="70">
        <f t="shared" si="96"/>
        <v>0</v>
      </c>
      <c r="R462" s="70"/>
      <c r="S462" s="70"/>
      <c r="T462" s="70"/>
      <c r="U462" s="15"/>
      <c r="V462" s="70" t="e">
        <f t="shared" si="97"/>
        <v>#DIV/0!</v>
      </c>
      <c r="W462" s="15"/>
      <c r="X462" s="15"/>
      <c r="Y462" s="15">
        <f t="shared" si="98"/>
        <v>0</v>
      </c>
      <c r="Z462" s="52"/>
      <c r="AA462" s="98">
        <f t="shared" si="99"/>
        <v>0</v>
      </c>
      <c r="AB462" s="52"/>
      <c r="AC462" s="98">
        <f t="shared" si="100"/>
        <v>0</v>
      </c>
      <c r="AD462" s="98">
        <f t="shared" si="101"/>
        <v>0</v>
      </c>
      <c r="AE462" s="238" t="e">
        <f t="shared" si="102"/>
        <v>#DIV/0!</v>
      </c>
      <c r="AF462" s="125" t="e">
        <f t="shared" si="103"/>
        <v>#DIV/0!</v>
      </c>
      <c r="AG462" s="92"/>
    </row>
    <row r="463" spans="1:33" ht="14.4">
      <c r="A463" s="270"/>
      <c r="B463" s="97">
        <f t="shared" si="91"/>
        <v>31</v>
      </c>
      <c r="C463" s="325"/>
      <c r="D463" s="260"/>
      <c r="E463" s="95"/>
      <c r="G463" s="52"/>
      <c r="H463" s="52"/>
      <c r="I463" s="256"/>
      <c r="J463" s="98">
        <f t="shared" si="92"/>
        <v>0</v>
      </c>
      <c r="K463" s="118" t="e">
        <f t="shared" si="93"/>
        <v>#DIV/0!</v>
      </c>
      <c r="L463" s="15"/>
      <c r="M463" s="15"/>
      <c r="N463" s="15">
        <f t="shared" si="94"/>
        <v>0</v>
      </c>
      <c r="O463" s="70" t="e">
        <f t="shared" si="95"/>
        <v>#DIV/0!</v>
      </c>
      <c r="P463" s="70"/>
      <c r="Q463" s="70">
        <f t="shared" si="96"/>
        <v>0</v>
      </c>
      <c r="R463" s="70"/>
      <c r="S463" s="70"/>
      <c r="T463" s="70"/>
      <c r="U463" s="15"/>
      <c r="V463" s="70" t="e">
        <f t="shared" si="97"/>
        <v>#DIV/0!</v>
      </c>
      <c r="W463" s="15"/>
      <c r="X463" s="15"/>
      <c r="Y463" s="15">
        <f t="shared" si="98"/>
        <v>0</v>
      </c>
      <c r="Z463" s="52"/>
      <c r="AA463" s="98">
        <f t="shared" si="99"/>
        <v>0</v>
      </c>
      <c r="AB463" s="52"/>
      <c r="AC463" s="98">
        <f t="shared" si="100"/>
        <v>0</v>
      </c>
      <c r="AD463" s="98">
        <f t="shared" si="101"/>
        <v>0</v>
      </c>
      <c r="AE463" s="238" t="e">
        <f t="shared" si="102"/>
        <v>#DIV/0!</v>
      </c>
      <c r="AF463" s="125" t="e">
        <f t="shared" si="103"/>
        <v>#DIV/0!</v>
      </c>
      <c r="AG463" s="92"/>
    </row>
    <row r="464" spans="1:33" ht="14.4">
      <c r="A464" s="270"/>
      <c r="B464" s="97">
        <f t="shared" si="91"/>
        <v>31</v>
      </c>
      <c r="C464" s="325"/>
      <c r="D464" s="260"/>
      <c r="E464" s="95"/>
      <c r="G464" s="52"/>
      <c r="H464" s="52"/>
      <c r="I464" s="256"/>
      <c r="J464" s="98">
        <f t="shared" si="92"/>
        <v>0</v>
      </c>
      <c r="K464" s="118" t="e">
        <f t="shared" si="93"/>
        <v>#DIV/0!</v>
      </c>
      <c r="L464" s="15"/>
      <c r="M464" s="15"/>
      <c r="N464" s="15">
        <f t="shared" si="94"/>
        <v>0</v>
      </c>
      <c r="O464" s="70" t="e">
        <f t="shared" si="95"/>
        <v>#DIV/0!</v>
      </c>
      <c r="P464" s="70"/>
      <c r="Q464" s="70">
        <f t="shared" si="96"/>
        <v>0</v>
      </c>
      <c r="R464" s="70"/>
      <c r="S464" s="70"/>
      <c r="T464" s="70"/>
      <c r="U464" s="15"/>
      <c r="V464" s="70" t="e">
        <f t="shared" si="97"/>
        <v>#DIV/0!</v>
      </c>
      <c r="W464" s="15"/>
      <c r="X464" s="15"/>
      <c r="Y464" s="15">
        <f t="shared" si="98"/>
        <v>0</v>
      </c>
      <c r="Z464" s="52"/>
      <c r="AA464" s="98">
        <f t="shared" si="99"/>
        <v>0</v>
      </c>
      <c r="AB464" s="52"/>
      <c r="AC464" s="98">
        <f t="shared" si="100"/>
        <v>0</v>
      </c>
      <c r="AD464" s="98">
        <f t="shared" si="101"/>
        <v>0</v>
      </c>
      <c r="AE464" s="238" t="e">
        <f t="shared" si="102"/>
        <v>#DIV/0!</v>
      </c>
      <c r="AF464" s="125" t="e">
        <f t="shared" si="103"/>
        <v>#DIV/0!</v>
      </c>
      <c r="AG464" s="92"/>
    </row>
    <row r="465" spans="1:33" ht="14.4">
      <c r="A465" s="270"/>
      <c r="B465" s="97">
        <f t="shared" si="91"/>
        <v>31</v>
      </c>
      <c r="C465" s="325"/>
      <c r="D465" s="260"/>
      <c r="E465" s="95"/>
      <c r="G465" s="52"/>
      <c r="H465" s="52"/>
      <c r="I465" s="256"/>
      <c r="J465" s="98">
        <f t="shared" si="92"/>
        <v>0</v>
      </c>
      <c r="K465" s="118" t="e">
        <f t="shared" si="93"/>
        <v>#DIV/0!</v>
      </c>
      <c r="L465" s="15"/>
      <c r="M465" s="15"/>
      <c r="N465" s="15">
        <f t="shared" si="94"/>
        <v>0</v>
      </c>
      <c r="O465" s="70" t="e">
        <f t="shared" si="95"/>
        <v>#DIV/0!</v>
      </c>
      <c r="P465" s="70"/>
      <c r="Q465" s="70">
        <f t="shared" si="96"/>
        <v>0</v>
      </c>
      <c r="R465" s="70"/>
      <c r="S465" s="70"/>
      <c r="T465" s="70"/>
      <c r="U465" s="15"/>
      <c r="V465" s="70" t="e">
        <f t="shared" si="97"/>
        <v>#DIV/0!</v>
      </c>
      <c r="W465" s="15"/>
      <c r="X465" s="15"/>
      <c r="Y465" s="15">
        <f t="shared" si="98"/>
        <v>0</v>
      </c>
      <c r="Z465" s="52"/>
      <c r="AA465" s="98">
        <f t="shared" si="99"/>
        <v>0</v>
      </c>
      <c r="AB465" s="52"/>
      <c r="AC465" s="98">
        <f t="shared" si="100"/>
        <v>0</v>
      </c>
      <c r="AD465" s="98">
        <f t="shared" si="101"/>
        <v>0</v>
      </c>
      <c r="AE465" s="238" t="e">
        <f t="shared" si="102"/>
        <v>#DIV/0!</v>
      </c>
      <c r="AF465" s="125" t="e">
        <f t="shared" si="103"/>
        <v>#DIV/0!</v>
      </c>
      <c r="AG465" s="92"/>
    </row>
    <row r="466" spans="1:33" ht="14.4">
      <c r="A466" s="270"/>
      <c r="B466" s="97">
        <f t="shared" si="91"/>
        <v>31</v>
      </c>
      <c r="C466" s="325"/>
      <c r="D466" s="260"/>
      <c r="E466" s="95"/>
      <c r="G466" s="52"/>
      <c r="H466" s="52"/>
      <c r="I466" s="256"/>
      <c r="J466" s="98">
        <f t="shared" si="92"/>
        <v>0</v>
      </c>
      <c r="K466" s="118" t="e">
        <f t="shared" si="93"/>
        <v>#DIV/0!</v>
      </c>
      <c r="L466" s="15"/>
      <c r="M466" s="15"/>
      <c r="N466" s="15">
        <f t="shared" si="94"/>
        <v>0</v>
      </c>
      <c r="O466" s="70" t="e">
        <f t="shared" si="95"/>
        <v>#DIV/0!</v>
      </c>
      <c r="P466" s="70"/>
      <c r="Q466" s="70">
        <f t="shared" si="96"/>
        <v>0</v>
      </c>
      <c r="R466" s="70"/>
      <c r="S466" s="70"/>
      <c r="T466" s="70"/>
      <c r="U466" s="15"/>
      <c r="V466" s="70" t="e">
        <f t="shared" si="97"/>
        <v>#DIV/0!</v>
      </c>
      <c r="W466" s="15"/>
      <c r="X466" s="15"/>
      <c r="Y466" s="15">
        <f t="shared" si="98"/>
        <v>0</v>
      </c>
      <c r="Z466" s="52"/>
      <c r="AA466" s="98">
        <f t="shared" si="99"/>
        <v>0</v>
      </c>
      <c r="AB466" s="52"/>
      <c r="AC466" s="98">
        <f t="shared" si="100"/>
        <v>0</v>
      </c>
      <c r="AD466" s="98">
        <f t="shared" si="101"/>
        <v>0</v>
      </c>
      <c r="AE466" s="238" t="e">
        <f t="shared" si="102"/>
        <v>#DIV/0!</v>
      </c>
      <c r="AF466" s="125" t="e">
        <f t="shared" si="103"/>
        <v>#DIV/0!</v>
      </c>
      <c r="AG466" s="92"/>
    </row>
    <row r="467" spans="1:33" ht="14.4">
      <c r="A467" s="270"/>
      <c r="B467" s="97">
        <f t="shared" si="91"/>
        <v>31</v>
      </c>
      <c r="C467" s="325"/>
      <c r="D467" s="260"/>
      <c r="E467" s="95"/>
      <c r="G467" s="52"/>
      <c r="H467" s="52"/>
      <c r="I467" s="256"/>
      <c r="J467" s="98">
        <f t="shared" si="92"/>
        <v>0</v>
      </c>
      <c r="K467" s="118" t="e">
        <f t="shared" si="93"/>
        <v>#DIV/0!</v>
      </c>
      <c r="L467" s="15"/>
      <c r="M467" s="15"/>
      <c r="N467" s="15">
        <f t="shared" si="94"/>
        <v>0</v>
      </c>
      <c r="O467" s="70" t="e">
        <f t="shared" si="95"/>
        <v>#DIV/0!</v>
      </c>
      <c r="P467" s="70"/>
      <c r="Q467" s="70">
        <f t="shared" si="96"/>
        <v>0</v>
      </c>
      <c r="R467" s="70"/>
      <c r="S467" s="70"/>
      <c r="T467" s="70"/>
      <c r="U467" s="15"/>
      <c r="V467" s="70" t="e">
        <f t="shared" si="97"/>
        <v>#DIV/0!</v>
      </c>
      <c r="W467" s="15"/>
      <c r="X467" s="15"/>
      <c r="Y467" s="15">
        <f t="shared" si="98"/>
        <v>0</v>
      </c>
      <c r="Z467" s="52"/>
      <c r="AA467" s="98">
        <f t="shared" si="99"/>
        <v>0</v>
      </c>
      <c r="AB467" s="52"/>
      <c r="AC467" s="98">
        <f t="shared" si="100"/>
        <v>0</v>
      </c>
      <c r="AD467" s="98">
        <f t="shared" si="101"/>
        <v>0</v>
      </c>
      <c r="AE467" s="238" t="e">
        <f t="shared" si="102"/>
        <v>#DIV/0!</v>
      </c>
      <c r="AF467" s="125" t="e">
        <f t="shared" si="103"/>
        <v>#DIV/0!</v>
      </c>
      <c r="AG467" s="92"/>
    </row>
    <row r="468" spans="1:33" ht="14.4">
      <c r="A468" s="270"/>
      <c r="B468" s="97">
        <f t="shared" si="91"/>
        <v>31</v>
      </c>
      <c r="C468" s="325"/>
      <c r="D468" s="260"/>
      <c r="E468" s="95"/>
      <c r="G468" s="52"/>
      <c r="H468" s="52"/>
      <c r="I468" s="256"/>
      <c r="J468" s="98">
        <f t="shared" si="92"/>
        <v>0</v>
      </c>
      <c r="K468" s="118" t="e">
        <f t="shared" si="93"/>
        <v>#DIV/0!</v>
      </c>
      <c r="L468" s="15"/>
      <c r="M468" s="15"/>
      <c r="N468" s="15">
        <f t="shared" si="94"/>
        <v>0</v>
      </c>
      <c r="O468" s="70" t="e">
        <f t="shared" si="95"/>
        <v>#DIV/0!</v>
      </c>
      <c r="P468" s="70"/>
      <c r="Q468" s="70">
        <f t="shared" si="96"/>
        <v>0</v>
      </c>
      <c r="R468" s="70"/>
      <c r="S468" s="70"/>
      <c r="T468" s="70"/>
      <c r="U468" s="15"/>
      <c r="V468" s="70" t="e">
        <f t="shared" si="97"/>
        <v>#DIV/0!</v>
      </c>
      <c r="W468" s="15"/>
      <c r="X468" s="15"/>
      <c r="Y468" s="15">
        <f t="shared" si="98"/>
        <v>0</v>
      </c>
      <c r="Z468" s="52"/>
      <c r="AA468" s="98">
        <f t="shared" si="99"/>
        <v>0</v>
      </c>
      <c r="AB468" s="52"/>
      <c r="AC468" s="98">
        <f t="shared" si="100"/>
        <v>0</v>
      </c>
      <c r="AD468" s="98">
        <f t="shared" si="101"/>
        <v>0</v>
      </c>
      <c r="AE468" s="238" t="e">
        <f t="shared" si="102"/>
        <v>#DIV/0!</v>
      </c>
      <c r="AF468" s="125" t="e">
        <f t="shared" si="103"/>
        <v>#DIV/0!</v>
      </c>
      <c r="AG468" s="92"/>
    </row>
    <row r="469" spans="1:33" ht="14.4">
      <c r="A469" s="270"/>
      <c r="B469" s="97">
        <f t="shared" si="91"/>
        <v>31</v>
      </c>
      <c r="C469" s="325"/>
      <c r="D469" s="260"/>
      <c r="E469" s="95"/>
      <c r="G469" s="52"/>
      <c r="H469" s="52"/>
      <c r="I469" s="256"/>
      <c r="J469" s="98">
        <f t="shared" si="92"/>
        <v>0</v>
      </c>
      <c r="K469" s="118" t="e">
        <f t="shared" si="93"/>
        <v>#DIV/0!</v>
      </c>
      <c r="L469" s="15"/>
      <c r="M469" s="15"/>
      <c r="N469" s="15">
        <f t="shared" si="94"/>
        <v>0</v>
      </c>
      <c r="O469" s="70" t="e">
        <f t="shared" si="95"/>
        <v>#DIV/0!</v>
      </c>
      <c r="P469" s="70"/>
      <c r="Q469" s="70">
        <f t="shared" si="96"/>
        <v>0</v>
      </c>
      <c r="R469" s="70"/>
      <c r="S469" s="70"/>
      <c r="T469" s="70"/>
      <c r="U469" s="15"/>
      <c r="V469" s="70" t="e">
        <f t="shared" si="97"/>
        <v>#DIV/0!</v>
      </c>
      <c r="W469" s="15"/>
      <c r="X469" s="15"/>
      <c r="Y469" s="15">
        <f t="shared" si="98"/>
        <v>0</v>
      </c>
      <c r="Z469" s="52"/>
      <c r="AA469" s="98">
        <f t="shared" si="99"/>
        <v>0</v>
      </c>
      <c r="AB469" s="52"/>
      <c r="AC469" s="98">
        <f t="shared" si="100"/>
        <v>0</v>
      </c>
      <c r="AD469" s="98">
        <f t="shared" si="101"/>
        <v>0</v>
      </c>
      <c r="AE469" s="238" t="e">
        <f t="shared" si="102"/>
        <v>#DIV/0!</v>
      </c>
      <c r="AF469" s="125" t="e">
        <f t="shared" si="103"/>
        <v>#DIV/0!</v>
      </c>
      <c r="AG469" s="92"/>
    </row>
    <row r="470" spans="1:33" ht="14.4">
      <c r="A470" s="270"/>
      <c r="B470" s="97">
        <f t="shared" si="91"/>
        <v>31</v>
      </c>
      <c r="C470" s="325"/>
      <c r="D470" s="260"/>
      <c r="E470" s="95"/>
      <c r="G470" s="52"/>
      <c r="H470" s="52"/>
      <c r="I470" s="256"/>
      <c r="J470" s="98">
        <f t="shared" si="92"/>
        <v>0</v>
      </c>
      <c r="K470" s="118" t="e">
        <f t="shared" si="93"/>
        <v>#DIV/0!</v>
      </c>
      <c r="L470" s="15"/>
      <c r="M470" s="15"/>
      <c r="N470" s="15">
        <f t="shared" si="94"/>
        <v>0</v>
      </c>
      <c r="O470" s="70" t="e">
        <f t="shared" si="95"/>
        <v>#DIV/0!</v>
      </c>
      <c r="P470" s="70"/>
      <c r="Q470" s="70">
        <f t="shared" si="96"/>
        <v>0</v>
      </c>
      <c r="R470" s="70"/>
      <c r="S470" s="70"/>
      <c r="T470" s="70"/>
      <c r="U470" s="15"/>
      <c r="V470" s="70" t="e">
        <f t="shared" si="97"/>
        <v>#DIV/0!</v>
      </c>
      <c r="W470" s="15"/>
      <c r="X470" s="15"/>
      <c r="Y470" s="15">
        <f t="shared" si="98"/>
        <v>0</v>
      </c>
      <c r="Z470" s="52"/>
      <c r="AA470" s="98">
        <f t="shared" si="99"/>
        <v>0</v>
      </c>
      <c r="AB470" s="52"/>
      <c r="AC470" s="98">
        <f t="shared" si="100"/>
        <v>0</v>
      </c>
      <c r="AD470" s="98">
        <f t="shared" si="101"/>
        <v>0</v>
      </c>
      <c r="AE470" s="238" t="e">
        <f t="shared" si="102"/>
        <v>#DIV/0!</v>
      </c>
      <c r="AF470" s="125" t="e">
        <f t="shared" si="103"/>
        <v>#DIV/0!</v>
      </c>
      <c r="AG470" s="92"/>
    </row>
    <row r="471" spans="1:33" ht="14.4">
      <c r="A471" s="270"/>
      <c r="B471" s="97">
        <f t="shared" si="91"/>
        <v>31</v>
      </c>
      <c r="C471" s="325"/>
      <c r="D471" s="260"/>
      <c r="E471" s="95"/>
      <c r="G471" s="52"/>
      <c r="H471" s="52"/>
      <c r="I471" s="256"/>
      <c r="J471" s="98">
        <f t="shared" si="92"/>
        <v>0</v>
      </c>
      <c r="K471" s="118" t="e">
        <f t="shared" si="93"/>
        <v>#DIV/0!</v>
      </c>
      <c r="L471" s="15"/>
      <c r="M471" s="15"/>
      <c r="N471" s="15">
        <f t="shared" si="94"/>
        <v>0</v>
      </c>
      <c r="O471" s="70" t="e">
        <f t="shared" si="95"/>
        <v>#DIV/0!</v>
      </c>
      <c r="P471" s="70"/>
      <c r="Q471" s="70">
        <f t="shared" si="96"/>
        <v>0</v>
      </c>
      <c r="R471" s="70"/>
      <c r="S471" s="70"/>
      <c r="T471" s="70"/>
      <c r="U471" s="15"/>
      <c r="V471" s="70" t="e">
        <f t="shared" si="97"/>
        <v>#DIV/0!</v>
      </c>
      <c r="W471" s="15"/>
      <c r="X471" s="15"/>
      <c r="Y471" s="15">
        <f t="shared" si="98"/>
        <v>0</v>
      </c>
      <c r="Z471" s="52"/>
      <c r="AA471" s="98">
        <f t="shared" si="99"/>
        <v>0</v>
      </c>
      <c r="AB471" s="52"/>
      <c r="AC471" s="98">
        <f t="shared" si="100"/>
        <v>0</v>
      </c>
      <c r="AD471" s="98">
        <f t="shared" si="101"/>
        <v>0</v>
      </c>
      <c r="AE471" s="238" t="e">
        <f t="shared" si="102"/>
        <v>#DIV/0!</v>
      </c>
      <c r="AF471" s="125" t="e">
        <f t="shared" si="103"/>
        <v>#DIV/0!</v>
      </c>
      <c r="AG471" s="92"/>
    </row>
    <row r="472" spans="1:33" ht="14.4">
      <c r="A472" s="270"/>
      <c r="B472" s="97">
        <f t="shared" si="91"/>
        <v>31</v>
      </c>
      <c r="C472" s="325"/>
      <c r="D472" s="260"/>
      <c r="E472" s="95"/>
      <c r="G472" s="52"/>
      <c r="H472" s="52"/>
      <c r="I472" s="256"/>
      <c r="J472" s="98">
        <f t="shared" si="92"/>
        <v>0</v>
      </c>
      <c r="K472" s="118" t="e">
        <f t="shared" si="93"/>
        <v>#DIV/0!</v>
      </c>
      <c r="L472" s="15"/>
      <c r="M472" s="15"/>
      <c r="N472" s="15">
        <f t="shared" si="94"/>
        <v>0</v>
      </c>
      <c r="O472" s="70" t="e">
        <f t="shared" si="95"/>
        <v>#DIV/0!</v>
      </c>
      <c r="P472" s="70"/>
      <c r="Q472" s="70">
        <f t="shared" si="96"/>
        <v>0</v>
      </c>
      <c r="R472" s="70"/>
      <c r="S472" s="70"/>
      <c r="T472" s="70"/>
      <c r="U472" s="15"/>
      <c r="V472" s="70" t="e">
        <f t="shared" si="97"/>
        <v>#DIV/0!</v>
      </c>
      <c r="W472" s="15"/>
      <c r="X472" s="15"/>
      <c r="Y472" s="15">
        <f t="shared" si="98"/>
        <v>0</v>
      </c>
      <c r="Z472" s="52"/>
      <c r="AA472" s="98">
        <f t="shared" si="99"/>
        <v>0</v>
      </c>
      <c r="AB472" s="52"/>
      <c r="AC472" s="98">
        <f t="shared" si="100"/>
        <v>0</v>
      </c>
      <c r="AD472" s="98">
        <f t="shared" si="101"/>
        <v>0</v>
      </c>
      <c r="AE472" s="238" t="e">
        <f t="shared" si="102"/>
        <v>#DIV/0!</v>
      </c>
      <c r="AF472" s="125" t="e">
        <f t="shared" si="103"/>
        <v>#DIV/0!</v>
      </c>
      <c r="AG472" s="92"/>
    </row>
    <row r="473" spans="1:33" ht="14.4">
      <c r="A473" s="270"/>
      <c r="B473" s="97">
        <f t="shared" si="91"/>
        <v>31</v>
      </c>
      <c r="C473" s="325"/>
      <c r="D473" s="260"/>
      <c r="E473" s="95"/>
      <c r="G473" s="52"/>
      <c r="H473" s="52"/>
      <c r="I473" s="256"/>
      <c r="J473" s="98">
        <f t="shared" si="92"/>
        <v>0</v>
      </c>
      <c r="K473" s="118" t="e">
        <f t="shared" si="93"/>
        <v>#DIV/0!</v>
      </c>
      <c r="L473" s="15"/>
      <c r="M473" s="15"/>
      <c r="N473" s="15">
        <f t="shared" si="94"/>
        <v>0</v>
      </c>
      <c r="O473" s="70" t="e">
        <f t="shared" si="95"/>
        <v>#DIV/0!</v>
      </c>
      <c r="P473" s="70"/>
      <c r="Q473" s="70">
        <f t="shared" si="96"/>
        <v>0</v>
      </c>
      <c r="R473" s="70"/>
      <c r="S473" s="70"/>
      <c r="T473" s="70"/>
      <c r="U473" s="15"/>
      <c r="V473" s="70" t="e">
        <f t="shared" si="97"/>
        <v>#DIV/0!</v>
      </c>
      <c r="W473" s="15"/>
      <c r="X473" s="15"/>
      <c r="Y473" s="15">
        <f t="shared" si="98"/>
        <v>0</v>
      </c>
      <c r="Z473" s="52"/>
      <c r="AA473" s="98">
        <f t="shared" si="99"/>
        <v>0</v>
      </c>
      <c r="AB473" s="52"/>
      <c r="AC473" s="98">
        <f t="shared" si="100"/>
        <v>0</v>
      </c>
      <c r="AD473" s="98">
        <f t="shared" si="101"/>
        <v>0</v>
      </c>
      <c r="AE473" s="238" t="e">
        <f t="shared" si="102"/>
        <v>#DIV/0!</v>
      </c>
      <c r="AF473" s="125" t="e">
        <f t="shared" si="103"/>
        <v>#DIV/0!</v>
      </c>
      <c r="AG473" s="92"/>
    </row>
    <row r="474" spans="1:33" ht="14.4">
      <c r="A474" s="270"/>
      <c r="B474" s="97">
        <f t="shared" si="91"/>
        <v>31</v>
      </c>
      <c r="C474" s="325"/>
      <c r="D474" s="260"/>
      <c r="E474" s="95"/>
      <c r="G474" s="52"/>
      <c r="H474" s="52"/>
      <c r="I474" s="256"/>
      <c r="J474" s="98">
        <f t="shared" si="92"/>
        <v>0</v>
      </c>
      <c r="K474" s="118" t="e">
        <f t="shared" si="93"/>
        <v>#DIV/0!</v>
      </c>
      <c r="L474" s="15"/>
      <c r="M474" s="15"/>
      <c r="N474" s="15">
        <f t="shared" si="94"/>
        <v>0</v>
      </c>
      <c r="O474" s="70" t="e">
        <f t="shared" si="95"/>
        <v>#DIV/0!</v>
      </c>
      <c r="P474" s="70"/>
      <c r="Q474" s="70">
        <f t="shared" si="96"/>
        <v>0</v>
      </c>
      <c r="R474" s="70"/>
      <c r="S474" s="70"/>
      <c r="T474" s="70"/>
      <c r="U474" s="15"/>
      <c r="V474" s="70" t="e">
        <f t="shared" si="97"/>
        <v>#DIV/0!</v>
      </c>
      <c r="W474" s="15"/>
      <c r="X474" s="15"/>
      <c r="Y474" s="15">
        <f t="shared" si="98"/>
        <v>0</v>
      </c>
      <c r="Z474" s="52"/>
      <c r="AA474" s="98">
        <f t="shared" si="99"/>
        <v>0</v>
      </c>
      <c r="AB474" s="52"/>
      <c r="AC474" s="98">
        <f t="shared" si="100"/>
        <v>0</v>
      </c>
      <c r="AD474" s="98">
        <f t="shared" si="101"/>
        <v>0</v>
      </c>
      <c r="AE474" s="238" t="e">
        <f t="shared" si="102"/>
        <v>#DIV/0!</v>
      </c>
      <c r="AF474" s="125" t="e">
        <f t="shared" si="103"/>
        <v>#DIV/0!</v>
      </c>
      <c r="AG474" s="92"/>
    </row>
    <row r="475" spans="1:33" ht="14.4">
      <c r="A475" s="270"/>
      <c r="B475" s="97">
        <f t="shared" si="91"/>
        <v>31</v>
      </c>
      <c r="C475" s="325"/>
      <c r="D475" s="260"/>
      <c r="E475" s="95"/>
      <c r="G475" s="52"/>
      <c r="H475" s="52"/>
      <c r="I475" s="256"/>
      <c r="J475" s="98">
        <f t="shared" si="92"/>
        <v>0</v>
      </c>
      <c r="K475" s="118" t="e">
        <f t="shared" si="93"/>
        <v>#DIV/0!</v>
      </c>
      <c r="L475" s="15"/>
      <c r="M475" s="15"/>
      <c r="N475" s="15">
        <f t="shared" si="94"/>
        <v>0</v>
      </c>
      <c r="O475" s="70" t="e">
        <f t="shared" si="95"/>
        <v>#DIV/0!</v>
      </c>
      <c r="P475" s="70"/>
      <c r="Q475" s="70">
        <f t="shared" si="96"/>
        <v>0</v>
      </c>
      <c r="R475" s="70"/>
      <c r="S475" s="70"/>
      <c r="T475" s="70"/>
      <c r="U475" s="15"/>
      <c r="V475" s="70" t="e">
        <f t="shared" si="97"/>
        <v>#DIV/0!</v>
      </c>
      <c r="W475" s="15"/>
      <c r="X475" s="15"/>
      <c r="Y475" s="15">
        <f t="shared" si="98"/>
        <v>0</v>
      </c>
      <c r="Z475" s="52"/>
      <c r="AA475" s="98">
        <f t="shared" si="99"/>
        <v>0</v>
      </c>
      <c r="AB475" s="52"/>
      <c r="AC475" s="98">
        <f t="shared" si="100"/>
        <v>0</v>
      </c>
      <c r="AD475" s="98">
        <f t="shared" si="101"/>
        <v>0</v>
      </c>
      <c r="AE475" s="238" t="e">
        <f t="shared" si="102"/>
        <v>#DIV/0!</v>
      </c>
      <c r="AF475" s="125" t="e">
        <f t="shared" si="103"/>
        <v>#DIV/0!</v>
      </c>
      <c r="AG475" s="92"/>
    </row>
    <row r="476" spans="1:33" ht="14.4">
      <c r="A476" s="270"/>
      <c r="B476" s="97">
        <f t="shared" si="91"/>
        <v>31</v>
      </c>
      <c r="C476" s="325"/>
      <c r="D476" s="260"/>
      <c r="E476" s="95"/>
      <c r="G476" s="52"/>
      <c r="H476" s="52"/>
      <c r="I476" s="256"/>
      <c r="J476" s="98">
        <f t="shared" si="92"/>
        <v>0</v>
      </c>
      <c r="K476" s="118" t="e">
        <f t="shared" si="93"/>
        <v>#DIV/0!</v>
      </c>
      <c r="L476" s="15"/>
      <c r="M476" s="15"/>
      <c r="N476" s="15">
        <f t="shared" si="94"/>
        <v>0</v>
      </c>
      <c r="O476" s="70" t="e">
        <f t="shared" si="95"/>
        <v>#DIV/0!</v>
      </c>
      <c r="P476" s="70"/>
      <c r="Q476" s="70">
        <f t="shared" si="96"/>
        <v>0</v>
      </c>
      <c r="R476" s="70"/>
      <c r="S476" s="70"/>
      <c r="T476" s="70"/>
      <c r="U476" s="15"/>
      <c r="V476" s="70" t="e">
        <f t="shared" si="97"/>
        <v>#DIV/0!</v>
      </c>
      <c r="W476" s="15"/>
      <c r="X476" s="15"/>
      <c r="Y476" s="15">
        <f t="shared" si="98"/>
        <v>0</v>
      </c>
      <c r="Z476" s="52"/>
      <c r="AA476" s="98">
        <f t="shared" si="99"/>
        <v>0</v>
      </c>
      <c r="AB476" s="52"/>
      <c r="AC476" s="98">
        <f t="shared" si="100"/>
        <v>0</v>
      </c>
      <c r="AD476" s="98">
        <f t="shared" si="101"/>
        <v>0</v>
      </c>
      <c r="AE476" s="238" t="e">
        <f t="shared" si="102"/>
        <v>#DIV/0!</v>
      </c>
      <c r="AF476" s="125" t="e">
        <f t="shared" si="103"/>
        <v>#DIV/0!</v>
      </c>
      <c r="AG476" s="92"/>
    </row>
    <row r="477" spans="1:33" ht="14.4">
      <c r="A477" s="270"/>
      <c r="B477" s="97">
        <f t="shared" si="91"/>
        <v>31</v>
      </c>
      <c r="C477" s="325"/>
      <c r="D477" s="260"/>
      <c r="E477" s="95"/>
      <c r="G477" s="52"/>
      <c r="H477" s="52"/>
      <c r="I477" s="256"/>
      <c r="J477" s="98">
        <f t="shared" si="92"/>
        <v>0</v>
      </c>
      <c r="K477" s="118" t="e">
        <f t="shared" si="93"/>
        <v>#DIV/0!</v>
      </c>
      <c r="L477" s="15"/>
      <c r="M477" s="15"/>
      <c r="N477" s="15">
        <f t="shared" si="94"/>
        <v>0</v>
      </c>
      <c r="O477" s="70" t="e">
        <f t="shared" si="95"/>
        <v>#DIV/0!</v>
      </c>
      <c r="P477" s="70"/>
      <c r="Q477" s="70">
        <f t="shared" si="96"/>
        <v>0</v>
      </c>
      <c r="R477" s="70"/>
      <c r="S477" s="70"/>
      <c r="T477" s="70"/>
      <c r="U477" s="15"/>
      <c r="V477" s="70" t="e">
        <f t="shared" si="97"/>
        <v>#DIV/0!</v>
      </c>
      <c r="W477" s="15"/>
      <c r="X477" s="15"/>
      <c r="Y477" s="15">
        <f t="shared" si="98"/>
        <v>0</v>
      </c>
      <c r="Z477" s="52"/>
      <c r="AA477" s="98">
        <f t="shared" si="99"/>
        <v>0</v>
      </c>
      <c r="AB477" s="52"/>
      <c r="AC477" s="98">
        <f t="shared" si="100"/>
        <v>0</v>
      </c>
      <c r="AD477" s="98">
        <f t="shared" si="101"/>
        <v>0</v>
      </c>
      <c r="AE477" s="238" t="e">
        <f t="shared" si="102"/>
        <v>#DIV/0!</v>
      </c>
      <c r="AF477" s="125" t="e">
        <f t="shared" si="103"/>
        <v>#DIV/0!</v>
      </c>
      <c r="AG477" s="92"/>
    </row>
    <row r="478" spans="1:33" ht="14.4">
      <c r="A478" s="270"/>
      <c r="B478" s="97">
        <f t="shared" si="91"/>
        <v>31</v>
      </c>
      <c r="C478" s="325"/>
      <c r="D478" s="260"/>
      <c r="E478" s="95"/>
      <c r="G478" s="52"/>
      <c r="H478" s="52"/>
      <c r="I478" s="256"/>
      <c r="J478" s="98">
        <f t="shared" si="92"/>
        <v>0</v>
      </c>
      <c r="K478" s="118" t="e">
        <f t="shared" si="93"/>
        <v>#DIV/0!</v>
      </c>
      <c r="L478" s="15"/>
      <c r="M478" s="15"/>
      <c r="N478" s="15">
        <f t="shared" si="94"/>
        <v>0</v>
      </c>
      <c r="O478" s="70" t="e">
        <f t="shared" si="95"/>
        <v>#N/A</v>
      </c>
      <c r="P478" s="70" t="e">
        <f>VLOOKUP(C478,'[1]Profit and Loss agt new'!$D$17:$E$52,2,)</f>
        <v>#N/A</v>
      </c>
      <c r="Q478" s="70" t="e">
        <f t="shared" si="96"/>
        <v>#N/A</v>
      </c>
      <c r="R478" s="70"/>
      <c r="S478" s="70"/>
      <c r="T478" s="70"/>
      <c r="U478" s="15"/>
      <c r="V478" s="70" t="e">
        <f t="shared" si="97"/>
        <v>#DIV/0!</v>
      </c>
      <c r="W478" s="15"/>
      <c r="X478" s="15"/>
      <c r="Y478" s="15">
        <f t="shared" si="98"/>
        <v>0</v>
      </c>
      <c r="Z478" s="52"/>
      <c r="AA478" s="98">
        <f t="shared" si="99"/>
        <v>0</v>
      </c>
      <c r="AB478" s="52"/>
      <c r="AC478" s="98">
        <f t="shared" si="100"/>
        <v>0</v>
      </c>
      <c r="AD478" s="98" t="e">
        <f t="shared" si="101"/>
        <v>#N/A</v>
      </c>
      <c r="AE478" s="238" t="e">
        <f t="shared" si="102"/>
        <v>#DIV/0!</v>
      </c>
      <c r="AF478" s="125" t="e">
        <f t="shared" si="103"/>
        <v>#N/A</v>
      </c>
      <c r="AG478" s="92"/>
    </row>
    <row r="479" spans="1:33" ht="14.4">
      <c r="A479" s="270"/>
      <c r="B479" s="97">
        <f t="shared" si="91"/>
        <v>31</v>
      </c>
      <c r="C479" s="325"/>
      <c r="D479" s="260"/>
      <c r="E479" s="95"/>
      <c r="G479" s="52"/>
      <c r="H479" s="52"/>
      <c r="I479" s="256"/>
      <c r="J479" s="98">
        <f t="shared" si="92"/>
        <v>0</v>
      </c>
      <c r="K479" s="118" t="e">
        <f t="shared" si="93"/>
        <v>#DIV/0!</v>
      </c>
      <c r="L479" s="15"/>
      <c r="M479" s="15"/>
      <c r="N479" s="15">
        <f t="shared" si="94"/>
        <v>0</v>
      </c>
      <c r="O479" s="70" t="e">
        <f t="shared" si="95"/>
        <v>#DIV/0!</v>
      </c>
      <c r="P479" s="70"/>
      <c r="Q479" s="70">
        <f t="shared" si="96"/>
        <v>0</v>
      </c>
      <c r="R479" s="70"/>
      <c r="S479" s="70"/>
      <c r="T479" s="70"/>
      <c r="U479" s="15"/>
      <c r="V479" s="70" t="e">
        <f t="shared" si="97"/>
        <v>#DIV/0!</v>
      </c>
      <c r="W479" s="15"/>
      <c r="X479" s="15"/>
      <c r="Y479" s="15">
        <f t="shared" si="98"/>
        <v>0</v>
      </c>
      <c r="Z479" s="52"/>
      <c r="AA479" s="98">
        <f t="shared" si="99"/>
        <v>0</v>
      </c>
      <c r="AB479" s="52"/>
      <c r="AC479" s="98">
        <f t="shared" si="100"/>
        <v>0</v>
      </c>
      <c r="AD479" s="98">
        <f t="shared" si="101"/>
        <v>0</v>
      </c>
      <c r="AE479" s="238" t="e">
        <f t="shared" si="102"/>
        <v>#DIV/0!</v>
      </c>
      <c r="AF479" s="125" t="e">
        <f t="shared" si="103"/>
        <v>#DIV/0!</v>
      </c>
      <c r="AG479" s="92"/>
    </row>
    <row r="480" spans="1:33" ht="14.4">
      <c r="A480" s="270"/>
      <c r="B480" s="97">
        <f t="shared" si="91"/>
        <v>31</v>
      </c>
      <c r="C480" s="325"/>
      <c r="D480" s="260"/>
      <c r="E480" s="95"/>
      <c r="G480" s="52"/>
      <c r="H480" s="52"/>
      <c r="I480" s="256"/>
      <c r="J480" s="98">
        <f t="shared" si="92"/>
        <v>0</v>
      </c>
      <c r="K480" s="118" t="e">
        <f t="shared" si="93"/>
        <v>#DIV/0!</v>
      </c>
      <c r="L480" s="15"/>
      <c r="M480" s="15"/>
      <c r="N480" s="15">
        <f t="shared" si="94"/>
        <v>0</v>
      </c>
      <c r="O480" s="70" t="e">
        <f t="shared" si="95"/>
        <v>#DIV/0!</v>
      </c>
      <c r="P480" s="70"/>
      <c r="Q480" s="70">
        <f t="shared" si="96"/>
        <v>0</v>
      </c>
      <c r="R480" s="70"/>
      <c r="S480" s="70"/>
      <c r="T480" s="70"/>
      <c r="U480" s="15"/>
      <c r="V480" s="70" t="e">
        <f t="shared" si="97"/>
        <v>#DIV/0!</v>
      </c>
      <c r="W480" s="15"/>
      <c r="X480" s="15"/>
      <c r="Y480" s="15">
        <f t="shared" si="98"/>
        <v>0</v>
      </c>
      <c r="Z480" s="52"/>
      <c r="AA480" s="98">
        <f t="shared" si="99"/>
        <v>0</v>
      </c>
      <c r="AB480" s="52"/>
      <c r="AC480" s="98">
        <f t="shared" si="100"/>
        <v>0</v>
      </c>
      <c r="AD480" s="98">
        <f t="shared" si="101"/>
        <v>0</v>
      </c>
      <c r="AE480" s="238" t="e">
        <f t="shared" si="102"/>
        <v>#DIV/0!</v>
      </c>
      <c r="AF480" s="125" t="e">
        <f t="shared" si="103"/>
        <v>#DIV/0!</v>
      </c>
      <c r="AG480" s="92"/>
    </row>
    <row r="481" spans="1:33" ht="14.4">
      <c r="A481" s="270"/>
      <c r="B481" s="97">
        <f t="shared" si="91"/>
        <v>31</v>
      </c>
      <c r="C481" s="325"/>
      <c r="D481" s="260"/>
      <c r="E481" s="95"/>
      <c r="G481" s="52"/>
      <c r="H481" s="52"/>
      <c r="I481" s="256"/>
      <c r="J481" s="98">
        <f t="shared" si="92"/>
        <v>0</v>
      </c>
      <c r="K481" s="118" t="e">
        <f t="shared" si="93"/>
        <v>#DIV/0!</v>
      </c>
      <c r="L481" s="15"/>
      <c r="M481" s="15"/>
      <c r="N481" s="15">
        <f t="shared" si="94"/>
        <v>0</v>
      </c>
      <c r="O481" s="70" t="e">
        <f t="shared" si="95"/>
        <v>#DIV/0!</v>
      </c>
      <c r="P481" s="70"/>
      <c r="Q481" s="70">
        <f t="shared" si="96"/>
        <v>0</v>
      </c>
      <c r="R481" s="70"/>
      <c r="S481" s="70"/>
      <c r="T481" s="70"/>
      <c r="U481" s="15"/>
      <c r="V481" s="70" t="e">
        <f t="shared" si="97"/>
        <v>#DIV/0!</v>
      </c>
      <c r="W481" s="15"/>
      <c r="X481" s="15"/>
      <c r="Y481" s="15">
        <f t="shared" si="98"/>
        <v>0</v>
      </c>
      <c r="Z481" s="52"/>
      <c r="AA481" s="98">
        <f t="shared" si="99"/>
        <v>0</v>
      </c>
      <c r="AB481" s="52"/>
      <c r="AC481" s="98">
        <f t="shared" si="100"/>
        <v>0</v>
      </c>
      <c r="AD481" s="98">
        <f t="shared" si="101"/>
        <v>0</v>
      </c>
      <c r="AE481" s="238" t="e">
        <f t="shared" si="102"/>
        <v>#DIV/0!</v>
      </c>
      <c r="AF481" s="125" t="e">
        <f t="shared" si="103"/>
        <v>#DIV/0!</v>
      </c>
      <c r="AG481" s="92"/>
    </row>
    <row r="482" spans="1:33" ht="14.4">
      <c r="A482" s="270"/>
      <c r="B482" s="97">
        <f t="shared" si="91"/>
        <v>31</v>
      </c>
      <c r="C482" s="325"/>
      <c r="D482" s="260"/>
      <c r="E482" s="95"/>
      <c r="G482" s="52"/>
      <c r="H482" s="52"/>
      <c r="I482" s="256"/>
      <c r="J482" s="98">
        <f t="shared" si="92"/>
        <v>0</v>
      </c>
      <c r="K482" s="118" t="e">
        <f t="shared" si="93"/>
        <v>#DIV/0!</v>
      </c>
      <c r="L482" s="15"/>
      <c r="M482" s="15"/>
      <c r="N482" s="15">
        <f t="shared" si="94"/>
        <v>0</v>
      </c>
      <c r="O482" s="70" t="e">
        <f t="shared" si="95"/>
        <v>#DIV/0!</v>
      </c>
      <c r="P482" s="70"/>
      <c r="Q482" s="70">
        <f t="shared" si="96"/>
        <v>0</v>
      </c>
      <c r="R482" s="70"/>
      <c r="S482" s="70"/>
      <c r="T482" s="70"/>
      <c r="U482" s="15"/>
      <c r="V482" s="70" t="e">
        <f t="shared" si="97"/>
        <v>#DIV/0!</v>
      </c>
      <c r="W482" s="15"/>
      <c r="X482" s="15"/>
      <c r="Y482" s="15">
        <f t="shared" si="98"/>
        <v>0</v>
      </c>
      <c r="Z482" s="52"/>
      <c r="AA482" s="98">
        <f t="shared" si="99"/>
        <v>0</v>
      </c>
      <c r="AB482" s="52"/>
      <c r="AC482" s="98">
        <f t="shared" si="100"/>
        <v>0</v>
      </c>
      <c r="AD482" s="98">
        <f t="shared" si="101"/>
        <v>0</v>
      </c>
      <c r="AE482" s="238" t="e">
        <f t="shared" si="102"/>
        <v>#DIV/0!</v>
      </c>
      <c r="AF482" s="125" t="e">
        <f t="shared" si="103"/>
        <v>#DIV/0!</v>
      </c>
      <c r="AG482" s="92"/>
    </row>
    <row r="483" spans="1:33" ht="14.4">
      <c r="A483" s="270"/>
      <c r="B483" s="97">
        <f t="shared" si="91"/>
        <v>31</v>
      </c>
      <c r="C483" s="325"/>
      <c r="D483" s="260"/>
      <c r="E483" s="95"/>
      <c r="G483" s="52"/>
      <c r="H483" s="52"/>
      <c r="I483" s="256"/>
      <c r="J483" s="98">
        <f t="shared" si="92"/>
        <v>0</v>
      </c>
      <c r="K483" s="118" t="e">
        <f t="shared" si="93"/>
        <v>#DIV/0!</v>
      </c>
      <c r="L483" s="15"/>
      <c r="M483" s="15"/>
      <c r="N483" s="15">
        <f t="shared" si="94"/>
        <v>0</v>
      </c>
      <c r="O483" s="70" t="e">
        <f t="shared" si="95"/>
        <v>#DIV/0!</v>
      </c>
      <c r="P483" s="70"/>
      <c r="Q483" s="70">
        <f t="shared" si="96"/>
        <v>0</v>
      </c>
      <c r="R483" s="70"/>
      <c r="S483" s="70"/>
      <c r="T483" s="70"/>
      <c r="U483" s="15"/>
      <c r="V483" s="70" t="e">
        <f t="shared" si="97"/>
        <v>#DIV/0!</v>
      </c>
      <c r="W483" s="15"/>
      <c r="X483" s="15"/>
      <c r="Y483" s="15">
        <f t="shared" si="98"/>
        <v>0</v>
      </c>
      <c r="Z483" s="52"/>
      <c r="AA483" s="98">
        <f t="shared" si="99"/>
        <v>0</v>
      </c>
      <c r="AB483" s="52"/>
      <c r="AC483" s="98">
        <f t="shared" si="100"/>
        <v>0</v>
      </c>
      <c r="AD483" s="98">
        <f t="shared" si="101"/>
        <v>0</v>
      </c>
      <c r="AE483" s="238" t="e">
        <f t="shared" si="102"/>
        <v>#DIV/0!</v>
      </c>
      <c r="AF483" s="125" t="e">
        <f t="shared" si="103"/>
        <v>#DIV/0!</v>
      </c>
      <c r="AG483" s="92"/>
    </row>
    <row r="484" spans="1:33" ht="14.4">
      <c r="A484" s="270"/>
      <c r="B484" s="97">
        <f t="shared" si="91"/>
        <v>31</v>
      </c>
      <c r="C484" s="325"/>
      <c r="D484" s="260"/>
      <c r="E484" s="95"/>
      <c r="G484" s="52"/>
      <c r="H484" s="52"/>
      <c r="I484" s="256"/>
      <c r="J484" s="98">
        <f t="shared" si="92"/>
        <v>0</v>
      </c>
      <c r="K484" s="118" t="e">
        <f t="shared" si="93"/>
        <v>#DIV/0!</v>
      </c>
      <c r="L484" s="15"/>
      <c r="M484" s="15"/>
      <c r="N484" s="15">
        <f t="shared" si="94"/>
        <v>0</v>
      </c>
      <c r="O484" s="70" t="e">
        <f t="shared" si="95"/>
        <v>#DIV/0!</v>
      </c>
      <c r="P484" s="70"/>
      <c r="Q484" s="70">
        <f t="shared" si="96"/>
        <v>0</v>
      </c>
      <c r="R484" s="70"/>
      <c r="S484" s="70"/>
      <c r="T484" s="70"/>
      <c r="U484" s="15"/>
      <c r="V484" s="70" t="e">
        <f t="shared" si="97"/>
        <v>#DIV/0!</v>
      </c>
      <c r="W484" s="15"/>
      <c r="X484" s="15"/>
      <c r="Y484" s="15">
        <f t="shared" si="98"/>
        <v>0</v>
      </c>
      <c r="Z484" s="52"/>
      <c r="AA484" s="98">
        <f t="shared" si="99"/>
        <v>0</v>
      </c>
      <c r="AB484" s="52"/>
      <c r="AC484" s="98">
        <f t="shared" si="100"/>
        <v>0</v>
      </c>
      <c r="AD484" s="98">
        <f t="shared" si="101"/>
        <v>0</v>
      </c>
      <c r="AE484" s="238" t="e">
        <f t="shared" si="102"/>
        <v>#DIV/0!</v>
      </c>
      <c r="AF484" s="125" t="e">
        <f t="shared" si="103"/>
        <v>#DIV/0!</v>
      </c>
      <c r="AG484" s="92"/>
    </row>
    <row r="485" spans="1:33" ht="14.4">
      <c r="A485" s="270"/>
      <c r="B485" s="97">
        <f t="shared" si="91"/>
        <v>31</v>
      </c>
      <c r="C485" s="325"/>
      <c r="D485" s="260"/>
      <c r="E485" s="95"/>
      <c r="G485" s="52"/>
      <c r="H485" s="52"/>
      <c r="I485" s="256"/>
      <c r="J485" s="98">
        <f t="shared" si="92"/>
        <v>0</v>
      </c>
      <c r="K485" s="118" t="e">
        <f t="shared" si="93"/>
        <v>#DIV/0!</v>
      </c>
      <c r="L485" s="15"/>
      <c r="M485" s="15"/>
      <c r="N485" s="15">
        <f t="shared" si="94"/>
        <v>0</v>
      </c>
      <c r="O485" s="70" t="e">
        <f t="shared" si="95"/>
        <v>#DIV/0!</v>
      </c>
      <c r="P485" s="70"/>
      <c r="Q485" s="70">
        <f t="shared" si="96"/>
        <v>0</v>
      </c>
      <c r="R485" s="70"/>
      <c r="S485" s="70"/>
      <c r="T485" s="70"/>
      <c r="U485" s="15"/>
      <c r="V485" s="70" t="e">
        <f t="shared" si="97"/>
        <v>#DIV/0!</v>
      </c>
      <c r="W485" s="15"/>
      <c r="X485" s="15"/>
      <c r="Y485" s="15">
        <f t="shared" si="98"/>
        <v>0</v>
      </c>
      <c r="Z485" s="52"/>
      <c r="AA485" s="98">
        <f t="shared" si="99"/>
        <v>0</v>
      </c>
      <c r="AB485" s="52"/>
      <c r="AC485" s="98">
        <f t="shared" si="100"/>
        <v>0</v>
      </c>
      <c r="AD485" s="98">
        <f t="shared" si="101"/>
        <v>0</v>
      </c>
      <c r="AE485" s="238" t="e">
        <f t="shared" si="102"/>
        <v>#DIV/0!</v>
      </c>
      <c r="AF485" s="125" t="e">
        <f t="shared" si="103"/>
        <v>#DIV/0!</v>
      </c>
      <c r="AG485" s="92"/>
    </row>
    <row r="486" spans="1:33" ht="14.4">
      <c r="A486" s="270"/>
      <c r="B486" s="97">
        <f t="shared" si="91"/>
        <v>31</v>
      </c>
      <c r="C486" s="325"/>
      <c r="D486" s="260"/>
      <c r="E486" s="95"/>
      <c r="G486" s="52"/>
      <c r="H486" s="52"/>
      <c r="I486" s="256"/>
      <c r="J486" s="98">
        <f t="shared" si="92"/>
        <v>0</v>
      </c>
      <c r="K486" s="118" t="e">
        <f t="shared" si="93"/>
        <v>#DIV/0!</v>
      </c>
      <c r="L486" s="15"/>
      <c r="M486" s="15"/>
      <c r="N486" s="15">
        <f t="shared" si="94"/>
        <v>0</v>
      </c>
      <c r="O486" s="70" t="e">
        <f t="shared" si="95"/>
        <v>#DIV/0!</v>
      </c>
      <c r="P486" s="70"/>
      <c r="Q486" s="70">
        <f t="shared" si="96"/>
        <v>0</v>
      </c>
      <c r="R486" s="70"/>
      <c r="S486" s="70"/>
      <c r="T486" s="70"/>
      <c r="U486" s="15"/>
      <c r="V486" s="70" t="e">
        <f t="shared" si="97"/>
        <v>#DIV/0!</v>
      </c>
      <c r="W486" s="15"/>
      <c r="X486" s="15"/>
      <c r="Y486" s="15">
        <f t="shared" si="98"/>
        <v>0</v>
      </c>
      <c r="Z486" s="52"/>
      <c r="AA486" s="98">
        <f t="shared" si="99"/>
        <v>0</v>
      </c>
      <c r="AB486" s="52"/>
      <c r="AC486" s="98">
        <f t="shared" si="100"/>
        <v>0</v>
      </c>
      <c r="AD486" s="98">
        <f t="shared" si="101"/>
        <v>0</v>
      </c>
      <c r="AE486" s="238" t="e">
        <f t="shared" si="102"/>
        <v>#DIV/0!</v>
      </c>
      <c r="AF486" s="125" t="e">
        <f t="shared" si="103"/>
        <v>#DIV/0!</v>
      </c>
      <c r="AG486" s="92"/>
    </row>
    <row r="487" spans="1:33" ht="14.4">
      <c r="A487" s="270"/>
      <c r="B487" s="97">
        <f t="shared" si="91"/>
        <v>31</v>
      </c>
      <c r="C487" s="325"/>
      <c r="D487" s="260"/>
      <c r="E487" s="95"/>
      <c r="G487" s="52"/>
      <c r="H487" s="52"/>
      <c r="I487" s="256"/>
      <c r="J487" s="98">
        <f t="shared" si="92"/>
        <v>0</v>
      </c>
      <c r="K487" s="118" t="e">
        <f t="shared" si="93"/>
        <v>#DIV/0!</v>
      </c>
      <c r="L487" s="15"/>
      <c r="M487" s="15"/>
      <c r="N487" s="15">
        <f t="shared" si="94"/>
        <v>0</v>
      </c>
      <c r="O487" s="70" t="e">
        <f t="shared" si="95"/>
        <v>#DIV/0!</v>
      </c>
      <c r="P487" s="70"/>
      <c r="Q487" s="70">
        <f t="shared" si="96"/>
        <v>0</v>
      </c>
      <c r="R487" s="70"/>
      <c r="S487" s="70"/>
      <c r="T487" s="70"/>
      <c r="U487" s="15"/>
      <c r="V487" s="70" t="e">
        <f t="shared" si="97"/>
        <v>#DIV/0!</v>
      </c>
      <c r="W487" s="15"/>
      <c r="X487" s="15"/>
      <c r="Y487" s="15">
        <f t="shared" si="98"/>
        <v>0</v>
      </c>
      <c r="Z487" s="52"/>
      <c r="AA487" s="98">
        <f t="shared" si="99"/>
        <v>0</v>
      </c>
      <c r="AB487" s="52"/>
      <c r="AC487" s="98">
        <f t="shared" si="100"/>
        <v>0</v>
      </c>
      <c r="AD487" s="98">
        <f t="shared" si="101"/>
        <v>0</v>
      </c>
      <c r="AE487" s="238" t="e">
        <f t="shared" si="102"/>
        <v>#DIV/0!</v>
      </c>
      <c r="AF487" s="125" t="e">
        <f t="shared" si="103"/>
        <v>#DIV/0!</v>
      </c>
      <c r="AG487" s="92"/>
    </row>
    <row r="488" spans="1:33" ht="14.4">
      <c r="A488" s="270"/>
      <c r="B488" s="97">
        <f t="shared" si="91"/>
        <v>31</v>
      </c>
      <c r="C488" s="325"/>
      <c r="D488" s="260"/>
      <c r="E488" s="95"/>
      <c r="G488" s="52"/>
      <c r="H488" s="52"/>
      <c r="I488" s="256"/>
      <c r="J488" s="98">
        <f t="shared" si="92"/>
        <v>0</v>
      </c>
      <c r="K488" s="118" t="e">
        <f t="shared" si="93"/>
        <v>#DIV/0!</v>
      </c>
      <c r="L488" s="15"/>
      <c r="M488" s="15"/>
      <c r="N488" s="15">
        <f t="shared" si="94"/>
        <v>0</v>
      </c>
      <c r="O488" s="70" t="e">
        <f t="shared" si="95"/>
        <v>#DIV/0!</v>
      </c>
      <c r="P488" s="70"/>
      <c r="Q488" s="70">
        <f t="shared" si="96"/>
        <v>0</v>
      </c>
      <c r="R488" s="70"/>
      <c r="S488" s="70"/>
      <c r="T488" s="70"/>
      <c r="U488" s="15"/>
      <c r="V488" s="70" t="e">
        <f t="shared" si="97"/>
        <v>#DIV/0!</v>
      </c>
      <c r="W488" s="15"/>
      <c r="X488" s="15"/>
      <c r="Y488" s="15">
        <f t="shared" si="98"/>
        <v>0</v>
      </c>
      <c r="Z488" s="52"/>
      <c r="AA488" s="98">
        <f t="shared" si="99"/>
        <v>0</v>
      </c>
      <c r="AB488" s="52"/>
      <c r="AC488" s="98">
        <f t="shared" si="100"/>
        <v>0</v>
      </c>
      <c r="AD488" s="98">
        <f t="shared" si="101"/>
        <v>0</v>
      </c>
      <c r="AE488" s="238" t="e">
        <f t="shared" si="102"/>
        <v>#DIV/0!</v>
      </c>
      <c r="AF488" s="125" t="e">
        <f t="shared" si="103"/>
        <v>#DIV/0!</v>
      </c>
      <c r="AG488" s="92"/>
    </row>
    <row r="489" spans="1:33" ht="14.4">
      <c r="A489" s="270"/>
      <c r="B489" s="97">
        <f t="shared" si="91"/>
        <v>31</v>
      </c>
      <c r="C489" s="325"/>
      <c r="D489" s="260"/>
      <c r="E489" s="95"/>
      <c r="G489" s="52"/>
      <c r="H489" s="52"/>
      <c r="I489" s="256"/>
      <c r="J489" s="98">
        <f t="shared" si="92"/>
        <v>0</v>
      </c>
      <c r="K489" s="118" t="e">
        <f t="shared" si="93"/>
        <v>#DIV/0!</v>
      </c>
      <c r="L489" s="15"/>
      <c r="M489" s="15"/>
      <c r="N489" s="15">
        <f t="shared" si="94"/>
        <v>0</v>
      </c>
      <c r="O489" s="70" t="e">
        <f t="shared" si="95"/>
        <v>#DIV/0!</v>
      </c>
      <c r="P489" s="70"/>
      <c r="Q489" s="70">
        <f t="shared" si="96"/>
        <v>0</v>
      </c>
      <c r="R489" s="70"/>
      <c r="S489" s="70"/>
      <c r="T489" s="70"/>
      <c r="U489" s="15"/>
      <c r="V489" s="70" t="e">
        <f t="shared" si="97"/>
        <v>#DIV/0!</v>
      </c>
      <c r="W489" s="15"/>
      <c r="X489" s="15"/>
      <c r="Y489" s="15">
        <f t="shared" si="98"/>
        <v>0</v>
      </c>
      <c r="Z489" s="52"/>
      <c r="AA489" s="98">
        <f t="shared" si="99"/>
        <v>0</v>
      </c>
      <c r="AB489" s="52"/>
      <c r="AC489" s="98">
        <f t="shared" si="100"/>
        <v>0</v>
      </c>
      <c r="AD489" s="98">
        <f t="shared" si="101"/>
        <v>0</v>
      </c>
      <c r="AE489" s="238" t="e">
        <f t="shared" si="102"/>
        <v>#DIV/0!</v>
      </c>
      <c r="AF489" s="125" t="e">
        <f t="shared" si="103"/>
        <v>#DIV/0!</v>
      </c>
      <c r="AG489" s="92"/>
    </row>
    <row r="490" spans="1:33" ht="14.4">
      <c r="A490" s="270"/>
      <c r="B490" s="97">
        <f t="shared" si="91"/>
        <v>31</v>
      </c>
      <c r="C490" s="325"/>
      <c r="D490" s="260"/>
      <c r="E490" s="95"/>
      <c r="G490" s="52"/>
      <c r="H490" s="52"/>
      <c r="I490" s="256"/>
      <c r="J490" s="98">
        <f t="shared" si="92"/>
        <v>0</v>
      </c>
      <c r="K490" s="118" t="e">
        <f t="shared" si="93"/>
        <v>#DIV/0!</v>
      </c>
      <c r="L490" s="15"/>
      <c r="M490" s="15"/>
      <c r="N490" s="15">
        <f t="shared" si="94"/>
        <v>0</v>
      </c>
      <c r="O490" s="70" t="e">
        <f t="shared" si="95"/>
        <v>#DIV/0!</v>
      </c>
      <c r="P490" s="70"/>
      <c r="Q490" s="70">
        <f t="shared" si="96"/>
        <v>0</v>
      </c>
      <c r="R490" s="70"/>
      <c r="S490" s="70"/>
      <c r="T490" s="70"/>
      <c r="U490" s="15"/>
      <c r="V490" s="70" t="e">
        <f t="shared" si="97"/>
        <v>#DIV/0!</v>
      </c>
      <c r="W490" s="15"/>
      <c r="X490" s="15"/>
      <c r="Y490" s="15">
        <f t="shared" si="98"/>
        <v>0</v>
      </c>
      <c r="Z490" s="52"/>
      <c r="AA490" s="98">
        <f t="shared" si="99"/>
        <v>0</v>
      </c>
      <c r="AB490" s="52"/>
      <c r="AC490" s="98">
        <f t="shared" si="100"/>
        <v>0</v>
      </c>
      <c r="AD490" s="98">
        <f t="shared" si="101"/>
        <v>0</v>
      </c>
      <c r="AE490" s="238" t="e">
        <f t="shared" si="102"/>
        <v>#DIV/0!</v>
      </c>
      <c r="AF490" s="125" t="e">
        <f t="shared" si="103"/>
        <v>#DIV/0!</v>
      </c>
      <c r="AG490" s="92"/>
    </row>
    <row r="491" spans="1:33" ht="14.4">
      <c r="A491" s="270"/>
      <c r="B491" s="97">
        <f t="shared" si="91"/>
        <v>31</v>
      </c>
      <c r="C491" s="325"/>
      <c r="D491" s="260"/>
      <c r="E491" s="95"/>
      <c r="G491" s="52"/>
      <c r="H491" s="52"/>
      <c r="I491" s="256"/>
      <c r="J491" s="98">
        <f t="shared" si="92"/>
        <v>0</v>
      </c>
      <c r="K491" s="118" t="e">
        <f t="shared" si="93"/>
        <v>#DIV/0!</v>
      </c>
      <c r="L491" s="15"/>
      <c r="M491" s="15"/>
      <c r="N491" s="15">
        <f t="shared" si="94"/>
        <v>0</v>
      </c>
      <c r="O491" s="70" t="e">
        <f t="shared" si="95"/>
        <v>#DIV/0!</v>
      </c>
      <c r="P491" s="70"/>
      <c r="Q491" s="70">
        <f t="shared" si="96"/>
        <v>0</v>
      </c>
      <c r="R491" s="70"/>
      <c r="S491" s="70"/>
      <c r="T491" s="70"/>
      <c r="U491" s="15"/>
      <c r="V491" s="70" t="e">
        <f t="shared" si="97"/>
        <v>#DIV/0!</v>
      </c>
      <c r="W491" s="15"/>
      <c r="X491" s="15"/>
      <c r="Y491" s="15">
        <f t="shared" si="98"/>
        <v>0</v>
      </c>
      <c r="Z491" s="52"/>
      <c r="AA491" s="98">
        <f t="shared" si="99"/>
        <v>0</v>
      </c>
      <c r="AB491" s="52"/>
      <c r="AC491" s="98">
        <f t="shared" si="100"/>
        <v>0</v>
      </c>
      <c r="AD491" s="98">
        <f t="shared" si="101"/>
        <v>0</v>
      </c>
      <c r="AE491" s="238" t="e">
        <f t="shared" si="102"/>
        <v>#DIV/0!</v>
      </c>
      <c r="AF491" s="125" t="e">
        <f t="shared" si="103"/>
        <v>#DIV/0!</v>
      </c>
      <c r="AG491" s="92"/>
    </row>
    <row r="492" spans="1:33" ht="14.4">
      <c r="A492" s="270"/>
      <c r="B492" s="97">
        <f t="shared" si="91"/>
        <v>31</v>
      </c>
      <c r="C492" s="325"/>
      <c r="D492" s="260"/>
      <c r="E492" s="95"/>
      <c r="G492" s="52"/>
      <c r="H492" s="52"/>
      <c r="I492" s="256"/>
      <c r="J492" s="98">
        <f t="shared" si="92"/>
        <v>0</v>
      </c>
      <c r="K492" s="118" t="e">
        <f t="shared" si="93"/>
        <v>#DIV/0!</v>
      </c>
      <c r="L492" s="15"/>
      <c r="M492" s="15"/>
      <c r="N492" s="15">
        <f t="shared" si="94"/>
        <v>0</v>
      </c>
      <c r="O492" s="70" t="e">
        <f t="shared" si="95"/>
        <v>#DIV/0!</v>
      </c>
      <c r="P492" s="70"/>
      <c r="Q492" s="70">
        <f t="shared" si="96"/>
        <v>0</v>
      </c>
      <c r="R492" s="70"/>
      <c r="S492" s="70"/>
      <c r="T492" s="70"/>
      <c r="U492" s="15"/>
      <c r="V492" s="70" t="e">
        <f t="shared" si="97"/>
        <v>#DIV/0!</v>
      </c>
      <c r="W492" s="15"/>
      <c r="X492" s="15"/>
      <c r="Y492" s="15">
        <f t="shared" si="98"/>
        <v>0</v>
      </c>
      <c r="Z492" s="52"/>
      <c r="AA492" s="98">
        <f t="shared" si="99"/>
        <v>0</v>
      </c>
      <c r="AB492" s="52"/>
      <c r="AC492" s="98">
        <f t="shared" si="100"/>
        <v>0</v>
      </c>
      <c r="AD492" s="98">
        <f t="shared" si="101"/>
        <v>0</v>
      </c>
      <c r="AE492" s="238" t="e">
        <f t="shared" si="102"/>
        <v>#DIV/0!</v>
      </c>
      <c r="AF492" s="125" t="e">
        <f t="shared" si="103"/>
        <v>#DIV/0!</v>
      </c>
      <c r="AG492" s="92"/>
    </row>
    <row r="493" spans="1:33" ht="14.4">
      <c r="A493" s="270"/>
      <c r="B493" s="97">
        <f t="shared" si="91"/>
        <v>31</v>
      </c>
      <c r="C493" s="325"/>
      <c r="D493" s="260"/>
      <c r="E493" s="95"/>
      <c r="G493" s="52"/>
      <c r="H493" s="52"/>
      <c r="I493" s="256"/>
      <c r="J493" s="98">
        <f t="shared" si="92"/>
        <v>0</v>
      </c>
      <c r="K493" s="118" t="e">
        <f t="shared" si="93"/>
        <v>#DIV/0!</v>
      </c>
      <c r="L493" s="15"/>
      <c r="M493" s="15"/>
      <c r="N493" s="15">
        <f t="shared" si="94"/>
        <v>0</v>
      </c>
      <c r="O493" s="70" t="e">
        <f t="shared" si="95"/>
        <v>#DIV/0!</v>
      </c>
      <c r="P493" s="70"/>
      <c r="Q493" s="70">
        <f t="shared" si="96"/>
        <v>0</v>
      </c>
      <c r="R493" s="70"/>
      <c r="S493" s="70"/>
      <c r="T493" s="70"/>
      <c r="U493" s="15"/>
      <c r="V493" s="70" t="e">
        <f t="shared" si="97"/>
        <v>#DIV/0!</v>
      </c>
      <c r="W493" s="15"/>
      <c r="X493" s="15"/>
      <c r="Y493" s="15">
        <f t="shared" si="98"/>
        <v>0</v>
      </c>
      <c r="Z493" s="52"/>
      <c r="AA493" s="98">
        <f t="shared" si="99"/>
        <v>0</v>
      </c>
      <c r="AB493" s="52"/>
      <c r="AC493" s="98">
        <f t="shared" si="100"/>
        <v>0</v>
      </c>
      <c r="AD493" s="98">
        <f t="shared" si="101"/>
        <v>0</v>
      </c>
      <c r="AE493" s="238" t="e">
        <f t="shared" si="102"/>
        <v>#DIV/0!</v>
      </c>
      <c r="AF493" s="125" t="e">
        <f t="shared" si="103"/>
        <v>#DIV/0!</v>
      </c>
      <c r="AG493" s="92"/>
    </row>
    <row r="494" spans="1:33" ht="14.4">
      <c r="A494" s="270"/>
      <c r="B494" s="97">
        <f t="shared" si="91"/>
        <v>31</v>
      </c>
      <c r="C494" s="325"/>
      <c r="D494" s="260"/>
      <c r="E494" s="95"/>
      <c r="G494" s="52"/>
      <c r="H494" s="52"/>
      <c r="I494" s="256"/>
      <c r="J494" s="98">
        <f t="shared" si="92"/>
        <v>0</v>
      </c>
      <c r="K494" s="118" t="e">
        <f t="shared" si="93"/>
        <v>#DIV/0!</v>
      </c>
      <c r="L494" s="15"/>
      <c r="M494" s="15"/>
      <c r="N494" s="15">
        <f t="shared" si="94"/>
        <v>0</v>
      </c>
      <c r="O494" s="70" t="e">
        <f t="shared" si="95"/>
        <v>#DIV/0!</v>
      </c>
      <c r="P494" s="70"/>
      <c r="Q494" s="70">
        <f t="shared" si="96"/>
        <v>0</v>
      </c>
      <c r="R494" s="70"/>
      <c r="S494" s="70"/>
      <c r="T494" s="70"/>
      <c r="U494" s="15"/>
      <c r="V494" s="70" t="e">
        <f t="shared" si="97"/>
        <v>#DIV/0!</v>
      </c>
      <c r="W494" s="15"/>
      <c r="X494" s="15"/>
      <c r="Y494" s="15">
        <f t="shared" si="98"/>
        <v>0</v>
      </c>
      <c r="Z494" s="52"/>
      <c r="AA494" s="98">
        <f t="shared" si="99"/>
        <v>0</v>
      </c>
      <c r="AB494" s="52"/>
      <c r="AC494" s="98">
        <f t="shared" si="100"/>
        <v>0</v>
      </c>
      <c r="AD494" s="98">
        <f t="shared" si="101"/>
        <v>0</v>
      </c>
      <c r="AE494" s="238" t="e">
        <f t="shared" si="102"/>
        <v>#DIV/0!</v>
      </c>
      <c r="AF494" s="125" t="e">
        <f t="shared" si="103"/>
        <v>#DIV/0!</v>
      </c>
      <c r="AG494" s="92"/>
    </row>
    <row r="495" spans="1:33" ht="14.4">
      <c r="A495" s="270"/>
      <c r="B495" s="97">
        <f t="shared" si="91"/>
        <v>31</v>
      </c>
      <c r="C495" s="325"/>
      <c r="D495" s="260"/>
      <c r="E495" s="95"/>
      <c r="G495" s="52"/>
      <c r="H495" s="52"/>
      <c r="I495" s="256"/>
      <c r="J495" s="98">
        <f t="shared" si="92"/>
        <v>0</v>
      </c>
      <c r="K495" s="118" t="e">
        <f t="shared" si="93"/>
        <v>#DIV/0!</v>
      </c>
      <c r="L495" s="15"/>
      <c r="M495" s="15"/>
      <c r="N495" s="15">
        <f t="shared" si="94"/>
        <v>0</v>
      </c>
      <c r="O495" s="70" t="e">
        <f t="shared" si="95"/>
        <v>#DIV/0!</v>
      </c>
      <c r="P495" s="70"/>
      <c r="Q495" s="70">
        <f t="shared" si="96"/>
        <v>0</v>
      </c>
      <c r="R495" s="70"/>
      <c r="S495" s="70"/>
      <c r="T495" s="70"/>
      <c r="U495" s="15"/>
      <c r="V495" s="70" t="e">
        <f t="shared" si="97"/>
        <v>#DIV/0!</v>
      </c>
      <c r="W495" s="15"/>
      <c r="X495" s="15"/>
      <c r="Y495" s="15">
        <f t="shared" si="98"/>
        <v>0</v>
      </c>
      <c r="Z495" s="52"/>
      <c r="AA495" s="98">
        <f t="shared" si="99"/>
        <v>0</v>
      </c>
      <c r="AB495" s="52"/>
      <c r="AC495" s="98">
        <f t="shared" si="100"/>
        <v>0</v>
      </c>
      <c r="AD495" s="98">
        <f t="shared" si="101"/>
        <v>0</v>
      </c>
      <c r="AE495" s="238" t="e">
        <f t="shared" si="102"/>
        <v>#DIV/0!</v>
      </c>
      <c r="AF495" s="125" t="e">
        <f t="shared" si="103"/>
        <v>#DIV/0!</v>
      </c>
      <c r="AG495" s="92"/>
    </row>
    <row r="496" spans="1:33" ht="14.4">
      <c r="A496" s="270"/>
      <c r="B496" s="97">
        <f t="shared" si="91"/>
        <v>31</v>
      </c>
      <c r="C496" s="325"/>
      <c r="D496" s="260"/>
      <c r="E496" s="95"/>
      <c r="G496" s="52"/>
      <c r="H496" s="52"/>
      <c r="I496" s="256"/>
      <c r="J496" s="98">
        <f t="shared" si="92"/>
        <v>0</v>
      </c>
      <c r="K496" s="118" t="e">
        <f t="shared" si="93"/>
        <v>#DIV/0!</v>
      </c>
      <c r="L496" s="15"/>
      <c r="M496" s="15"/>
      <c r="N496" s="15">
        <f t="shared" si="94"/>
        <v>0</v>
      </c>
      <c r="O496" s="70" t="e">
        <f t="shared" si="95"/>
        <v>#DIV/0!</v>
      </c>
      <c r="P496" s="70"/>
      <c r="Q496" s="70">
        <f t="shared" si="96"/>
        <v>0</v>
      </c>
      <c r="R496" s="70"/>
      <c r="S496" s="70"/>
      <c r="T496" s="70"/>
      <c r="U496" s="15"/>
      <c r="V496" s="70" t="e">
        <f t="shared" si="97"/>
        <v>#DIV/0!</v>
      </c>
      <c r="W496" s="15"/>
      <c r="X496" s="15"/>
      <c r="Y496" s="15">
        <f t="shared" si="98"/>
        <v>0</v>
      </c>
      <c r="Z496" s="52"/>
      <c r="AA496" s="98">
        <f t="shared" si="99"/>
        <v>0</v>
      </c>
      <c r="AB496" s="52"/>
      <c r="AC496" s="98">
        <f t="shared" si="100"/>
        <v>0</v>
      </c>
      <c r="AD496" s="98">
        <f t="shared" si="101"/>
        <v>0</v>
      </c>
      <c r="AE496" s="238" t="e">
        <f t="shared" si="102"/>
        <v>#DIV/0!</v>
      </c>
      <c r="AF496" s="125" t="e">
        <f t="shared" si="103"/>
        <v>#DIV/0!</v>
      </c>
      <c r="AG496" s="92"/>
    </row>
    <row r="497" spans="1:33" ht="14.4">
      <c r="A497" s="270"/>
      <c r="B497" s="97">
        <f t="shared" si="91"/>
        <v>31</v>
      </c>
      <c r="C497" s="325"/>
      <c r="D497" s="260"/>
      <c r="E497" s="95"/>
      <c r="G497" s="52"/>
      <c r="H497" s="52"/>
      <c r="I497" s="256"/>
      <c r="J497" s="98">
        <f t="shared" si="92"/>
        <v>0</v>
      </c>
      <c r="K497" s="118" t="e">
        <f t="shared" si="93"/>
        <v>#DIV/0!</v>
      </c>
      <c r="L497" s="15"/>
      <c r="M497" s="15"/>
      <c r="N497" s="15">
        <f t="shared" si="94"/>
        <v>0</v>
      </c>
      <c r="O497" s="70" t="e">
        <f t="shared" si="95"/>
        <v>#DIV/0!</v>
      </c>
      <c r="P497" s="70"/>
      <c r="Q497" s="70">
        <f t="shared" si="96"/>
        <v>0</v>
      </c>
      <c r="R497" s="70"/>
      <c r="S497" s="70"/>
      <c r="T497" s="70"/>
      <c r="U497" s="15"/>
      <c r="V497" s="70" t="e">
        <f t="shared" si="97"/>
        <v>#DIV/0!</v>
      </c>
      <c r="W497" s="15"/>
      <c r="X497" s="15"/>
      <c r="Y497" s="15">
        <f t="shared" si="98"/>
        <v>0</v>
      </c>
      <c r="Z497" s="52"/>
      <c r="AA497" s="98">
        <f t="shared" si="99"/>
        <v>0</v>
      </c>
      <c r="AB497" s="52"/>
      <c r="AC497" s="98">
        <f t="shared" si="100"/>
        <v>0</v>
      </c>
      <c r="AD497" s="98">
        <f t="shared" si="101"/>
        <v>0</v>
      </c>
      <c r="AE497" s="238" t="e">
        <f t="shared" si="102"/>
        <v>#DIV/0!</v>
      </c>
      <c r="AF497" s="125" t="e">
        <f t="shared" si="103"/>
        <v>#DIV/0!</v>
      </c>
      <c r="AG497" s="92"/>
    </row>
    <row r="498" spans="1:33" ht="14.4">
      <c r="A498" s="270"/>
      <c r="B498" s="97">
        <f t="shared" si="91"/>
        <v>31</v>
      </c>
      <c r="C498" s="325"/>
      <c r="D498" s="260"/>
      <c r="E498" s="95"/>
      <c r="G498" s="52"/>
      <c r="H498" s="52"/>
      <c r="I498" s="256"/>
      <c r="J498" s="98">
        <f t="shared" si="92"/>
        <v>0</v>
      </c>
      <c r="K498" s="118" t="e">
        <f t="shared" si="93"/>
        <v>#DIV/0!</v>
      </c>
      <c r="L498" s="15"/>
      <c r="M498" s="15"/>
      <c r="N498" s="15">
        <f t="shared" si="94"/>
        <v>0</v>
      </c>
      <c r="O498" s="70" t="e">
        <f t="shared" si="95"/>
        <v>#DIV/0!</v>
      </c>
      <c r="P498" s="70"/>
      <c r="Q498" s="70">
        <f t="shared" si="96"/>
        <v>0</v>
      </c>
      <c r="R498" s="70"/>
      <c r="S498" s="70"/>
      <c r="T498" s="70"/>
      <c r="U498" s="15"/>
      <c r="V498" s="70" t="e">
        <f t="shared" si="97"/>
        <v>#DIV/0!</v>
      </c>
      <c r="W498" s="15"/>
      <c r="X498" s="15"/>
      <c r="Y498" s="15">
        <f t="shared" si="98"/>
        <v>0</v>
      </c>
      <c r="Z498" s="52"/>
      <c r="AA498" s="98">
        <f t="shared" si="99"/>
        <v>0</v>
      </c>
      <c r="AB498" s="52"/>
      <c r="AC498" s="98">
        <f t="shared" si="100"/>
        <v>0</v>
      </c>
      <c r="AD498" s="98">
        <f t="shared" si="101"/>
        <v>0</v>
      </c>
      <c r="AE498" s="238" t="e">
        <f t="shared" si="102"/>
        <v>#DIV/0!</v>
      </c>
      <c r="AF498" s="125" t="e">
        <f t="shared" si="103"/>
        <v>#DIV/0!</v>
      </c>
      <c r="AG498" s="92"/>
    </row>
    <row r="499" spans="1:33" ht="14.4">
      <c r="A499" s="270"/>
      <c r="B499" s="97">
        <f t="shared" si="91"/>
        <v>31</v>
      </c>
      <c r="C499" s="325"/>
      <c r="D499" s="260"/>
      <c r="E499" s="95"/>
      <c r="G499" s="52"/>
      <c r="H499" s="52"/>
      <c r="I499" s="256"/>
      <c r="J499" s="98">
        <f t="shared" si="92"/>
        <v>0</v>
      </c>
      <c r="K499" s="118" t="e">
        <f t="shared" si="93"/>
        <v>#DIV/0!</v>
      </c>
      <c r="L499" s="15"/>
      <c r="M499" s="15"/>
      <c r="N499" s="15">
        <f t="shared" si="94"/>
        <v>0</v>
      </c>
      <c r="O499" s="70" t="e">
        <f t="shared" si="95"/>
        <v>#DIV/0!</v>
      </c>
      <c r="P499" s="70"/>
      <c r="Q499" s="70">
        <f t="shared" si="96"/>
        <v>0</v>
      </c>
      <c r="R499" s="70"/>
      <c r="S499" s="70"/>
      <c r="T499" s="70"/>
      <c r="U499" s="15"/>
      <c r="V499" s="70" t="e">
        <f t="shared" si="97"/>
        <v>#DIV/0!</v>
      </c>
      <c r="W499" s="15"/>
      <c r="X499" s="15"/>
      <c r="Y499" s="15">
        <f t="shared" si="98"/>
        <v>0</v>
      </c>
      <c r="Z499" s="52"/>
      <c r="AA499" s="98">
        <f t="shared" si="99"/>
        <v>0</v>
      </c>
      <c r="AB499" s="52"/>
      <c r="AC499" s="98">
        <f t="shared" si="100"/>
        <v>0</v>
      </c>
      <c r="AD499" s="98">
        <f t="shared" si="101"/>
        <v>0</v>
      </c>
      <c r="AE499" s="238" t="e">
        <f t="shared" si="102"/>
        <v>#DIV/0!</v>
      </c>
      <c r="AF499" s="125" t="e">
        <f t="shared" si="103"/>
        <v>#DIV/0!</v>
      </c>
      <c r="AG499" s="92"/>
    </row>
    <row r="500" spans="1:33" ht="14.4">
      <c r="A500" s="270"/>
      <c r="B500" s="97">
        <f t="shared" si="91"/>
        <v>31</v>
      </c>
      <c r="C500" s="325"/>
      <c r="D500" s="260"/>
      <c r="E500" s="95"/>
      <c r="G500" s="52"/>
      <c r="H500" s="52"/>
      <c r="I500" s="256"/>
      <c r="J500" s="98">
        <f t="shared" si="92"/>
        <v>0</v>
      </c>
      <c r="K500" s="118" t="e">
        <f t="shared" si="93"/>
        <v>#DIV/0!</v>
      </c>
      <c r="L500" s="15"/>
      <c r="M500" s="15"/>
      <c r="N500" s="15">
        <f t="shared" si="94"/>
        <v>0</v>
      </c>
      <c r="O500" s="70" t="e">
        <f t="shared" si="95"/>
        <v>#DIV/0!</v>
      </c>
      <c r="P500" s="70"/>
      <c r="Q500" s="70">
        <f t="shared" si="96"/>
        <v>0</v>
      </c>
      <c r="R500" s="70"/>
      <c r="S500" s="70"/>
      <c r="T500" s="70"/>
      <c r="U500" s="15"/>
      <c r="V500" s="70" t="e">
        <f t="shared" si="97"/>
        <v>#DIV/0!</v>
      </c>
      <c r="W500" s="15"/>
      <c r="X500" s="15"/>
      <c r="Y500" s="15">
        <f t="shared" si="98"/>
        <v>0</v>
      </c>
      <c r="Z500" s="52"/>
      <c r="AA500" s="98">
        <f t="shared" si="99"/>
        <v>0</v>
      </c>
      <c r="AB500" s="52"/>
      <c r="AC500" s="98">
        <f t="shared" si="100"/>
        <v>0</v>
      </c>
      <c r="AD500" s="98">
        <f t="shared" si="101"/>
        <v>0</v>
      </c>
      <c r="AE500" s="238" t="e">
        <f t="shared" si="102"/>
        <v>#DIV/0!</v>
      </c>
      <c r="AF500" s="125" t="e">
        <f t="shared" si="103"/>
        <v>#DIV/0!</v>
      </c>
      <c r="AG500" s="92"/>
    </row>
    <row r="501" spans="1:33" ht="14.4">
      <c r="A501" s="270"/>
      <c r="B501" s="97">
        <f t="shared" si="91"/>
        <v>31</v>
      </c>
      <c r="C501" s="325"/>
      <c r="D501" s="260"/>
      <c r="E501" s="95"/>
      <c r="G501" s="52"/>
      <c r="H501" s="52"/>
      <c r="I501" s="256"/>
      <c r="J501" s="98">
        <f t="shared" si="92"/>
        <v>0</v>
      </c>
      <c r="K501" s="118" t="e">
        <f t="shared" si="93"/>
        <v>#DIV/0!</v>
      </c>
      <c r="L501" s="15"/>
      <c r="M501" s="15"/>
      <c r="N501" s="15">
        <f t="shared" si="94"/>
        <v>0</v>
      </c>
      <c r="O501" s="70" t="e">
        <f t="shared" si="95"/>
        <v>#DIV/0!</v>
      </c>
      <c r="P501" s="70"/>
      <c r="Q501" s="70">
        <f t="shared" si="96"/>
        <v>0</v>
      </c>
      <c r="R501" s="70"/>
      <c r="S501" s="70"/>
      <c r="T501" s="70"/>
      <c r="U501" s="15"/>
      <c r="V501" s="70" t="e">
        <f t="shared" si="97"/>
        <v>#DIV/0!</v>
      </c>
      <c r="W501" s="15"/>
      <c r="X501" s="15"/>
      <c r="Y501" s="15">
        <f t="shared" si="98"/>
        <v>0</v>
      </c>
      <c r="Z501" s="52"/>
      <c r="AA501" s="98">
        <f t="shared" si="99"/>
        <v>0</v>
      </c>
      <c r="AB501" s="52"/>
      <c r="AC501" s="98">
        <f t="shared" si="100"/>
        <v>0</v>
      </c>
      <c r="AD501" s="98">
        <f t="shared" si="101"/>
        <v>0</v>
      </c>
      <c r="AE501" s="238" t="e">
        <f t="shared" si="102"/>
        <v>#DIV/0!</v>
      </c>
      <c r="AF501" s="125" t="e">
        <f t="shared" si="103"/>
        <v>#DIV/0!</v>
      </c>
      <c r="AG501" s="92"/>
    </row>
    <row r="502" spans="1:33" ht="14.4">
      <c r="A502" s="270"/>
      <c r="B502" s="97">
        <f t="shared" si="91"/>
        <v>31</v>
      </c>
      <c r="C502" s="325"/>
      <c r="D502" s="260"/>
      <c r="E502" s="95"/>
      <c r="G502" s="52"/>
      <c r="H502" s="52"/>
      <c r="I502" s="256"/>
      <c r="J502" s="98">
        <f t="shared" si="92"/>
        <v>0</v>
      </c>
      <c r="K502" s="118" t="e">
        <f t="shared" si="93"/>
        <v>#DIV/0!</v>
      </c>
      <c r="L502" s="15"/>
      <c r="M502" s="15"/>
      <c r="N502" s="15">
        <f t="shared" si="94"/>
        <v>0</v>
      </c>
      <c r="O502" s="70" t="e">
        <f t="shared" si="95"/>
        <v>#DIV/0!</v>
      </c>
      <c r="P502" s="70"/>
      <c r="Q502" s="70">
        <f t="shared" si="96"/>
        <v>0</v>
      </c>
      <c r="R502" s="70"/>
      <c r="S502" s="70"/>
      <c r="T502" s="70"/>
      <c r="U502" s="15"/>
      <c r="V502" s="70" t="e">
        <f t="shared" si="97"/>
        <v>#DIV/0!</v>
      </c>
      <c r="W502" s="15"/>
      <c r="X502" s="15"/>
      <c r="Y502" s="15">
        <f t="shared" si="98"/>
        <v>0</v>
      </c>
      <c r="Z502" s="52"/>
      <c r="AA502" s="98">
        <f t="shared" si="99"/>
        <v>0</v>
      </c>
      <c r="AB502" s="52"/>
      <c r="AC502" s="98">
        <f t="shared" si="100"/>
        <v>0</v>
      </c>
      <c r="AD502" s="98">
        <f t="shared" si="101"/>
        <v>0</v>
      </c>
      <c r="AE502" s="238" t="e">
        <f t="shared" si="102"/>
        <v>#DIV/0!</v>
      </c>
      <c r="AF502" s="125" t="e">
        <f t="shared" si="103"/>
        <v>#DIV/0!</v>
      </c>
      <c r="AG502" s="92"/>
    </row>
    <row r="503" spans="1:33" ht="14.4">
      <c r="A503" s="270"/>
      <c r="B503" s="97">
        <f t="shared" si="91"/>
        <v>31</v>
      </c>
      <c r="C503" s="325"/>
      <c r="D503" s="260"/>
      <c r="E503" s="95"/>
      <c r="G503" s="52"/>
      <c r="H503" s="52"/>
      <c r="I503" s="256"/>
      <c r="J503" s="98">
        <f t="shared" si="92"/>
        <v>0</v>
      </c>
      <c r="K503" s="118" t="e">
        <f t="shared" si="93"/>
        <v>#DIV/0!</v>
      </c>
      <c r="L503" s="15"/>
      <c r="M503" s="15"/>
      <c r="N503" s="15">
        <f t="shared" si="94"/>
        <v>0</v>
      </c>
      <c r="O503" s="70" t="e">
        <f t="shared" si="95"/>
        <v>#DIV/0!</v>
      </c>
      <c r="P503" s="70"/>
      <c r="Q503" s="70">
        <f t="shared" si="96"/>
        <v>0</v>
      </c>
      <c r="R503" s="70"/>
      <c r="S503" s="70"/>
      <c r="T503" s="70"/>
      <c r="U503" s="15"/>
      <c r="V503" s="70" t="e">
        <f t="shared" si="97"/>
        <v>#DIV/0!</v>
      </c>
      <c r="W503" s="15"/>
      <c r="X503" s="15"/>
      <c r="Y503" s="15">
        <f t="shared" si="98"/>
        <v>0</v>
      </c>
      <c r="Z503" s="52"/>
      <c r="AA503" s="98">
        <f t="shared" si="99"/>
        <v>0</v>
      </c>
      <c r="AB503" s="52"/>
      <c r="AC503" s="98">
        <f t="shared" si="100"/>
        <v>0</v>
      </c>
      <c r="AD503" s="98">
        <f t="shared" si="101"/>
        <v>0</v>
      </c>
      <c r="AE503" s="238" t="e">
        <f t="shared" si="102"/>
        <v>#DIV/0!</v>
      </c>
      <c r="AF503" s="125" t="e">
        <f t="shared" si="103"/>
        <v>#DIV/0!</v>
      </c>
      <c r="AG503" s="92"/>
    </row>
    <row r="504" spans="1:33" ht="14.4">
      <c r="A504" s="270"/>
      <c r="B504" s="97">
        <f t="shared" si="91"/>
        <v>31</v>
      </c>
      <c r="C504" s="325"/>
      <c r="D504" s="260"/>
      <c r="E504" s="95"/>
      <c r="G504" s="52"/>
      <c r="H504" s="52"/>
      <c r="I504" s="256"/>
      <c r="J504" s="98">
        <f t="shared" si="92"/>
        <v>0</v>
      </c>
      <c r="K504" s="118" t="e">
        <f t="shared" si="93"/>
        <v>#DIV/0!</v>
      </c>
      <c r="L504" s="15"/>
      <c r="M504" s="15"/>
      <c r="N504" s="15">
        <f t="shared" si="94"/>
        <v>0</v>
      </c>
      <c r="O504" s="70" t="e">
        <f t="shared" si="95"/>
        <v>#DIV/0!</v>
      </c>
      <c r="P504" s="70"/>
      <c r="Q504" s="70">
        <f t="shared" si="96"/>
        <v>0</v>
      </c>
      <c r="R504" s="70"/>
      <c r="S504" s="70"/>
      <c r="T504" s="70"/>
      <c r="U504" s="15"/>
      <c r="V504" s="70" t="e">
        <f t="shared" si="97"/>
        <v>#DIV/0!</v>
      </c>
      <c r="W504" s="15"/>
      <c r="X504" s="15"/>
      <c r="Y504" s="15">
        <f t="shared" si="98"/>
        <v>0</v>
      </c>
      <c r="Z504" s="52"/>
      <c r="AA504" s="98">
        <f t="shared" si="99"/>
        <v>0</v>
      </c>
      <c r="AB504" s="52"/>
      <c r="AC504" s="98">
        <f t="shared" si="100"/>
        <v>0</v>
      </c>
      <c r="AD504" s="98">
        <f t="shared" si="101"/>
        <v>0</v>
      </c>
      <c r="AE504" s="238" t="e">
        <f t="shared" si="102"/>
        <v>#DIV/0!</v>
      </c>
      <c r="AF504" s="125" t="e">
        <f t="shared" si="103"/>
        <v>#DIV/0!</v>
      </c>
      <c r="AG504" s="92"/>
    </row>
    <row r="505" spans="1:33" ht="14.4">
      <c r="A505" s="270"/>
      <c r="B505" s="97">
        <f t="shared" si="91"/>
        <v>31</v>
      </c>
      <c r="C505" s="325"/>
      <c r="D505" s="260"/>
      <c r="E505" s="95"/>
      <c r="G505" s="52"/>
      <c r="H505" s="52"/>
      <c r="I505" s="256"/>
      <c r="J505" s="98">
        <f t="shared" si="92"/>
        <v>0</v>
      </c>
      <c r="K505" s="118" t="e">
        <f t="shared" si="93"/>
        <v>#DIV/0!</v>
      </c>
      <c r="L505" s="15"/>
      <c r="M505" s="15"/>
      <c r="N505" s="15">
        <f t="shared" si="94"/>
        <v>0</v>
      </c>
      <c r="O505" s="70" t="e">
        <f t="shared" si="95"/>
        <v>#DIV/0!</v>
      </c>
      <c r="P505" s="70"/>
      <c r="Q505" s="70">
        <f t="shared" si="96"/>
        <v>0</v>
      </c>
      <c r="R505" s="70"/>
      <c r="S505" s="70"/>
      <c r="T505" s="70"/>
      <c r="U505" s="15"/>
      <c r="V505" s="70" t="e">
        <f t="shared" si="97"/>
        <v>#DIV/0!</v>
      </c>
      <c r="W505" s="15"/>
      <c r="X505" s="15"/>
      <c r="Y505" s="15">
        <f t="shared" si="98"/>
        <v>0</v>
      </c>
      <c r="Z505" s="52"/>
      <c r="AA505" s="98">
        <f t="shared" si="99"/>
        <v>0</v>
      </c>
      <c r="AB505" s="52"/>
      <c r="AC505" s="98">
        <f t="shared" si="100"/>
        <v>0</v>
      </c>
      <c r="AD505" s="98">
        <f t="shared" si="101"/>
        <v>0</v>
      </c>
      <c r="AE505" s="238" t="e">
        <f t="shared" si="102"/>
        <v>#DIV/0!</v>
      </c>
      <c r="AF505" s="125" t="e">
        <f t="shared" si="103"/>
        <v>#DIV/0!</v>
      </c>
      <c r="AG505" s="92"/>
    </row>
    <row r="506" spans="1:33" ht="14.4">
      <c r="A506" s="270"/>
      <c r="B506" s="97">
        <f t="shared" si="91"/>
        <v>31</v>
      </c>
      <c r="C506" s="325"/>
      <c r="D506" s="260"/>
      <c r="E506" s="95"/>
      <c r="G506" s="52"/>
      <c r="H506" s="52"/>
      <c r="I506" s="256"/>
      <c r="J506" s="98">
        <f t="shared" si="92"/>
        <v>0</v>
      </c>
      <c r="K506" s="118" t="e">
        <f t="shared" si="93"/>
        <v>#DIV/0!</v>
      </c>
      <c r="L506" s="15"/>
      <c r="M506" s="15"/>
      <c r="N506" s="15">
        <f t="shared" si="94"/>
        <v>0</v>
      </c>
      <c r="O506" s="70" t="e">
        <f t="shared" si="95"/>
        <v>#DIV/0!</v>
      </c>
      <c r="P506" s="70"/>
      <c r="Q506" s="70">
        <f t="shared" si="96"/>
        <v>0</v>
      </c>
      <c r="R506" s="70"/>
      <c r="S506" s="70"/>
      <c r="T506" s="70"/>
      <c r="U506" s="15"/>
      <c r="V506" s="70" t="e">
        <f t="shared" si="97"/>
        <v>#DIV/0!</v>
      </c>
      <c r="W506" s="15"/>
      <c r="X506" s="15"/>
      <c r="Y506" s="15">
        <f t="shared" si="98"/>
        <v>0</v>
      </c>
      <c r="Z506" s="52"/>
      <c r="AA506" s="98">
        <f t="shared" si="99"/>
        <v>0</v>
      </c>
      <c r="AB506" s="52"/>
      <c r="AC506" s="98">
        <f t="shared" si="100"/>
        <v>0</v>
      </c>
      <c r="AD506" s="98">
        <f t="shared" si="101"/>
        <v>0</v>
      </c>
      <c r="AE506" s="238" t="e">
        <f t="shared" si="102"/>
        <v>#DIV/0!</v>
      </c>
      <c r="AF506" s="125" t="e">
        <f t="shared" si="103"/>
        <v>#DIV/0!</v>
      </c>
      <c r="AG506" s="92"/>
    </row>
    <row r="507" spans="1:33" ht="14.4">
      <c r="A507" s="270"/>
      <c r="B507" s="97">
        <f t="shared" si="91"/>
        <v>31</v>
      </c>
      <c r="C507" s="325"/>
      <c r="D507" s="260"/>
      <c r="E507" s="95"/>
      <c r="G507" s="52"/>
      <c r="H507" s="52"/>
      <c r="I507" s="256"/>
      <c r="J507" s="98">
        <f t="shared" si="92"/>
        <v>0</v>
      </c>
      <c r="K507" s="118" t="e">
        <f t="shared" si="93"/>
        <v>#DIV/0!</v>
      </c>
      <c r="L507" s="15"/>
      <c r="M507" s="15"/>
      <c r="N507" s="15">
        <f t="shared" si="94"/>
        <v>0</v>
      </c>
      <c r="O507" s="70" t="e">
        <f t="shared" si="95"/>
        <v>#DIV/0!</v>
      </c>
      <c r="P507" s="70"/>
      <c r="Q507" s="70">
        <f t="shared" si="96"/>
        <v>0</v>
      </c>
      <c r="R507" s="70"/>
      <c r="S507" s="70"/>
      <c r="T507" s="70"/>
      <c r="U507" s="15"/>
      <c r="V507" s="70" t="e">
        <f t="shared" si="97"/>
        <v>#DIV/0!</v>
      </c>
      <c r="W507" s="15"/>
      <c r="X507" s="15"/>
      <c r="Y507" s="15">
        <f t="shared" si="98"/>
        <v>0</v>
      </c>
      <c r="Z507" s="52"/>
      <c r="AA507" s="98">
        <f t="shared" si="99"/>
        <v>0</v>
      </c>
      <c r="AB507" s="52"/>
      <c r="AC507" s="98">
        <f t="shared" si="100"/>
        <v>0</v>
      </c>
      <c r="AD507" s="98">
        <f t="shared" si="101"/>
        <v>0</v>
      </c>
      <c r="AE507" s="238" t="e">
        <f t="shared" si="102"/>
        <v>#DIV/0!</v>
      </c>
      <c r="AF507" s="125" t="e">
        <f t="shared" si="103"/>
        <v>#DIV/0!</v>
      </c>
      <c r="AG507" s="92"/>
    </row>
    <row r="508" spans="1:33" ht="14.4">
      <c r="A508" s="270"/>
      <c r="B508" s="97">
        <f t="shared" si="91"/>
        <v>31</v>
      </c>
      <c r="C508" s="325"/>
      <c r="D508" s="260"/>
      <c r="E508" s="95"/>
      <c r="G508" s="52"/>
      <c r="H508" s="52"/>
      <c r="I508" s="256"/>
      <c r="J508" s="98">
        <f t="shared" si="92"/>
        <v>0</v>
      </c>
      <c r="K508" s="118" t="e">
        <f t="shared" si="93"/>
        <v>#DIV/0!</v>
      </c>
      <c r="L508" s="15"/>
      <c r="M508" s="15"/>
      <c r="N508" s="15">
        <f t="shared" si="94"/>
        <v>0</v>
      </c>
      <c r="O508" s="70" t="e">
        <f t="shared" si="95"/>
        <v>#DIV/0!</v>
      </c>
      <c r="P508" s="70"/>
      <c r="Q508" s="70">
        <f t="shared" si="96"/>
        <v>0</v>
      </c>
      <c r="R508" s="70"/>
      <c r="S508" s="70"/>
      <c r="T508" s="70"/>
      <c r="U508" s="15"/>
      <c r="V508" s="70" t="e">
        <f t="shared" si="97"/>
        <v>#DIV/0!</v>
      </c>
      <c r="W508" s="15"/>
      <c r="X508" s="15"/>
      <c r="Y508" s="15">
        <f t="shared" si="98"/>
        <v>0</v>
      </c>
      <c r="Z508" s="52"/>
      <c r="AA508" s="98">
        <f t="shared" si="99"/>
        <v>0</v>
      </c>
      <c r="AB508" s="52"/>
      <c r="AC508" s="98">
        <f t="shared" si="100"/>
        <v>0</v>
      </c>
      <c r="AD508" s="98">
        <f t="shared" si="101"/>
        <v>0</v>
      </c>
      <c r="AE508" s="238" t="e">
        <f t="shared" si="102"/>
        <v>#DIV/0!</v>
      </c>
      <c r="AF508" s="125" t="e">
        <f t="shared" si="103"/>
        <v>#DIV/0!</v>
      </c>
      <c r="AG508" s="92"/>
    </row>
    <row r="509" spans="1:33" ht="14.4">
      <c r="A509" s="270"/>
      <c r="B509" s="97">
        <f t="shared" si="91"/>
        <v>31</v>
      </c>
      <c r="C509" s="325"/>
      <c r="D509" s="260"/>
      <c r="E509" s="95"/>
      <c r="G509" s="52"/>
      <c r="H509" s="52"/>
      <c r="I509" s="256"/>
      <c r="J509" s="98">
        <f t="shared" si="92"/>
        <v>0</v>
      </c>
      <c r="K509" s="118" t="e">
        <f t="shared" si="93"/>
        <v>#DIV/0!</v>
      </c>
      <c r="L509" s="15"/>
      <c r="M509" s="15"/>
      <c r="N509" s="15">
        <f t="shared" si="94"/>
        <v>0</v>
      </c>
      <c r="O509" s="70" t="e">
        <f t="shared" si="95"/>
        <v>#DIV/0!</v>
      </c>
      <c r="P509" s="70"/>
      <c r="Q509" s="70">
        <f t="shared" si="96"/>
        <v>0</v>
      </c>
      <c r="R509" s="70"/>
      <c r="S509" s="70"/>
      <c r="T509" s="70"/>
      <c r="U509" s="15"/>
      <c r="V509" s="70" t="e">
        <f t="shared" si="97"/>
        <v>#DIV/0!</v>
      </c>
      <c r="W509" s="15"/>
      <c r="X509" s="15"/>
      <c r="Y509" s="15">
        <f t="shared" si="98"/>
        <v>0</v>
      </c>
      <c r="Z509" s="52"/>
      <c r="AA509" s="98">
        <f t="shared" si="99"/>
        <v>0</v>
      </c>
      <c r="AB509" s="52"/>
      <c r="AC509" s="98">
        <f t="shared" si="100"/>
        <v>0</v>
      </c>
      <c r="AD509" s="98">
        <f t="shared" si="101"/>
        <v>0</v>
      </c>
      <c r="AE509" s="238" t="e">
        <f t="shared" si="102"/>
        <v>#DIV/0!</v>
      </c>
      <c r="AF509" s="125" t="e">
        <f t="shared" si="103"/>
        <v>#DIV/0!</v>
      </c>
      <c r="AG509" s="92"/>
    </row>
    <row r="510" spans="1:33" ht="14.4">
      <c r="A510" s="270"/>
      <c r="B510" s="97">
        <f t="shared" si="91"/>
        <v>31</v>
      </c>
      <c r="C510" s="325"/>
      <c r="D510" s="260"/>
      <c r="E510" s="95"/>
      <c r="G510" s="52"/>
      <c r="H510" s="52"/>
      <c r="I510" s="256"/>
      <c r="J510" s="98">
        <f t="shared" si="92"/>
        <v>0</v>
      </c>
      <c r="K510" s="118" t="e">
        <f t="shared" si="93"/>
        <v>#DIV/0!</v>
      </c>
      <c r="L510" s="15"/>
      <c r="M510" s="15"/>
      <c r="N510" s="15">
        <f t="shared" si="94"/>
        <v>0</v>
      </c>
      <c r="O510" s="70" t="e">
        <f t="shared" si="95"/>
        <v>#DIV/0!</v>
      </c>
      <c r="P510" s="70"/>
      <c r="Q510" s="70">
        <f t="shared" si="96"/>
        <v>0</v>
      </c>
      <c r="R510" s="70"/>
      <c r="S510" s="70"/>
      <c r="T510" s="70"/>
      <c r="U510" s="15"/>
      <c r="V510" s="70" t="e">
        <f t="shared" si="97"/>
        <v>#DIV/0!</v>
      </c>
      <c r="W510" s="15"/>
      <c r="X510" s="15"/>
      <c r="Y510" s="15">
        <f t="shared" si="98"/>
        <v>0</v>
      </c>
      <c r="Z510" s="52"/>
      <c r="AA510" s="98">
        <f t="shared" si="99"/>
        <v>0</v>
      </c>
      <c r="AB510" s="52"/>
      <c r="AC510" s="98">
        <f t="shared" si="100"/>
        <v>0</v>
      </c>
      <c r="AD510" s="98">
        <f t="shared" si="101"/>
        <v>0</v>
      </c>
      <c r="AE510" s="238" t="e">
        <f t="shared" si="102"/>
        <v>#DIV/0!</v>
      </c>
      <c r="AF510" s="125" t="e">
        <f t="shared" si="103"/>
        <v>#DIV/0!</v>
      </c>
      <c r="AG510" s="92"/>
    </row>
    <row r="511" spans="1:33" ht="14.4">
      <c r="A511" s="270"/>
      <c r="B511" s="97">
        <f t="shared" si="91"/>
        <v>31</v>
      </c>
      <c r="C511" s="325"/>
      <c r="D511" s="260"/>
      <c r="E511" s="95"/>
      <c r="G511" s="52"/>
      <c r="H511" s="52"/>
      <c r="I511" s="256"/>
      <c r="J511" s="98">
        <f t="shared" si="92"/>
        <v>0</v>
      </c>
      <c r="K511" s="118" t="e">
        <f t="shared" si="93"/>
        <v>#DIV/0!</v>
      </c>
      <c r="L511" s="15"/>
      <c r="M511" s="15"/>
      <c r="N511" s="15">
        <f t="shared" si="94"/>
        <v>0</v>
      </c>
      <c r="O511" s="70" t="e">
        <f t="shared" si="95"/>
        <v>#DIV/0!</v>
      </c>
      <c r="P511" s="70"/>
      <c r="Q511" s="70">
        <f t="shared" si="96"/>
        <v>0</v>
      </c>
      <c r="R511" s="70"/>
      <c r="S511" s="70"/>
      <c r="T511" s="70"/>
      <c r="U511" s="15"/>
      <c r="V511" s="70" t="e">
        <f t="shared" si="97"/>
        <v>#DIV/0!</v>
      </c>
      <c r="W511" s="15"/>
      <c r="X511" s="15"/>
      <c r="Y511" s="15">
        <f t="shared" si="98"/>
        <v>0</v>
      </c>
      <c r="Z511" s="52"/>
      <c r="AA511" s="98">
        <f t="shared" si="99"/>
        <v>0</v>
      </c>
      <c r="AB511" s="52"/>
      <c r="AC511" s="98">
        <f t="shared" si="100"/>
        <v>0</v>
      </c>
      <c r="AD511" s="98">
        <f t="shared" si="101"/>
        <v>0</v>
      </c>
      <c r="AE511" s="238" t="e">
        <f t="shared" si="102"/>
        <v>#DIV/0!</v>
      </c>
      <c r="AF511" s="125" t="e">
        <f t="shared" si="103"/>
        <v>#DIV/0!</v>
      </c>
      <c r="AG511" s="92"/>
    </row>
    <row r="512" spans="1:33" ht="14.4">
      <c r="A512" s="270"/>
      <c r="B512" s="97">
        <f t="shared" si="91"/>
        <v>31</v>
      </c>
      <c r="C512" s="325"/>
      <c r="D512" s="260"/>
      <c r="E512" s="95"/>
      <c r="G512" s="52"/>
      <c r="H512" s="52"/>
      <c r="I512" s="256"/>
      <c r="J512" s="98">
        <f t="shared" si="92"/>
        <v>0</v>
      </c>
      <c r="K512" s="118" t="e">
        <f t="shared" si="93"/>
        <v>#DIV/0!</v>
      </c>
      <c r="L512" s="15"/>
      <c r="M512" s="15"/>
      <c r="N512" s="15">
        <f t="shared" si="94"/>
        <v>0</v>
      </c>
      <c r="O512" s="70" t="e">
        <f t="shared" si="95"/>
        <v>#DIV/0!</v>
      </c>
      <c r="P512" s="70"/>
      <c r="Q512" s="70">
        <f t="shared" si="96"/>
        <v>0</v>
      </c>
      <c r="R512" s="70"/>
      <c r="S512" s="70"/>
      <c r="T512" s="70"/>
      <c r="U512" s="15"/>
      <c r="V512" s="70" t="e">
        <f t="shared" si="97"/>
        <v>#DIV/0!</v>
      </c>
      <c r="W512" s="15"/>
      <c r="X512" s="15"/>
      <c r="Y512" s="15">
        <f t="shared" si="98"/>
        <v>0</v>
      </c>
      <c r="Z512" s="52"/>
      <c r="AA512" s="98">
        <f t="shared" si="99"/>
        <v>0</v>
      </c>
      <c r="AB512" s="52"/>
      <c r="AC512" s="98">
        <f t="shared" si="100"/>
        <v>0</v>
      </c>
      <c r="AD512" s="98">
        <f t="shared" si="101"/>
        <v>0</v>
      </c>
      <c r="AE512" s="238" t="e">
        <f t="shared" si="102"/>
        <v>#DIV/0!</v>
      </c>
      <c r="AF512" s="125" t="e">
        <f t="shared" si="103"/>
        <v>#DIV/0!</v>
      </c>
      <c r="AG512" s="92"/>
    </row>
    <row r="513" spans="1:33" ht="14.4">
      <c r="A513" s="270"/>
      <c r="B513" s="97">
        <f t="shared" si="91"/>
        <v>31</v>
      </c>
      <c r="C513" s="325"/>
      <c r="D513" s="260"/>
      <c r="E513" s="95"/>
      <c r="G513" s="52"/>
      <c r="H513" s="52"/>
      <c r="I513" s="256"/>
      <c r="J513" s="98">
        <f t="shared" si="92"/>
        <v>0</v>
      </c>
      <c r="K513" s="118" t="e">
        <f t="shared" si="93"/>
        <v>#DIV/0!</v>
      </c>
      <c r="L513" s="15"/>
      <c r="M513" s="15"/>
      <c r="N513" s="15">
        <f t="shared" si="94"/>
        <v>0</v>
      </c>
      <c r="O513" s="70" t="e">
        <f t="shared" si="95"/>
        <v>#DIV/0!</v>
      </c>
      <c r="P513" s="70"/>
      <c r="Q513" s="70">
        <f t="shared" si="96"/>
        <v>0</v>
      </c>
      <c r="R513" s="70"/>
      <c r="S513" s="70"/>
      <c r="T513" s="70"/>
      <c r="U513" s="15"/>
      <c r="V513" s="70" t="e">
        <f t="shared" si="97"/>
        <v>#DIV/0!</v>
      </c>
      <c r="W513" s="15"/>
      <c r="X513" s="15"/>
      <c r="Y513" s="15">
        <f t="shared" si="98"/>
        <v>0</v>
      </c>
      <c r="Z513" s="52"/>
      <c r="AA513" s="98">
        <f t="shared" si="99"/>
        <v>0</v>
      </c>
      <c r="AB513" s="52"/>
      <c r="AC513" s="98">
        <f t="shared" si="100"/>
        <v>0</v>
      </c>
      <c r="AD513" s="98">
        <f t="shared" si="101"/>
        <v>0</v>
      </c>
      <c r="AE513" s="238" t="e">
        <f t="shared" si="102"/>
        <v>#DIV/0!</v>
      </c>
      <c r="AF513" s="125" t="e">
        <f t="shared" si="103"/>
        <v>#DIV/0!</v>
      </c>
      <c r="AG513" s="92"/>
    </row>
    <row r="514" spans="1:33" ht="14.4">
      <c r="A514" s="270"/>
      <c r="B514" s="97">
        <f t="shared" si="91"/>
        <v>31</v>
      </c>
      <c r="C514" s="325"/>
      <c r="D514" s="260"/>
      <c r="E514" s="95"/>
      <c r="G514" s="52"/>
      <c r="H514" s="52"/>
      <c r="I514" s="256"/>
      <c r="J514" s="98">
        <f t="shared" si="92"/>
        <v>0</v>
      </c>
      <c r="K514" s="118" t="e">
        <f t="shared" si="93"/>
        <v>#DIV/0!</v>
      </c>
      <c r="L514" s="15"/>
      <c r="M514" s="15"/>
      <c r="N514" s="15">
        <f t="shared" si="94"/>
        <v>0</v>
      </c>
      <c r="O514" s="70" t="e">
        <f t="shared" si="95"/>
        <v>#DIV/0!</v>
      </c>
      <c r="P514" s="70"/>
      <c r="Q514" s="70">
        <f t="shared" si="96"/>
        <v>0</v>
      </c>
      <c r="R514" s="70"/>
      <c r="S514" s="70"/>
      <c r="T514" s="70"/>
      <c r="U514" s="15"/>
      <c r="V514" s="70" t="e">
        <f t="shared" si="97"/>
        <v>#DIV/0!</v>
      </c>
      <c r="W514" s="15"/>
      <c r="X514" s="15"/>
      <c r="Y514" s="15">
        <f t="shared" si="98"/>
        <v>0</v>
      </c>
      <c r="Z514" s="52"/>
      <c r="AA514" s="98">
        <f t="shared" si="99"/>
        <v>0</v>
      </c>
      <c r="AB514" s="52"/>
      <c r="AC514" s="98">
        <f t="shared" si="100"/>
        <v>0</v>
      </c>
      <c r="AD514" s="98">
        <f t="shared" si="101"/>
        <v>0</v>
      </c>
      <c r="AE514" s="238" t="e">
        <f t="shared" si="102"/>
        <v>#DIV/0!</v>
      </c>
      <c r="AF514" s="125" t="e">
        <f t="shared" si="103"/>
        <v>#DIV/0!</v>
      </c>
      <c r="AG514" s="92"/>
    </row>
    <row r="515" spans="1:33" ht="14.4">
      <c r="A515" s="270"/>
      <c r="B515" s="97">
        <f t="shared" si="91"/>
        <v>31</v>
      </c>
      <c r="C515" s="325"/>
      <c r="D515" s="260"/>
      <c r="E515" s="95"/>
      <c r="G515" s="52"/>
      <c r="H515" s="52"/>
      <c r="I515" s="256"/>
      <c r="J515" s="98">
        <f t="shared" si="92"/>
        <v>0</v>
      </c>
      <c r="K515" s="118" t="e">
        <f t="shared" si="93"/>
        <v>#DIV/0!</v>
      </c>
      <c r="L515" s="15"/>
      <c r="M515" s="15"/>
      <c r="N515" s="15">
        <f t="shared" si="94"/>
        <v>0</v>
      </c>
      <c r="O515" s="70" t="e">
        <f t="shared" si="95"/>
        <v>#DIV/0!</v>
      </c>
      <c r="P515" s="70"/>
      <c r="Q515" s="70">
        <f t="shared" si="96"/>
        <v>0</v>
      </c>
      <c r="R515" s="70"/>
      <c r="S515" s="70"/>
      <c r="T515" s="70"/>
      <c r="U515" s="15"/>
      <c r="V515" s="70" t="e">
        <f t="shared" si="97"/>
        <v>#DIV/0!</v>
      </c>
      <c r="W515" s="15"/>
      <c r="X515" s="15"/>
      <c r="Y515" s="15">
        <f t="shared" si="98"/>
        <v>0</v>
      </c>
      <c r="Z515" s="52"/>
      <c r="AA515" s="98">
        <f t="shared" si="99"/>
        <v>0</v>
      </c>
      <c r="AB515" s="52"/>
      <c r="AC515" s="98">
        <f t="shared" si="100"/>
        <v>0</v>
      </c>
      <c r="AD515" s="98">
        <f t="shared" si="101"/>
        <v>0</v>
      </c>
      <c r="AE515" s="238" t="e">
        <f t="shared" si="102"/>
        <v>#DIV/0!</v>
      </c>
      <c r="AF515" s="125" t="e">
        <f t="shared" si="103"/>
        <v>#DIV/0!</v>
      </c>
      <c r="AG515" s="92"/>
    </row>
    <row r="516" spans="1:33" ht="14.4">
      <c r="A516" s="270"/>
      <c r="B516" s="97">
        <f t="shared" si="91"/>
        <v>31</v>
      </c>
      <c r="C516" s="325"/>
      <c r="D516" s="260"/>
      <c r="E516" s="95"/>
      <c r="G516" s="52"/>
      <c r="H516" s="52"/>
      <c r="I516" s="256"/>
      <c r="J516" s="98">
        <f t="shared" si="92"/>
        <v>0</v>
      </c>
      <c r="K516" s="118" t="e">
        <f t="shared" si="93"/>
        <v>#DIV/0!</v>
      </c>
      <c r="L516" s="15"/>
      <c r="M516" s="15"/>
      <c r="N516" s="15">
        <f t="shared" si="94"/>
        <v>0</v>
      </c>
      <c r="O516" s="70" t="e">
        <f t="shared" si="95"/>
        <v>#DIV/0!</v>
      </c>
      <c r="P516" s="70"/>
      <c r="Q516" s="70">
        <f t="shared" si="96"/>
        <v>0</v>
      </c>
      <c r="R516" s="70"/>
      <c r="S516" s="70"/>
      <c r="T516" s="70"/>
      <c r="U516" s="15"/>
      <c r="V516" s="70" t="e">
        <f t="shared" si="97"/>
        <v>#DIV/0!</v>
      </c>
      <c r="W516" s="15"/>
      <c r="X516" s="15"/>
      <c r="Y516" s="15">
        <f t="shared" si="98"/>
        <v>0</v>
      </c>
      <c r="Z516" s="52"/>
      <c r="AA516" s="98">
        <f t="shared" si="99"/>
        <v>0</v>
      </c>
      <c r="AB516" s="52"/>
      <c r="AC516" s="98">
        <f t="shared" si="100"/>
        <v>0</v>
      </c>
      <c r="AD516" s="98">
        <f t="shared" si="101"/>
        <v>0</v>
      </c>
      <c r="AE516" s="238" t="e">
        <f t="shared" si="102"/>
        <v>#DIV/0!</v>
      </c>
      <c r="AF516" s="125" t="e">
        <f t="shared" si="103"/>
        <v>#DIV/0!</v>
      </c>
      <c r="AG516" s="92"/>
    </row>
    <row r="517" spans="1:33" ht="14.4">
      <c r="A517" s="270"/>
      <c r="B517" s="97">
        <f t="shared" si="91"/>
        <v>31</v>
      </c>
      <c r="C517" s="325"/>
      <c r="D517" s="260"/>
      <c r="E517" s="95"/>
      <c r="G517" s="52"/>
      <c r="H517" s="52"/>
      <c r="I517" s="256"/>
      <c r="J517" s="98">
        <f t="shared" si="92"/>
        <v>0</v>
      </c>
      <c r="K517" s="118" t="e">
        <f t="shared" si="93"/>
        <v>#DIV/0!</v>
      </c>
      <c r="L517" s="15"/>
      <c r="M517" s="15"/>
      <c r="N517" s="15">
        <f t="shared" si="94"/>
        <v>0</v>
      </c>
      <c r="O517" s="70" t="e">
        <f t="shared" si="95"/>
        <v>#DIV/0!</v>
      </c>
      <c r="P517" s="70"/>
      <c r="Q517" s="70">
        <f t="shared" si="96"/>
        <v>0</v>
      </c>
      <c r="R517" s="70"/>
      <c r="S517" s="70"/>
      <c r="T517" s="70"/>
      <c r="U517" s="15"/>
      <c r="V517" s="70" t="e">
        <f t="shared" si="97"/>
        <v>#DIV/0!</v>
      </c>
      <c r="W517" s="15"/>
      <c r="X517" s="15"/>
      <c r="Y517" s="15">
        <f t="shared" si="98"/>
        <v>0</v>
      </c>
      <c r="Z517" s="52"/>
      <c r="AA517" s="98">
        <f t="shared" si="99"/>
        <v>0</v>
      </c>
      <c r="AB517" s="52"/>
      <c r="AC517" s="98">
        <f t="shared" si="100"/>
        <v>0</v>
      </c>
      <c r="AD517" s="98">
        <f t="shared" si="101"/>
        <v>0</v>
      </c>
      <c r="AE517" s="238" t="e">
        <f t="shared" si="102"/>
        <v>#DIV/0!</v>
      </c>
      <c r="AF517" s="125" t="e">
        <f t="shared" si="103"/>
        <v>#DIV/0!</v>
      </c>
      <c r="AG517" s="92"/>
    </row>
    <row r="518" spans="1:33" ht="14.4">
      <c r="A518" s="270"/>
      <c r="B518" s="97">
        <f t="shared" ref="B518:B524" si="104">EOMONTH(A518,0)</f>
        <v>31</v>
      </c>
      <c r="C518" s="325"/>
      <c r="D518" s="260"/>
      <c r="E518" s="95"/>
      <c r="G518" s="52"/>
      <c r="H518" s="52"/>
      <c r="I518" s="256"/>
      <c r="J518" s="98">
        <f t="shared" ref="J518:J524" si="105">U518</f>
        <v>0</v>
      </c>
      <c r="K518" s="118" t="e">
        <f t="shared" ref="K518:K524" si="106">L518/J518</f>
        <v>#DIV/0!</v>
      </c>
      <c r="L518" s="15"/>
      <c r="M518" s="15"/>
      <c r="N518" s="15">
        <f t="shared" ref="N518:N524" si="107">L518-M518</f>
        <v>0</v>
      </c>
      <c r="O518" s="70" t="e">
        <f t="shared" ref="O518:O524" si="108">P518/J518</f>
        <v>#DIV/0!</v>
      </c>
      <c r="P518" s="70"/>
      <c r="Q518" s="70">
        <f t="shared" ref="Q518:Q524" si="109">N518+P518</f>
        <v>0</v>
      </c>
      <c r="R518" s="70"/>
      <c r="S518" s="70"/>
      <c r="T518" s="70"/>
      <c r="U518" s="15"/>
      <c r="V518" s="70" t="e">
        <f t="shared" ref="V518:V524" si="110">W518/U518</f>
        <v>#DIV/0!</v>
      </c>
      <c r="W518" s="15"/>
      <c r="X518" s="15"/>
      <c r="Y518" s="15">
        <f t="shared" ref="Y518:Y524" si="111">W518-X518</f>
        <v>0</v>
      </c>
      <c r="Z518" s="52"/>
      <c r="AA518" s="98">
        <f t="shared" ref="AA518:AA524" si="112">Y518-Z518</f>
        <v>0</v>
      </c>
      <c r="AB518" s="52"/>
      <c r="AC518" s="98">
        <f t="shared" ref="AC518:AC524" si="113">Y518-N518</f>
        <v>0</v>
      </c>
      <c r="AD518" s="98">
        <f t="shared" ref="AD518:AD524" si="114">AA518-Q518</f>
        <v>0</v>
      </c>
      <c r="AE518" s="238" t="e">
        <f t="shared" ref="AE518:AE524" si="115">AC518/Y518</f>
        <v>#DIV/0!</v>
      </c>
      <c r="AF518" s="125" t="e">
        <f t="shared" ref="AF518:AF524" si="116">AD518/AA518</f>
        <v>#DIV/0!</v>
      </c>
      <c r="AG518" s="92"/>
    </row>
    <row r="519" spans="1:33" ht="14.4">
      <c r="A519" s="270"/>
      <c r="B519" s="97">
        <f t="shared" si="104"/>
        <v>31</v>
      </c>
      <c r="C519" s="325"/>
      <c r="D519" s="260"/>
      <c r="E519" s="95"/>
      <c r="G519" s="52"/>
      <c r="H519" s="52"/>
      <c r="I519" s="256"/>
      <c r="J519" s="98">
        <f t="shared" si="105"/>
        <v>0</v>
      </c>
      <c r="K519" s="118" t="e">
        <f t="shared" si="106"/>
        <v>#DIV/0!</v>
      </c>
      <c r="L519" s="15"/>
      <c r="M519" s="15"/>
      <c r="N519" s="15">
        <f t="shared" si="107"/>
        <v>0</v>
      </c>
      <c r="O519" s="70" t="e">
        <f t="shared" si="108"/>
        <v>#DIV/0!</v>
      </c>
      <c r="P519" s="70"/>
      <c r="Q519" s="70">
        <f t="shared" si="109"/>
        <v>0</v>
      </c>
      <c r="R519" s="70"/>
      <c r="S519" s="70"/>
      <c r="T519" s="70"/>
      <c r="U519" s="15"/>
      <c r="V519" s="70" t="e">
        <f t="shared" si="110"/>
        <v>#DIV/0!</v>
      </c>
      <c r="W519" s="15"/>
      <c r="X519" s="15"/>
      <c r="Y519" s="15">
        <f t="shared" si="111"/>
        <v>0</v>
      </c>
      <c r="Z519" s="52"/>
      <c r="AA519" s="98">
        <f t="shared" si="112"/>
        <v>0</v>
      </c>
      <c r="AB519" s="52"/>
      <c r="AC519" s="98">
        <f t="shared" si="113"/>
        <v>0</v>
      </c>
      <c r="AD519" s="98">
        <f t="shared" si="114"/>
        <v>0</v>
      </c>
      <c r="AE519" s="238" t="e">
        <f t="shared" si="115"/>
        <v>#DIV/0!</v>
      </c>
      <c r="AF519" s="125" t="e">
        <f t="shared" si="116"/>
        <v>#DIV/0!</v>
      </c>
      <c r="AG519" s="92"/>
    </row>
    <row r="520" spans="1:33" ht="14.4">
      <c r="A520" s="270"/>
      <c r="B520" s="97">
        <f t="shared" si="104"/>
        <v>31</v>
      </c>
      <c r="C520" s="325"/>
      <c r="D520" s="260"/>
      <c r="E520" s="95"/>
      <c r="G520" s="52"/>
      <c r="H520" s="52"/>
      <c r="I520" s="256"/>
      <c r="J520" s="98">
        <f t="shared" si="105"/>
        <v>0</v>
      </c>
      <c r="K520" s="118" t="e">
        <f t="shared" si="106"/>
        <v>#DIV/0!</v>
      </c>
      <c r="L520" s="15"/>
      <c r="M520" s="15"/>
      <c r="N520" s="15">
        <f t="shared" si="107"/>
        <v>0</v>
      </c>
      <c r="O520" s="70" t="e">
        <f t="shared" si="108"/>
        <v>#DIV/0!</v>
      </c>
      <c r="P520" s="70"/>
      <c r="Q520" s="70">
        <f t="shared" si="109"/>
        <v>0</v>
      </c>
      <c r="R520" s="70"/>
      <c r="S520" s="70"/>
      <c r="T520" s="70"/>
      <c r="U520" s="15"/>
      <c r="V520" s="70" t="e">
        <f t="shared" si="110"/>
        <v>#DIV/0!</v>
      </c>
      <c r="W520" s="15"/>
      <c r="X520" s="15"/>
      <c r="Y520" s="15">
        <f t="shared" si="111"/>
        <v>0</v>
      </c>
      <c r="Z520" s="52"/>
      <c r="AA520" s="98">
        <f t="shared" si="112"/>
        <v>0</v>
      </c>
      <c r="AB520" s="52"/>
      <c r="AC520" s="98">
        <f t="shared" si="113"/>
        <v>0</v>
      </c>
      <c r="AD520" s="98">
        <f t="shared" si="114"/>
        <v>0</v>
      </c>
      <c r="AE520" s="238" t="e">
        <f t="shared" si="115"/>
        <v>#DIV/0!</v>
      </c>
      <c r="AF520" s="125" t="e">
        <f t="shared" si="116"/>
        <v>#DIV/0!</v>
      </c>
      <c r="AG520" s="92"/>
    </row>
    <row r="521" spans="1:33" ht="14.4">
      <c r="A521" s="270"/>
      <c r="B521" s="97">
        <f t="shared" si="104"/>
        <v>31</v>
      </c>
      <c r="C521" s="325"/>
      <c r="D521" s="260"/>
      <c r="E521" s="95"/>
      <c r="G521" s="52"/>
      <c r="H521" s="52"/>
      <c r="I521" s="256"/>
      <c r="J521" s="98">
        <f t="shared" si="105"/>
        <v>0</v>
      </c>
      <c r="K521" s="118" t="e">
        <f t="shared" si="106"/>
        <v>#DIV/0!</v>
      </c>
      <c r="L521" s="15"/>
      <c r="M521" s="15"/>
      <c r="N521" s="15">
        <f t="shared" si="107"/>
        <v>0</v>
      </c>
      <c r="O521" s="70" t="e">
        <f t="shared" si="108"/>
        <v>#DIV/0!</v>
      </c>
      <c r="P521" s="70"/>
      <c r="Q521" s="70">
        <f t="shared" si="109"/>
        <v>0</v>
      </c>
      <c r="R521" s="70"/>
      <c r="S521" s="70"/>
      <c r="T521" s="70"/>
      <c r="U521" s="15"/>
      <c r="V521" s="70" t="e">
        <f t="shared" si="110"/>
        <v>#DIV/0!</v>
      </c>
      <c r="W521" s="15"/>
      <c r="X521" s="15"/>
      <c r="Y521" s="15">
        <f t="shared" si="111"/>
        <v>0</v>
      </c>
      <c r="Z521" s="52"/>
      <c r="AA521" s="98">
        <f t="shared" si="112"/>
        <v>0</v>
      </c>
      <c r="AB521" s="52"/>
      <c r="AC521" s="98">
        <f t="shared" si="113"/>
        <v>0</v>
      </c>
      <c r="AD521" s="98">
        <f t="shared" si="114"/>
        <v>0</v>
      </c>
      <c r="AE521" s="238" t="e">
        <f t="shared" si="115"/>
        <v>#DIV/0!</v>
      </c>
      <c r="AF521" s="125" t="e">
        <f t="shared" si="116"/>
        <v>#DIV/0!</v>
      </c>
      <c r="AG521" s="92"/>
    </row>
    <row r="522" spans="1:33" ht="14.4">
      <c r="A522" s="270"/>
      <c r="B522" s="97">
        <f t="shared" si="104"/>
        <v>31</v>
      </c>
      <c r="C522" s="325"/>
      <c r="D522" s="260"/>
      <c r="E522" s="95"/>
      <c r="G522" s="52"/>
      <c r="H522" s="52"/>
      <c r="I522" s="256"/>
      <c r="J522" s="98">
        <f t="shared" si="105"/>
        <v>0</v>
      </c>
      <c r="K522" s="118" t="e">
        <f t="shared" si="106"/>
        <v>#DIV/0!</v>
      </c>
      <c r="L522" s="15"/>
      <c r="M522" s="15"/>
      <c r="N522" s="15">
        <f t="shared" si="107"/>
        <v>0</v>
      </c>
      <c r="O522" s="70" t="e">
        <f t="shared" si="108"/>
        <v>#DIV/0!</v>
      </c>
      <c r="P522" s="70"/>
      <c r="Q522" s="70">
        <f t="shared" si="109"/>
        <v>0</v>
      </c>
      <c r="R522" s="70"/>
      <c r="S522" s="70"/>
      <c r="T522" s="70"/>
      <c r="U522" s="15"/>
      <c r="V522" s="70" t="e">
        <f t="shared" si="110"/>
        <v>#DIV/0!</v>
      </c>
      <c r="W522" s="15"/>
      <c r="X522" s="15"/>
      <c r="Y522" s="15">
        <f t="shared" si="111"/>
        <v>0</v>
      </c>
      <c r="Z522" s="52"/>
      <c r="AA522" s="98">
        <f t="shared" si="112"/>
        <v>0</v>
      </c>
      <c r="AB522" s="52"/>
      <c r="AC522" s="98">
        <f t="shared" si="113"/>
        <v>0</v>
      </c>
      <c r="AD522" s="98">
        <f t="shared" si="114"/>
        <v>0</v>
      </c>
      <c r="AE522" s="238" t="e">
        <f t="shared" si="115"/>
        <v>#DIV/0!</v>
      </c>
      <c r="AF522" s="125" t="e">
        <f t="shared" si="116"/>
        <v>#DIV/0!</v>
      </c>
      <c r="AG522" s="92"/>
    </row>
    <row r="523" spans="1:33" ht="14.4">
      <c r="A523" s="270"/>
      <c r="B523" s="97">
        <f t="shared" si="104"/>
        <v>31</v>
      </c>
      <c r="C523" s="325"/>
      <c r="D523" s="260"/>
      <c r="E523" s="95"/>
      <c r="G523" s="52"/>
      <c r="H523" s="52"/>
      <c r="I523" s="256"/>
      <c r="J523" s="98">
        <f t="shared" si="105"/>
        <v>0</v>
      </c>
      <c r="K523" s="118" t="e">
        <f t="shared" si="106"/>
        <v>#DIV/0!</v>
      </c>
      <c r="L523" s="15"/>
      <c r="M523" s="15"/>
      <c r="N523" s="15">
        <f t="shared" si="107"/>
        <v>0</v>
      </c>
      <c r="O523" s="70" t="e">
        <f t="shared" si="108"/>
        <v>#DIV/0!</v>
      </c>
      <c r="P523" s="70"/>
      <c r="Q523" s="70">
        <f t="shared" si="109"/>
        <v>0</v>
      </c>
      <c r="R523" s="70"/>
      <c r="S523" s="70"/>
      <c r="T523" s="70"/>
      <c r="U523" s="15"/>
      <c r="V523" s="70" t="e">
        <f t="shared" si="110"/>
        <v>#DIV/0!</v>
      </c>
      <c r="W523" s="15"/>
      <c r="X523" s="15"/>
      <c r="Y523" s="15">
        <f t="shared" si="111"/>
        <v>0</v>
      </c>
      <c r="Z523" s="52"/>
      <c r="AA523" s="98">
        <f t="shared" si="112"/>
        <v>0</v>
      </c>
      <c r="AB523" s="52"/>
      <c r="AC523" s="98">
        <f t="shared" si="113"/>
        <v>0</v>
      </c>
      <c r="AD523" s="98">
        <f t="shared" si="114"/>
        <v>0</v>
      </c>
      <c r="AE523" s="238" t="e">
        <f t="shared" si="115"/>
        <v>#DIV/0!</v>
      </c>
      <c r="AF523" s="125" t="e">
        <f t="shared" si="116"/>
        <v>#DIV/0!</v>
      </c>
      <c r="AG523" s="92"/>
    </row>
    <row r="524" spans="1:33" ht="14.4">
      <c r="A524" s="270"/>
      <c r="B524" s="97">
        <f t="shared" si="104"/>
        <v>31</v>
      </c>
      <c r="C524" s="325"/>
      <c r="D524" s="260"/>
      <c r="E524" s="95"/>
      <c r="G524" s="52"/>
      <c r="H524" s="52"/>
      <c r="I524" s="256"/>
      <c r="J524" s="98">
        <f t="shared" si="105"/>
        <v>0</v>
      </c>
      <c r="K524" s="118" t="e">
        <f t="shared" si="106"/>
        <v>#DIV/0!</v>
      </c>
      <c r="L524" s="15"/>
      <c r="M524" s="15"/>
      <c r="N524" s="15">
        <f t="shared" si="107"/>
        <v>0</v>
      </c>
      <c r="O524" s="70" t="e">
        <f t="shared" si="108"/>
        <v>#DIV/0!</v>
      </c>
      <c r="P524" s="70"/>
      <c r="Q524" s="70">
        <f t="shared" si="109"/>
        <v>0</v>
      </c>
      <c r="R524" s="70"/>
      <c r="S524" s="70"/>
      <c r="T524" s="70"/>
      <c r="U524" s="15"/>
      <c r="V524" s="70" t="e">
        <f t="shared" si="110"/>
        <v>#DIV/0!</v>
      </c>
      <c r="W524" s="15"/>
      <c r="X524" s="15"/>
      <c r="Y524" s="15">
        <f t="shared" si="111"/>
        <v>0</v>
      </c>
      <c r="Z524" s="52"/>
      <c r="AA524" s="98">
        <f t="shared" si="112"/>
        <v>0</v>
      </c>
      <c r="AB524" s="52"/>
      <c r="AC524" s="98">
        <f t="shared" si="113"/>
        <v>0</v>
      </c>
      <c r="AD524" s="98">
        <f t="shared" si="114"/>
        <v>0</v>
      </c>
      <c r="AE524" s="238" t="e">
        <f t="shared" si="115"/>
        <v>#DIV/0!</v>
      </c>
      <c r="AF524" s="125" t="e">
        <f t="shared" si="116"/>
        <v>#DIV/0!</v>
      </c>
      <c r="AG524" s="92"/>
    </row>
    <row r="525" spans="1:33" ht="14.4">
      <c r="A525" s="270"/>
      <c r="B525" s="97"/>
      <c r="C525" s="326"/>
      <c r="D525" s="260"/>
      <c r="E525" s="95"/>
      <c r="G525" s="52"/>
      <c r="H525" s="52"/>
      <c r="I525" s="256"/>
      <c r="J525" s="98"/>
      <c r="K525" s="118"/>
      <c r="L525" s="15"/>
      <c r="M525" s="15"/>
      <c r="N525" s="15"/>
      <c r="O525" s="70"/>
      <c r="P525" s="70"/>
      <c r="Q525" s="70"/>
      <c r="R525" s="70"/>
      <c r="S525" s="70"/>
      <c r="T525" s="70"/>
      <c r="U525" s="15"/>
      <c r="V525" s="70"/>
      <c r="W525" s="15"/>
      <c r="X525" s="15"/>
      <c r="Y525" s="15">
        <f t="shared" ref="Y525:Y567" si="117">W525-X525</f>
        <v>0</v>
      </c>
      <c r="Z525" s="52"/>
      <c r="AA525" s="98">
        <f t="shared" ref="AA525:AA567" si="118">Y525-Z525</f>
        <v>0</v>
      </c>
      <c r="AB525" s="52"/>
      <c r="AC525" s="98">
        <f t="shared" ref="AC525:AC567" si="119">Y525-N525</f>
        <v>0</v>
      </c>
      <c r="AD525" s="98">
        <f t="shared" ref="AD525:AD567" si="120">AA525-Q525</f>
        <v>0</v>
      </c>
      <c r="AE525" s="238" t="e">
        <f t="shared" ref="AE525:AE567" si="121">AC525/Y525</f>
        <v>#DIV/0!</v>
      </c>
      <c r="AF525" s="125" t="e">
        <f t="shared" ref="AF525:AF567" si="122">AD525/AA525</f>
        <v>#DIV/0!</v>
      </c>
      <c r="AG525" s="92"/>
    </row>
    <row r="526" spans="1:33" ht="14.4">
      <c r="A526" s="270"/>
      <c r="B526" s="97"/>
      <c r="C526" s="326"/>
      <c r="D526" s="260"/>
      <c r="E526" s="95"/>
      <c r="G526" s="52"/>
      <c r="H526" s="52"/>
      <c r="I526" s="256"/>
      <c r="J526" s="98"/>
      <c r="K526" s="118"/>
      <c r="L526" s="15"/>
      <c r="M526" s="15"/>
      <c r="N526" s="15"/>
      <c r="O526" s="70"/>
      <c r="P526" s="70"/>
      <c r="Q526" s="70"/>
      <c r="R526" s="70"/>
      <c r="S526" s="70"/>
      <c r="T526" s="70"/>
      <c r="U526" s="15"/>
      <c r="V526" s="70"/>
      <c r="W526" s="15"/>
      <c r="X526" s="15"/>
      <c r="Y526" s="15">
        <f t="shared" si="117"/>
        <v>0</v>
      </c>
      <c r="Z526" s="52"/>
      <c r="AA526" s="98">
        <f t="shared" si="118"/>
        <v>0</v>
      </c>
      <c r="AB526" s="52"/>
      <c r="AC526" s="98">
        <f t="shared" si="119"/>
        <v>0</v>
      </c>
      <c r="AD526" s="98">
        <f t="shared" si="120"/>
        <v>0</v>
      </c>
      <c r="AE526" s="238" t="e">
        <f t="shared" si="121"/>
        <v>#DIV/0!</v>
      </c>
      <c r="AF526" s="125" t="e">
        <f t="shared" si="122"/>
        <v>#DIV/0!</v>
      </c>
      <c r="AG526" s="92"/>
    </row>
    <row r="527" spans="1:33" ht="14.4">
      <c r="A527" s="270"/>
      <c r="B527" s="97"/>
      <c r="C527" s="326"/>
      <c r="D527" s="260"/>
      <c r="E527" s="95"/>
      <c r="G527" s="52"/>
      <c r="H527" s="52"/>
      <c r="I527" s="256"/>
      <c r="J527" s="98"/>
      <c r="K527" s="118"/>
      <c r="L527" s="15"/>
      <c r="M527" s="15"/>
      <c r="N527" s="15"/>
      <c r="O527" s="70"/>
      <c r="P527" s="70"/>
      <c r="Q527" s="70"/>
      <c r="R527" s="70"/>
      <c r="S527" s="70"/>
      <c r="T527" s="70"/>
      <c r="U527" s="15"/>
      <c r="V527" s="70"/>
      <c r="W527" s="15"/>
      <c r="X527" s="15"/>
      <c r="Y527" s="15">
        <f t="shared" si="117"/>
        <v>0</v>
      </c>
      <c r="Z527" s="52"/>
      <c r="AA527" s="98">
        <f t="shared" si="118"/>
        <v>0</v>
      </c>
      <c r="AB527" s="52"/>
      <c r="AC527" s="98">
        <f t="shared" si="119"/>
        <v>0</v>
      </c>
      <c r="AD527" s="98">
        <f t="shared" si="120"/>
        <v>0</v>
      </c>
      <c r="AE527" s="238" t="e">
        <f t="shared" si="121"/>
        <v>#DIV/0!</v>
      </c>
      <c r="AF527" s="125" t="e">
        <f t="shared" si="122"/>
        <v>#DIV/0!</v>
      </c>
      <c r="AG527" s="92"/>
    </row>
    <row r="528" spans="1:33" ht="14.4">
      <c r="A528" s="270"/>
      <c r="B528" s="97"/>
      <c r="C528" s="326"/>
      <c r="D528" s="260"/>
      <c r="E528" s="95"/>
      <c r="G528" s="52"/>
      <c r="H528" s="52"/>
      <c r="I528" s="256"/>
      <c r="J528" s="98"/>
      <c r="K528" s="118"/>
      <c r="L528" s="15"/>
      <c r="M528" s="15"/>
      <c r="N528" s="15"/>
      <c r="O528" s="70"/>
      <c r="P528" s="70"/>
      <c r="Q528" s="70"/>
      <c r="R528" s="70"/>
      <c r="S528" s="70"/>
      <c r="T528" s="70"/>
      <c r="U528" s="15"/>
      <c r="V528" s="70"/>
      <c r="W528" s="15"/>
      <c r="X528" s="15"/>
      <c r="Y528" s="15">
        <f t="shared" si="117"/>
        <v>0</v>
      </c>
      <c r="Z528" s="52"/>
      <c r="AA528" s="98">
        <f t="shared" si="118"/>
        <v>0</v>
      </c>
      <c r="AB528" s="52"/>
      <c r="AC528" s="98">
        <f t="shared" si="119"/>
        <v>0</v>
      </c>
      <c r="AD528" s="98">
        <f t="shared" si="120"/>
        <v>0</v>
      </c>
      <c r="AE528" s="238" t="e">
        <f t="shared" si="121"/>
        <v>#DIV/0!</v>
      </c>
      <c r="AF528" s="125" t="e">
        <f t="shared" si="122"/>
        <v>#DIV/0!</v>
      </c>
      <c r="AG528" s="92"/>
    </row>
    <row r="529" spans="1:33" ht="14.4">
      <c r="A529" s="270"/>
      <c r="B529" s="97"/>
      <c r="C529" s="326"/>
      <c r="D529" s="260"/>
      <c r="E529" s="95"/>
      <c r="G529" s="52"/>
      <c r="H529" s="52"/>
      <c r="I529" s="256"/>
      <c r="J529" s="98"/>
      <c r="K529" s="118"/>
      <c r="L529" s="15"/>
      <c r="M529" s="15"/>
      <c r="N529" s="15"/>
      <c r="O529" s="70"/>
      <c r="P529" s="70"/>
      <c r="Q529" s="70"/>
      <c r="R529" s="70"/>
      <c r="S529" s="70"/>
      <c r="T529" s="70"/>
      <c r="U529" s="15"/>
      <c r="V529" s="70"/>
      <c r="W529" s="15"/>
      <c r="X529" s="15"/>
      <c r="Y529" s="15">
        <f t="shared" si="117"/>
        <v>0</v>
      </c>
      <c r="Z529" s="52"/>
      <c r="AA529" s="98">
        <f t="shared" si="118"/>
        <v>0</v>
      </c>
      <c r="AB529" s="52"/>
      <c r="AC529" s="98">
        <f t="shared" si="119"/>
        <v>0</v>
      </c>
      <c r="AD529" s="98">
        <f t="shared" si="120"/>
        <v>0</v>
      </c>
      <c r="AE529" s="238" t="e">
        <f t="shared" si="121"/>
        <v>#DIV/0!</v>
      </c>
      <c r="AF529" s="125" t="e">
        <f t="shared" si="122"/>
        <v>#DIV/0!</v>
      </c>
      <c r="AG529" s="92"/>
    </row>
    <row r="530" spans="1:33" ht="14.4">
      <c r="A530" s="270"/>
      <c r="B530" s="97"/>
      <c r="C530" s="326"/>
      <c r="D530" s="260"/>
      <c r="E530" s="95"/>
      <c r="G530" s="52"/>
      <c r="H530" s="52"/>
      <c r="I530" s="256"/>
      <c r="J530" s="98"/>
      <c r="K530" s="118"/>
      <c r="L530" s="15"/>
      <c r="M530" s="15"/>
      <c r="N530" s="15"/>
      <c r="O530" s="70"/>
      <c r="P530" s="70"/>
      <c r="Q530" s="70"/>
      <c r="R530" s="70"/>
      <c r="S530" s="70"/>
      <c r="T530" s="70"/>
      <c r="U530" s="15"/>
      <c r="V530" s="70"/>
      <c r="W530" s="15"/>
      <c r="X530" s="15"/>
      <c r="Y530" s="15">
        <f t="shared" si="117"/>
        <v>0</v>
      </c>
      <c r="Z530" s="52"/>
      <c r="AA530" s="98">
        <f t="shared" si="118"/>
        <v>0</v>
      </c>
      <c r="AB530" s="52"/>
      <c r="AC530" s="98">
        <f t="shared" si="119"/>
        <v>0</v>
      </c>
      <c r="AD530" s="98">
        <f t="shared" si="120"/>
        <v>0</v>
      </c>
      <c r="AE530" s="238" t="e">
        <f t="shared" si="121"/>
        <v>#DIV/0!</v>
      </c>
      <c r="AF530" s="125" t="e">
        <f t="shared" si="122"/>
        <v>#DIV/0!</v>
      </c>
      <c r="AG530" s="92"/>
    </row>
    <row r="531" spans="1:33" ht="14.4">
      <c r="A531" s="270"/>
      <c r="B531" s="97"/>
      <c r="C531" s="326"/>
      <c r="D531" s="260"/>
      <c r="E531" s="95"/>
      <c r="G531" s="52"/>
      <c r="H531" s="52"/>
      <c r="I531" s="256"/>
      <c r="J531" s="98"/>
      <c r="K531" s="118"/>
      <c r="L531" s="15"/>
      <c r="M531" s="15"/>
      <c r="N531" s="15"/>
      <c r="O531" s="70"/>
      <c r="P531" s="70"/>
      <c r="Q531" s="70"/>
      <c r="R531" s="70"/>
      <c r="S531" s="70"/>
      <c r="T531" s="70"/>
      <c r="U531" s="15"/>
      <c r="V531" s="70"/>
      <c r="W531" s="15"/>
      <c r="X531" s="15"/>
      <c r="Y531" s="15">
        <f t="shared" si="117"/>
        <v>0</v>
      </c>
      <c r="Z531" s="52"/>
      <c r="AA531" s="98">
        <f t="shared" si="118"/>
        <v>0</v>
      </c>
      <c r="AB531" s="52"/>
      <c r="AC531" s="98">
        <f t="shared" si="119"/>
        <v>0</v>
      </c>
      <c r="AD531" s="98">
        <f t="shared" si="120"/>
        <v>0</v>
      </c>
      <c r="AE531" s="238" t="e">
        <f t="shared" si="121"/>
        <v>#DIV/0!</v>
      </c>
      <c r="AF531" s="125" t="e">
        <f t="shared" si="122"/>
        <v>#DIV/0!</v>
      </c>
      <c r="AG531" s="92"/>
    </row>
    <row r="532" spans="1:33" ht="14.4">
      <c r="A532" s="270"/>
      <c r="B532" s="97"/>
      <c r="C532" s="326"/>
      <c r="D532" s="260"/>
      <c r="E532" s="95"/>
      <c r="G532" s="52"/>
      <c r="H532" s="52"/>
      <c r="I532" s="256"/>
      <c r="J532" s="98"/>
      <c r="K532" s="118"/>
      <c r="L532" s="15"/>
      <c r="M532" s="15"/>
      <c r="N532" s="15"/>
      <c r="O532" s="70"/>
      <c r="P532" s="70"/>
      <c r="Q532" s="70"/>
      <c r="R532" s="70"/>
      <c r="S532" s="70"/>
      <c r="T532" s="70"/>
      <c r="U532" s="15"/>
      <c r="V532" s="70"/>
      <c r="W532" s="15"/>
      <c r="X532" s="15"/>
      <c r="Y532" s="15">
        <f t="shared" si="117"/>
        <v>0</v>
      </c>
      <c r="Z532" s="52"/>
      <c r="AA532" s="98">
        <f t="shared" si="118"/>
        <v>0</v>
      </c>
      <c r="AB532" s="52"/>
      <c r="AC532" s="98">
        <f t="shared" si="119"/>
        <v>0</v>
      </c>
      <c r="AD532" s="98">
        <f t="shared" si="120"/>
        <v>0</v>
      </c>
      <c r="AE532" s="238" t="e">
        <f t="shared" si="121"/>
        <v>#DIV/0!</v>
      </c>
      <c r="AF532" s="125" t="e">
        <f t="shared" si="122"/>
        <v>#DIV/0!</v>
      </c>
      <c r="AG532" s="92"/>
    </row>
    <row r="533" spans="1:33" ht="14.4">
      <c r="A533" s="270"/>
      <c r="B533" s="97"/>
      <c r="C533" s="326"/>
      <c r="D533" s="260"/>
      <c r="E533" s="95"/>
      <c r="G533" s="52"/>
      <c r="H533" s="52"/>
      <c r="I533" s="256"/>
      <c r="J533" s="98"/>
      <c r="K533" s="118"/>
      <c r="L533" s="15"/>
      <c r="M533" s="15"/>
      <c r="N533" s="15"/>
      <c r="O533" s="70"/>
      <c r="P533" s="70"/>
      <c r="Q533" s="70"/>
      <c r="R533" s="70"/>
      <c r="S533" s="70"/>
      <c r="T533" s="70"/>
      <c r="U533" s="15"/>
      <c r="V533" s="70"/>
      <c r="W533" s="15"/>
      <c r="X533" s="15"/>
      <c r="Y533" s="15">
        <f t="shared" si="117"/>
        <v>0</v>
      </c>
      <c r="Z533" s="52"/>
      <c r="AA533" s="98">
        <f t="shared" si="118"/>
        <v>0</v>
      </c>
      <c r="AB533" s="52"/>
      <c r="AC533" s="98">
        <f t="shared" si="119"/>
        <v>0</v>
      </c>
      <c r="AD533" s="98">
        <f t="shared" si="120"/>
        <v>0</v>
      </c>
      <c r="AE533" s="238" t="e">
        <f t="shared" si="121"/>
        <v>#DIV/0!</v>
      </c>
      <c r="AF533" s="125" t="e">
        <f t="shared" si="122"/>
        <v>#DIV/0!</v>
      </c>
      <c r="AG533" s="92"/>
    </row>
    <row r="534" spans="1:33" ht="14.4">
      <c r="A534" s="270"/>
      <c r="B534" s="97"/>
      <c r="C534" s="326"/>
      <c r="D534" s="260"/>
      <c r="E534" s="95"/>
      <c r="G534" s="52"/>
      <c r="H534" s="52"/>
      <c r="I534" s="256"/>
      <c r="J534" s="98"/>
      <c r="K534" s="118"/>
      <c r="L534" s="15"/>
      <c r="M534" s="15"/>
      <c r="N534" s="15"/>
      <c r="O534" s="70"/>
      <c r="P534" s="70"/>
      <c r="Q534" s="70"/>
      <c r="R534" s="70"/>
      <c r="S534" s="70"/>
      <c r="T534" s="70"/>
      <c r="U534" s="15"/>
      <c r="V534" s="70"/>
      <c r="W534" s="15"/>
      <c r="X534" s="15"/>
      <c r="Y534" s="15">
        <f t="shared" si="117"/>
        <v>0</v>
      </c>
      <c r="Z534" s="52"/>
      <c r="AA534" s="98">
        <f t="shared" si="118"/>
        <v>0</v>
      </c>
      <c r="AB534" s="52"/>
      <c r="AC534" s="98">
        <f t="shared" si="119"/>
        <v>0</v>
      </c>
      <c r="AD534" s="98">
        <f t="shared" si="120"/>
        <v>0</v>
      </c>
      <c r="AE534" s="238" t="e">
        <f t="shared" si="121"/>
        <v>#DIV/0!</v>
      </c>
      <c r="AF534" s="125" t="e">
        <f t="shared" si="122"/>
        <v>#DIV/0!</v>
      </c>
      <c r="AG534" s="92"/>
    </row>
    <row r="535" spans="1:33" ht="14.4">
      <c r="A535" s="270"/>
      <c r="B535" s="97"/>
      <c r="C535" s="326"/>
      <c r="D535" s="260"/>
      <c r="E535" s="95"/>
      <c r="G535" s="52"/>
      <c r="H535" s="52"/>
      <c r="I535" s="256"/>
      <c r="J535" s="98"/>
      <c r="K535" s="118"/>
      <c r="L535" s="15"/>
      <c r="M535" s="15"/>
      <c r="N535" s="15"/>
      <c r="O535" s="70"/>
      <c r="P535" s="70"/>
      <c r="Q535" s="70"/>
      <c r="R535" s="70"/>
      <c r="S535" s="70"/>
      <c r="T535" s="70"/>
      <c r="U535" s="15"/>
      <c r="V535" s="70"/>
      <c r="W535" s="15"/>
      <c r="X535" s="15"/>
      <c r="Y535" s="15">
        <f t="shared" si="117"/>
        <v>0</v>
      </c>
      <c r="Z535" s="52"/>
      <c r="AA535" s="98">
        <f t="shared" si="118"/>
        <v>0</v>
      </c>
      <c r="AB535" s="52"/>
      <c r="AC535" s="98">
        <f t="shared" si="119"/>
        <v>0</v>
      </c>
      <c r="AD535" s="98">
        <f t="shared" si="120"/>
        <v>0</v>
      </c>
      <c r="AE535" s="238" t="e">
        <f t="shared" si="121"/>
        <v>#DIV/0!</v>
      </c>
      <c r="AF535" s="125" t="e">
        <f t="shared" si="122"/>
        <v>#DIV/0!</v>
      </c>
      <c r="AG535" s="92"/>
    </row>
    <row r="536" spans="1:33" ht="14.4">
      <c r="A536" s="270"/>
      <c r="B536" s="97"/>
      <c r="C536" s="326"/>
      <c r="D536" s="260"/>
      <c r="E536" s="95"/>
      <c r="G536" s="52"/>
      <c r="H536" s="52"/>
      <c r="I536" s="256"/>
      <c r="J536" s="98"/>
      <c r="K536" s="118"/>
      <c r="L536" s="15"/>
      <c r="M536" s="15"/>
      <c r="N536" s="15"/>
      <c r="O536" s="70"/>
      <c r="P536" s="70"/>
      <c r="Q536" s="70"/>
      <c r="R536" s="70"/>
      <c r="S536" s="70"/>
      <c r="T536" s="70"/>
      <c r="U536" s="15"/>
      <c r="V536" s="70"/>
      <c r="W536" s="15"/>
      <c r="X536" s="15"/>
      <c r="Y536" s="15">
        <f t="shared" si="117"/>
        <v>0</v>
      </c>
      <c r="Z536" s="52"/>
      <c r="AA536" s="98">
        <f t="shared" si="118"/>
        <v>0</v>
      </c>
      <c r="AB536" s="52"/>
      <c r="AC536" s="98">
        <f t="shared" si="119"/>
        <v>0</v>
      </c>
      <c r="AD536" s="98">
        <f t="shared" si="120"/>
        <v>0</v>
      </c>
      <c r="AE536" s="238" t="e">
        <f t="shared" si="121"/>
        <v>#DIV/0!</v>
      </c>
      <c r="AF536" s="125" t="e">
        <f t="shared" si="122"/>
        <v>#DIV/0!</v>
      </c>
      <c r="AG536" s="92"/>
    </row>
    <row r="537" spans="1:33" ht="14.4">
      <c r="A537" s="270"/>
      <c r="B537" s="97"/>
      <c r="C537" s="326"/>
      <c r="D537" s="260"/>
      <c r="E537" s="95"/>
      <c r="G537" s="52"/>
      <c r="H537" s="52"/>
      <c r="I537" s="256"/>
      <c r="J537" s="98"/>
      <c r="K537" s="118"/>
      <c r="L537" s="15"/>
      <c r="M537" s="15"/>
      <c r="N537" s="15"/>
      <c r="O537" s="70"/>
      <c r="P537" s="70"/>
      <c r="Q537" s="70"/>
      <c r="R537" s="70"/>
      <c r="S537" s="70"/>
      <c r="T537" s="70"/>
      <c r="U537" s="15"/>
      <c r="V537" s="70"/>
      <c r="W537" s="15"/>
      <c r="X537" s="15"/>
      <c r="Y537" s="15">
        <f t="shared" si="117"/>
        <v>0</v>
      </c>
      <c r="Z537" s="52"/>
      <c r="AA537" s="98">
        <f t="shared" si="118"/>
        <v>0</v>
      </c>
      <c r="AB537" s="52"/>
      <c r="AC537" s="98">
        <f t="shared" si="119"/>
        <v>0</v>
      </c>
      <c r="AD537" s="98">
        <f t="shared" si="120"/>
        <v>0</v>
      </c>
      <c r="AE537" s="238" t="e">
        <f t="shared" si="121"/>
        <v>#DIV/0!</v>
      </c>
      <c r="AF537" s="125" t="e">
        <f t="shared" si="122"/>
        <v>#DIV/0!</v>
      </c>
      <c r="AG537" s="92"/>
    </row>
    <row r="538" spans="1:33" ht="14.4">
      <c r="A538" s="270"/>
      <c r="B538" s="97"/>
      <c r="C538" s="326"/>
      <c r="D538" s="260"/>
      <c r="E538" s="95"/>
      <c r="G538" s="52"/>
      <c r="H538" s="52"/>
      <c r="I538" s="256"/>
      <c r="J538" s="98"/>
      <c r="K538" s="118"/>
      <c r="L538" s="15"/>
      <c r="M538" s="15"/>
      <c r="N538" s="15"/>
      <c r="O538" s="70"/>
      <c r="P538" s="70"/>
      <c r="Q538" s="70"/>
      <c r="R538" s="70"/>
      <c r="S538" s="70"/>
      <c r="T538" s="70"/>
      <c r="U538" s="15"/>
      <c r="V538" s="70"/>
      <c r="W538" s="15"/>
      <c r="X538" s="15"/>
      <c r="Y538" s="15">
        <f t="shared" si="117"/>
        <v>0</v>
      </c>
      <c r="Z538" s="52"/>
      <c r="AA538" s="98">
        <f t="shared" si="118"/>
        <v>0</v>
      </c>
      <c r="AB538" s="52"/>
      <c r="AC538" s="98">
        <f t="shared" si="119"/>
        <v>0</v>
      </c>
      <c r="AD538" s="98">
        <f t="shared" si="120"/>
        <v>0</v>
      </c>
      <c r="AE538" s="238" t="e">
        <f t="shared" si="121"/>
        <v>#DIV/0!</v>
      </c>
      <c r="AF538" s="125" t="e">
        <f t="shared" si="122"/>
        <v>#DIV/0!</v>
      </c>
      <c r="AG538" s="92"/>
    </row>
    <row r="539" spans="1:33" ht="14.4">
      <c r="A539" s="270"/>
      <c r="B539" s="97"/>
      <c r="C539" s="326"/>
      <c r="D539" s="260"/>
      <c r="E539" s="95"/>
      <c r="G539" s="52"/>
      <c r="H539" s="52"/>
      <c r="I539" s="256"/>
      <c r="J539" s="98"/>
      <c r="K539" s="118"/>
      <c r="L539" s="15"/>
      <c r="M539" s="15"/>
      <c r="N539" s="15"/>
      <c r="O539" s="70"/>
      <c r="P539" s="70"/>
      <c r="Q539" s="70"/>
      <c r="R539" s="70"/>
      <c r="S539" s="70"/>
      <c r="T539" s="70"/>
      <c r="U539" s="15"/>
      <c r="V539" s="70"/>
      <c r="W539" s="15"/>
      <c r="X539" s="15"/>
      <c r="Y539" s="15">
        <f t="shared" si="117"/>
        <v>0</v>
      </c>
      <c r="Z539" s="52"/>
      <c r="AA539" s="98">
        <f t="shared" si="118"/>
        <v>0</v>
      </c>
      <c r="AB539" s="52"/>
      <c r="AC539" s="98">
        <f t="shared" si="119"/>
        <v>0</v>
      </c>
      <c r="AD539" s="98">
        <f t="shared" si="120"/>
        <v>0</v>
      </c>
      <c r="AE539" s="238" t="e">
        <f t="shared" si="121"/>
        <v>#DIV/0!</v>
      </c>
      <c r="AF539" s="125" t="e">
        <f t="shared" si="122"/>
        <v>#DIV/0!</v>
      </c>
      <c r="AG539" s="92"/>
    </row>
    <row r="540" spans="1:33" ht="14.4">
      <c r="A540" s="270"/>
      <c r="B540" s="97"/>
      <c r="C540" s="326"/>
      <c r="D540" s="260"/>
      <c r="E540" s="95"/>
      <c r="G540" s="52"/>
      <c r="H540" s="52"/>
      <c r="I540" s="256"/>
      <c r="J540" s="98"/>
      <c r="K540" s="118"/>
      <c r="L540" s="15"/>
      <c r="M540" s="15"/>
      <c r="N540" s="15"/>
      <c r="O540" s="70"/>
      <c r="P540" s="70"/>
      <c r="Q540" s="70"/>
      <c r="R540" s="70"/>
      <c r="S540" s="70"/>
      <c r="T540" s="70"/>
      <c r="U540" s="15"/>
      <c r="V540" s="70"/>
      <c r="W540" s="15"/>
      <c r="X540" s="15"/>
      <c r="Y540" s="15">
        <f t="shared" si="117"/>
        <v>0</v>
      </c>
      <c r="Z540" s="52"/>
      <c r="AA540" s="98">
        <f t="shared" si="118"/>
        <v>0</v>
      </c>
      <c r="AB540" s="52"/>
      <c r="AC540" s="98">
        <f t="shared" si="119"/>
        <v>0</v>
      </c>
      <c r="AD540" s="98">
        <f t="shared" si="120"/>
        <v>0</v>
      </c>
      <c r="AE540" s="238" t="e">
        <f t="shared" si="121"/>
        <v>#DIV/0!</v>
      </c>
      <c r="AF540" s="125" t="e">
        <f t="shared" si="122"/>
        <v>#DIV/0!</v>
      </c>
      <c r="AG540" s="92"/>
    </row>
    <row r="541" spans="1:33" ht="14.4">
      <c r="A541" s="270"/>
      <c r="B541" s="97"/>
      <c r="C541" s="326"/>
      <c r="D541" s="260"/>
      <c r="E541" s="95"/>
      <c r="G541" s="52"/>
      <c r="H541" s="52"/>
      <c r="I541" s="256"/>
      <c r="J541" s="98"/>
      <c r="K541" s="118"/>
      <c r="L541" s="15"/>
      <c r="M541" s="15"/>
      <c r="N541" s="15"/>
      <c r="O541" s="70"/>
      <c r="P541" s="70"/>
      <c r="Q541" s="70"/>
      <c r="R541" s="70"/>
      <c r="S541" s="70"/>
      <c r="T541" s="70"/>
      <c r="U541" s="15"/>
      <c r="V541" s="70"/>
      <c r="W541" s="15"/>
      <c r="X541" s="15"/>
      <c r="Y541" s="15">
        <f t="shared" si="117"/>
        <v>0</v>
      </c>
      <c r="Z541" s="52"/>
      <c r="AA541" s="98">
        <f t="shared" si="118"/>
        <v>0</v>
      </c>
      <c r="AB541" s="52"/>
      <c r="AC541" s="98">
        <f t="shared" si="119"/>
        <v>0</v>
      </c>
      <c r="AD541" s="98">
        <f t="shared" si="120"/>
        <v>0</v>
      </c>
      <c r="AE541" s="238" t="e">
        <f t="shared" si="121"/>
        <v>#DIV/0!</v>
      </c>
      <c r="AF541" s="125" t="e">
        <f t="shared" si="122"/>
        <v>#DIV/0!</v>
      </c>
      <c r="AG541" s="92"/>
    </row>
    <row r="542" spans="1:33" ht="14.4">
      <c r="A542" s="270"/>
      <c r="B542" s="97"/>
      <c r="C542" s="326"/>
      <c r="D542" s="260"/>
      <c r="E542" s="95"/>
      <c r="G542" s="52"/>
      <c r="H542" s="52"/>
      <c r="I542" s="256"/>
      <c r="J542" s="98"/>
      <c r="K542" s="118"/>
      <c r="L542" s="15"/>
      <c r="M542" s="15"/>
      <c r="N542" s="15"/>
      <c r="O542" s="70"/>
      <c r="P542" s="70"/>
      <c r="Q542" s="70"/>
      <c r="R542" s="70"/>
      <c r="S542" s="70"/>
      <c r="T542" s="70"/>
      <c r="U542" s="15"/>
      <c r="V542" s="70"/>
      <c r="W542" s="15"/>
      <c r="X542" s="15"/>
      <c r="Y542" s="15">
        <f t="shared" si="117"/>
        <v>0</v>
      </c>
      <c r="Z542" s="52"/>
      <c r="AA542" s="98">
        <f t="shared" si="118"/>
        <v>0</v>
      </c>
      <c r="AB542" s="52"/>
      <c r="AC542" s="98">
        <f t="shared" si="119"/>
        <v>0</v>
      </c>
      <c r="AD542" s="98">
        <f t="shared" si="120"/>
        <v>0</v>
      </c>
      <c r="AE542" s="238" t="e">
        <f t="shared" si="121"/>
        <v>#DIV/0!</v>
      </c>
      <c r="AF542" s="125" t="e">
        <f t="shared" si="122"/>
        <v>#DIV/0!</v>
      </c>
      <c r="AG542" s="92"/>
    </row>
    <row r="543" spans="1:33" ht="14.4">
      <c r="A543" s="270"/>
      <c r="B543" s="97"/>
      <c r="C543" s="326"/>
      <c r="D543" s="260"/>
      <c r="E543" s="95"/>
      <c r="G543" s="52"/>
      <c r="H543" s="52"/>
      <c r="I543" s="256"/>
      <c r="J543" s="98"/>
      <c r="K543" s="118"/>
      <c r="L543" s="15"/>
      <c r="M543" s="15"/>
      <c r="N543" s="15"/>
      <c r="O543" s="70"/>
      <c r="P543" s="70"/>
      <c r="Q543" s="70"/>
      <c r="R543" s="70"/>
      <c r="S543" s="70"/>
      <c r="T543" s="70"/>
      <c r="U543" s="15"/>
      <c r="V543" s="70"/>
      <c r="W543" s="15"/>
      <c r="X543" s="15"/>
      <c r="Y543" s="15">
        <f t="shared" si="117"/>
        <v>0</v>
      </c>
      <c r="Z543" s="52"/>
      <c r="AA543" s="98">
        <f t="shared" si="118"/>
        <v>0</v>
      </c>
      <c r="AB543" s="52"/>
      <c r="AC543" s="98">
        <f t="shared" si="119"/>
        <v>0</v>
      </c>
      <c r="AD543" s="98">
        <f t="shared" si="120"/>
        <v>0</v>
      </c>
      <c r="AE543" s="238" t="e">
        <f t="shared" si="121"/>
        <v>#DIV/0!</v>
      </c>
      <c r="AF543" s="125" t="e">
        <f t="shared" si="122"/>
        <v>#DIV/0!</v>
      </c>
      <c r="AG543" s="92"/>
    </row>
    <row r="544" spans="1:33" ht="14.4">
      <c r="A544" s="270"/>
      <c r="B544" s="97"/>
      <c r="C544" s="326"/>
      <c r="D544" s="260"/>
      <c r="E544" s="95"/>
      <c r="G544" s="52"/>
      <c r="H544" s="52"/>
      <c r="I544" s="256"/>
      <c r="J544" s="98"/>
      <c r="K544" s="118"/>
      <c r="L544" s="15"/>
      <c r="M544" s="15"/>
      <c r="N544" s="15"/>
      <c r="O544" s="70"/>
      <c r="P544" s="70"/>
      <c r="Q544" s="70"/>
      <c r="R544" s="70"/>
      <c r="S544" s="70"/>
      <c r="T544" s="70"/>
      <c r="U544" s="15"/>
      <c r="V544" s="70"/>
      <c r="W544" s="15"/>
      <c r="X544" s="15"/>
      <c r="Y544" s="15">
        <f t="shared" si="117"/>
        <v>0</v>
      </c>
      <c r="Z544" s="52"/>
      <c r="AA544" s="98">
        <f t="shared" si="118"/>
        <v>0</v>
      </c>
      <c r="AB544" s="52"/>
      <c r="AC544" s="98">
        <f t="shared" si="119"/>
        <v>0</v>
      </c>
      <c r="AD544" s="98">
        <f t="shared" si="120"/>
        <v>0</v>
      </c>
      <c r="AE544" s="238" t="e">
        <f t="shared" si="121"/>
        <v>#DIV/0!</v>
      </c>
      <c r="AF544" s="125" t="e">
        <f t="shared" si="122"/>
        <v>#DIV/0!</v>
      </c>
      <c r="AG544" s="92"/>
    </row>
    <row r="545" spans="1:33" ht="14.4">
      <c r="A545" s="270"/>
      <c r="B545" s="97"/>
      <c r="C545" s="326"/>
      <c r="D545" s="260"/>
      <c r="E545" s="95"/>
      <c r="G545" s="52"/>
      <c r="H545" s="52"/>
      <c r="I545" s="256"/>
      <c r="J545" s="98"/>
      <c r="K545" s="118"/>
      <c r="L545" s="15"/>
      <c r="M545" s="15"/>
      <c r="N545" s="15"/>
      <c r="O545" s="70"/>
      <c r="P545" s="70"/>
      <c r="Q545" s="70"/>
      <c r="R545" s="70"/>
      <c r="S545" s="70"/>
      <c r="T545" s="70"/>
      <c r="U545" s="15"/>
      <c r="V545" s="70"/>
      <c r="W545" s="15"/>
      <c r="X545" s="15"/>
      <c r="Y545" s="15">
        <f t="shared" si="117"/>
        <v>0</v>
      </c>
      <c r="Z545" s="52"/>
      <c r="AA545" s="98">
        <f t="shared" si="118"/>
        <v>0</v>
      </c>
      <c r="AB545" s="52"/>
      <c r="AC545" s="98">
        <f t="shared" si="119"/>
        <v>0</v>
      </c>
      <c r="AD545" s="98">
        <f t="shared" si="120"/>
        <v>0</v>
      </c>
      <c r="AE545" s="238" t="e">
        <f t="shared" si="121"/>
        <v>#DIV/0!</v>
      </c>
      <c r="AF545" s="125" t="e">
        <f t="shared" si="122"/>
        <v>#DIV/0!</v>
      </c>
      <c r="AG545" s="92"/>
    </row>
    <row r="546" spans="1:33" ht="14.4">
      <c r="A546" s="270"/>
      <c r="B546" s="97"/>
      <c r="C546" s="326"/>
      <c r="D546" s="260"/>
      <c r="E546" s="95"/>
      <c r="G546" s="52"/>
      <c r="H546" s="52"/>
      <c r="I546" s="256"/>
      <c r="J546" s="98"/>
      <c r="K546" s="118"/>
      <c r="L546" s="15"/>
      <c r="M546" s="15"/>
      <c r="N546" s="15"/>
      <c r="O546" s="70"/>
      <c r="P546" s="70"/>
      <c r="Q546" s="70"/>
      <c r="R546" s="70"/>
      <c r="S546" s="70"/>
      <c r="T546" s="70"/>
      <c r="U546" s="15"/>
      <c r="V546" s="70"/>
      <c r="W546" s="15"/>
      <c r="X546" s="15"/>
      <c r="Y546" s="15">
        <f t="shared" si="117"/>
        <v>0</v>
      </c>
      <c r="Z546" s="52"/>
      <c r="AA546" s="98">
        <f t="shared" si="118"/>
        <v>0</v>
      </c>
      <c r="AB546" s="52"/>
      <c r="AC546" s="98">
        <f t="shared" si="119"/>
        <v>0</v>
      </c>
      <c r="AD546" s="98">
        <f t="shared" si="120"/>
        <v>0</v>
      </c>
      <c r="AE546" s="238" t="e">
        <f t="shared" si="121"/>
        <v>#DIV/0!</v>
      </c>
      <c r="AF546" s="125" t="e">
        <f t="shared" si="122"/>
        <v>#DIV/0!</v>
      </c>
      <c r="AG546" s="92"/>
    </row>
    <row r="547" spans="1:33" ht="14.4">
      <c r="A547" s="270"/>
      <c r="B547" s="97"/>
      <c r="C547" s="326"/>
      <c r="D547" s="260"/>
      <c r="E547" s="95"/>
      <c r="G547" s="52"/>
      <c r="H547" s="52"/>
      <c r="I547" s="256"/>
      <c r="J547" s="98"/>
      <c r="K547" s="118"/>
      <c r="L547" s="15"/>
      <c r="M547" s="15"/>
      <c r="N547" s="15"/>
      <c r="O547" s="70"/>
      <c r="P547" s="70"/>
      <c r="Q547" s="70"/>
      <c r="R547" s="70"/>
      <c r="S547" s="70"/>
      <c r="T547" s="70"/>
      <c r="U547" s="15"/>
      <c r="V547" s="70"/>
      <c r="W547" s="15"/>
      <c r="X547" s="15"/>
      <c r="Y547" s="15">
        <f t="shared" si="117"/>
        <v>0</v>
      </c>
      <c r="Z547" s="52"/>
      <c r="AA547" s="98">
        <f t="shared" si="118"/>
        <v>0</v>
      </c>
      <c r="AB547" s="52"/>
      <c r="AC547" s="98">
        <f t="shared" si="119"/>
        <v>0</v>
      </c>
      <c r="AD547" s="98">
        <f t="shared" si="120"/>
        <v>0</v>
      </c>
      <c r="AE547" s="238" t="e">
        <f t="shared" si="121"/>
        <v>#DIV/0!</v>
      </c>
      <c r="AF547" s="125" t="e">
        <f t="shared" si="122"/>
        <v>#DIV/0!</v>
      </c>
      <c r="AG547" s="92"/>
    </row>
    <row r="548" spans="1:33" ht="14.4">
      <c r="A548" s="270"/>
      <c r="B548" s="97"/>
      <c r="C548" s="326"/>
      <c r="D548" s="260"/>
      <c r="E548" s="95"/>
      <c r="G548" s="52"/>
      <c r="H548" s="52"/>
      <c r="I548" s="256"/>
      <c r="J548" s="98"/>
      <c r="K548" s="118"/>
      <c r="L548" s="15"/>
      <c r="M548" s="15"/>
      <c r="N548" s="15"/>
      <c r="O548" s="70"/>
      <c r="P548" s="70"/>
      <c r="Q548" s="70"/>
      <c r="R548" s="70"/>
      <c r="S548" s="70"/>
      <c r="T548" s="70"/>
      <c r="U548" s="15"/>
      <c r="V548" s="70"/>
      <c r="W548" s="15"/>
      <c r="X548" s="15"/>
      <c r="Y548" s="15">
        <f t="shared" si="117"/>
        <v>0</v>
      </c>
      <c r="Z548" s="52"/>
      <c r="AA548" s="98">
        <f t="shared" si="118"/>
        <v>0</v>
      </c>
      <c r="AB548" s="52"/>
      <c r="AC548" s="98">
        <f t="shared" si="119"/>
        <v>0</v>
      </c>
      <c r="AD548" s="98">
        <f t="shared" si="120"/>
        <v>0</v>
      </c>
      <c r="AE548" s="238" t="e">
        <f t="shared" si="121"/>
        <v>#DIV/0!</v>
      </c>
      <c r="AF548" s="125" t="e">
        <f t="shared" si="122"/>
        <v>#DIV/0!</v>
      </c>
      <c r="AG548" s="92"/>
    </row>
    <row r="549" spans="1:33" ht="14.4">
      <c r="A549" s="270"/>
      <c r="B549" s="97"/>
      <c r="C549" s="326"/>
      <c r="D549" s="260"/>
      <c r="E549" s="95"/>
      <c r="G549" s="52"/>
      <c r="H549" s="52"/>
      <c r="I549" s="256"/>
      <c r="J549" s="98"/>
      <c r="K549" s="118"/>
      <c r="L549" s="15"/>
      <c r="M549" s="15"/>
      <c r="N549" s="15"/>
      <c r="O549" s="70"/>
      <c r="P549" s="70"/>
      <c r="Q549" s="70"/>
      <c r="R549" s="70"/>
      <c r="S549" s="70"/>
      <c r="T549" s="70"/>
      <c r="U549" s="15"/>
      <c r="V549" s="70"/>
      <c r="W549" s="15"/>
      <c r="X549" s="15"/>
      <c r="Y549" s="15">
        <f t="shared" si="117"/>
        <v>0</v>
      </c>
      <c r="Z549" s="52"/>
      <c r="AA549" s="98">
        <f t="shared" si="118"/>
        <v>0</v>
      </c>
      <c r="AB549" s="52"/>
      <c r="AC549" s="98">
        <f t="shared" si="119"/>
        <v>0</v>
      </c>
      <c r="AD549" s="98">
        <f t="shared" si="120"/>
        <v>0</v>
      </c>
      <c r="AE549" s="238" t="e">
        <f t="shared" si="121"/>
        <v>#DIV/0!</v>
      </c>
      <c r="AF549" s="125" t="e">
        <f t="shared" si="122"/>
        <v>#DIV/0!</v>
      </c>
      <c r="AG549" s="92"/>
    </row>
    <row r="550" spans="1:33" ht="14.4">
      <c r="A550" s="270"/>
      <c r="B550" s="97"/>
      <c r="C550" s="326"/>
      <c r="D550" s="260"/>
      <c r="E550" s="95"/>
      <c r="G550" s="52"/>
      <c r="H550" s="52"/>
      <c r="I550" s="256"/>
      <c r="J550" s="98"/>
      <c r="K550" s="118"/>
      <c r="L550" s="15"/>
      <c r="M550" s="15"/>
      <c r="N550" s="15"/>
      <c r="O550" s="70"/>
      <c r="P550" s="70"/>
      <c r="Q550" s="70"/>
      <c r="R550" s="70"/>
      <c r="S550" s="70"/>
      <c r="T550" s="70"/>
      <c r="U550" s="15"/>
      <c r="V550" s="70"/>
      <c r="W550" s="15"/>
      <c r="X550" s="15"/>
      <c r="Y550" s="15">
        <f t="shared" si="117"/>
        <v>0</v>
      </c>
      <c r="Z550" s="52"/>
      <c r="AA550" s="98">
        <f t="shared" si="118"/>
        <v>0</v>
      </c>
      <c r="AB550" s="52"/>
      <c r="AC550" s="98">
        <f t="shared" si="119"/>
        <v>0</v>
      </c>
      <c r="AD550" s="98">
        <f t="shared" si="120"/>
        <v>0</v>
      </c>
      <c r="AE550" s="238" t="e">
        <f t="shared" si="121"/>
        <v>#DIV/0!</v>
      </c>
      <c r="AF550" s="125" t="e">
        <f t="shared" si="122"/>
        <v>#DIV/0!</v>
      </c>
      <c r="AG550" s="92"/>
    </row>
    <row r="551" spans="1:33" ht="14.4">
      <c r="A551" s="270"/>
      <c r="B551" s="97"/>
      <c r="C551" s="326"/>
      <c r="D551" s="260"/>
      <c r="E551" s="95"/>
      <c r="G551" s="52"/>
      <c r="H551" s="52"/>
      <c r="I551" s="256"/>
      <c r="J551" s="98"/>
      <c r="K551" s="118"/>
      <c r="L551" s="15"/>
      <c r="M551" s="15"/>
      <c r="N551" s="15"/>
      <c r="O551" s="70"/>
      <c r="P551" s="70"/>
      <c r="Q551" s="70"/>
      <c r="R551" s="70"/>
      <c r="S551" s="70"/>
      <c r="T551" s="70"/>
      <c r="U551" s="15"/>
      <c r="V551" s="70"/>
      <c r="W551" s="15"/>
      <c r="X551" s="15"/>
      <c r="Y551" s="15">
        <f t="shared" si="117"/>
        <v>0</v>
      </c>
      <c r="Z551" s="52"/>
      <c r="AA551" s="98">
        <f t="shared" si="118"/>
        <v>0</v>
      </c>
      <c r="AB551" s="52"/>
      <c r="AC551" s="98">
        <f t="shared" si="119"/>
        <v>0</v>
      </c>
      <c r="AD551" s="98">
        <f t="shared" si="120"/>
        <v>0</v>
      </c>
      <c r="AE551" s="238" t="e">
        <f t="shared" si="121"/>
        <v>#DIV/0!</v>
      </c>
      <c r="AF551" s="125" t="e">
        <f t="shared" si="122"/>
        <v>#DIV/0!</v>
      </c>
      <c r="AG551" s="92"/>
    </row>
    <row r="552" spans="1:33" ht="14.4">
      <c r="A552" s="270"/>
      <c r="B552" s="97"/>
      <c r="C552" s="326"/>
      <c r="D552" s="260"/>
      <c r="E552" s="95"/>
      <c r="G552" s="52"/>
      <c r="H552" s="52"/>
      <c r="I552" s="256"/>
      <c r="J552" s="98"/>
      <c r="K552" s="118"/>
      <c r="L552" s="15"/>
      <c r="M552" s="15"/>
      <c r="N552" s="15"/>
      <c r="O552" s="70"/>
      <c r="P552" s="70"/>
      <c r="Q552" s="70"/>
      <c r="R552" s="70"/>
      <c r="S552" s="70"/>
      <c r="T552" s="70"/>
      <c r="U552" s="15"/>
      <c r="V552" s="70"/>
      <c r="W552" s="15"/>
      <c r="X552" s="15"/>
      <c r="Y552" s="15">
        <f t="shared" si="117"/>
        <v>0</v>
      </c>
      <c r="Z552" s="52"/>
      <c r="AA552" s="98">
        <f t="shared" si="118"/>
        <v>0</v>
      </c>
      <c r="AB552" s="52"/>
      <c r="AC552" s="98">
        <f t="shared" si="119"/>
        <v>0</v>
      </c>
      <c r="AD552" s="98">
        <f t="shared" si="120"/>
        <v>0</v>
      </c>
      <c r="AE552" s="238" t="e">
        <f t="shared" si="121"/>
        <v>#DIV/0!</v>
      </c>
      <c r="AF552" s="125" t="e">
        <f t="shared" si="122"/>
        <v>#DIV/0!</v>
      </c>
      <c r="AG552" s="92"/>
    </row>
    <row r="553" spans="1:33" ht="14.4">
      <c r="A553" s="270"/>
      <c r="B553" s="97"/>
      <c r="C553" s="326"/>
      <c r="D553" s="260"/>
      <c r="E553" s="95"/>
      <c r="G553" s="52"/>
      <c r="H553" s="52"/>
      <c r="I553" s="256"/>
      <c r="J553" s="98"/>
      <c r="K553" s="118"/>
      <c r="L553" s="15"/>
      <c r="M553" s="15"/>
      <c r="N553" s="15"/>
      <c r="O553" s="70"/>
      <c r="P553" s="70"/>
      <c r="Q553" s="70"/>
      <c r="R553" s="70"/>
      <c r="S553" s="70"/>
      <c r="T553" s="70"/>
      <c r="U553" s="15"/>
      <c r="V553" s="70"/>
      <c r="W553" s="15"/>
      <c r="X553" s="15"/>
      <c r="Y553" s="15">
        <f t="shared" si="117"/>
        <v>0</v>
      </c>
      <c r="Z553" s="52"/>
      <c r="AA553" s="98">
        <f t="shared" si="118"/>
        <v>0</v>
      </c>
      <c r="AB553" s="52"/>
      <c r="AC553" s="98">
        <f t="shared" si="119"/>
        <v>0</v>
      </c>
      <c r="AD553" s="98">
        <f t="shared" si="120"/>
        <v>0</v>
      </c>
      <c r="AE553" s="238" t="e">
        <f t="shared" si="121"/>
        <v>#DIV/0!</v>
      </c>
      <c r="AF553" s="125" t="e">
        <f t="shared" si="122"/>
        <v>#DIV/0!</v>
      </c>
      <c r="AG553" s="92"/>
    </row>
    <row r="554" spans="1:33" ht="14.4">
      <c r="A554" s="270"/>
      <c r="B554" s="97"/>
      <c r="C554" s="326"/>
      <c r="D554" s="260"/>
      <c r="E554" s="95"/>
      <c r="G554" s="52"/>
      <c r="H554" s="52"/>
      <c r="I554" s="256"/>
      <c r="J554" s="98"/>
      <c r="K554" s="118"/>
      <c r="L554" s="15"/>
      <c r="M554" s="15"/>
      <c r="N554" s="15"/>
      <c r="O554" s="70"/>
      <c r="P554" s="70"/>
      <c r="Q554" s="70"/>
      <c r="R554" s="70"/>
      <c r="S554" s="70"/>
      <c r="T554" s="70"/>
      <c r="U554" s="15"/>
      <c r="V554" s="70"/>
      <c r="W554" s="15"/>
      <c r="X554" s="15"/>
      <c r="Y554" s="15">
        <f t="shared" si="117"/>
        <v>0</v>
      </c>
      <c r="Z554" s="52"/>
      <c r="AA554" s="98">
        <f t="shared" si="118"/>
        <v>0</v>
      </c>
      <c r="AB554" s="52"/>
      <c r="AC554" s="98">
        <f t="shared" si="119"/>
        <v>0</v>
      </c>
      <c r="AD554" s="98">
        <f t="shared" si="120"/>
        <v>0</v>
      </c>
      <c r="AE554" s="238" t="e">
        <f t="shared" si="121"/>
        <v>#DIV/0!</v>
      </c>
      <c r="AF554" s="125" t="e">
        <f t="shared" si="122"/>
        <v>#DIV/0!</v>
      </c>
      <c r="AG554" s="92"/>
    </row>
    <row r="555" spans="1:33" ht="14.4">
      <c r="A555" s="270"/>
      <c r="B555" s="97"/>
      <c r="C555" s="326"/>
      <c r="D555" s="260"/>
      <c r="E555" s="95"/>
      <c r="G555" s="52"/>
      <c r="H555" s="52"/>
      <c r="I555" s="256"/>
      <c r="J555" s="98"/>
      <c r="K555" s="118"/>
      <c r="L555" s="15"/>
      <c r="M555" s="15"/>
      <c r="N555" s="15"/>
      <c r="O555" s="70"/>
      <c r="P555" s="70"/>
      <c r="Q555" s="70"/>
      <c r="R555" s="70"/>
      <c r="S555" s="70"/>
      <c r="T555" s="70"/>
      <c r="U555" s="15"/>
      <c r="V555" s="70"/>
      <c r="W555" s="15"/>
      <c r="X555" s="15"/>
      <c r="Y555" s="15">
        <f t="shared" si="117"/>
        <v>0</v>
      </c>
      <c r="Z555" s="52"/>
      <c r="AA555" s="98">
        <f t="shared" si="118"/>
        <v>0</v>
      </c>
      <c r="AB555" s="52"/>
      <c r="AC555" s="98">
        <f t="shared" si="119"/>
        <v>0</v>
      </c>
      <c r="AD555" s="98">
        <f t="shared" si="120"/>
        <v>0</v>
      </c>
      <c r="AE555" s="238" t="e">
        <f t="shared" si="121"/>
        <v>#DIV/0!</v>
      </c>
      <c r="AF555" s="125" t="e">
        <f t="shared" si="122"/>
        <v>#DIV/0!</v>
      </c>
      <c r="AG555" s="92"/>
    </row>
    <row r="556" spans="1:33" ht="14.4">
      <c r="A556" s="270"/>
      <c r="B556" s="97"/>
      <c r="C556" s="326"/>
      <c r="D556" s="260"/>
      <c r="E556" s="95"/>
      <c r="G556" s="52"/>
      <c r="H556" s="52"/>
      <c r="I556" s="256"/>
      <c r="J556" s="98"/>
      <c r="K556" s="118"/>
      <c r="L556" s="15"/>
      <c r="M556" s="15"/>
      <c r="N556" s="15"/>
      <c r="O556" s="70"/>
      <c r="P556" s="70"/>
      <c r="Q556" s="70"/>
      <c r="R556" s="70"/>
      <c r="S556" s="70"/>
      <c r="T556" s="70"/>
      <c r="U556" s="15"/>
      <c r="V556" s="70"/>
      <c r="W556" s="15"/>
      <c r="X556" s="15"/>
      <c r="Y556" s="15">
        <f t="shared" si="117"/>
        <v>0</v>
      </c>
      <c r="Z556" s="52"/>
      <c r="AA556" s="98">
        <f t="shared" si="118"/>
        <v>0</v>
      </c>
      <c r="AB556" s="52"/>
      <c r="AC556" s="98">
        <f t="shared" si="119"/>
        <v>0</v>
      </c>
      <c r="AD556" s="98">
        <f t="shared" si="120"/>
        <v>0</v>
      </c>
      <c r="AE556" s="238" t="e">
        <f t="shared" si="121"/>
        <v>#DIV/0!</v>
      </c>
      <c r="AF556" s="125" t="e">
        <f t="shared" si="122"/>
        <v>#DIV/0!</v>
      </c>
      <c r="AG556" s="92"/>
    </row>
    <row r="557" spans="1:33" ht="14.4">
      <c r="A557" s="270"/>
      <c r="B557" s="97"/>
      <c r="C557" s="326"/>
      <c r="D557" s="260"/>
      <c r="E557" s="95"/>
      <c r="G557" s="52"/>
      <c r="H557" s="52"/>
      <c r="I557" s="256"/>
      <c r="J557" s="98"/>
      <c r="K557" s="118"/>
      <c r="L557" s="15"/>
      <c r="M557" s="15"/>
      <c r="N557" s="15"/>
      <c r="O557" s="70"/>
      <c r="P557" s="70"/>
      <c r="Q557" s="70"/>
      <c r="R557" s="70"/>
      <c r="S557" s="70"/>
      <c r="T557" s="70"/>
      <c r="U557" s="15"/>
      <c r="V557" s="70"/>
      <c r="W557" s="15"/>
      <c r="X557" s="15"/>
      <c r="Y557" s="15">
        <f t="shared" si="117"/>
        <v>0</v>
      </c>
      <c r="Z557" s="52"/>
      <c r="AA557" s="98">
        <f t="shared" si="118"/>
        <v>0</v>
      </c>
      <c r="AB557" s="52"/>
      <c r="AC557" s="98">
        <f t="shared" si="119"/>
        <v>0</v>
      </c>
      <c r="AD557" s="98">
        <f t="shared" si="120"/>
        <v>0</v>
      </c>
      <c r="AE557" s="238" t="e">
        <f t="shared" si="121"/>
        <v>#DIV/0!</v>
      </c>
      <c r="AF557" s="125" t="e">
        <f t="shared" si="122"/>
        <v>#DIV/0!</v>
      </c>
      <c r="AG557" s="92"/>
    </row>
    <row r="558" spans="1:33" ht="14.4">
      <c r="A558" s="270"/>
      <c r="B558" s="97"/>
      <c r="C558" s="326"/>
      <c r="D558" s="260"/>
      <c r="E558" s="95"/>
      <c r="G558" s="52"/>
      <c r="H558" s="52"/>
      <c r="I558" s="256"/>
      <c r="J558" s="98"/>
      <c r="K558" s="118"/>
      <c r="L558" s="15"/>
      <c r="M558" s="15"/>
      <c r="N558" s="15"/>
      <c r="O558" s="70"/>
      <c r="P558" s="70"/>
      <c r="Q558" s="70"/>
      <c r="R558" s="70"/>
      <c r="S558" s="70"/>
      <c r="T558" s="70"/>
      <c r="U558" s="15"/>
      <c r="V558" s="70"/>
      <c r="W558" s="15"/>
      <c r="X558" s="15"/>
      <c r="Y558" s="15">
        <f t="shared" si="117"/>
        <v>0</v>
      </c>
      <c r="Z558" s="52"/>
      <c r="AA558" s="98">
        <f t="shared" si="118"/>
        <v>0</v>
      </c>
      <c r="AB558" s="52"/>
      <c r="AC558" s="98">
        <f t="shared" si="119"/>
        <v>0</v>
      </c>
      <c r="AD558" s="98">
        <f t="shared" si="120"/>
        <v>0</v>
      </c>
      <c r="AE558" s="238" t="e">
        <f t="shared" si="121"/>
        <v>#DIV/0!</v>
      </c>
      <c r="AF558" s="125" t="e">
        <f t="shared" si="122"/>
        <v>#DIV/0!</v>
      </c>
      <c r="AG558" s="92"/>
    </row>
    <row r="559" spans="1:33" ht="14.4">
      <c r="A559" s="270"/>
      <c r="B559" s="97"/>
      <c r="C559" s="326"/>
      <c r="D559" s="260"/>
      <c r="E559" s="95"/>
      <c r="G559" s="52"/>
      <c r="H559" s="52"/>
      <c r="I559" s="256"/>
      <c r="J559" s="98"/>
      <c r="K559" s="118"/>
      <c r="L559" s="15"/>
      <c r="M559" s="15"/>
      <c r="N559" s="15"/>
      <c r="O559" s="70"/>
      <c r="P559" s="70"/>
      <c r="Q559" s="70"/>
      <c r="R559" s="70"/>
      <c r="S559" s="70"/>
      <c r="T559" s="70"/>
      <c r="U559" s="15"/>
      <c r="V559" s="70"/>
      <c r="W559" s="15"/>
      <c r="X559" s="15"/>
      <c r="Y559" s="15">
        <f t="shared" si="117"/>
        <v>0</v>
      </c>
      <c r="Z559" s="52"/>
      <c r="AA559" s="98">
        <f t="shared" si="118"/>
        <v>0</v>
      </c>
      <c r="AB559" s="52"/>
      <c r="AC559" s="98">
        <f t="shared" si="119"/>
        <v>0</v>
      </c>
      <c r="AD559" s="98">
        <f t="shared" si="120"/>
        <v>0</v>
      </c>
      <c r="AE559" s="238" t="e">
        <f t="shared" si="121"/>
        <v>#DIV/0!</v>
      </c>
      <c r="AF559" s="125" t="e">
        <f t="shared" si="122"/>
        <v>#DIV/0!</v>
      </c>
      <c r="AG559" s="92"/>
    </row>
    <row r="560" spans="1:33" ht="14.4">
      <c r="A560" s="270"/>
      <c r="B560" s="97"/>
      <c r="C560" s="326"/>
      <c r="D560" s="260"/>
      <c r="E560" s="95"/>
      <c r="G560" s="52"/>
      <c r="H560" s="52"/>
      <c r="I560" s="256"/>
      <c r="J560" s="98"/>
      <c r="K560" s="118"/>
      <c r="L560" s="15"/>
      <c r="M560" s="15"/>
      <c r="N560" s="15"/>
      <c r="O560" s="70"/>
      <c r="P560" s="70"/>
      <c r="Q560" s="70"/>
      <c r="R560" s="70"/>
      <c r="S560" s="70"/>
      <c r="T560" s="70"/>
      <c r="U560" s="15"/>
      <c r="V560" s="70"/>
      <c r="W560" s="15"/>
      <c r="X560" s="15"/>
      <c r="Y560" s="15">
        <f t="shared" si="117"/>
        <v>0</v>
      </c>
      <c r="Z560" s="52"/>
      <c r="AA560" s="98">
        <f t="shared" si="118"/>
        <v>0</v>
      </c>
      <c r="AB560" s="52"/>
      <c r="AC560" s="98">
        <f t="shared" si="119"/>
        <v>0</v>
      </c>
      <c r="AD560" s="98">
        <f t="shared" si="120"/>
        <v>0</v>
      </c>
      <c r="AE560" s="238" t="e">
        <f t="shared" si="121"/>
        <v>#DIV/0!</v>
      </c>
      <c r="AF560" s="125" t="e">
        <f t="shared" si="122"/>
        <v>#DIV/0!</v>
      </c>
      <c r="AG560" s="92"/>
    </row>
    <row r="561" spans="1:33" ht="14.4">
      <c r="A561" s="270"/>
      <c r="B561" s="97"/>
      <c r="C561" s="326"/>
      <c r="D561" s="260"/>
      <c r="E561" s="95"/>
      <c r="G561" s="52"/>
      <c r="H561" s="52"/>
      <c r="I561" s="256"/>
      <c r="J561" s="98"/>
      <c r="K561" s="118"/>
      <c r="L561" s="15"/>
      <c r="M561" s="15"/>
      <c r="N561" s="15"/>
      <c r="O561" s="70"/>
      <c r="P561" s="70"/>
      <c r="Q561" s="70"/>
      <c r="R561" s="70"/>
      <c r="S561" s="70"/>
      <c r="T561" s="70"/>
      <c r="U561" s="15"/>
      <c r="V561" s="70"/>
      <c r="W561" s="15"/>
      <c r="X561" s="15"/>
      <c r="Y561" s="15">
        <f t="shared" si="117"/>
        <v>0</v>
      </c>
      <c r="Z561" s="52"/>
      <c r="AA561" s="98">
        <f t="shared" si="118"/>
        <v>0</v>
      </c>
      <c r="AB561" s="52"/>
      <c r="AC561" s="98">
        <f t="shared" si="119"/>
        <v>0</v>
      </c>
      <c r="AD561" s="98">
        <f t="shared" si="120"/>
        <v>0</v>
      </c>
      <c r="AE561" s="238" t="e">
        <f t="shared" si="121"/>
        <v>#DIV/0!</v>
      </c>
      <c r="AF561" s="125" t="e">
        <f t="shared" si="122"/>
        <v>#DIV/0!</v>
      </c>
      <c r="AG561" s="92"/>
    </row>
    <row r="562" spans="1:33" ht="14.4">
      <c r="A562" s="270"/>
      <c r="B562" s="97"/>
      <c r="C562" s="326"/>
      <c r="D562" s="260"/>
      <c r="E562" s="95"/>
      <c r="G562" s="52"/>
      <c r="H562" s="52"/>
      <c r="I562" s="256"/>
      <c r="J562" s="98"/>
      <c r="K562" s="118"/>
      <c r="L562" s="15"/>
      <c r="M562" s="15"/>
      <c r="N562" s="15"/>
      <c r="O562" s="70"/>
      <c r="P562" s="70"/>
      <c r="Q562" s="70"/>
      <c r="R562" s="70"/>
      <c r="S562" s="70"/>
      <c r="T562" s="70"/>
      <c r="U562" s="15"/>
      <c r="V562" s="70"/>
      <c r="W562" s="15"/>
      <c r="X562" s="15"/>
      <c r="Y562" s="15">
        <f t="shared" si="117"/>
        <v>0</v>
      </c>
      <c r="Z562" s="52"/>
      <c r="AA562" s="98">
        <f t="shared" si="118"/>
        <v>0</v>
      </c>
      <c r="AB562" s="52"/>
      <c r="AC562" s="98">
        <f t="shared" si="119"/>
        <v>0</v>
      </c>
      <c r="AD562" s="98">
        <f t="shared" si="120"/>
        <v>0</v>
      </c>
      <c r="AE562" s="238" t="e">
        <f t="shared" si="121"/>
        <v>#DIV/0!</v>
      </c>
      <c r="AF562" s="125" t="e">
        <f t="shared" si="122"/>
        <v>#DIV/0!</v>
      </c>
      <c r="AG562" s="92"/>
    </row>
    <row r="563" spans="1:33" ht="14.4">
      <c r="A563" s="270"/>
      <c r="B563" s="97"/>
      <c r="C563" s="326"/>
      <c r="D563" s="260"/>
      <c r="E563" s="95"/>
      <c r="G563" s="52"/>
      <c r="H563" s="52"/>
      <c r="I563" s="256"/>
      <c r="J563" s="98"/>
      <c r="K563" s="118"/>
      <c r="L563" s="15"/>
      <c r="M563" s="15"/>
      <c r="N563" s="15"/>
      <c r="O563" s="70"/>
      <c r="P563" s="70"/>
      <c r="Q563" s="70"/>
      <c r="R563" s="70"/>
      <c r="S563" s="70"/>
      <c r="T563" s="70"/>
      <c r="U563" s="15"/>
      <c r="V563" s="70"/>
      <c r="W563" s="15"/>
      <c r="X563" s="15"/>
      <c r="Y563" s="15">
        <f t="shared" si="117"/>
        <v>0</v>
      </c>
      <c r="Z563" s="52"/>
      <c r="AA563" s="98">
        <f t="shared" si="118"/>
        <v>0</v>
      </c>
      <c r="AB563" s="52"/>
      <c r="AC563" s="98">
        <f t="shared" si="119"/>
        <v>0</v>
      </c>
      <c r="AD563" s="98">
        <f t="shared" si="120"/>
        <v>0</v>
      </c>
      <c r="AE563" s="238" t="e">
        <f t="shared" si="121"/>
        <v>#DIV/0!</v>
      </c>
      <c r="AF563" s="125" t="e">
        <f t="shared" si="122"/>
        <v>#DIV/0!</v>
      </c>
      <c r="AG563" s="92"/>
    </row>
    <row r="564" spans="1:33" ht="14.4">
      <c r="A564" s="270"/>
      <c r="B564" s="97"/>
      <c r="C564" s="326"/>
      <c r="D564" s="260"/>
      <c r="E564" s="95"/>
      <c r="G564" s="52"/>
      <c r="H564" s="52"/>
      <c r="I564" s="256"/>
      <c r="J564" s="98"/>
      <c r="K564" s="118"/>
      <c r="L564" s="15"/>
      <c r="M564" s="15"/>
      <c r="N564" s="15"/>
      <c r="O564" s="70"/>
      <c r="P564" s="70"/>
      <c r="Q564" s="70"/>
      <c r="R564" s="70"/>
      <c r="S564" s="70"/>
      <c r="T564" s="70"/>
      <c r="U564" s="15"/>
      <c r="V564" s="70"/>
      <c r="W564" s="15"/>
      <c r="X564" s="15"/>
      <c r="Y564" s="15">
        <f t="shared" si="117"/>
        <v>0</v>
      </c>
      <c r="Z564" s="52"/>
      <c r="AA564" s="98">
        <f t="shared" si="118"/>
        <v>0</v>
      </c>
      <c r="AB564" s="52"/>
      <c r="AC564" s="98">
        <f t="shared" si="119"/>
        <v>0</v>
      </c>
      <c r="AD564" s="98">
        <f t="shared" si="120"/>
        <v>0</v>
      </c>
      <c r="AE564" s="238" t="e">
        <f t="shared" si="121"/>
        <v>#DIV/0!</v>
      </c>
      <c r="AF564" s="125" t="e">
        <f t="shared" si="122"/>
        <v>#DIV/0!</v>
      </c>
      <c r="AG564" s="92"/>
    </row>
    <row r="565" spans="1:33" ht="14.4">
      <c r="A565" s="270"/>
      <c r="B565" s="97"/>
      <c r="C565" s="326"/>
      <c r="D565" s="260"/>
      <c r="E565" s="95"/>
      <c r="G565" s="52"/>
      <c r="H565" s="52"/>
      <c r="I565" s="256"/>
      <c r="J565" s="98"/>
      <c r="K565" s="118"/>
      <c r="L565" s="15"/>
      <c r="M565" s="15"/>
      <c r="N565" s="15"/>
      <c r="O565" s="70"/>
      <c r="P565" s="70"/>
      <c r="Q565" s="70"/>
      <c r="R565" s="70"/>
      <c r="S565" s="70"/>
      <c r="T565" s="70"/>
      <c r="U565" s="15"/>
      <c r="V565" s="70"/>
      <c r="W565" s="15"/>
      <c r="X565" s="15"/>
      <c r="Y565" s="15">
        <f t="shared" si="117"/>
        <v>0</v>
      </c>
      <c r="Z565" s="52"/>
      <c r="AA565" s="98">
        <f t="shared" si="118"/>
        <v>0</v>
      </c>
      <c r="AB565" s="52"/>
      <c r="AC565" s="98">
        <f t="shared" si="119"/>
        <v>0</v>
      </c>
      <c r="AD565" s="98">
        <f t="shared" si="120"/>
        <v>0</v>
      </c>
      <c r="AE565" s="238" t="e">
        <f t="shared" si="121"/>
        <v>#DIV/0!</v>
      </c>
      <c r="AF565" s="125" t="e">
        <f t="shared" si="122"/>
        <v>#DIV/0!</v>
      </c>
      <c r="AG565" s="92"/>
    </row>
    <row r="566" spans="1:33" ht="14.4">
      <c r="A566" s="270"/>
      <c r="B566" s="97"/>
      <c r="C566" s="326"/>
      <c r="D566" s="260"/>
      <c r="E566" s="95"/>
      <c r="G566" s="52"/>
      <c r="H566" s="52"/>
      <c r="I566" s="256"/>
      <c r="J566" s="98"/>
      <c r="K566" s="118"/>
      <c r="L566" s="15"/>
      <c r="M566" s="15"/>
      <c r="N566" s="15"/>
      <c r="O566" s="70"/>
      <c r="P566" s="70"/>
      <c r="Q566" s="70"/>
      <c r="R566" s="70"/>
      <c r="S566" s="70"/>
      <c r="T566" s="70"/>
      <c r="U566" s="15"/>
      <c r="V566" s="70"/>
      <c r="W566" s="15"/>
      <c r="X566" s="15"/>
      <c r="Y566" s="15">
        <f t="shared" si="117"/>
        <v>0</v>
      </c>
      <c r="Z566" s="52"/>
      <c r="AA566" s="98">
        <f t="shared" si="118"/>
        <v>0</v>
      </c>
      <c r="AB566" s="52"/>
      <c r="AC566" s="98">
        <f t="shared" si="119"/>
        <v>0</v>
      </c>
      <c r="AD566" s="98">
        <f t="shared" si="120"/>
        <v>0</v>
      </c>
      <c r="AE566" s="238" t="e">
        <f t="shared" si="121"/>
        <v>#DIV/0!</v>
      </c>
      <c r="AF566" s="125" t="e">
        <f t="shared" si="122"/>
        <v>#DIV/0!</v>
      </c>
      <c r="AG566" s="92"/>
    </row>
    <row r="567" spans="1:33" ht="14.4">
      <c r="A567" s="270"/>
      <c r="B567" s="97"/>
      <c r="C567" s="326"/>
      <c r="D567" s="260"/>
      <c r="E567" s="95"/>
      <c r="G567" s="52"/>
      <c r="H567" s="52"/>
      <c r="I567" s="256"/>
      <c r="J567" s="98"/>
      <c r="K567" s="118"/>
      <c r="L567" s="15"/>
      <c r="M567" s="15"/>
      <c r="N567" s="15"/>
      <c r="O567" s="70"/>
      <c r="P567" s="70"/>
      <c r="Q567" s="70"/>
      <c r="R567" s="70"/>
      <c r="S567" s="70"/>
      <c r="T567" s="70"/>
      <c r="U567" s="15"/>
      <c r="V567" s="70"/>
      <c r="W567" s="15"/>
      <c r="X567" s="15"/>
      <c r="Y567" s="15">
        <f t="shared" si="117"/>
        <v>0</v>
      </c>
      <c r="Z567" s="52"/>
      <c r="AA567" s="98">
        <f t="shared" si="118"/>
        <v>0</v>
      </c>
      <c r="AB567" s="52"/>
      <c r="AC567" s="98">
        <f t="shared" si="119"/>
        <v>0</v>
      </c>
      <c r="AD567" s="98">
        <f t="shared" si="120"/>
        <v>0</v>
      </c>
      <c r="AE567" s="238" t="e">
        <f t="shared" si="121"/>
        <v>#DIV/0!</v>
      </c>
      <c r="AF567" s="125" t="e">
        <f t="shared" si="122"/>
        <v>#DIV/0!</v>
      </c>
      <c r="AG567" s="92"/>
    </row>
    <row r="568" spans="1:33">
      <c r="B568" s="97"/>
      <c r="C568" s="47"/>
      <c r="D568" s="47"/>
      <c r="E568" s="95"/>
      <c r="F568" s="47"/>
      <c r="G568" s="144"/>
      <c r="H568" s="67"/>
      <c r="I568" s="52"/>
      <c r="J568" s="98"/>
      <c r="K568" s="118"/>
      <c r="L568" s="11"/>
      <c r="M568" s="11"/>
      <c r="N568" s="15">
        <f t="shared" ref="N568" si="123">L568-M568</f>
        <v>0</v>
      </c>
      <c r="O568" s="70"/>
      <c r="P568" s="70"/>
      <c r="Q568" s="70">
        <f t="shared" ref="Q568" si="124">N568+P568</f>
        <v>0</v>
      </c>
      <c r="R568" s="70"/>
      <c r="S568" s="70"/>
      <c r="T568" s="70"/>
      <c r="U568" s="70"/>
      <c r="V568" s="70"/>
      <c r="W568" s="15"/>
      <c r="X568" s="48"/>
      <c r="Y568" s="15">
        <f t="shared" ref="Y568" si="125">W568-X568</f>
        <v>0</v>
      </c>
      <c r="Z568" s="52"/>
      <c r="AA568" s="98">
        <f t="shared" ref="AA568" si="126">Y568-Z568</f>
        <v>0</v>
      </c>
      <c r="AB568" s="52"/>
      <c r="AC568" s="98">
        <f t="shared" ref="AC568" si="127">Y568-N568</f>
        <v>0</v>
      </c>
      <c r="AD568" s="98">
        <f t="shared" ref="AD568" si="128">AA568-Q568</f>
        <v>0</v>
      </c>
      <c r="AE568" s="238"/>
      <c r="AF568" s="125"/>
      <c r="AG568" s="92"/>
    </row>
    <row r="569" spans="1:33" ht="14.4" thickBot="1">
      <c r="B569" s="167"/>
      <c r="C569" s="167"/>
      <c r="D569" s="167"/>
      <c r="E569" s="167"/>
      <c r="F569" s="167" t="s">
        <v>30</v>
      </c>
      <c r="G569" s="167"/>
      <c r="H569" s="167"/>
      <c r="I569" s="154"/>
      <c r="J569" s="154"/>
      <c r="K569" s="154"/>
      <c r="L569" s="171">
        <f>SUBTOTAL(9,L5:L568)</f>
        <v>0</v>
      </c>
      <c r="M569" s="171"/>
      <c r="N569" s="171">
        <f>SUBTOTAL(9,N5:N568)</f>
        <v>0</v>
      </c>
      <c r="O569" s="155"/>
      <c r="P569" s="171" t="e">
        <f>SUBTOTAL(9,P5:P568)</f>
        <v>#N/A</v>
      </c>
      <c r="Q569" s="171" t="e">
        <f>SUBTOTAL(9,Q5:Q568)</f>
        <v>#N/A</v>
      </c>
      <c r="R569" s="155"/>
      <c r="S569" s="155"/>
      <c r="T569" s="171">
        <f>SUBTOTAL(9,T5:T568)</f>
        <v>0</v>
      </c>
      <c r="U569" s="171">
        <f>SUBTOTAL(9,U5:U568)</f>
        <v>0</v>
      </c>
      <c r="V569" s="155"/>
      <c r="W569" s="166">
        <f>SUBTOTAL(9,W5:W568)</f>
        <v>0</v>
      </c>
      <c r="X569" s="171"/>
      <c r="Y569" s="171">
        <f>SUBTOTAL(9,Y5:Y568)</f>
        <v>0</v>
      </c>
      <c r="Z569" s="171">
        <f>SUBTOTAL(9,Z5:Z568)</f>
        <v>0</v>
      </c>
      <c r="AA569" s="171">
        <f>SUBTOTAL(9,AA5:AA568)</f>
        <v>0</v>
      </c>
      <c r="AB569" s="171"/>
      <c r="AC569" s="171">
        <f>SUBTOTAL(9,AC5:AC568)</f>
        <v>0</v>
      </c>
      <c r="AD569" s="166" t="e">
        <f>SUBTOTAL(9,AD5:AD568)</f>
        <v>#N/A</v>
      </c>
      <c r="AE569" s="239" t="e">
        <f t="shared" ref="AE569" si="129">AC569/Y569</f>
        <v>#DIV/0!</v>
      </c>
      <c r="AF569" s="172" t="e">
        <f>AC569/W569</f>
        <v>#DIV/0!</v>
      </c>
      <c r="AG569" s="167"/>
    </row>
    <row r="570" spans="1:33" ht="14.4" thickTop="1">
      <c r="W570" s="11">
        <f>PL!H7/'AGT TB Apr -25'!N1</f>
        <v>0</v>
      </c>
      <c r="AD570" s="11">
        <f>PL!H44/'AGT TB Apr -25'!N1</f>
        <v>0</v>
      </c>
    </row>
    <row r="571" spans="1:33">
      <c r="L571" s="5">
        <f>PL!H10/'AGT TB Apr -25'!N1</f>
        <v>0</v>
      </c>
      <c r="P571" s="5">
        <v>32845.050000000003</v>
      </c>
      <c r="W571" s="11">
        <f>W569-W570</f>
        <v>0</v>
      </c>
      <c r="X571" s="14"/>
      <c r="Y571" s="14"/>
      <c r="AD571" s="11" t="e">
        <f>AD569-AD570</f>
        <v>#N/A</v>
      </c>
    </row>
    <row r="572" spans="1:33">
      <c r="L572" s="18">
        <f>L569-L571</f>
        <v>0</v>
      </c>
      <c r="P572" s="18" t="e">
        <f>P569-P571</f>
        <v>#N/A</v>
      </c>
      <c r="W572" s="11">
        <f>W571/2</f>
        <v>0</v>
      </c>
      <c r="X572" s="27"/>
      <c r="Y572" s="27"/>
      <c r="AC572" s="5" t="s">
        <v>2215</v>
      </c>
      <c r="AD572" s="11">
        <f>'[1]Profit and Loss agt new'!$F$53</f>
        <v>28924.46</v>
      </c>
    </row>
    <row r="573" spans="1:33">
      <c r="B573" s="35"/>
      <c r="C573" s="11"/>
      <c r="D573" s="11"/>
      <c r="E573" s="11"/>
      <c r="AC573" s="5" t="s">
        <v>1341</v>
      </c>
      <c r="AD573" s="11">
        <f>PL!H24</f>
        <v>0</v>
      </c>
    </row>
    <row r="574" spans="1:33">
      <c r="B574" s="35"/>
      <c r="C574" s="11"/>
      <c r="D574" s="11"/>
      <c r="E574" s="11"/>
      <c r="AC574" s="5" t="s">
        <v>2226</v>
      </c>
      <c r="AD574" s="11"/>
    </row>
    <row r="575" spans="1:33">
      <c r="B575" s="35"/>
      <c r="C575" s="11"/>
      <c r="D575" s="11"/>
      <c r="E575" s="11"/>
      <c r="AC575" s="8" t="s">
        <v>150</v>
      </c>
      <c r="AD575" s="264" t="e">
        <f>SUM(AD571:AD574)</f>
        <v>#N/A</v>
      </c>
    </row>
    <row r="576" spans="1:33">
      <c r="B576" s="9"/>
      <c r="E576" s="27"/>
      <c r="H576" s="5">
        <v>23685.71000000001</v>
      </c>
      <c r="K576" s="234" t="s">
        <v>150</v>
      </c>
      <c r="L576" s="54">
        <f>+SUM(L572:L575)</f>
        <v>0</v>
      </c>
    </row>
    <row r="578" spans="2:32">
      <c r="B578" s="35"/>
    </row>
    <row r="579" spans="2:32">
      <c r="B579" s="105"/>
      <c r="C579" s="9"/>
      <c r="D579" s="9"/>
    </row>
    <row r="581" spans="2:32" ht="14.4">
      <c r="AC581" s="261" t="s">
        <v>2216</v>
      </c>
      <c r="AD581" s="261">
        <v>1648.5</v>
      </c>
      <c r="AE581" s="31">
        <f>AD581*$H$1</f>
        <v>42861</v>
      </c>
      <c r="AF581" t="e">
        <f>VLOOKUP(AB581,PL1_AGT!$C$4:$C$524,1,)</f>
        <v>#N/A</v>
      </c>
    </row>
    <row r="582" spans="2:32" ht="14.4">
      <c r="AC582" s="261" t="s">
        <v>2217</v>
      </c>
      <c r="AD582" s="261">
        <v>2353.0500000000002</v>
      </c>
      <c r="AE582" s="31">
        <f t="shared" ref="AE582:AE591" si="130">AD582*$H$1</f>
        <v>61179.3</v>
      </c>
      <c r="AF582" t="e">
        <f>VLOOKUP(AB582,PL1_AGT!$C$4:$C$524,1,)</f>
        <v>#N/A</v>
      </c>
    </row>
    <row r="583" spans="2:32" ht="14.4">
      <c r="AC583" s="261" t="s">
        <v>2218</v>
      </c>
      <c r="AD583" s="261"/>
      <c r="AE583" s="31">
        <f t="shared" si="130"/>
        <v>0</v>
      </c>
      <c r="AF583" t="e">
        <f>VLOOKUP(AB583,PL1_AGT!$C$4:$C$524,1,)</f>
        <v>#N/A</v>
      </c>
    </row>
    <row r="584" spans="2:32" ht="14.4">
      <c r="AC584" s="261" t="s">
        <v>1000</v>
      </c>
      <c r="AD584" s="261">
        <v>50</v>
      </c>
      <c r="AE584" s="31">
        <f t="shared" si="130"/>
        <v>1300</v>
      </c>
      <c r="AF584" t="e">
        <f>VLOOKUP(AB584,PL1_AGT!$C$4:$C$524,1,)</f>
        <v>#N/A</v>
      </c>
    </row>
    <row r="585" spans="2:32" ht="14.4">
      <c r="AC585" s="261" t="s">
        <v>2219</v>
      </c>
      <c r="AD585" s="261">
        <v>9440</v>
      </c>
      <c r="AE585" s="31">
        <f t="shared" si="130"/>
        <v>245440</v>
      </c>
      <c r="AF585" t="e">
        <f>VLOOKUP(AB585,PL1_AGT!$C$4:$C$524,1,)</f>
        <v>#N/A</v>
      </c>
    </row>
    <row r="586" spans="2:32" ht="14.4">
      <c r="AC586" s="261" t="s">
        <v>1001</v>
      </c>
      <c r="AD586" s="261">
        <v>640</v>
      </c>
      <c r="AE586" s="31">
        <f t="shared" si="130"/>
        <v>16640</v>
      </c>
      <c r="AF586" t="e">
        <f>VLOOKUP(AB586,PL1_AGT!$C$4:$C$524,1,)</f>
        <v>#N/A</v>
      </c>
    </row>
    <row r="587" spans="2:32" ht="14.4">
      <c r="AC587" s="261" t="s">
        <v>2220</v>
      </c>
      <c r="AD587" s="261">
        <v>704.2</v>
      </c>
      <c r="AE587" s="31">
        <f t="shared" si="130"/>
        <v>18309.2</v>
      </c>
      <c r="AF587" t="e">
        <f>VLOOKUP(AB587,PL1_AGT!$C$4:$C$524,1,)</f>
        <v>#N/A</v>
      </c>
    </row>
    <row r="588" spans="2:32" ht="14.4">
      <c r="AC588" s="261" t="s">
        <v>2221</v>
      </c>
      <c r="AD588" s="261">
        <v>3864.75</v>
      </c>
      <c r="AE588" s="31">
        <f t="shared" si="130"/>
        <v>100483.5</v>
      </c>
      <c r="AF588" t="s">
        <v>2222</v>
      </c>
    </row>
    <row r="589" spans="2:32" ht="14.4">
      <c r="AC589" s="261" t="s">
        <v>2223</v>
      </c>
      <c r="AD589" s="261">
        <v>175.35</v>
      </c>
      <c r="AE589" s="31">
        <f t="shared" si="130"/>
        <v>4559.0999999999995</v>
      </c>
      <c r="AF589" t="s">
        <v>2222</v>
      </c>
    </row>
    <row r="590" spans="2:32" ht="14.4">
      <c r="AC590" s="261" t="s">
        <v>2224</v>
      </c>
      <c r="AD590" s="261">
        <v>175.35</v>
      </c>
      <c r="AE590" s="31">
        <f t="shared" si="130"/>
        <v>4559.0999999999995</v>
      </c>
      <c r="AF590" t="s">
        <v>2222</v>
      </c>
    </row>
    <row r="591" spans="2:32" ht="14.4">
      <c r="AC591" s="262" t="s">
        <v>2225</v>
      </c>
      <c r="AD591" s="262">
        <v>5207.25</v>
      </c>
      <c r="AE591" s="31">
        <f t="shared" si="130"/>
        <v>135388.5</v>
      </c>
      <c r="AF591" t="s">
        <v>2222</v>
      </c>
    </row>
    <row r="592" spans="2:32" ht="15" thickBot="1">
      <c r="AC592" s="214" t="s">
        <v>30</v>
      </c>
      <c r="AD592" s="263">
        <f>SUM(AD581:AD591)</f>
        <v>24258.449999999997</v>
      </c>
      <c r="AE592" s="265">
        <f>SUM(AE581:AE591)</f>
        <v>630719.69999999995</v>
      </c>
      <c r="AF592"/>
    </row>
    <row r="593" ht="14.4" thickTop="1"/>
  </sheetData>
  <autoFilter ref="A4:AG576" xr:uid="{1C61FEAE-15E4-4480-8F77-36C4A7A62080}"/>
  <conditionalFormatting sqref="C5:C567">
    <cfRule type="duplicateValues" dxfId="1" priority="17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5"/>
  <dimension ref="B1:AN522"/>
  <sheetViews>
    <sheetView showGridLines="0" zoomScale="90" zoomScaleNormal="90" workbookViewId="0">
      <pane xSplit="2" ySplit="4" topLeftCell="BE5" activePane="bottomRight" state="frozen"/>
      <selection activeCell="FJ92" sqref="FJ92"/>
      <selection pane="topRight" activeCell="FJ92" sqref="FJ92"/>
      <selection pane="bottomLeft" activeCell="FJ92" sqref="FJ92"/>
      <selection pane="bottomRight" activeCell="BK4" sqref="BK4"/>
    </sheetView>
  </sheetViews>
  <sheetFormatPr defaultColWidth="9.33203125" defaultRowHeight="13.8" outlineLevelRow="1" outlineLevelCol="1"/>
  <cols>
    <col min="1" max="1" width="9.33203125" style="5"/>
    <col min="2" max="2" width="41.6640625" style="5" bestFit="1" customWidth="1"/>
    <col min="3" max="3" width="19.33203125" style="46" bestFit="1" customWidth="1"/>
    <col min="4" max="5" width="16.33203125" style="46" bestFit="1" customWidth="1" outlineLevel="1"/>
    <col min="6" max="6" width="12.44140625" style="46" customWidth="1" outlineLevel="1"/>
    <col min="7" max="7" width="13.44140625" style="46" customWidth="1" outlineLevel="1"/>
    <col min="8" max="9" width="12.44140625" style="46" customWidth="1" outlineLevel="1"/>
    <col min="10" max="10" width="19.33203125" style="196" bestFit="1" customWidth="1"/>
    <col min="11" max="11" width="10.33203125" style="46" customWidth="1" outlineLevel="1"/>
    <col min="12" max="15" width="12.44140625" style="46" customWidth="1" outlineLevel="1"/>
    <col min="16" max="16" width="11.109375" style="46" customWidth="1" outlineLevel="1"/>
    <col min="17" max="17" width="16.33203125" style="46" bestFit="1" customWidth="1"/>
    <col min="18" max="23" width="16.33203125" style="46" customWidth="1"/>
    <col min="24" max="24" width="20.44140625" style="46" bestFit="1" customWidth="1"/>
    <col min="25" max="30" width="20.44140625" style="46" customWidth="1"/>
    <col min="31" max="31" width="14.5546875" style="46" bestFit="1" customWidth="1"/>
    <col min="32" max="32" width="20.44140625" style="46" bestFit="1" customWidth="1"/>
    <col min="33" max="33" width="20.44140625" style="46" customWidth="1"/>
    <col min="34" max="34" width="50" style="17" bestFit="1" customWidth="1"/>
    <col min="35" max="38" width="11.5546875" style="17" customWidth="1"/>
    <col min="39" max="39" width="17" style="17" customWidth="1"/>
    <col min="40" max="40" width="11.6640625" style="5" bestFit="1" customWidth="1"/>
    <col min="41" max="16384" width="9.33203125" style="5"/>
  </cols>
  <sheetData>
    <row r="1" spans="2:39" ht="14.4">
      <c r="B1" s="25" t="s">
        <v>86</v>
      </c>
      <c r="AG1" s="46" t="s">
        <v>260</v>
      </c>
      <c r="AH1" s="145">
        <v>42897871.68</v>
      </c>
    </row>
    <row r="2" spans="2:39" ht="15" thickBot="1">
      <c r="B2" s="146" t="s">
        <v>21</v>
      </c>
      <c r="J2" s="197">
        <v>1</v>
      </c>
      <c r="Q2" s="66">
        <v>1</v>
      </c>
      <c r="R2" s="66"/>
      <c r="S2" s="66"/>
      <c r="T2" s="66"/>
      <c r="U2" s="66"/>
      <c r="V2" s="66"/>
      <c r="W2" s="66"/>
      <c r="AG2" s="46" t="s">
        <v>1750</v>
      </c>
      <c r="AH2" s="145">
        <v>38110853.710000001</v>
      </c>
    </row>
    <row r="3" spans="2:39" ht="14.4" thickBot="1">
      <c r="B3" s="147" t="s">
        <v>1267</v>
      </c>
      <c r="C3" s="198" t="s">
        <v>314</v>
      </c>
      <c r="D3" s="198" t="s">
        <v>314</v>
      </c>
      <c r="E3" s="198" t="s">
        <v>314</v>
      </c>
      <c r="F3" s="198" t="s">
        <v>314</v>
      </c>
      <c r="G3" s="198" t="s">
        <v>314</v>
      </c>
      <c r="H3" s="198" t="s">
        <v>314</v>
      </c>
      <c r="I3" s="198" t="s">
        <v>314</v>
      </c>
      <c r="J3" s="199" t="s">
        <v>260</v>
      </c>
      <c r="K3" s="199" t="s">
        <v>260</v>
      </c>
      <c r="L3" s="199" t="s">
        <v>260</v>
      </c>
      <c r="M3" s="199" t="s">
        <v>260</v>
      </c>
      <c r="N3" s="199" t="s">
        <v>260</v>
      </c>
      <c r="O3" s="199" t="s">
        <v>260</v>
      </c>
      <c r="P3" s="199" t="s">
        <v>260</v>
      </c>
      <c r="Q3" s="200" t="s">
        <v>624</v>
      </c>
      <c r="R3" s="200" t="s">
        <v>624</v>
      </c>
      <c r="S3" s="200" t="s">
        <v>624</v>
      </c>
      <c r="T3" s="200" t="s">
        <v>624</v>
      </c>
      <c r="U3" s="200" t="s">
        <v>624</v>
      </c>
      <c r="V3" s="200" t="s">
        <v>624</v>
      </c>
      <c r="W3" s="200" t="s">
        <v>624</v>
      </c>
      <c r="X3" s="200" t="s">
        <v>2187</v>
      </c>
      <c r="Y3" s="200" t="s">
        <v>2187</v>
      </c>
      <c r="Z3" s="200" t="s">
        <v>2187</v>
      </c>
      <c r="AA3" s="200" t="s">
        <v>2187</v>
      </c>
      <c r="AB3" s="200" t="s">
        <v>2187</v>
      </c>
      <c r="AC3" s="200" t="s">
        <v>2187</v>
      </c>
      <c r="AD3" s="200" t="s">
        <v>2187</v>
      </c>
      <c r="AE3" s="201"/>
      <c r="AF3" s="201"/>
      <c r="AG3" s="201"/>
    </row>
    <row r="4" spans="2:39" s="149" customFormat="1">
      <c r="B4" s="148" t="s">
        <v>71</v>
      </c>
      <c r="C4" s="202" t="s">
        <v>1643</v>
      </c>
      <c r="D4" s="242">
        <v>45778</v>
      </c>
      <c r="E4" s="242">
        <v>45809</v>
      </c>
      <c r="F4" s="242">
        <v>45839</v>
      </c>
      <c r="G4" s="242">
        <v>45870</v>
      </c>
      <c r="H4" s="242">
        <v>45901</v>
      </c>
      <c r="I4" s="242">
        <v>45931</v>
      </c>
      <c r="J4" s="202" t="s">
        <v>1643</v>
      </c>
      <c r="K4" s="242">
        <v>45778</v>
      </c>
      <c r="L4" s="242">
        <v>45809</v>
      </c>
      <c r="M4" s="242">
        <v>45839</v>
      </c>
      <c r="N4" s="242">
        <v>45870</v>
      </c>
      <c r="O4" s="242">
        <v>45901</v>
      </c>
      <c r="P4" s="242">
        <v>45931</v>
      </c>
      <c r="Q4" s="202" t="s">
        <v>1643</v>
      </c>
      <c r="R4" s="242">
        <v>45778</v>
      </c>
      <c r="S4" s="242">
        <v>45809</v>
      </c>
      <c r="T4" s="242">
        <v>45839</v>
      </c>
      <c r="U4" s="242">
        <v>45870</v>
      </c>
      <c r="V4" s="242">
        <v>45901</v>
      </c>
      <c r="W4" s="242">
        <v>45931</v>
      </c>
      <c r="X4" s="202" t="s">
        <v>1643</v>
      </c>
      <c r="Y4" s="242">
        <v>45778</v>
      </c>
      <c r="Z4" s="242">
        <v>45809</v>
      </c>
      <c r="AA4" s="242">
        <v>45839</v>
      </c>
      <c r="AB4" s="242">
        <v>45870</v>
      </c>
      <c r="AC4" s="242">
        <v>45901</v>
      </c>
      <c r="AD4" s="242">
        <v>45931</v>
      </c>
      <c r="AE4" s="204" t="s">
        <v>1102</v>
      </c>
      <c r="AF4" s="203" t="s">
        <v>1645</v>
      </c>
      <c r="AG4" s="204"/>
      <c r="AH4" s="116" t="s">
        <v>0</v>
      </c>
      <c r="AI4" s="117"/>
      <c r="AJ4" s="117"/>
      <c r="AK4" s="117"/>
      <c r="AL4" s="117"/>
      <c r="AM4" s="117"/>
    </row>
    <row r="5" spans="2:39" s="7" customFormat="1">
      <c r="B5" s="182" t="s">
        <v>346</v>
      </c>
      <c r="C5" s="94" t="e">
        <f>SUMIFS(#REF!,#REF!,B5)</f>
        <v>#REF!</v>
      </c>
      <c r="D5" s="94" t="e">
        <f>SUMIFS(#REF!,#REF!,B5)</f>
        <v>#REF!</v>
      </c>
      <c r="E5" s="94" t="e">
        <f>SUMIFS(#REF!,#REF!,B5)</f>
        <v>#REF!</v>
      </c>
      <c r="F5" s="94" t="e">
        <f>SUMIFS(#REF!,#REF!,B5)</f>
        <v>#REF!</v>
      </c>
      <c r="G5" s="94" t="e">
        <f>SUMIFS(#REF!,#REF!,B5)</f>
        <v>#REF!</v>
      </c>
      <c r="H5" s="94" t="e">
        <f>SUMIFS(#REF!,#REF!,B5)</f>
        <v>#REF!</v>
      </c>
      <c r="I5" s="94" t="e">
        <f>SUMIFS(#REF!,#REF!,B5)</f>
        <v>#REF!</v>
      </c>
      <c r="J5" s="94">
        <f>SUMIFS('AGT TB Apr -25'!M:M,'AGT TB Apr -25'!S:S,BS!B5)*$J$2</f>
        <v>0</v>
      </c>
      <c r="K5" s="42"/>
      <c r="L5" s="42"/>
      <c r="M5" s="42"/>
      <c r="N5" s="42"/>
      <c r="O5" s="42"/>
      <c r="P5" s="42"/>
      <c r="Q5" s="84" t="e">
        <f>SUMIFS(#REF!,#REF!,BS!B5)*$Q$2</f>
        <v>#REF!</v>
      </c>
      <c r="R5" s="84"/>
      <c r="S5" s="84"/>
      <c r="T5" s="84"/>
      <c r="U5" s="84"/>
      <c r="V5" s="84"/>
      <c r="W5" s="84"/>
      <c r="X5" s="86" t="e">
        <f t="shared" ref="X5:AD6" si="0">C5+J5+Q5</f>
        <v>#REF!</v>
      </c>
      <c r="Y5" s="86" t="e">
        <f t="shared" si="0"/>
        <v>#REF!</v>
      </c>
      <c r="Z5" s="86" t="e">
        <f t="shared" si="0"/>
        <v>#REF!</v>
      </c>
      <c r="AA5" s="86" t="e">
        <f t="shared" si="0"/>
        <v>#REF!</v>
      </c>
      <c r="AB5" s="86" t="e">
        <f t="shared" si="0"/>
        <v>#REF!</v>
      </c>
      <c r="AC5" s="86" t="e">
        <f t="shared" si="0"/>
        <v>#REF!</v>
      </c>
      <c r="AD5" s="86" t="e">
        <f t="shared" si="0"/>
        <v>#REF!</v>
      </c>
      <c r="AE5" s="87"/>
      <c r="AF5" s="87" t="e">
        <f>X5-AE5</f>
        <v>#REF!</v>
      </c>
      <c r="AG5" s="87"/>
      <c r="AH5" s="72" t="s">
        <v>159</v>
      </c>
      <c r="AI5" s="72"/>
      <c r="AJ5" s="72"/>
      <c r="AK5" s="72"/>
      <c r="AL5" s="72"/>
      <c r="AM5" s="72"/>
    </row>
    <row r="6" spans="2:39" s="7" customFormat="1">
      <c r="B6" s="185" t="s">
        <v>347</v>
      </c>
      <c r="C6" s="94" t="e">
        <f>SUMIFS(#REF!,#REF!,B6)</f>
        <v>#REF!</v>
      </c>
      <c r="D6" s="94" t="e">
        <f>SUMIFS(#REF!,#REF!,B6)</f>
        <v>#REF!</v>
      </c>
      <c r="E6" s="94" t="e">
        <f>SUMIFS(#REF!,#REF!,B6)</f>
        <v>#REF!</v>
      </c>
      <c r="F6" s="94" t="e">
        <f>SUMIFS(#REF!,#REF!,B6)</f>
        <v>#REF!</v>
      </c>
      <c r="G6" s="94" t="e">
        <f>SUMIFS(#REF!,#REF!,B6)</f>
        <v>#REF!</v>
      </c>
      <c r="H6" s="94" t="e">
        <f>SUMIFS(#REF!,#REF!,B6)</f>
        <v>#REF!</v>
      </c>
      <c r="I6" s="94" t="e">
        <f>SUMIFS(#REF!,#REF!,B6)</f>
        <v>#REF!</v>
      </c>
      <c r="J6" s="94">
        <f>SUMIFS('AGT TB Apr -25'!M:M,'AGT TB Apr -25'!S:S,BS!B6)*$J$2</f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4" t="e">
        <f>SUMIF(#REF!,B6,#REF!)</f>
        <v>#REF!</v>
      </c>
      <c r="Q6" s="84" t="e">
        <f>SUMIFS(#REF!,#REF!,BS!B6)*$Q$2</f>
        <v>#REF!</v>
      </c>
      <c r="R6" s="84"/>
      <c r="S6" s="84"/>
      <c r="T6" s="84"/>
      <c r="U6" s="84"/>
      <c r="V6" s="84"/>
      <c r="W6" s="84"/>
      <c r="X6" s="86" t="e">
        <f t="shared" si="0"/>
        <v>#REF!</v>
      </c>
      <c r="Y6" s="86" t="e">
        <f t="shared" si="0"/>
        <v>#REF!</v>
      </c>
      <c r="Z6" s="86" t="e">
        <f t="shared" si="0"/>
        <v>#REF!</v>
      </c>
      <c r="AA6" s="86" t="e">
        <f t="shared" si="0"/>
        <v>#REF!</v>
      </c>
      <c r="AB6" s="86" t="e">
        <f t="shared" si="0"/>
        <v>#REF!</v>
      </c>
      <c r="AC6" s="86" t="e">
        <f t="shared" si="0"/>
        <v>#REF!</v>
      </c>
      <c r="AD6" s="86" t="e">
        <f t="shared" si="0"/>
        <v>#REF!</v>
      </c>
      <c r="AE6" s="87"/>
      <c r="AF6" s="87" t="e">
        <f t="shared" ref="AF6:AF72" si="1">X6-AE6</f>
        <v>#REF!</v>
      </c>
      <c r="AG6" s="87"/>
      <c r="AH6" s="72"/>
      <c r="AI6" s="72"/>
      <c r="AJ6" s="72"/>
      <c r="AK6" s="72"/>
      <c r="AL6" s="72"/>
      <c r="AM6" s="72"/>
    </row>
    <row r="7" spans="2:39" s="8" customFormat="1">
      <c r="B7" s="6" t="s">
        <v>1598</v>
      </c>
      <c r="C7" s="220" t="e">
        <f t="shared" ref="C7" si="2">SUM(C8:C11)</f>
        <v>#REF!</v>
      </c>
      <c r="D7" s="220" t="e">
        <f t="shared" ref="D7:E7" si="3">SUM(D8:D11)</f>
        <v>#REF!</v>
      </c>
      <c r="E7" s="220" t="e">
        <f t="shared" si="3"/>
        <v>#REF!</v>
      </c>
      <c r="F7" s="220" t="e">
        <f t="shared" ref="F7:I7" si="4">SUM(F8:F11)</f>
        <v>#REF!</v>
      </c>
      <c r="G7" s="220" t="e">
        <f t="shared" si="4"/>
        <v>#REF!</v>
      </c>
      <c r="H7" s="220" t="e">
        <f t="shared" si="4"/>
        <v>#REF!</v>
      </c>
      <c r="I7" s="220" t="e">
        <f t="shared" si="4"/>
        <v>#REF!</v>
      </c>
      <c r="J7" s="220">
        <f t="shared" ref="J7" si="5">SUM(J8:J11)</f>
        <v>0</v>
      </c>
      <c r="K7" s="205" t="e">
        <f t="shared" ref="K7:P7" si="6">SUM(K8:K11)</f>
        <v>#REF!</v>
      </c>
      <c r="L7" s="205" t="e">
        <f t="shared" si="6"/>
        <v>#REF!</v>
      </c>
      <c r="M7" s="205" t="e">
        <f t="shared" si="6"/>
        <v>#REF!</v>
      </c>
      <c r="N7" s="205" t="e">
        <f t="shared" si="6"/>
        <v>#REF!</v>
      </c>
      <c r="O7" s="205" t="e">
        <f t="shared" si="6"/>
        <v>#REF!</v>
      </c>
      <c r="P7" s="205" t="e">
        <f t="shared" si="6"/>
        <v>#REF!</v>
      </c>
      <c r="Q7" s="220" t="e">
        <f t="shared" ref="Q7:X7" si="7">SUM(Q8:Q11)</f>
        <v>#REF!</v>
      </c>
      <c r="R7" s="220"/>
      <c r="S7" s="220"/>
      <c r="T7" s="220"/>
      <c r="U7" s="220"/>
      <c r="V7" s="220"/>
      <c r="W7" s="220"/>
      <c r="X7" s="220" t="e">
        <f t="shared" si="7"/>
        <v>#REF!</v>
      </c>
      <c r="Y7" s="220" t="e">
        <f t="shared" ref="Y7:AD7" si="8">SUM(Y8:Y11)</f>
        <v>#REF!</v>
      </c>
      <c r="Z7" s="220" t="e">
        <f t="shared" si="8"/>
        <v>#REF!</v>
      </c>
      <c r="AA7" s="220" t="e">
        <f t="shared" si="8"/>
        <v>#REF!</v>
      </c>
      <c r="AB7" s="220" t="e">
        <f t="shared" si="8"/>
        <v>#REF!</v>
      </c>
      <c r="AC7" s="220" t="e">
        <f t="shared" si="8"/>
        <v>#REF!</v>
      </c>
      <c r="AD7" s="220" t="e">
        <f t="shared" si="8"/>
        <v>#REF!</v>
      </c>
      <c r="AE7" s="221"/>
      <c r="AF7" s="220" t="e">
        <f t="shared" ref="AF7" si="9">SUM(AF8:AF11)</f>
        <v>#REF!</v>
      </c>
      <c r="AG7" s="217"/>
      <c r="AH7" s="72" t="s">
        <v>159</v>
      </c>
      <c r="AJ7" s="72"/>
      <c r="AK7" s="72"/>
      <c r="AL7" s="72"/>
      <c r="AM7" s="72"/>
    </row>
    <row r="8" spans="2:39" outlineLevel="1">
      <c r="B8" s="24" t="s">
        <v>78</v>
      </c>
      <c r="C8" s="93" t="e">
        <f>SUMIFS(#REF!,#REF!,B8)</f>
        <v>#REF!</v>
      </c>
      <c r="D8" s="93" t="e">
        <f>SUMIFS(#REF!,#REF!,B8)</f>
        <v>#REF!</v>
      </c>
      <c r="E8" s="93" t="e">
        <f>SUMIFS(#REF!,#REF!,B8)</f>
        <v>#REF!</v>
      </c>
      <c r="F8" s="93" t="e">
        <f>SUMIFS(#REF!,#REF!,B8)</f>
        <v>#REF!</v>
      </c>
      <c r="G8" s="93" t="e">
        <f>SUMIFS(#REF!,#REF!,B8)</f>
        <v>#REF!</v>
      </c>
      <c r="H8" s="93" t="e">
        <f>SUMIFS(#REF!,#REF!,B8)</f>
        <v>#REF!</v>
      </c>
      <c r="I8" s="93" t="e">
        <f>SUMIFS(#REF!,#REF!,B8)</f>
        <v>#REF!</v>
      </c>
      <c r="J8" s="94">
        <f>SUMIFS('AGT TB Apr -25'!M:M,'AGT TB Apr -25'!S:S,BS!B8)*$J$2</f>
        <v>0</v>
      </c>
      <c r="K8" s="42" t="e">
        <f>SUMIF(#REF!,B:B,#REF!)</f>
        <v>#REF!</v>
      </c>
      <c r="L8" s="44" t="e">
        <f>SUMIF(#REF!,B:B,#REF!)</f>
        <v>#REF!</v>
      </c>
      <c r="M8" s="42" t="e">
        <f>SUMIF(#REF!,BS!B:B,#REF!)</f>
        <v>#REF!</v>
      </c>
      <c r="N8" s="42" t="e">
        <f>SUMIF(#REF!,B8,#REF!)</f>
        <v>#REF!</v>
      </c>
      <c r="O8" s="42" t="e">
        <f>SUMIF(#REF!,B:B,#REF!)</f>
        <v>#REF!</v>
      </c>
      <c r="P8" s="44" t="e">
        <f>SUMIF(#REF!,B8,#REF!)</f>
        <v>#REF!</v>
      </c>
      <c r="Q8" s="84" t="e">
        <f>SUMIFS(#REF!,#REF!,BS!B8)*$Q$2</f>
        <v>#REF!</v>
      </c>
      <c r="R8" s="84"/>
      <c r="S8" s="84"/>
      <c r="T8" s="84"/>
      <c r="U8" s="84"/>
      <c r="V8" s="84"/>
      <c r="W8" s="84"/>
      <c r="X8" s="86" t="e">
        <f t="shared" ref="X8:AD15" si="10">C8+J8+Q8</f>
        <v>#REF!</v>
      </c>
      <c r="Y8" s="86" t="e">
        <f t="shared" si="10"/>
        <v>#REF!</v>
      </c>
      <c r="Z8" s="86" t="e">
        <f t="shared" si="10"/>
        <v>#REF!</v>
      </c>
      <c r="AA8" s="86" t="e">
        <f t="shared" si="10"/>
        <v>#REF!</v>
      </c>
      <c r="AB8" s="86" t="e">
        <f t="shared" si="10"/>
        <v>#REF!</v>
      </c>
      <c r="AC8" s="86" t="e">
        <f t="shared" si="10"/>
        <v>#REF!</v>
      </c>
      <c r="AD8" s="86" t="e">
        <f t="shared" si="10"/>
        <v>#REF!</v>
      </c>
      <c r="AE8" s="87"/>
      <c r="AF8" s="87" t="e">
        <f t="shared" si="1"/>
        <v>#REF!</v>
      </c>
      <c r="AG8" s="87"/>
      <c r="AH8" s="150" t="s">
        <v>684</v>
      </c>
      <c r="AI8" s="150"/>
      <c r="AJ8" s="150"/>
      <c r="AK8" s="150"/>
      <c r="AL8" s="150"/>
      <c r="AM8" s="150"/>
    </row>
    <row r="9" spans="2:39" outlineLevel="1">
      <c r="B9" s="24" t="s">
        <v>209</v>
      </c>
      <c r="C9" s="93" t="e">
        <f>SUMIFS(#REF!,#REF!,B9)</f>
        <v>#REF!</v>
      </c>
      <c r="D9" s="93" t="e">
        <f>SUMIFS(#REF!,#REF!,B9)</f>
        <v>#REF!</v>
      </c>
      <c r="E9" s="93" t="e">
        <f>SUMIFS(#REF!,#REF!,B9)</f>
        <v>#REF!</v>
      </c>
      <c r="F9" s="93" t="e">
        <f>SUMIFS(#REF!,#REF!,B9)</f>
        <v>#REF!</v>
      </c>
      <c r="G9" s="93" t="e">
        <f>SUMIFS(#REF!,#REF!,B9)</f>
        <v>#REF!</v>
      </c>
      <c r="H9" s="93" t="e">
        <f>SUMIFS(#REF!,#REF!,B9)</f>
        <v>#REF!</v>
      </c>
      <c r="I9" s="93" t="e">
        <f>SUMIFS(#REF!,#REF!,B9)</f>
        <v>#REF!</v>
      </c>
      <c r="J9" s="94">
        <f>SUMIFS('AGT TB Apr -25'!M:M,'AGT TB Apr -25'!S:S,BS!B9)*$J$2</f>
        <v>0</v>
      </c>
      <c r="K9" s="42" t="e">
        <f>SUMIF(#REF!,B:B,#REF!)</f>
        <v>#REF!</v>
      </c>
      <c r="L9" s="44" t="e">
        <f>SUMIF(#REF!,B:B,#REF!)</f>
        <v>#REF!</v>
      </c>
      <c r="M9" s="42" t="e">
        <f>SUMIF(#REF!,BS!B:B,#REF!)</f>
        <v>#REF!</v>
      </c>
      <c r="N9" s="44" t="e">
        <f>SUMIF(#REF!,B9,#REF!)</f>
        <v>#REF!</v>
      </c>
      <c r="O9" s="42" t="e">
        <f>SUMIF(#REF!,B:B,#REF!)</f>
        <v>#REF!</v>
      </c>
      <c r="P9" s="44" t="e">
        <f>SUMIF(#REF!,B9,#REF!)</f>
        <v>#REF!</v>
      </c>
      <c r="Q9" s="84" t="e">
        <f>SUMIFS(#REF!,#REF!,BS!B9)*$Q$2</f>
        <v>#REF!</v>
      </c>
      <c r="R9" s="84"/>
      <c r="S9" s="84"/>
      <c r="T9" s="84"/>
      <c r="U9" s="84"/>
      <c r="V9" s="84"/>
      <c r="W9" s="84"/>
      <c r="X9" s="86" t="e">
        <f t="shared" si="10"/>
        <v>#REF!</v>
      </c>
      <c r="Y9" s="86" t="e">
        <f t="shared" si="10"/>
        <v>#REF!</v>
      </c>
      <c r="Z9" s="86" t="e">
        <f t="shared" si="10"/>
        <v>#REF!</v>
      </c>
      <c r="AA9" s="86" t="e">
        <f t="shared" si="10"/>
        <v>#REF!</v>
      </c>
      <c r="AB9" s="86" t="e">
        <f t="shared" si="10"/>
        <v>#REF!</v>
      </c>
      <c r="AC9" s="86" t="e">
        <f t="shared" si="10"/>
        <v>#REF!</v>
      </c>
      <c r="AD9" s="86" t="e">
        <f t="shared" si="10"/>
        <v>#REF!</v>
      </c>
      <c r="AE9" s="87" t="e">
        <f>C9</f>
        <v>#REF!</v>
      </c>
      <c r="AF9" s="87" t="e">
        <f t="shared" si="1"/>
        <v>#REF!</v>
      </c>
      <c r="AG9" s="87"/>
      <c r="AH9" s="150" t="s">
        <v>215</v>
      </c>
      <c r="AI9" s="150"/>
      <c r="AJ9" s="150"/>
      <c r="AK9" s="150"/>
      <c r="AL9" s="150"/>
      <c r="AM9" s="150"/>
    </row>
    <row r="10" spans="2:39" outlineLevel="1">
      <c r="B10" s="24" t="s">
        <v>2088</v>
      </c>
      <c r="C10" s="93" t="e">
        <f>SUMIFS(#REF!,#REF!,B10)</f>
        <v>#REF!</v>
      </c>
      <c r="D10" s="93" t="e">
        <f>SUMIFS(#REF!,#REF!,B10)</f>
        <v>#REF!</v>
      </c>
      <c r="E10" s="93" t="e">
        <f>SUMIFS(#REF!,#REF!,B10)</f>
        <v>#REF!</v>
      </c>
      <c r="F10" s="93" t="e">
        <f>SUMIFS(#REF!,#REF!,B10)</f>
        <v>#REF!</v>
      </c>
      <c r="G10" s="93" t="e">
        <f>SUMIFS(#REF!,#REF!,B10)</f>
        <v>#REF!</v>
      </c>
      <c r="H10" s="93" t="e">
        <f>SUMIFS(#REF!,#REF!,B10)</f>
        <v>#REF!</v>
      </c>
      <c r="I10" s="93" t="e">
        <f>SUMIFS(#REF!,#REF!,B10)</f>
        <v>#REF!</v>
      </c>
      <c r="J10" s="94">
        <f>SUMIFS('AGT TB Apr -25'!M:M,'AGT TB Apr -25'!S:S,BS!B10)*$J$2</f>
        <v>0</v>
      </c>
      <c r="K10" s="42" t="e">
        <f>SUMIF(#REF!,B:B,#REF!)</f>
        <v>#REF!</v>
      </c>
      <c r="L10" s="44" t="e">
        <f>SUMIF(#REF!,B:B,#REF!)</f>
        <v>#REF!</v>
      </c>
      <c r="M10" s="42" t="e">
        <f>SUMIF(#REF!,BS!B:B,#REF!)</f>
        <v>#REF!</v>
      </c>
      <c r="N10" s="44" t="e">
        <f>SUMIF(#REF!,B10,#REF!)</f>
        <v>#REF!</v>
      </c>
      <c r="O10" s="42" t="e">
        <f>SUMIF(#REF!,B:B,#REF!)</f>
        <v>#REF!</v>
      </c>
      <c r="P10" s="44" t="e">
        <f>SUMIF(#REF!,B10,#REF!)</f>
        <v>#REF!</v>
      </c>
      <c r="Q10" s="84" t="e">
        <f>SUMIFS(#REF!,#REF!,BS!B10)*$Q$2</f>
        <v>#REF!</v>
      </c>
      <c r="R10" s="84"/>
      <c r="S10" s="84"/>
      <c r="T10" s="84"/>
      <c r="U10" s="84"/>
      <c r="V10" s="84"/>
      <c r="W10" s="84"/>
      <c r="X10" s="86" t="e">
        <f t="shared" si="10"/>
        <v>#REF!</v>
      </c>
      <c r="Y10" s="86" t="e">
        <f t="shared" si="10"/>
        <v>#REF!</v>
      </c>
      <c r="Z10" s="86" t="e">
        <f t="shared" si="10"/>
        <v>#REF!</v>
      </c>
      <c r="AA10" s="86" t="e">
        <f t="shared" si="10"/>
        <v>#REF!</v>
      </c>
      <c r="AB10" s="86" t="e">
        <f t="shared" si="10"/>
        <v>#REF!</v>
      </c>
      <c r="AC10" s="86" t="e">
        <f t="shared" si="10"/>
        <v>#REF!</v>
      </c>
      <c r="AD10" s="86" t="e">
        <f t="shared" si="10"/>
        <v>#REF!</v>
      </c>
      <c r="AE10" s="87" t="e">
        <f>C10</f>
        <v>#REF!</v>
      </c>
      <c r="AF10" s="87" t="e">
        <f t="shared" ref="AF10" si="11">X10-AE10</f>
        <v>#REF!</v>
      </c>
      <c r="AG10" s="87"/>
      <c r="AH10" s="150"/>
      <c r="AI10" s="150"/>
      <c r="AJ10" s="150"/>
      <c r="AK10" s="150"/>
      <c r="AL10" s="150"/>
      <c r="AM10" s="150"/>
    </row>
    <row r="11" spans="2:39" outlineLevel="1">
      <c r="B11" s="24" t="s">
        <v>250</v>
      </c>
      <c r="C11" s="93" t="e">
        <f>SUMIFS(#REF!,#REF!,B11)</f>
        <v>#REF!</v>
      </c>
      <c r="D11" s="93" t="e">
        <f>SUMIFS(#REF!,#REF!,B11)</f>
        <v>#REF!</v>
      </c>
      <c r="E11" s="93" t="e">
        <f>SUMIFS(#REF!,#REF!,B11)</f>
        <v>#REF!</v>
      </c>
      <c r="F11" s="93" t="e">
        <f>SUMIFS(#REF!,#REF!,B11)</f>
        <v>#REF!</v>
      </c>
      <c r="G11" s="93" t="e">
        <f>SUMIFS(#REF!,#REF!,B11)</f>
        <v>#REF!</v>
      </c>
      <c r="H11" s="93" t="e">
        <f>SUMIFS(#REF!,#REF!,B11)</f>
        <v>#REF!</v>
      </c>
      <c r="I11" s="93" t="e">
        <f>SUMIFS(#REF!,#REF!,B11)</f>
        <v>#REF!</v>
      </c>
      <c r="J11" s="94">
        <f>SUMIFS('AGT TB Apr -25'!M:M,'AGT TB Apr -25'!S:S,BS!B11)*$J$2</f>
        <v>0</v>
      </c>
      <c r="K11" s="42" t="e">
        <f>SUMIF(#REF!,B:B,#REF!)</f>
        <v>#REF!</v>
      </c>
      <c r="L11" s="44" t="e">
        <f>SUMIF(#REF!,B:B,#REF!)</f>
        <v>#REF!</v>
      </c>
      <c r="M11" s="42" t="e">
        <f>SUMIF(#REF!,BS!B:B,#REF!)</f>
        <v>#REF!</v>
      </c>
      <c r="N11" s="42" t="e">
        <f>SUMIF(#REF!,B11,#REF!)</f>
        <v>#REF!</v>
      </c>
      <c r="O11" s="42" t="e">
        <f>SUMIF(#REF!,B:B,#REF!)</f>
        <v>#REF!</v>
      </c>
      <c r="P11" s="44" t="e">
        <f>SUMIF(#REF!,B11,#REF!)</f>
        <v>#REF!</v>
      </c>
      <c r="Q11" s="84" t="e">
        <f>SUMIFS(#REF!,#REF!,BS!B11)*$Q$2</f>
        <v>#REF!</v>
      </c>
      <c r="R11" s="84"/>
      <c r="S11" s="84"/>
      <c r="T11" s="84"/>
      <c r="U11" s="84"/>
      <c r="V11" s="84"/>
      <c r="W11" s="84"/>
      <c r="X11" s="86" t="e">
        <f t="shared" si="10"/>
        <v>#REF!</v>
      </c>
      <c r="Y11" s="86" t="e">
        <f t="shared" si="10"/>
        <v>#REF!</v>
      </c>
      <c r="Z11" s="86" t="e">
        <f t="shared" si="10"/>
        <v>#REF!</v>
      </c>
      <c r="AA11" s="86" t="e">
        <f t="shared" si="10"/>
        <v>#REF!</v>
      </c>
      <c r="AB11" s="86" t="e">
        <f t="shared" si="10"/>
        <v>#REF!</v>
      </c>
      <c r="AC11" s="86" t="e">
        <f t="shared" si="10"/>
        <v>#REF!</v>
      </c>
      <c r="AD11" s="86" t="e">
        <f t="shared" si="10"/>
        <v>#REF!</v>
      </c>
      <c r="AE11" s="87"/>
      <c r="AF11" s="87" t="e">
        <f t="shared" si="1"/>
        <v>#REF!</v>
      </c>
      <c r="AG11" s="87"/>
      <c r="AH11" s="150" t="s">
        <v>251</v>
      </c>
      <c r="AI11" s="150"/>
      <c r="AJ11" s="150"/>
      <c r="AK11" s="150"/>
      <c r="AL11" s="150"/>
      <c r="AM11" s="150"/>
    </row>
    <row r="12" spans="2:39">
      <c r="B12" s="24" t="s">
        <v>1613</v>
      </c>
      <c r="C12" s="94" t="e">
        <f>SUMIFS(#REF!,#REF!,B12)</f>
        <v>#REF!</v>
      </c>
      <c r="D12" s="94" t="e">
        <f>SUMIFS(#REF!,#REF!,B12)</f>
        <v>#REF!</v>
      </c>
      <c r="E12" s="94" t="e">
        <f>SUMIFS(#REF!,#REF!,B12)</f>
        <v>#REF!</v>
      </c>
      <c r="F12" s="94" t="e">
        <f>SUMIFS(#REF!,#REF!,B12)</f>
        <v>#REF!</v>
      </c>
      <c r="G12" s="94" t="e">
        <f>SUMIFS(#REF!,#REF!,B12)</f>
        <v>#REF!</v>
      </c>
      <c r="H12" s="94" t="e">
        <f>SUMIFS(#REF!,#REF!,B12)</f>
        <v>#REF!</v>
      </c>
      <c r="I12" s="94" t="e">
        <f>SUMIFS(#REF!,#REF!,B12)</f>
        <v>#REF!</v>
      </c>
      <c r="J12" s="94">
        <f>SUMIFS('AGT TB Apr -25'!M:M,'AGT TB Apr -25'!S:S,BS!B12)*$J$2</f>
        <v>0</v>
      </c>
      <c r="K12" s="10"/>
      <c r="L12" s="10"/>
      <c r="M12" s="10"/>
      <c r="N12" s="10"/>
      <c r="O12" s="10"/>
      <c r="P12" s="10"/>
      <c r="Q12" s="84" t="e">
        <f>SUMIFS(#REF!,#REF!,BS!B12)*$Q$2</f>
        <v>#REF!</v>
      </c>
      <c r="R12" s="84"/>
      <c r="S12" s="84"/>
      <c r="T12" s="84"/>
      <c r="U12" s="84"/>
      <c r="V12" s="84"/>
      <c r="W12" s="84"/>
      <c r="X12" s="86" t="e">
        <f t="shared" si="10"/>
        <v>#REF!</v>
      </c>
      <c r="Y12" s="86" t="e">
        <f t="shared" si="10"/>
        <v>#REF!</v>
      </c>
      <c r="Z12" s="86" t="e">
        <f t="shared" si="10"/>
        <v>#REF!</v>
      </c>
      <c r="AA12" s="86" t="e">
        <f t="shared" si="10"/>
        <v>#REF!</v>
      </c>
      <c r="AB12" s="86" t="e">
        <f t="shared" si="10"/>
        <v>#REF!</v>
      </c>
      <c r="AC12" s="86" t="e">
        <f t="shared" si="10"/>
        <v>#REF!</v>
      </c>
      <c r="AD12" s="86" t="e">
        <f t="shared" si="10"/>
        <v>#REF!</v>
      </c>
      <c r="AE12" s="10"/>
      <c r="AF12" s="87" t="e">
        <f t="shared" si="1"/>
        <v>#REF!</v>
      </c>
      <c r="AG12" s="87"/>
      <c r="AH12" s="16"/>
      <c r="AI12" s="16"/>
      <c r="AJ12" s="16"/>
      <c r="AK12" s="16"/>
      <c r="AL12" s="16"/>
      <c r="AM12" s="16"/>
    </row>
    <row r="13" spans="2:39">
      <c r="B13" s="24" t="s">
        <v>1612</v>
      </c>
      <c r="C13" s="94" t="e">
        <f>SUMIFS(#REF!,#REF!,B13)</f>
        <v>#REF!</v>
      </c>
      <c r="D13" s="94" t="e">
        <f>SUMIFS(#REF!,#REF!,B13)</f>
        <v>#REF!</v>
      </c>
      <c r="E13" s="94" t="e">
        <f>SUMIFS(#REF!,#REF!,B13)</f>
        <v>#REF!</v>
      </c>
      <c r="F13" s="94" t="e">
        <f>SUMIFS(#REF!,#REF!,B13)</f>
        <v>#REF!</v>
      </c>
      <c r="G13" s="94" t="e">
        <f>SUMIFS(#REF!,#REF!,B13)</f>
        <v>#REF!</v>
      </c>
      <c r="H13" s="94" t="e">
        <f>SUMIFS(#REF!,#REF!,B13)</f>
        <v>#REF!</v>
      </c>
      <c r="I13" s="94" t="e">
        <f>SUMIFS(#REF!,#REF!,B13)</f>
        <v>#REF!</v>
      </c>
      <c r="J13" s="94">
        <f>SUMIFS('AGT TB Apr -25'!M:M,'AGT TB Apr -25'!S:S,BS!B13)*$J$2</f>
        <v>0</v>
      </c>
      <c r="K13" s="10"/>
      <c r="L13" s="10"/>
      <c r="M13" s="10"/>
      <c r="N13" s="10"/>
      <c r="O13" s="10"/>
      <c r="P13" s="10"/>
      <c r="Q13" s="84" t="e">
        <f>SUMIFS(#REF!,#REF!,BS!B13)*$Q$2</f>
        <v>#REF!</v>
      </c>
      <c r="R13" s="84"/>
      <c r="S13" s="84"/>
      <c r="T13" s="84"/>
      <c r="U13" s="84"/>
      <c r="V13" s="84"/>
      <c r="W13" s="84"/>
      <c r="X13" s="86" t="e">
        <f t="shared" si="10"/>
        <v>#REF!</v>
      </c>
      <c r="Y13" s="86" t="e">
        <f t="shared" si="10"/>
        <v>#REF!</v>
      </c>
      <c r="Z13" s="86" t="e">
        <f t="shared" si="10"/>
        <v>#REF!</v>
      </c>
      <c r="AA13" s="86" t="e">
        <f t="shared" si="10"/>
        <v>#REF!</v>
      </c>
      <c r="AB13" s="86" t="e">
        <f t="shared" si="10"/>
        <v>#REF!</v>
      </c>
      <c r="AC13" s="86" t="e">
        <f t="shared" si="10"/>
        <v>#REF!</v>
      </c>
      <c r="AD13" s="86" t="e">
        <f t="shared" si="10"/>
        <v>#REF!</v>
      </c>
      <c r="AE13" s="10"/>
      <c r="AF13" s="87" t="e">
        <f t="shared" si="1"/>
        <v>#REF!</v>
      </c>
      <c r="AG13" s="87"/>
      <c r="AH13" s="16"/>
      <c r="AI13" s="16"/>
      <c r="AJ13" s="16"/>
      <c r="AK13" s="16"/>
      <c r="AL13" s="16"/>
      <c r="AM13" s="16"/>
    </row>
    <row r="14" spans="2:39" s="7" customFormat="1" outlineLevel="1">
      <c r="B14" s="24" t="s">
        <v>47</v>
      </c>
      <c r="C14" s="94" t="e">
        <f>SUMIFS(#REF!,#REF!,B14)</f>
        <v>#REF!</v>
      </c>
      <c r="D14" s="94" t="e">
        <f>SUMIFS(#REF!,#REF!,B14)</f>
        <v>#REF!</v>
      </c>
      <c r="E14" s="94" t="e">
        <f>SUMIFS(#REF!,#REF!,B14)</f>
        <v>#REF!</v>
      </c>
      <c r="F14" s="94" t="e">
        <f>SUMIFS(#REF!,#REF!,B14)</f>
        <v>#REF!</v>
      </c>
      <c r="G14" s="94" t="e">
        <f>SUMIFS(#REF!,#REF!,B14)</f>
        <v>#REF!</v>
      </c>
      <c r="H14" s="94" t="e">
        <f>SUMIFS(#REF!,#REF!,B14)</f>
        <v>#REF!</v>
      </c>
      <c r="I14" s="94" t="e">
        <f>SUMIFS(#REF!,#REF!,B14)</f>
        <v>#REF!</v>
      </c>
      <c r="J14" s="94">
        <f>SUMIFS('AGT TB Apr -25'!M:M,'AGT TB Apr -25'!S:S,BS!B14)*$J$2</f>
        <v>0</v>
      </c>
      <c r="K14" s="44"/>
      <c r="L14" s="44"/>
      <c r="M14" s="44"/>
      <c r="N14" s="44"/>
      <c r="O14" s="44"/>
      <c r="P14" s="44"/>
      <c r="Q14" s="84" t="e">
        <f>SUMIFS(#REF!,#REF!,BS!B14)*$Q$2</f>
        <v>#REF!</v>
      </c>
      <c r="R14" s="84"/>
      <c r="S14" s="84"/>
      <c r="T14" s="84"/>
      <c r="U14" s="84"/>
      <c r="V14" s="84"/>
      <c r="W14" s="84"/>
      <c r="X14" s="86" t="e">
        <f t="shared" si="10"/>
        <v>#REF!</v>
      </c>
      <c r="Y14" s="86" t="e">
        <f t="shared" si="10"/>
        <v>#REF!</v>
      </c>
      <c r="Z14" s="86" t="e">
        <f t="shared" si="10"/>
        <v>#REF!</v>
      </c>
      <c r="AA14" s="86" t="e">
        <f t="shared" si="10"/>
        <v>#REF!</v>
      </c>
      <c r="AB14" s="86" t="e">
        <f t="shared" si="10"/>
        <v>#REF!</v>
      </c>
      <c r="AC14" s="86" t="e">
        <f t="shared" si="10"/>
        <v>#REF!</v>
      </c>
      <c r="AD14" s="86" t="e">
        <f t="shared" si="10"/>
        <v>#REF!</v>
      </c>
      <c r="AE14" s="87"/>
      <c r="AF14" s="87" t="e">
        <f t="shared" si="1"/>
        <v>#REF!</v>
      </c>
      <c r="AG14" s="87"/>
      <c r="AH14" s="72" t="s">
        <v>194</v>
      </c>
      <c r="AI14" s="72"/>
      <c r="AJ14" s="72"/>
      <c r="AK14" s="72"/>
      <c r="AL14" s="72"/>
      <c r="AM14" s="72"/>
    </row>
    <row r="15" spans="2:39" s="7" customFormat="1" outlineLevel="1">
      <c r="B15" s="24" t="s">
        <v>112</v>
      </c>
      <c r="C15" s="94" t="e">
        <f>SUMIFS(#REF!,#REF!,B15)</f>
        <v>#REF!</v>
      </c>
      <c r="D15" s="94" t="e">
        <f>SUMIFS(#REF!,#REF!,B15)</f>
        <v>#REF!</v>
      </c>
      <c r="E15" s="94" t="e">
        <f>SUMIFS(#REF!,#REF!,B15)</f>
        <v>#REF!</v>
      </c>
      <c r="F15" s="94" t="e">
        <f>SUMIFS(#REF!,#REF!,B15)</f>
        <v>#REF!</v>
      </c>
      <c r="G15" s="94" t="e">
        <f>SUMIFS(#REF!,#REF!,B15)</f>
        <v>#REF!</v>
      </c>
      <c r="H15" s="94" t="e">
        <f>SUMIFS(#REF!,#REF!,B15)</f>
        <v>#REF!</v>
      </c>
      <c r="I15" s="94" t="e">
        <f>SUMIFS(#REF!,#REF!,B15)</f>
        <v>#REF!</v>
      </c>
      <c r="J15" s="94">
        <f>SUMIFS('AGT TB Apr -25'!M:M,'AGT TB Apr -25'!S:S,BS!B15)*$J$2</f>
        <v>0</v>
      </c>
      <c r="K15" s="42"/>
      <c r="L15" s="44"/>
      <c r="M15" s="44"/>
      <c r="N15" s="44"/>
      <c r="O15" s="42"/>
      <c r="P15" s="44"/>
      <c r="Q15" s="84" t="e">
        <f>SUMIFS(#REF!,#REF!,BS!B15)*$Q$2</f>
        <v>#REF!</v>
      </c>
      <c r="R15" s="84"/>
      <c r="S15" s="84"/>
      <c r="T15" s="84"/>
      <c r="U15" s="84"/>
      <c r="V15" s="84"/>
      <c r="W15" s="84"/>
      <c r="X15" s="86" t="e">
        <f t="shared" si="10"/>
        <v>#REF!</v>
      </c>
      <c r="Y15" s="86" t="e">
        <f t="shared" si="10"/>
        <v>#REF!</v>
      </c>
      <c r="Z15" s="86" t="e">
        <f t="shared" si="10"/>
        <v>#REF!</v>
      </c>
      <c r="AA15" s="86" t="e">
        <f t="shared" si="10"/>
        <v>#REF!</v>
      </c>
      <c r="AB15" s="86" t="e">
        <f t="shared" si="10"/>
        <v>#REF!</v>
      </c>
      <c r="AC15" s="86" t="e">
        <f t="shared" si="10"/>
        <v>#REF!</v>
      </c>
      <c r="AD15" s="86" t="e">
        <f t="shared" si="10"/>
        <v>#REF!</v>
      </c>
      <c r="AE15" s="87">
        <f>AH2+AH1</f>
        <v>81008725.390000001</v>
      </c>
      <c r="AF15" s="87" t="e">
        <f t="shared" si="1"/>
        <v>#REF!</v>
      </c>
      <c r="AG15" s="87"/>
      <c r="AH15" s="72" t="s">
        <v>154</v>
      </c>
      <c r="AI15" s="72"/>
      <c r="AJ15" s="72"/>
      <c r="AK15" s="72"/>
      <c r="AL15" s="72"/>
      <c r="AM15" s="72"/>
    </row>
    <row r="16" spans="2:39" s="7" customFormat="1" outlineLevel="1">
      <c r="B16" s="6" t="s">
        <v>52</v>
      </c>
      <c r="C16" s="220" t="e">
        <f t="shared" ref="C16:D16" si="12">SUM(C17:C32)</f>
        <v>#REF!</v>
      </c>
      <c r="D16" s="220" t="e">
        <f t="shared" si="12"/>
        <v>#REF!</v>
      </c>
      <c r="E16" s="220" t="e">
        <f t="shared" ref="E16:F16" si="13">SUM(E17:E32)</f>
        <v>#REF!</v>
      </c>
      <c r="F16" s="220" t="e">
        <f t="shared" si="13"/>
        <v>#REF!</v>
      </c>
      <c r="G16" s="220" t="e">
        <f t="shared" ref="G16:I16" si="14">SUM(G17:G32)</f>
        <v>#REF!</v>
      </c>
      <c r="H16" s="220" t="e">
        <f t="shared" si="14"/>
        <v>#REF!</v>
      </c>
      <c r="I16" s="220" t="e">
        <f t="shared" si="14"/>
        <v>#REF!</v>
      </c>
      <c r="J16" s="220">
        <f t="shared" ref="J16" si="15">SUM(J17:J32)</f>
        <v>0</v>
      </c>
      <c r="K16" s="44"/>
      <c r="L16" s="44"/>
      <c r="M16" s="44"/>
      <c r="N16" s="44"/>
      <c r="O16" s="44"/>
      <c r="P16" s="44"/>
      <c r="Q16" s="220" t="e">
        <f t="shared" ref="Q16:X16" si="16">SUM(Q17:Q32)</f>
        <v>#REF!</v>
      </c>
      <c r="R16" s="220"/>
      <c r="S16" s="220"/>
      <c r="T16" s="220"/>
      <c r="U16" s="220"/>
      <c r="V16" s="220"/>
      <c r="W16" s="220"/>
      <c r="X16" s="220" t="e">
        <f t="shared" si="16"/>
        <v>#REF!</v>
      </c>
      <c r="Y16" s="220" t="e">
        <f t="shared" ref="Y16:AD16" si="17">SUM(Y17:Y32)</f>
        <v>#REF!</v>
      </c>
      <c r="Z16" s="220" t="e">
        <f t="shared" si="17"/>
        <v>#REF!</v>
      </c>
      <c r="AA16" s="220" t="e">
        <f t="shared" si="17"/>
        <v>#REF!</v>
      </c>
      <c r="AB16" s="220" t="e">
        <f t="shared" si="17"/>
        <v>#REF!</v>
      </c>
      <c r="AC16" s="220" t="e">
        <f t="shared" si="17"/>
        <v>#REF!</v>
      </c>
      <c r="AD16" s="220" t="e">
        <f t="shared" si="17"/>
        <v>#REF!</v>
      </c>
      <c r="AE16" s="221"/>
      <c r="AF16" s="220" t="e">
        <f t="shared" ref="AF16" si="18">SUM(AF17:AF32)</f>
        <v>#REF!</v>
      </c>
      <c r="AG16" s="217"/>
      <c r="AH16" s="72" t="s">
        <v>155</v>
      </c>
      <c r="AI16" s="72"/>
      <c r="AJ16" s="72"/>
      <c r="AK16" s="72"/>
      <c r="AL16" s="72"/>
      <c r="AM16" s="72"/>
    </row>
    <row r="17" spans="2:39" s="7" customFormat="1" outlineLevel="1">
      <c r="B17" s="24" t="s">
        <v>42</v>
      </c>
      <c r="C17" s="93" t="e">
        <f>SUMIFS(#REF!,#REF!,B17)</f>
        <v>#REF!</v>
      </c>
      <c r="D17" s="93" t="e">
        <f>SUMIFS(#REF!,#REF!,B17)</f>
        <v>#REF!</v>
      </c>
      <c r="E17" s="93" t="e">
        <f>SUMIFS(#REF!,#REF!,B17)</f>
        <v>#REF!</v>
      </c>
      <c r="F17" s="93" t="e">
        <f>SUMIFS(#REF!,#REF!,B17)</f>
        <v>#REF!</v>
      </c>
      <c r="G17" s="93" t="e">
        <f>SUMIFS(#REF!,#REF!,B17)</f>
        <v>#REF!</v>
      </c>
      <c r="H17" s="93" t="e">
        <f>SUMIFS(#REF!,#REF!,B17)</f>
        <v>#REF!</v>
      </c>
      <c r="I17" s="93" t="e">
        <f>SUMIFS(#REF!,#REF!,B17)</f>
        <v>#REF!</v>
      </c>
      <c r="J17" s="94">
        <f>SUMIFS('AGT TB Apr -25'!M:M,'AGT TB Apr -25'!S:S,BS!B17)*$J$2</f>
        <v>0</v>
      </c>
      <c r="K17" s="44"/>
      <c r="L17" s="44"/>
      <c r="M17" s="44"/>
      <c r="N17" s="44"/>
      <c r="O17" s="44"/>
      <c r="P17" s="44"/>
      <c r="Q17" s="84" t="e">
        <f>SUMIFS(#REF!,#REF!,BS!B17)*$Q$2</f>
        <v>#REF!</v>
      </c>
      <c r="R17" s="84"/>
      <c r="S17" s="84"/>
      <c r="T17" s="84"/>
      <c r="U17" s="84"/>
      <c r="V17" s="84"/>
      <c r="W17" s="84"/>
      <c r="X17" s="86" t="e">
        <f t="shared" ref="X17:X34" si="19">C17+J17+Q17</f>
        <v>#REF!</v>
      </c>
      <c r="Y17" s="86" t="e">
        <f t="shared" ref="Y17:Y34" si="20">D17+K17+R17</f>
        <v>#REF!</v>
      </c>
      <c r="Z17" s="86" t="e">
        <f t="shared" ref="Z17:Z34" si="21">E17+L17+S17</f>
        <v>#REF!</v>
      </c>
      <c r="AA17" s="86" t="e">
        <f t="shared" ref="AA17:AA34" si="22">F17+M17+T17</f>
        <v>#REF!</v>
      </c>
      <c r="AB17" s="86" t="e">
        <f t="shared" ref="AB17:AB34" si="23">G17+N17+U17</f>
        <v>#REF!</v>
      </c>
      <c r="AC17" s="86" t="e">
        <f t="shared" ref="AC17:AC34" si="24">H17+O17+V17</f>
        <v>#REF!</v>
      </c>
      <c r="AD17" s="86" t="e">
        <f t="shared" ref="AD17:AD34" si="25">I17+P17+W17</f>
        <v>#REF!</v>
      </c>
      <c r="AE17" s="87"/>
      <c r="AF17" s="87" t="e">
        <f t="shared" si="1"/>
        <v>#REF!</v>
      </c>
      <c r="AG17" s="87"/>
      <c r="AH17" s="72"/>
      <c r="AI17" s="72"/>
      <c r="AJ17" s="72"/>
      <c r="AK17" s="72"/>
      <c r="AL17" s="72"/>
      <c r="AM17" s="72"/>
    </row>
    <row r="18" spans="2:39" s="7" customFormat="1" outlineLevel="1">
      <c r="B18" s="24" t="s">
        <v>1599</v>
      </c>
      <c r="C18" s="93" t="e">
        <f>SUMIFS(#REF!,#REF!,B18)</f>
        <v>#REF!</v>
      </c>
      <c r="D18" s="93" t="e">
        <f>SUMIFS(#REF!,#REF!,B18)</f>
        <v>#REF!</v>
      </c>
      <c r="E18" s="93" t="e">
        <f>SUMIFS(#REF!,#REF!,B18)</f>
        <v>#REF!</v>
      </c>
      <c r="F18" s="93" t="e">
        <f>SUMIFS(#REF!,#REF!,B18)</f>
        <v>#REF!</v>
      </c>
      <c r="G18" s="93" t="e">
        <f>SUMIFS(#REF!,#REF!,B18)</f>
        <v>#REF!</v>
      </c>
      <c r="H18" s="93" t="e">
        <f>SUMIFS(#REF!,#REF!,B18)</f>
        <v>#REF!</v>
      </c>
      <c r="I18" s="93" t="e">
        <f>SUMIFS(#REF!,#REF!,B18)</f>
        <v>#REF!</v>
      </c>
      <c r="J18" s="94">
        <f>SUMIFS('AGT TB Apr -25'!M:M,'AGT TB Apr -25'!S:S,BS!B18)*$J$2</f>
        <v>0</v>
      </c>
      <c r="K18" s="44"/>
      <c r="L18" s="44"/>
      <c r="M18" s="44"/>
      <c r="N18" s="44"/>
      <c r="O18" s="44"/>
      <c r="P18" s="44"/>
      <c r="Q18" s="84" t="e">
        <f>SUMIFS(#REF!,#REF!,BS!B18)*$Q$2</f>
        <v>#REF!</v>
      </c>
      <c r="R18" s="84"/>
      <c r="S18" s="84"/>
      <c r="T18" s="84"/>
      <c r="U18" s="84"/>
      <c r="V18" s="84"/>
      <c r="W18" s="84"/>
      <c r="X18" s="86" t="e">
        <f t="shared" si="19"/>
        <v>#REF!</v>
      </c>
      <c r="Y18" s="86" t="e">
        <f t="shared" si="20"/>
        <v>#REF!</v>
      </c>
      <c r="Z18" s="86" t="e">
        <f t="shared" si="21"/>
        <v>#REF!</v>
      </c>
      <c r="AA18" s="86" t="e">
        <f t="shared" si="22"/>
        <v>#REF!</v>
      </c>
      <c r="AB18" s="86" t="e">
        <f t="shared" si="23"/>
        <v>#REF!</v>
      </c>
      <c r="AC18" s="86" t="e">
        <f t="shared" si="24"/>
        <v>#REF!</v>
      </c>
      <c r="AD18" s="86" t="e">
        <f t="shared" si="25"/>
        <v>#REF!</v>
      </c>
      <c r="AE18" s="87"/>
      <c r="AF18" s="87" t="e">
        <f t="shared" si="1"/>
        <v>#REF!</v>
      </c>
      <c r="AG18" s="87"/>
      <c r="AH18" s="72"/>
      <c r="AI18" s="72"/>
      <c r="AJ18" s="72"/>
      <c r="AK18" s="72"/>
      <c r="AL18" s="72"/>
      <c r="AM18" s="72"/>
    </row>
    <row r="19" spans="2:39" s="7" customFormat="1" outlineLevel="1">
      <c r="B19" s="24" t="s">
        <v>1600</v>
      </c>
      <c r="C19" s="93" t="e">
        <f>SUMIFS(#REF!,#REF!,B19)</f>
        <v>#REF!</v>
      </c>
      <c r="D19" s="93" t="e">
        <f>SUMIFS(#REF!,#REF!,B19)</f>
        <v>#REF!</v>
      </c>
      <c r="E19" s="93" t="e">
        <f>SUMIFS(#REF!,#REF!,B19)</f>
        <v>#REF!</v>
      </c>
      <c r="F19" s="93" t="e">
        <f>SUMIFS(#REF!,#REF!,B19)</f>
        <v>#REF!</v>
      </c>
      <c r="G19" s="93" t="e">
        <f>SUMIFS(#REF!,#REF!,B19)</f>
        <v>#REF!</v>
      </c>
      <c r="H19" s="93" t="e">
        <f>SUMIFS(#REF!,#REF!,B19)</f>
        <v>#REF!</v>
      </c>
      <c r="I19" s="93" t="e">
        <f>SUMIFS(#REF!,#REF!,B19)</f>
        <v>#REF!</v>
      </c>
      <c r="J19" s="94">
        <f>SUMIFS('AGT TB Apr -25'!M:M,'AGT TB Apr -25'!S:S,BS!B19)*$J$2</f>
        <v>0</v>
      </c>
      <c r="K19" s="44"/>
      <c r="L19" s="44"/>
      <c r="M19" s="44"/>
      <c r="N19" s="44"/>
      <c r="O19" s="44"/>
      <c r="P19" s="44"/>
      <c r="Q19" s="84" t="e">
        <f>SUMIFS(#REF!,#REF!,BS!B19)*$Q$2</f>
        <v>#REF!</v>
      </c>
      <c r="R19" s="84"/>
      <c r="S19" s="84"/>
      <c r="T19" s="84"/>
      <c r="U19" s="84"/>
      <c r="V19" s="84"/>
      <c r="W19" s="84"/>
      <c r="X19" s="86" t="e">
        <f t="shared" si="19"/>
        <v>#REF!</v>
      </c>
      <c r="Y19" s="86" t="e">
        <f t="shared" si="20"/>
        <v>#REF!</v>
      </c>
      <c r="Z19" s="86" t="e">
        <f t="shared" si="21"/>
        <v>#REF!</v>
      </c>
      <c r="AA19" s="86" t="e">
        <f t="shared" si="22"/>
        <v>#REF!</v>
      </c>
      <c r="AB19" s="86" t="e">
        <f t="shared" si="23"/>
        <v>#REF!</v>
      </c>
      <c r="AC19" s="86" t="e">
        <f t="shared" si="24"/>
        <v>#REF!</v>
      </c>
      <c r="AD19" s="86" t="e">
        <f t="shared" si="25"/>
        <v>#REF!</v>
      </c>
      <c r="AE19" s="87"/>
      <c r="AF19" s="87" t="e">
        <f t="shared" si="1"/>
        <v>#REF!</v>
      </c>
      <c r="AG19" s="87"/>
      <c r="AH19" s="72"/>
      <c r="AI19" s="72"/>
      <c r="AJ19" s="72"/>
      <c r="AK19" s="72"/>
      <c r="AL19" s="72"/>
      <c r="AM19" s="72"/>
    </row>
    <row r="20" spans="2:39" s="7" customFormat="1" outlineLevel="1">
      <c r="B20" s="24" t="s">
        <v>1601</v>
      </c>
      <c r="C20" s="93" t="e">
        <f>SUMIFS(#REF!,#REF!,B20)</f>
        <v>#REF!</v>
      </c>
      <c r="D20" s="93" t="e">
        <f>SUMIFS(#REF!,#REF!,B20)</f>
        <v>#REF!</v>
      </c>
      <c r="E20" s="93" t="e">
        <f>SUMIFS(#REF!,#REF!,B20)</f>
        <v>#REF!</v>
      </c>
      <c r="F20" s="93" t="e">
        <f>SUMIFS(#REF!,#REF!,B20)</f>
        <v>#REF!</v>
      </c>
      <c r="G20" s="93" t="e">
        <f>SUMIFS(#REF!,#REF!,B20)</f>
        <v>#REF!</v>
      </c>
      <c r="H20" s="93" t="e">
        <f>SUMIFS(#REF!,#REF!,B20)</f>
        <v>#REF!</v>
      </c>
      <c r="I20" s="93" t="e">
        <f>SUMIFS(#REF!,#REF!,B20)</f>
        <v>#REF!</v>
      </c>
      <c r="J20" s="94">
        <f>SUMIFS('AGT TB Apr -25'!M:M,'AGT TB Apr -25'!S:S,BS!B20)*$J$2</f>
        <v>0</v>
      </c>
      <c r="K20" s="44"/>
      <c r="L20" s="44"/>
      <c r="M20" s="44"/>
      <c r="N20" s="44"/>
      <c r="O20" s="44"/>
      <c r="P20" s="44"/>
      <c r="Q20" s="84" t="e">
        <f>SUMIFS(#REF!,#REF!,BS!B20)*$Q$2</f>
        <v>#REF!</v>
      </c>
      <c r="R20" s="84"/>
      <c r="S20" s="84"/>
      <c r="T20" s="84"/>
      <c r="U20" s="84"/>
      <c r="V20" s="84"/>
      <c r="W20" s="84"/>
      <c r="X20" s="86" t="e">
        <f t="shared" si="19"/>
        <v>#REF!</v>
      </c>
      <c r="Y20" s="86" t="e">
        <f t="shared" si="20"/>
        <v>#REF!</v>
      </c>
      <c r="Z20" s="86" t="e">
        <f t="shared" si="21"/>
        <v>#REF!</v>
      </c>
      <c r="AA20" s="86" t="e">
        <f t="shared" si="22"/>
        <v>#REF!</v>
      </c>
      <c r="AB20" s="86" t="e">
        <f t="shared" si="23"/>
        <v>#REF!</v>
      </c>
      <c r="AC20" s="86" t="e">
        <f t="shared" si="24"/>
        <v>#REF!</v>
      </c>
      <c r="AD20" s="86" t="e">
        <f t="shared" si="25"/>
        <v>#REF!</v>
      </c>
      <c r="AE20" s="87"/>
      <c r="AF20" s="87" t="e">
        <f t="shared" si="1"/>
        <v>#REF!</v>
      </c>
      <c r="AG20" s="87"/>
      <c r="AH20" s="72"/>
      <c r="AI20" s="72"/>
      <c r="AJ20" s="72"/>
      <c r="AK20" s="72"/>
      <c r="AL20" s="72"/>
      <c r="AM20" s="72"/>
    </row>
    <row r="21" spans="2:39" s="7" customFormat="1" outlineLevel="1">
      <c r="B21" s="24" t="s">
        <v>1602</v>
      </c>
      <c r="C21" s="93" t="e">
        <f>SUMIFS(#REF!,#REF!,B21)</f>
        <v>#REF!</v>
      </c>
      <c r="D21" s="93" t="e">
        <f>SUMIFS(#REF!,#REF!,B21)</f>
        <v>#REF!</v>
      </c>
      <c r="E21" s="93" t="e">
        <f>SUMIFS(#REF!,#REF!,B21)</f>
        <v>#REF!</v>
      </c>
      <c r="F21" s="93" t="e">
        <f>SUMIFS(#REF!,#REF!,B21)</f>
        <v>#REF!</v>
      </c>
      <c r="G21" s="93" t="e">
        <f>SUMIFS(#REF!,#REF!,B21)</f>
        <v>#REF!</v>
      </c>
      <c r="H21" s="93" t="e">
        <f>SUMIFS(#REF!,#REF!,B21)</f>
        <v>#REF!</v>
      </c>
      <c r="I21" s="93" t="e">
        <f>SUMIFS(#REF!,#REF!,B21)</f>
        <v>#REF!</v>
      </c>
      <c r="J21" s="94">
        <f>SUMIFS('AGT TB Apr -25'!M:M,'AGT TB Apr -25'!S:S,BS!B21)*$J$2</f>
        <v>0</v>
      </c>
      <c r="K21" s="44"/>
      <c r="L21" s="44"/>
      <c r="M21" s="44"/>
      <c r="N21" s="44"/>
      <c r="O21" s="44"/>
      <c r="P21" s="44"/>
      <c r="Q21" s="84" t="e">
        <f>SUMIFS(#REF!,#REF!,BS!B21)*$Q$2</f>
        <v>#REF!</v>
      </c>
      <c r="R21" s="84"/>
      <c r="S21" s="84"/>
      <c r="T21" s="84"/>
      <c r="U21" s="84"/>
      <c r="V21" s="84"/>
      <c r="W21" s="84"/>
      <c r="X21" s="86" t="e">
        <f t="shared" si="19"/>
        <v>#REF!</v>
      </c>
      <c r="Y21" s="86" t="e">
        <f t="shared" si="20"/>
        <v>#REF!</v>
      </c>
      <c r="Z21" s="86" t="e">
        <f t="shared" si="21"/>
        <v>#REF!</v>
      </c>
      <c r="AA21" s="86" t="e">
        <f t="shared" si="22"/>
        <v>#REF!</v>
      </c>
      <c r="AB21" s="86" t="e">
        <f t="shared" si="23"/>
        <v>#REF!</v>
      </c>
      <c r="AC21" s="86" t="e">
        <f t="shared" si="24"/>
        <v>#REF!</v>
      </c>
      <c r="AD21" s="86" t="e">
        <f t="shared" si="25"/>
        <v>#REF!</v>
      </c>
      <c r="AE21" s="87"/>
      <c r="AF21" s="87" t="e">
        <f t="shared" si="1"/>
        <v>#REF!</v>
      </c>
      <c r="AG21" s="87"/>
      <c r="AH21" s="72"/>
      <c r="AI21" s="72"/>
      <c r="AJ21" s="72"/>
      <c r="AK21" s="72"/>
      <c r="AL21" s="72"/>
      <c r="AM21" s="72"/>
    </row>
    <row r="22" spans="2:39" s="7" customFormat="1" outlineLevel="1">
      <c r="B22" s="24" t="s">
        <v>1603</v>
      </c>
      <c r="C22" s="93" t="e">
        <f>SUMIFS(#REF!,#REF!,B22)</f>
        <v>#REF!</v>
      </c>
      <c r="D22" s="93" t="e">
        <f>SUMIFS(#REF!,#REF!,B22)</f>
        <v>#REF!</v>
      </c>
      <c r="E22" s="93" t="e">
        <f>SUMIFS(#REF!,#REF!,B22)</f>
        <v>#REF!</v>
      </c>
      <c r="F22" s="93" t="e">
        <f>SUMIFS(#REF!,#REF!,B22)</f>
        <v>#REF!</v>
      </c>
      <c r="G22" s="93" t="e">
        <f>SUMIFS(#REF!,#REF!,B22)</f>
        <v>#REF!</v>
      </c>
      <c r="H22" s="93" t="e">
        <f>SUMIFS(#REF!,#REF!,B22)</f>
        <v>#REF!</v>
      </c>
      <c r="I22" s="93" t="e">
        <f>SUMIFS(#REF!,#REF!,B22)</f>
        <v>#REF!</v>
      </c>
      <c r="J22" s="94">
        <f>SUMIFS('AGT TB Apr -25'!M:M,'AGT TB Apr -25'!S:S,BS!B22)*$J$2</f>
        <v>0</v>
      </c>
      <c r="K22" s="44"/>
      <c r="L22" s="44"/>
      <c r="M22" s="44"/>
      <c r="N22" s="44"/>
      <c r="O22" s="44"/>
      <c r="P22" s="44"/>
      <c r="Q22" s="84" t="e">
        <f>SUMIFS(#REF!,#REF!,BS!B22)*$Q$2</f>
        <v>#REF!</v>
      </c>
      <c r="R22" s="84"/>
      <c r="S22" s="84"/>
      <c r="T22" s="84"/>
      <c r="U22" s="84"/>
      <c r="V22" s="84"/>
      <c r="W22" s="84"/>
      <c r="X22" s="86" t="e">
        <f t="shared" si="19"/>
        <v>#REF!</v>
      </c>
      <c r="Y22" s="86" t="e">
        <f t="shared" si="20"/>
        <v>#REF!</v>
      </c>
      <c r="Z22" s="86" t="e">
        <f t="shared" si="21"/>
        <v>#REF!</v>
      </c>
      <c r="AA22" s="86" t="e">
        <f t="shared" si="22"/>
        <v>#REF!</v>
      </c>
      <c r="AB22" s="86" t="e">
        <f t="shared" si="23"/>
        <v>#REF!</v>
      </c>
      <c r="AC22" s="86" t="e">
        <f t="shared" si="24"/>
        <v>#REF!</v>
      </c>
      <c r="AD22" s="86" t="e">
        <f t="shared" si="25"/>
        <v>#REF!</v>
      </c>
      <c r="AE22" s="87"/>
      <c r="AF22" s="87" t="e">
        <f t="shared" si="1"/>
        <v>#REF!</v>
      </c>
      <c r="AG22" s="87"/>
      <c r="AH22" s="72"/>
      <c r="AI22" s="72"/>
      <c r="AJ22" s="72"/>
      <c r="AK22" s="72"/>
      <c r="AL22" s="72"/>
      <c r="AM22" s="72"/>
    </row>
    <row r="23" spans="2:39" s="7" customFormat="1" outlineLevel="1">
      <c r="B23" s="24" t="s">
        <v>1604</v>
      </c>
      <c r="C23" s="93" t="e">
        <f>SUMIFS(#REF!,#REF!,B23)</f>
        <v>#REF!</v>
      </c>
      <c r="D23" s="93" t="e">
        <f>SUMIFS(#REF!,#REF!,B23)</f>
        <v>#REF!</v>
      </c>
      <c r="E23" s="93" t="e">
        <f>SUMIFS(#REF!,#REF!,B23)</f>
        <v>#REF!</v>
      </c>
      <c r="F23" s="93" t="e">
        <f>SUMIFS(#REF!,#REF!,B23)</f>
        <v>#REF!</v>
      </c>
      <c r="G23" s="93" t="e">
        <f>SUMIFS(#REF!,#REF!,B23)</f>
        <v>#REF!</v>
      </c>
      <c r="H23" s="93" t="e">
        <f>SUMIFS(#REF!,#REF!,B23)</f>
        <v>#REF!</v>
      </c>
      <c r="I23" s="93" t="e">
        <f>SUMIFS(#REF!,#REF!,B23)</f>
        <v>#REF!</v>
      </c>
      <c r="J23" s="94">
        <f>SUMIFS('AGT TB Apr -25'!M:M,'AGT TB Apr -25'!S:S,BS!B23)*$J$2</f>
        <v>0</v>
      </c>
      <c r="K23" s="44"/>
      <c r="L23" s="44"/>
      <c r="M23" s="44"/>
      <c r="N23" s="44"/>
      <c r="O23" s="44"/>
      <c r="P23" s="44"/>
      <c r="Q23" s="84" t="e">
        <f>SUMIFS(#REF!,#REF!,BS!B23)*$Q$2</f>
        <v>#REF!</v>
      </c>
      <c r="R23" s="84"/>
      <c r="S23" s="84"/>
      <c r="T23" s="84"/>
      <c r="U23" s="84"/>
      <c r="V23" s="84"/>
      <c r="W23" s="84"/>
      <c r="X23" s="86" t="e">
        <f t="shared" si="19"/>
        <v>#REF!</v>
      </c>
      <c r="Y23" s="86" t="e">
        <f t="shared" si="20"/>
        <v>#REF!</v>
      </c>
      <c r="Z23" s="86" t="e">
        <f t="shared" si="21"/>
        <v>#REF!</v>
      </c>
      <c r="AA23" s="86" t="e">
        <f t="shared" si="22"/>
        <v>#REF!</v>
      </c>
      <c r="AB23" s="86" t="e">
        <f t="shared" si="23"/>
        <v>#REF!</v>
      </c>
      <c r="AC23" s="86" t="e">
        <f t="shared" si="24"/>
        <v>#REF!</v>
      </c>
      <c r="AD23" s="86" t="e">
        <f t="shared" si="25"/>
        <v>#REF!</v>
      </c>
      <c r="AE23" s="87"/>
      <c r="AF23" s="87" t="e">
        <f t="shared" si="1"/>
        <v>#REF!</v>
      </c>
      <c r="AG23" s="87"/>
      <c r="AH23" s="72"/>
      <c r="AI23" s="72"/>
      <c r="AJ23" s="72"/>
      <c r="AK23" s="72"/>
      <c r="AL23" s="72"/>
      <c r="AM23" s="72"/>
    </row>
    <row r="24" spans="2:39" s="7" customFormat="1" outlineLevel="1">
      <c r="B24" s="24" t="s">
        <v>1605</v>
      </c>
      <c r="C24" s="93" t="e">
        <f>SUMIFS(#REF!,#REF!,B24)</f>
        <v>#REF!</v>
      </c>
      <c r="D24" s="93" t="e">
        <f>SUMIFS(#REF!,#REF!,B24)</f>
        <v>#REF!</v>
      </c>
      <c r="E24" s="93" t="e">
        <f>SUMIFS(#REF!,#REF!,B24)</f>
        <v>#REF!</v>
      </c>
      <c r="F24" s="93" t="e">
        <f>SUMIFS(#REF!,#REF!,B24)</f>
        <v>#REF!</v>
      </c>
      <c r="G24" s="93" t="e">
        <f>SUMIFS(#REF!,#REF!,B24)</f>
        <v>#REF!</v>
      </c>
      <c r="H24" s="93" t="e">
        <f>SUMIFS(#REF!,#REF!,B24)</f>
        <v>#REF!</v>
      </c>
      <c r="I24" s="93" t="e">
        <f>SUMIFS(#REF!,#REF!,B24)</f>
        <v>#REF!</v>
      </c>
      <c r="J24" s="94">
        <f>SUMIFS('AGT TB Apr -25'!M:M,'AGT TB Apr -25'!S:S,BS!B24)*$J$2</f>
        <v>0</v>
      </c>
      <c r="K24" s="44"/>
      <c r="L24" s="44"/>
      <c r="M24" s="44"/>
      <c r="N24" s="44"/>
      <c r="O24" s="44"/>
      <c r="P24" s="44"/>
      <c r="Q24" s="84" t="e">
        <f>SUMIFS(#REF!,#REF!,BS!B24)*$Q$2</f>
        <v>#REF!</v>
      </c>
      <c r="R24" s="84"/>
      <c r="S24" s="84"/>
      <c r="T24" s="84"/>
      <c r="U24" s="84"/>
      <c r="V24" s="84"/>
      <c r="W24" s="84"/>
      <c r="X24" s="86" t="e">
        <f t="shared" si="19"/>
        <v>#REF!</v>
      </c>
      <c r="Y24" s="86" t="e">
        <f t="shared" si="20"/>
        <v>#REF!</v>
      </c>
      <c r="Z24" s="86" t="e">
        <f t="shared" si="21"/>
        <v>#REF!</v>
      </c>
      <c r="AA24" s="86" t="e">
        <f t="shared" si="22"/>
        <v>#REF!</v>
      </c>
      <c r="AB24" s="86" t="e">
        <f t="shared" si="23"/>
        <v>#REF!</v>
      </c>
      <c r="AC24" s="86" t="e">
        <f t="shared" si="24"/>
        <v>#REF!</v>
      </c>
      <c r="AD24" s="86" t="e">
        <f t="shared" si="25"/>
        <v>#REF!</v>
      </c>
      <c r="AE24" s="87"/>
      <c r="AF24" s="87" t="e">
        <f t="shared" si="1"/>
        <v>#REF!</v>
      </c>
      <c r="AG24" s="87"/>
      <c r="AH24" s="72"/>
      <c r="AI24" s="72"/>
      <c r="AJ24" s="72"/>
      <c r="AK24" s="72"/>
      <c r="AL24" s="72"/>
      <c r="AM24" s="72"/>
    </row>
    <row r="25" spans="2:39" s="7" customFormat="1" outlineLevel="1">
      <c r="B25" s="24" t="s">
        <v>658</v>
      </c>
      <c r="C25" s="93" t="e">
        <f>SUMIFS(#REF!,#REF!,B25)</f>
        <v>#REF!</v>
      </c>
      <c r="D25" s="93" t="e">
        <f>SUMIFS(#REF!,#REF!,B25)</f>
        <v>#REF!</v>
      </c>
      <c r="E25" s="93" t="e">
        <f>SUMIFS(#REF!,#REF!,B25)</f>
        <v>#REF!</v>
      </c>
      <c r="F25" s="93" t="e">
        <f>SUMIFS(#REF!,#REF!,B25)</f>
        <v>#REF!</v>
      </c>
      <c r="G25" s="93" t="e">
        <f>SUMIFS(#REF!,#REF!,B25)</f>
        <v>#REF!</v>
      </c>
      <c r="H25" s="93" t="e">
        <f>SUMIFS(#REF!,#REF!,B25)</f>
        <v>#REF!</v>
      </c>
      <c r="I25" s="93" t="e">
        <f>SUMIFS(#REF!,#REF!,B25)</f>
        <v>#REF!</v>
      </c>
      <c r="J25" s="94">
        <f>SUMIFS('AGT TB Apr -25'!M:M,'AGT TB Apr -25'!S:S,BS!B25)*$J$2</f>
        <v>0</v>
      </c>
      <c r="K25" s="44"/>
      <c r="L25" s="44"/>
      <c r="M25" s="44"/>
      <c r="N25" s="44"/>
      <c r="O25" s="44"/>
      <c r="P25" s="44"/>
      <c r="Q25" s="84" t="e">
        <f>SUMIFS(#REF!,#REF!,BS!B25)*$Q$2</f>
        <v>#REF!</v>
      </c>
      <c r="R25" s="84"/>
      <c r="S25" s="84"/>
      <c r="T25" s="84"/>
      <c r="U25" s="84"/>
      <c r="V25" s="84"/>
      <c r="W25" s="84"/>
      <c r="X25" s="86" t="e">
        <f t="shared" si="19"/>
        <v>#REF!</v>
      </c>
      <c r="Y25" s="86" t="e">
        <f t="shared" si="20"/>
        <v>#REF!</v>
      </c>
      <c r="Z25" s="86" t="e">
        <f t="shared" si="21"/>
        <v>#REF!</v>
      </c>
      <c r="AA25" s="86" t="e">
        <f t="shared" si="22"/>
        <v>#REF!</v>
      </c>
      <c r="AB25" s="86" t="e">
        <f t="shared" si="23"/>
        <v>#REF!</v>
      </c>
      <c r="AC25" s="86" t="e">
        <f t="shared" si="24"/>
        <v>#REF!</v>
      </c>
      <c r="AD25" s="86" t="e">
        <f t="shared" si="25"/>
        <v>#REF!</v>
      </c>
      <c r="AE25" s="87"/>
      <c r="AF25" s="87" t="e">
        <f t="shared" si="1"/>
        <v>#REF!</v>
      </c>
      <c r="AG25" s="87"/>
      <c r="AH25" s="72"/>
      <c r="AI25" s="72"/>
      <c r="AJ25" s="72"/>
      <c r="AK25" s="72"/>
      <c r="AL25" s="72"/>
      <c r="AM25" s="72"/>
    </row>
    <row r="26" spans="2:39" s="7" customFormat="1" outlineLevel="1">
      <c r="B26" s="24" t="s">
        <v>1606</v>
      </c>
      <c r="C26" s="93" t="e">
        <f>SUMIFS(#REF!,#REF!,B26)</f>
        <v>#REF!</v>
      </c>
      <c r="D26" s="93" t="e">
        <f>SUMIFS(#REF!,#REF!,B26)</f>
        <v>#REF!</v>
      </c>
      <c r="E26" s="93" t="e">
        <f>SUMIFS(#REF!,#REF!,B26)</f>
        <v>#REF!</v>
      </c>
      <c r="F26" s="93" t="e">
        <f>SUMIFS(#REF!,#REF!,B26)</f>
        <v>#REF!</v>
      </c>
      <c r="G26" s="93" t="e">
        <f>SUMIFS(#REF!,#REF!,B26)</f>
        <v>#REF!</v>
      </c>
      <c r="H26" s="93" t="e">
        <f>SUMIFS(#REF!,#REF!,B26)</f>
        <v>#REF!</v>
      </c>
      <c r="I26" s="93" t="e">
        <f>SUMIFS(#REF!,#REF!,B26)</f>
        <v>#REF!</v>
      </c>
      <c r="J26" s="94">
        <f>SUMIFS('AGT TB Apr -25'!M:M,'AGT TB Apr -25'!S:S,BS!B26)*$J$2</f>
        <v>0</v>
      </c>
      <c r="K26" s="44"/>
      <c r="L26" s="44"/>
      <c r="M26" s="44"/>
      <c r="N26" s="44"/>
      <c r="O26" s="44"/>
      <c r="P26" s="44"/>
      <c r="Q26" s="84" t="e">
        <f>SUMIFS(#REF!,#REF!,BS!B26)*$Q$2</f>
        <v>#REF!</v>
      </c>
      <c r="R26" s="84"/>
      <c r="S26" s="84"/>
      <c r="T26" s="84"/>
      <c r="U26" s="84"/>
      <c r="V26" s="84"/>
      <c r="W26" s="84"/>
      <c r="X26" s="86" t="e">
        <f t="shared" si="19"/>
        <v>#REF!</v>
      </c>
      <c r="Y26" s="86" t="e">
        <f t="shared" si="20"/>
        <v>#REF!</v>
      </c>
      <c r="Z26" s="86" t="e">
        <f t="shared" si="21"/>
        <v>#REF!</v>
      </c>
      <c r="AA26" s="86" t="e">
        <f t="shared" si="22"/>
        <v>#REF!</v>
      </c>
      <c r="AB26" s="86" t="e">
        <f t="shared" si="23"/>
        <v>#REF!</v>
      </c>
      <c r="AC26" s="86" t="e">
        <f t="shared" si="24"/>
        <v>#REF!</v>
      </c>
      <c r="AD26" s="86" t="e">
        <f t="shared" si="25"/>
        <v>#REF!</v>
      </c>
      <c r="AE26" s="87" t="e">
        <f>AE51</f>
        <v>#REF!</v>
      </c>
      <c r="AF26" s="87" t="e">
        <f t="shared" si="1"/>
        <v>#REF!</v>
      </c>
      <c r="AG26" s="87"/>
      <c r="AH26" s="72"/>
      <c r="AI26" s="72"/>
      <c r="AJ26" s="72"/>
      <c r="AK26" s="72"/>
      <c r="AL26" s="72"/>
      <c r="AM26" s="72"/>
    </row>
    <row r="27" spans="2:39" s="7" customFormat="1" outlineLevel="1">
      <c r="B27" s="24" t="s">
        <v>52</v>
      </c>
      <c r="C27" s="93" t="e">
        <f>SUMIFS(#REF!,#REF!,B27)</f>
        <v>#REF!</v>
      </c>
      <c r="D27" s="93" t="e">
        <f>SUMIFS(#REF!,#REF!,B27)</f>
        <v>#REF!</v>
      </c>
      <c r="E27" s="93" t="e">
        <f>SUMIFS(#REF!,#REF!,B27)</f>
        <v>#REF!</v>
      </c>
      <c r="F27" s="93" t="e">
        <f>SUMIFS(#REF!,#REF!,B27)</f>
        <v>#REF!</v>
      </c>
      <c r="G27" s="93" t="e">
        <f>SUMIFS(#REF!,#REF!,B27)</f>
        <v>#REF!</v>
      </c>
      <c r="H27" s="93" t="e">
        <f>SUMIFS(#REF!,#REF!,B27)</f>
        <v>#REF!</v>
      </c>
      <c r="I27" s="93" t="e">
        <f>SUMIFS(#REF!,#REF!,B27)</f>
        <v>#REF!</v>
      </c>
      <c r="J27" s="94">
        <f>SUMIFS('AGT TB Apr -25'!M:M,'AGT TB Apr -25'!S:S,BS!B27)*$J$2</f>
        <v>0</v>
      </c>
      <c r="K27" s="44"/>
      <c r="L27" s="44"/>
      <c r="M27" s="44"/>
      <c r="N27" s="44"/>
      <c r="O27" s="44"/>
      <c r="P27" s="44"/>
      <c r="Q27" s="84" t="e">
        <f>SUMIFS(#REF!,#REF!,BS!B27)*$Q$2</f>
        <v>#REF!</v>
      </c>
      <c r="R27" s="84"/>
      <c r="S27" s="84"/>
      <c r="T27" s="84"/>
      <c r="U27" s="84"/>
      <c r="V27" s="84"/>
      <c r="W27" s="84"/>
      <c r="X27" s="86" t="e">
        <f t="shared" si="19"/>
        <v>#REF!</v>
      </c>
      <c r="Y27" s="86" t="e">
        <f t="shared" si="20"/>
        <v>#REF!</v>
      </c>
      <c r="Z27" s="86" t="e">
        <f t="shared" si="21"/>
        <v>#REF!</v>
      </c>
      <c r="AA27" s="86" t="e">
        <f t="shared" si="22"/>
        <v>#REF!</v>
      </c>
      <c r="AB27" s="86" t="e">
        <f t="shared" si="23"/>
        <v>#REF!</v>
      </c>
      <c r="AC27" s="86" t="e">
        <f t="shared" si="24"/>
        <v>#REF!</v>
      </c>
      <c r="AD27" s="86" t="e">
        <f t="shared" si="25"/>
        <v>#REF!</v>
      </c>
      <c r="AE27" s="87"/>
      <c r="AF27" s="87" t="e">
        <f t="shared" ref="AF27" si="26">X27-AE27</f>
        <v>#REF!</v>
      </c>
      <c r="AG27" s="87"/>
      <c r="AH27" s="72"/>
      <c r="AI27" s="72"/>
      <c r="AJ27" s="72"/>
      <c r="AK27" s="72"/>
      <c r="AL27" s="72"/>
      <c r="AM27" s="72"/>
    </row>
    <row r="28" spans="2:39" s="7" customFormat="1" outlineLevel="1">
      <c r="B28" s="24" t="s">
        <v>1607</v>
      </c>
      <c r="C28" s="93" t="e">
        <f>SUMIFS(#REF!,#REF!,B28)</f>
        <v>#REF!</v>
      </c>
      <c r="D28" s="93" t="e">
        <f>SUMIFS(#REF!,#REF!,B28)</f>
        <v>#REF!</v>
      </c>
      <c r="E28" s="93" t="e">
        <f>SUMIFS(#REF!,#REF!,B28)</f>
        <v>#REF!</v>
      </c>
      <c r="F28" s="93" t="e">
        <f>SUMIFS(#REF!,#REF!,B28)</f>
        <v>#REF!</v>
      </c>
      <c r="G28" s="93" t="e">
        <f>SUMIFS(#REF!,#REF!,B28)</f>
        <v>#REF!</v>
      </c>
      <c r="H28" s="93" t="e">
        <f>SUMIFS(#REF!,#REF!,B28)</f>
        <v>#REF!</v>
      </c>
      <c r="I28" s="93" t="e">
        <f>SUMIFS(#REF!,#REF!,B28)</f>
        <v>#REF!</v>
      </c>
      <c r="J28" s="94">
        <f>SUMIFS('AGT TB Apr -25'!M:M,'AGT TB Apr -25'!S:S,BS!B28)*$J$2</f>
        <v>0</v>
      </c>
      <c r="K28" s="44"/>
      <c r="L28" s="44"/>
      <c r="M28" s="44"/>
      <c r="N28" s="44"/>
      <c r="O28" s="44"/>
      <c r="P28" s="44"/>
      <c r="Q28" s="84" t="e">
        <f>SUMIFS(#REF!,#REF!,BS!B28)*$Q$2</f>
        <v>#REF!</v>
      </c>
      <c r="R28" s="84"/>
      <c r="S28" s="84"/>
      <c r="T28" s="84"/>
      <c r="U28" s="84"/>
      <c r="V28" s="84"/>
      <c r="W28" s="84"/>
      <c r="X28" s="86" t="e">
        <f t="shared" si="19"/>
        <v>#REF!</v>
      </c>
      <c r="Y28" s="86" t="e">
        <f t="shared" si="20"/>
        <v>#REF!</v>
      </c>
      <c r="Z28" s="86" t="e">
        <f t="shared" si="21"/>
        <v>#REF!</v>
      </c>
      <c r="AA28" s="86" t="e">
        <f t="shared" si="22"/>
        <v>#REF!</v>
      </c>
      <c r="AB28" s="86" t="e">
        <f t="shared" si="23"/>
        <v>#REF!</v>
      </c>
      <c r="AC28" s="86" t="e">
        <f t="shared" si="24"/>
        <v>#REF!</v>
      </c>
      <c r="AD28" s="86" t="e">
        <f t="shared" si="25"/>
        <v>#REF!</v>
      </c>
      <c r="AE28" s="87"/>
      <c r="AF28" s="87" t="e">
        <f t="shared" si="1"/>
        <v>#REF!</v>
      </c>
      <c r="AG28" s="87"/>
      <c r="AH28" s="72"/>
      <c r="AI28" s="72"/>
      <c r="AJ28" s="72"/>
      <c r="AK28" s="72"/>
      <c r="AL28" s="72"/>
      <c r="AM28" s="72"/>
    </row>
    <row r="29" spans="2:39" s="7" customFormat="1" outlineLevel="1">
      <c r="B29" s="24" t="s">
        <v>1608</v>
      </c>
      <c r="C29" s="93" t="e">
        <f>SUMIFS(#REF!,#REF!,B29)</f>
        <v>#REF!</v>
      </c>
      <c r="D29" s="93" t="e">
        <f>SUMIFS(#REF!,#REF!,B29)</f>
        <v>#REF!</v>
      </c>
      <c r="E29" s="93" t="e">
        <f>SUMIFS(#REF!,#REF!,B29)</f>
        <v>#REF!</v>
      </c>
      <c r="F29" s="93" t="e">
        <f>SUMIFS(#REF!,#REF!,B29)</f>
        <v>#REF!</v>
      </c>
      <c r="G29" s="93" t="e">
        <f>SUMIFS(#REF!,#REF!,B29)</f>
        <v>#REF!</v>
      </c>
      <c r="H29" s="93" t="e">
        <f>SUMIFS(#REF!,#REF!,B29)</f>
        <v>#REF!</v>
      </c>
      <c r="I29" s="93" t="e">
        <f>SUMIFS(#REF!,#REF!,B29)</f>
        <v>#REF!</v>
      </c>
      <c r="J29" s="94">
        <f>SUMIFS('AGT TB Apr -25'!M:M,'AGT TB Apr -25'!S:S,BS!B29)*$J$2</f>
        <v>0</v>
      </c>
      <c r="K29" s="44"/>
      <c r="L29" s="44"/>
      <c r="M29" s="44"/>
      <c r="N29" s="44"/>
      <c r="O29" s="44"/>
      <c r="P29" s="44"/>
      <c r="Q29" s="84" t="e">
        <f>SUMIFS(#REF!,#REF!,BS!B29)*$Q$2</f>
        <v>#REF!</v>
      </c>
      <c r="R29" s="84"/>
      <c r="S29" s="84"/>
      <c r="T29" s="84"/>
      <c r="U29" s="84"/>
      <c r="V29" s="84"/>
      <c r="W29" s="84"/>
      <c r="X29" s="86" t="e">
        <f t="shared" si="19"/>
        <v>#REF!</v>
      </c>
      <c r="Y29" s="86" t="e">
        <f t="shared" si="20"/>
        <v>#REF!</v>
      </c>
      <c r="Z29" s="86" t="e">
        <f t="shared" si="21"/>
        <v>#REF!</v>
      </c>
      <c r="AA29" s="86" t="e">
        <f t="shared" si="22"/>
        <v>#REF!</v>
      </c>
      <c r="AB29" s="86" t="e">
        <f t="shared" si="23"/>
        <v>#REF!</v>
      </c>
      <c r="AC29" s="86" t="e">
        <f t="shared" si="24"/>
        <v>#REF!</v>
      </c>
      <c r="AD29" s="86" t="e">
        <f t="shared" si="25"/>
        <v>#REF!</v>
      </c>
      <c r="AE29" s="87"/>
      <c r="AF29" s="87" t="e">
        <f t="shared" si="1"/>
        <v>#REF!</v>
      </c>
      <c r="AG29" s="87"/>
      <c r="AH29" s="72"/>
      <c r="AI29" s="72"/>
      <c r="AJ29" s="72"/>
      <c r="AK29" s="72"/>
      <c r="AL29" s="72"/>
      <c r="AM29" s="72"/>
    </row>
    <row r="30" spans="2:39" s="7" customFormat="1" outlineLevel="1">
      <c r="B30" s="24" t="s">
        <v>1609</v>
      </c>
      <c r="C30" s="93" t="e">
        <f>SUMIFS(#REF!,#REF!,B30)</f>
        <v>#REF!</v>
      </c>
      <c r="D30" s="93" t="e">
        <f>SUMIFS(#REF!,#REF!,B30)</f>
        <v>#REF!</v>
      </c>
      <c r="E30" s="93" t="e">
        <f>SUMIFS(#REF!,#REF!,B30)</f>
        <v>#REF!</v>
      </c>
      <c r="F30" s="93" t="e">
        <f>SUMIFS(#REF!,#REF!,B30)</f>
        <v>#REF!</v>
      </c>
      <c r="G30" s="93" t="e">
        <f>SUMIFS(#REF!,#REF!,B30)</f>
        <v>#REF!</v>
      </c>
      <c r="H30" s="93" t="e">
        <f>SUMIFS(#REF!,#REF!,B30)</f>
        <v>#REF!</v>
      </c>
      <c r="I30" s="93" t="e">
        <f>SUMIFS(#REF!,#REF!,B30)</f>
        <v>#REF!</v>
      </c>
      <c r="J30" s="94">
        <f>SUMIFS('AGT TB Apr -25'!M:M,'AGT TB Apr -25'!S:S,BS!B30)*$J$2</f>
        <v>0</v>
      </c>
      <c r="K30" s="44"/>
      <c r="L30" s="44"/>
      <c r="M30" s="44"/>
      <c r="N30" s="44"/>
      <c r="O30" s="44"/>
      <c r="P30" s="44"/>
      <c r="Q30" s="84" t="e">
        <f>SUMIFS(#REF!,#REF!,BS!B30)*$Q$2</f>
        <v>#REF!</v>
      </c>
      <c r="R30" s="84"/>
      <c r="S30" s="84"/>
      <c r="T30" s="84"/>
      <c r="U30" s="84"/>
      <c r="V30" s="84"/>
      <c r="W30" s="84"/>
      <c r="X30" s="86" t="e">
        <f t="shared" si="19"/>
        <v>#REF!</v>
      </c>
      <c r="Y30" s="86" t="e">
        <f t="shared" si="20"/>
        <v>#REF!</v>
      </c>
      <c r="Z30" s="86" t="e">
        <f t="shared" si="21"/>
        <v>#REF!</v>
      </c>
      <c r="AA30" s="86" t="e">
        <f t="shared" si="22"/>
        <v>#REF!</v>
      </c>
      <c r="AB30" s="86" t="e">
        <f t="shared" si="23"/>
        <v>#REF!</v>
      </c>
      <c r="AC30" s="86" t="e">
        <f t="shared" si="24"/>
        <v>#REF!</v>
      </c>
      <c r="AD30" s="86" t="e">
        <f t="shared" si="25"/>
        <v>#REF!</v>
      </c>
      <c r="AE30" s="87"/>
      <c r="AF30" s="87" t="e">
        <f t="shared" si="1"/>
        <v>#REF!</v>
      </c>
      <c r="AG30" s="87"/>
      <c r="AH30" s="72"/>
      <c r="AI30" s="72"/>
      <c r="AJ30" s="72"/>
      <c r="AK30" s="72"/>
      <c r="AL30" s="72"/>
      <c r="AM30" s="72"/>
    </row>
    <row r="31" spans="2:39" s="7" customFormat="1" outlineLevel="1">
      <c r="B31" s="24" t="s">
        <v>1610</v>
      </c>
      <c r="C31" s="93" t="e">
        <f>SUMIFS(#REF!,#REF!,B31)</f>
        <v>#REF!</v>
      </c>
      <c r="D31" s="93" t="e">
        <f>SUMIFS(#REF!,#REF!,B31)</f>
        <v>#REF!</v>
      </c>
      <c r="E31" s="93" t="e">
        <f>SUMIFS(#REF!,#REF!,B31)</f>
        <v>#REF!</v>
      </c>
      <c r="F31" s="93" t="e">
        <f>SUMIFS(#REF!,#REF!,B31)</f>
        <v>#REF!</v>
      </c>
      <c r="G31" s="93" t="e">
        <f>SUMIFS(#REF!,#REF!,B31)</f>
        <v>#REF!</v>
      </c>
      <c r="H31" s="93" t="e">
        <f>SUMIFS(#REF!,#REF!,B31)</f>
        <v>#REF!</v>
      </c>
      <c r="I31" s="93" t="e">
        <f>SUMIFS(#REF!,#REF!,B31)</f>
        <v>#REF!</v>
      </c>
      <c r="J31" s="94">
        <f>SUMIFS('AGT TB Apr -25'!M:M,'AGT TB Apr -25'!S:S,BS!B31)*$J$2</f>
        <v>0</v>
      </c>
      <c r="K31" s="44"/>
      <c r="L31" s="44"/>
      <c r="M31" s="44"/>
      <c r="N31" s="44"/>
      <c r="O31" s="44"/>
      <c r="P31" s="44"/>
      <c r="Q31" s="84" t="e">
        <f>SUMIFS(#REF!,#REF!,BS!B31)*$Q$2</f>
        <v>#REF!</v>
      </c>
      <c r="R31" s="84"/>
      <c r="S31" s="84"/>
      <c r="T31" s="84"/>
      <c r="U31" s="84"/>
      <c r="V31" s="84"/>
      <c r="W31" s="84"/>
      <c r="X31" s="86" t="e">
        <f t="shared" si="19"/>
        <v>#REF!</v>
      </c>
      <c r="Y31" s="86" t="e">
        <f t="shared" si="20"/>
        <v>#REF!</v>
      </c>
      <c r="Z31" s="86" t="e">
        <f t="shared" si="21"/>
        <v>#REF!</v>
      </c>
      <c r="AA31" s="86" t="e">
        <f t="shared" si="22"/>
        <v>#REF!</v>
      </c>
      <c r="AB31" s="86" t="e">
        <f t="shared" si="23"/>
        <v>#REF!</v>
      </c>
      <c r="AC31" s="86" t="e">
        <f t="shared" si="24"/>
        <v>#REF!</v>
      </c>
      <c r="AD31" s="86" t="e">
        <f t="shared" si="25"/>
        <v>#REF!</v>
      </c>
      <c r="AE31" s="87"/>
      <c r="AF31" s="87" t="e">
        <f t="shared" si="1"/>
        <v>#REF!</v>
      </c>
      <c r="AG31" s="87"/>
      <c r="AH31" s="72"/>
      <c r="AI31" s="72"/>
      <c r="AJ31" s="72"/>
      <c r="AK31" s="72"/>
      <c r="AL31" s="72"/>
      <c r="AM31" s="72"/>
    </row>
    <row r="32" spans="2:39" s="7" customFormat="1" outlineLevel="1">
      <c r="B32" s="24" t="s">
        <v>1611</v>
      </c>
      <c r="C32" s="93" t="e">
        <f>SUMIFS(#REF!,#REF!,B32)</f>
        <v>#REF!</v>
      </c>
      <c r="D32" s="93" t="e">
        <f>SUMIFS(#REF!,#REF!,B32)</f>
        <v>#REF!</v>
      </c>
      <c r="E32" s="93" t="e">
        <f>SUMIFS(#REF!,#REF!,B32)</f>
        <v>#REF!</v>
      </c>
      <c r="F32" s="93" t="e">
        <f>SUMIFS(#REF!,#REF!,B32)</f>
        <v>#REF!</v>
      </c>
      <c r="G32" s="93" t="e">
        <f>SUMIFS(#REF!,#REF!,B32)</f>
        <v>#REF!</v>
      </c>
      <c r="H32" s="93" t="e">
        <f>SUMIFS(#REF!,#REF!,B32)</f>
        <v>#REF!</v>
      </c>
      <c r="I32" s="93" t="e">
        <f>SUMIFS(#REF!,#REF!,B32)</f>
        <v>#REF!</v>
      </c>
      <c r="J32" s="94">
        <f>SUMIFS('AGT TB Apr -25'!M:M,'AGT TB Apr -25'!S:S,BS!B32)*$J$2</f>
        <v>0</v>
      </c>
      <c r="K32" s="44"/>
      <c r="L32" s="44"/>
      <c r="M32" s="44"/>
      <c r="N32" s="44"/>
      <c r="O32" s="44"/>
      <c r="P32" s="44"/>
      <c r="Q32" s="84" t="e">
        <f>SUMIFS(#REF!,#REF!,BS!B32)*$Q$2</f>
        <v>#REF!</v>
      </c>
      <c r="R32" s="84"/>
      <c r="S32" s="84"/>
      <c r="T32" s="84"/>
      <c r="U32" s="84"/>
      <c r="V32" s="84"/>
      <c r="W32" s="84"/>
      <c r="X32" s="86" t="e">
        <f t="shared" si="19"/>
        <v>#REF!</v>
      </c>
      <c r="Y32" s="86" t="e">
        <f t="shared" si="20"/>
        <v>#REF!</v>
      </c>
      <c r="Z32" s="86" t="e">
        <f t="shared" si="21"/>
        <v>#REF!</v>
      </c>
      <c r="AA32" s="86" t="e">
        <f t="shared" si="22"/>
        <v>#REF!</v>
      </c>
      <c r="AB32" s="86" t="e">
        <f t="shared" si="23"/>
        <v>#REF!</v>
      </c>
      <c r="AC32" s="86" t="e">
        <f t="shared" si="24"/>
        <v>#REF!</v>
      </c>
      <c r="AD32" s="86" t="e">
        <f t="shared" si="25"/>
        <v>#REF!</v>
      </c>
      <c r="AE32" s="87"/>
      <c r="AF32" s="87" t="e">
        <f t="shared" si="1"/>
        <v>#REF!</v>
      </c>
      <c r="AG32" s="87"/>
      <c r="AH32" s="72"/>
      <c r="AI32" s="72"/>
      <c r="AJ32" s="72"/>
      <c r="AK32" s="72"/>
      <c r="AL32" s="72"/>
      <c r="AM32" s="72"/>
    </row>
    <row r="33" spans="2:39" s="7" customFormat="1" outlineLevel="1">
      <c r="B33" s="24"/>
      <c r="C33" s="88"/>
      <c r="D33" s="88"/>
      <c r="E33" s="88"/>
      <c r="F33" s="88"/>
      <c r="G33" s="88"/>
      <c r="H33" s="88"/>
      <c r="I33" s="88"/>
      <c r="J33" s="88"/>
      <c r="K33" s="44"/>
      <c r="L33" s="44"/>
      <c r="M33" s="44"/>
      <c r="N33" s="44"/>
      <c r="O33" s="44"/>
      <c r="P33" s="44"/>
      <c r="Q33" s="88"/>
      <c r="R33" s="88"/>
      <c r="S33" s="88"/>
      <c r="T33" s="88"/>
      <c r="U33" s="88"/>
      <c r="V33" s="88"/>
      <c r="W33" s="88"/>
      <c r="X33" s="86">
        <f t="shared" si="19"/>
        <v>0</v>
      </c>
      <c r="Y33" s="86">
        <f t="shared" si="20"/>
        <v>0</v>
      </c>
      <c r="Z33" s="86">
        <f t="shared" si="21"/>
        <v>0</v>
      </c>
      <c r="AA33" s="86">
        <f t="shared" si="22"/>
        <v>0</v>
      </c>
      <c r="AB33" s="86">
        <f t="shared" si="23"/>
        <v>0</v>
      </c>
      <c r="AC33" s="86">
        <f t="shared" si="24"/>
        <v>0</v>
      </c>
      <c r="AD33" s="86">
        <f t="shared" si="25"/>
        <v>0</v>
      </c>
      <c r="AE33" s="87"/>
      <c r="AF33" s="87">
        <f t="shared" si="1"/>
        <v>0</v>
      </c>
      <c r="AG33" s="87"/>
      <c r="AH33" s="72"/>
      <c r="AI33" s="72"/>
      <c r="AJ33" s="72"/>
      <c r="AK33" s="72"/>
      <c r="AL33" s="72"/>
      <c r="AM33" s="72"/>
    </row>
    <row r="34" spans="2:39" s="7" customFormat="1" outlineLevel="1">
      <c r="B34" s="24"/>
      <c r="C34" s="88"/>
      <c r="D34" s="88"/>
      <c r="E34" s="88"/>
      <c r="F34" s="88"/>
      <c r="G34" s="88"/>
      <c r="H34" s="88"/>
      <c r="I34" s="88"/>
      <c r="J34" s="88"/>
      <c r="K34" s="44"/>
      <c r="L34" s="44"/>
      <c r="M34" s="44"/>
      <c r="N34" s="44"/>
      <c r="O34" s="44"/>
      <c r="P34" s="44"/>
      <c r="Q34" s="88"/>
      <c r="R34" s="88"/>
      <c r="S34" s="88"/>
      <c r="T34" s="88"/>
      <c r="U34" s="88"/>
      <c r="V34" s="88"/>
      <c r="W34" s="88"/>
      <c r="X34" s="86">
        <f t="shared" si="19"/>
        <v>0</v>
      </c>
      <c r="Y34" s="86">
        <f t="shared" si="20"/>
        <v>0</v>
      </c>
      <c r="Z34" s="86">
        <f t="shared" si="21"/>
        <v>0</v>
      </c>
      <c r="AA34" s="86">
        <f t="shared" si="22"/>
        <v>0</v>
      </c>
      <c r="AB34" s="86">
        <f t="shared" si="23"/>
        <v>0</v>
      </c>
      <c r="AC34" s="86">
        <f t="shared" si="24"/>
        <v>0</v>
      </c>
      <c r="AD34" s="86">
        <f t="shared" si="25"/>
        <v>0</v>
      </c>
      <c r="AE34" s="87"/>
      <c r="AF34" s="87">
        <f t="shared" si="1"/>
        <v>0</v>
      </c>
      <c r="AG34" s="87"/>
      <c r="AH34" s="72"/>
      <c r="AI34" s="72"/>
      <c r="AJ34" s="72"/>
      <c r="AK34" s="72"/>
      <c r="AL34" s="72"/>
      <c r="AM34" s="72"/>
    </row>
    <row r="35" spans="2:39" s="179" customFormat="1" ht="14.4" outlineLevel="1" thickBot="1">
      <c r="B35" s="214" t="s">
        <v>1630</v>
      </c>
      <c r="C35" s="215" t="e">
        <f t="shared" ref="C35:D35" si="27">C5+C6+C7+C12+C13+C14+C15+C16</f>
        <v>#REF!</v>
      </c>
      <c r="D35" s="215" t="e">
        <f t="shared" si="27"/>
        <v>#REF!</v>
      </c>
      <c r="E35" s="215" t="e">
        <f t="shared" ref="E35:F35" si="28">E5+E6+E7+E12+E13+E14+E15+E16</f>
        <v>#REF!</v>
      </c>
      <c r="F35" s="215" t="e">
        <f t="shared" si="28"/>
        <v>#REF!</v>
      </c>
      <c r="G35" s="215" t="e">
        <f t="shared" ref="G35:I35" si="29">G5+G6+G7+G12+G13+G14+G15+G16</f>
        <v>#REF!</v>
      </c>
      <c r="H35" s="215" t="e">
        <f t="shared" si="29"/>
        <v>#REF!</v>
      </c>
      <c r="I35" s="215" t="e">
        <f t="shared" si="29"/>
        <v>#REF!</v>
      </c>
      <c r="J35" s="215">
        <f t="shared" ref="J35" si="30">J5+J6+J7+J12+J13+J14+J15+J16</f>
        <v>0</v>
      </c>
      <c r="K35" s="216"/>
      <c r="L35" s="216"/>
      <c r="M35" s="216"/>
      <c r="N35" s="216"/>
      <c r="O35" s="216"/>
      <c r="P35" s="216"/>
      <c r="Q35" s="215" t="e">
        <f>Q5+Q6+Q7+Q12+Q13+Q14+Q15+Q16</f>
        <v>#REF!</v>
      </c>
      <c r="R35" s="215"/>
      <c r="S35" s="215"/>
      <c r="T35" s="215"/>
      <c r="U35" s="215"/>
      <c r="V35" s="215"/>
      <c r="W35" s="215"/>
      <c r="X35" s="215" t="e">
        <f>X5+X6+X7+X12+X13+X14+X15+X16</f>
        <v>#REF!</v>
      </c>
      <c r="Y35" s="215" t="e">
        <f t="shared" ref="Y35:AD35" si="31">Y5+Y6+Y7+Y12+Y13+Y14+Y15+Y16</f>
        <v>#REF!</v>
      </c>
      <c r="Z35" s="215" t="e">
        <f t="shared" si="31"/>
        <v>#REF!</v>
      </c>
      <c r="AA35" s="215" t="e">
        <f t="shared" si="31"/>
        <v>#REF!</v>
      </c>
      <c r="AB35" s="215" t="e">
        <f t="shared" si="31"/>
        <v>#REF!</v>
      </c>
      <c r="AC35" s="215" t="e">
        <f t="shared" si="31"/>
        <v>#REF!</v>
      </c>
      <c r="AD35" s="215" t="e">
        <f t="shared" si="31"/>
        <v>#REF!</v>
      </c>
      <c r="AE35" s="215" t="e">
        <f>SUM(AE5:AE33)</f>
        <v>#REF!</v>
      </c>
      <c r="AF35" s="215" t="e">
        <f t="shared" ref="AF35" si="32">AF5+AF6+AF7+AF12+AF13+AF14+AF15+AF16</f>
        <v>#REF!</v>
      </c>
      <c r="AG35" s="218"/>
    </row>
    <row r="36" spans="2:39" s="7" customFormat="1" ht="14.4" outlineLevel="1" thickTop="1">
      <c r="B36" s="24"/>
      <c r="C36" s="93"/>
      <c r="D36" s="93"/>
      <c r="E36" s="93"/>
      <c r="F36" s="93"/>
      <c r="G36" s="93"/>
      <c r="H36" s="93"/>
      <c r="I36" s="93"/>
      <c r="J36" s="93"/>
      <c r="K36" s="44"/>
      <c r="L36" s="44"/>
      <c r="M36" s="44"/>
      <c r="N36" s="44"/>
      <c r="O36" s="44"/>
      <c r="P36" s="44"/>
      <c r="Q36" s="85"/>
      <c r="R36" s="85"/>
      <c r="S36" s="85"/>
      <c r="T36" s="85"/>
      <c r="U36" s="85"/>
      <c r="V36" s="85"/>
      <c r="W36" s="85"/>
      <c r="X36" s="86">
        <f t="shared" ref="X36:AD36" si="33">C36+J36+Q36</f>
        <v>0</v>
      </c>
      <c r="Y36" s="86">
        <f t="shared" si="33"/>
        <v>0</v>
      </c>
      <c r="Z36" s="86">
        <f t="shared" si="33"/>
        <v>0</v>
      </c>
      <c r="AA36" s="86">
        <f t="shared" si="33"/>
        <v>0</v>
      </c>
      <c r="AB36" s="86">
        <f t="shared" si="33"/>
        <v>0</v>
      </c>
      <c r="AC36" s="86">
        <f t="shared" si="33"/>
        <v>0</v>
      </c>
      <c r="AD36" s="86">
        <f t="shared" si="33"/>
        <v>0</v>
      </c>
      <c r="AE36" s="87"/>
      <c r="AF36" s="87">
        <f t="shared" si="1"/>
        <v>0</v>
      </c>
      <c r="AG36" s="87"/>
      <c r="AH36" s="72"/>
      <c r="AI36" s="72"/>
      <c r="AJ36" s="72"/>
      <c r="AK36" s="72"/>
      <c r="AL36" s="72"/>
      <c r="AM36" s="72"/>
    </row>
    <row r="37" spans="2:39">
      <c r="B37" s="6" t="s">
        <v>238</v>
      </c>
      <c r="C37" s="222" t="e">
        <f t="shared" ref="C37:D37" si="34">SUM(C38:C41)</f>
        <v>#REF!</v>
      </c>
      <c r="D37" s="222" t="e">
        <f t="shared" si="34"/>
        <v>#REF!</v>
      </c>
      <c r="E37" s="222" t="e">
        <f t="shared" ref="E37:F37" si="35">SUM(E38:E41)</f>
        <v>#REF!</v>
      </c>
      <c r="F37" s="222" t="e">
        <f t="shared" si="35"/>
        <v>#REF!</v>
      </c>
      <c r="G37" s="222" t="e">
        <f t="shared" ref="G37:I37" si="36">SUM(G38:G41)</f>
        <v>#REF!</v>
      </c>
      <c r="H37" s="222" t="e">
        <f t="shared" si="36"/>
        <v>#REF!</v>
      </c>
      <c r="I37" s="222" t="e">
        <f t="shared" si="36"/>
        <v>#REF!</v>
      </c>
      <c r="J37" s="222">
        <f t="shared" ref="J37" si="37">SUM(J38:J41)</f>
        <v>0</v>
      </c>
      <c r="K37" s="43"/>
      <c r="L37" s="43"/>
      <c r="M37" s="43"/>
      <c r="N37" s="43"/>
      <c r="O37" s="43"/>
      <c r="P37" s="43"/>
      <c r="Q37" s="222" t="e">
        <f t="shared" ref="Q37:X37" si="38">SUM(Q38:Q41)</f>
        <v>#REF!</v>
      </c>
      <c r="R37" s="222"/>
      <c r="S37" s="222"/>
      <c r="T37" s="222"/>
      <c r="U37" s="222"/>
      <c r="V37" s="222"/>
      <c r="W37" s="222"/>
      <c r="X37" s="222" t="e">
        <f t="shared" si="38"/>
        <v>#REF!</v>
      </c>
      <c r="Y37" s="222" t="e">
        <f t="shared" ref="Y37:AD37" si="39">SUM(Y38:Y41)</f>
        <v>#REF!</v>
      </c>
      <c r="Z37" s="222" t="e">
        <f t="shared" si="39"/>
        <v>#REF!</v>
      </c>
      <c r="AA37" s="222" t="e">
        <f t="shared" si="39"/>
        <v>#REF!</v>
      </c>
      <c r="AB37" s="222" t="e">
        <f t="shared" si="39"/>
        <v>#REF!</v>
      </c>
      <c r="AC37" s="222" t="e">
        <f t="shared" si="39"/>
        <v>#REF!</v>
      </c>
      <c r="AD37" s="222" t="e">
        <f t="shared" si="39"/>
        <v>#REF!</v>
      </c>
      <c r="AE37" s="223"/>
      <c r="AF37" s="222" t="e">
        <f t="shared" ref="AF37" si="40">SUM(AF38:AF41)</f>
        <v>#REF!</v>
      </c>
      <c r="AG37" s="219"/>
      <c r="AH37" s="151"/>
      <c r="AI37" s="151"/>
      <c r="AJ37" s="151"/>
      <c r="AK37" s="151"/>
      <c r="AL37" s="151"/>
      <c r="AM37" s="151"/>
    </row>
    <row r="38" spans="2:39">
      <c r="B38" s="24" t="s">
        <v>161</v>
      </c>
      <c r="C38" s="93" t="e">
        <f>-SUMIFS(#REF!,#REF!,B38)</f>
        <v>#REF!</v>
      </c>
      <c r="D38" s="93" t="e">
        <f>-SUMIFS(#REF!,#REF!,B38)</f>
        <v>#REF!</v>
      </c>
      <c r="E38" s="93" t="e">
        <f>-SUMIFS(#REF!,#REF!,B38)</f>
        <v>#REF!</v>
      </c>
      <c r="F38" s="93" t="e">
        <f>-SUMIFS(#REF!,#REF!,B38)</f>
        <v>#REF!</v>
      </c>
      <c r="G38" s="93" t="e">
        <f>-SUMIFS(#REF!,#REF!,B38)</f>
        <v>#REF!</v>
      </c>
      <c r="H38" s="93" t="e">
        <f>-SUMIFS(#REF!,#REF!,B38)</f>
        <v>#REF!</v>
      </c>
      <c r="I38" s="93" t="e">
        <f>-SUMIFS(#REF!,#REF!,B38)</f>
        <v>#REF!</v>
      </c>
      <c r="J38" s="94">
        <f>-SUMIFS('AGT TB Apr -25'!M:M,'AGT TB Apr -25'!S:S,BS!B38)*$J$2</f>
        <v>0</v>
      </c>
      <c r="K38" s="43"/>
      <c r="L38" s="43"/>
      <c r="M38" s="43"/>
      <c r="N38" s="43"/>
      <c r="O38" s="43"/>
      <c r="P38" s="43"/>
      <c r="Q38" s="84" t="e">
        <f>-SUMIFS(#REF!,#REF!,BS!B38)*$Q$2</f>
        <v>#REF!</v>
      </c>
      <c r="R38" s="84"/>
      <c r="S38" s="84"/>
      <c r="T38" s="84"/>
      <c r="U38" s="84"/>
      <c r="V38" s="84"/>
      <c r="W38" s="84"/>
      <c r="X38" s="86" t="e">
        <f t="shared" ref="X38:X53" si="41">C38+J38+Q38</f>
        <v>#REF!</v>
      </c>
      <c r="Y38" s="86" t="e">
        <f t="shared" ref="Y38:Y53" si="42">D38+K38+R38</f>
        <v>#REF!</v>
      </c>
      <c r="Z38" s="86" t="e">
        <f t="shared" ref="Z38:Z53" si="43">E38+L38+S38</f>
        <v>#REF!</v>
      </c>
      <c r="AA38" s="86" t="e">
        <f t="shared" ref="AA38:AA53" si="44">F38+M38+T38</f>
        <v>#REF!</v>
      </c>
      <c r="AB38" s="86" t="e">
        <f t="shared" ref="AB38:AB53" si="45">G38+N38+U38</f>
        <v>#REF!</v>
      </c>
      <c r="AC38" s="86" t="e">
        <f t="shared" ref="AC38:AC53" si="46">H38+O38+V38</f>
        <v>#REF!</v>
      </c>
      <c r="AD38" s="86" t="e">
        <f t="shared" ref="AD38:AD53" si="47">I38+P38+W38</f>
        <v>#REF!</v>
      </c>
      <c r="AE38" s="89"/>
      <c r="AF38" s="87" t="e">
        <f t="shared" si="1"/>
        <v>#REF!</v>
      </c>
      <c r="AG38" s="87"/>
      <c r="AH38" s="151"/>
      <c r="AI38" s="151"/>
      <c r="AJ38" s="151"/>
      <c r="AK38" s="151"/>
      <c r="AL38" s="151"/>
      <c r="AM38" s="151"/>
    </row>
    <row r="39" spans="2:39">
      <c r="B39" s="24" t="s">
        <v>1618</v>
      </c>
      <c r="C39" s="93" t="e">
        <f>-SUMIFS(#REF!,#REF!,B39)</f>
        <v>#REF!</v>
      </c>
      <c r="D39" s="93" t="e">
        <f>-SUMIFS(#REF!,#REF!,B39)</f>
        <v>#REF!</v>
      </c>
      <c r="E39" s="93" t="e">
        <f>-SUMIFS(#REF!,#REF!,B39)</f>
        <v>#REF!</v>
      </c>
      <c r="F39" s="93" t="e">
        <f>-SUMIFS(#REF!,#REF!,B39)</f>
        <v>#REF!</v>
      </c>
      <c r="G39" s="93" t="e">
        <f>-SUMIFS(#REF!,#REF!,B39)</f>
        <v>#REF!</v>
      </c>
      <c r="H39" s="93" t="e">
        <f>-SUMIFS(#REF!,#REF!,B39)</f>
        <v>#REF!</v>
      </c>
      <c r="I39" s="93" t="e">
        <f>-SUMIFS(#REF!,#REF!,B39)</f>
        <v>#REF!</v>
      </c>
      <c r="J39" s="94">
        <f>-SUMIFS('AGT TB Apr -25'!M:M,'AGT TB Apr -25'!S:S,BS!B39)*$J$2</f>
        <v>0</v>
      </c>
      <c r="K39" s="43"/>
      <c r="L39" s="43"/>
      <c r="M39" s="43"/>
      <c r="N39" s="43"/>
      <c r="O39" s="43"/>
      <c r="P39" s="43"/>
      <c r="Q39" s="84" t="e">
        <f>-SUMIFS(#REF!,#REF!,BS!B39)*$Q$2</f>
        <v>#REF!</v>
      </c>
      <c r="R39" s="84"/>
      <c r="S39" s="84"/>
      <c r="T39" s="84"/>
      <c r="U39" s="84"/>
      <c r="V39" s="84"/>
      <c r="W39" s="84"/>
      <c r="X39" s="86" t="e">
        <f t="shared" si="41"/>
        <v>#REF!</v>
      </c>
      <c r="Y39" s="86" t="e">
        <f t="shared" si="42"/>
        <v>#REF!</v>
      </c>
      <c r="Z39" s="86" t="e">
        <f t="shared" si="43"/>
        <v>#REF!</v>
      </c>
      <c r="AA39" s="86" t="e">
        <f t="shared" si="44"/>
        <v>#REF!</v>
      </c>
      <c r="AB39" s="86" t="e">
        <f t="shared" si="45"/>
        <v>#REF!</v>
      </c>
      <c r="AC39" s="86" t="e">
        <f t="shared" si="46"/>
        <v>#REF!</v>
      </c>
      <c r="AD39" s="86" t="e">
        <f t="shared" si="47"/>
        <v>#REF!</v>
      </c>
      <c r="AE39" s="89"/>
      <c r="AF39" s="87" t="e">
        <f t="shared" si="1"/>
        <v>#REF!</v>
      </c>
      <c r="AG39" s="87"/>
      <c r="AH39" s="151"/>
      <c r="AI39" s="151"/>
      <c r="AJ39" s="151"/>
      <c r="AK39" s="151"/>
      <c r="AL39" s="151"/>
      <c r="AM39" s="151"/>
    </row>
    <row r="40" spans="2:39">
      <c r="B40" s="24" t="s">
        <v>1622</v>
      </c>
      <c r="C40" s="93" t="e">
        <f>-SUMIFS(#REF!,#REF!,B40)</f>
        <v>#REF!</v>
      </c>
      <c r="D40" s="93" t="e">
        <f>-SUMIFS(#REF!,#REF!,B40)</f>
        <v>#REF!</v>
      </c>
      <c r="E40" s="93" t="e">
        <f>-SUMIFS(#REF!,#REF!,B40)</f>
        <v>#REF!</v>
      </c>
      <c r="F40" s="93" t="e">
        <f>-SUMIFS(#REF!,#REF!,B40)</f>
        <v>#REF!</v>
      </c>
      <c r="G40" s="93" t="e">
        <f>-SUMIFS(#REF!,#REF!,B40)</f>
        <v>#REF!</v>
      </c>
      <c r="H40" s="93" t="e">
        <f>-SUMIFS(#REF!,#REF!,B40)</f>
        <v>#REF!</v>
      </c>
      <c r="I40" s="93" t="e">
        <f>-SUMIFS(#REF!,#REF!,B40)</f>
        <v>#REF!</v>
      </c>
      <c r="J40" s="94">
        <f>-SUMIFS('AGT TB Apr -25'!M:M,'AGT TB Apr -25'!S:S,BS!B40)*$J$2</f>
        <v>0</v>
      </c>
      <c r="K40" s="43"/>
      <c r="L40" s="43"/>
      <c r="M40" s="43"/>
      <c r="N40" s="43"/>
      <c r="O40" s="43"/>
      <c r="P40" s="43"/>
      <c r="Q40" s="84" t="e">
        <f>-SUMIFS(#REF!,#REF!,BS!B40)*$Q$2</f>
        <v>#REF!</v>
      </c>
      <c r="R40" s="84"/>
      <c r="S40" s="84"/>
      <c r="T40" s="84"/>
      <c r="U40" s="84"/>
      <c r="V40" s="84"/>
      <c r="W40" s="84"/>
      <c r="X40" s="86" t="e">
        <f t="shared" si="41"/>
        <v>#REF!</v>
      </c>
      <c r="Y40" s="86" t="e">
        <f t="shared" si="42"/>
        <v>#REF!</v>
      </c>
      <c r="Z40" s="86" t="e">
        <f t="shared" si="43"/>
        <v>#REF!</v>
      </c>
      <c r="AA40" s="86" t="e">
        <f t="shared" si="44"/>
        <v>#REF!</v>
      </c>
      <c r="AB40" s="86" t="e">
        <f t="shared" si="45"/>
        <v>#REF!</v>
      </c>
      <c r="AC40" s="86" t="e">
        <f t="shared" si="46"/>
        <v>#REF!</v>
      </c>
      <c r="AD40" s="86" t="e">
        <f t="shared" si="47"/>
        <v>#REF!</v>
      </c>
      <c r="AE40" s="89"/>
      <c r="AF40" s="87" t="e">
        <f t="shared" si="1"/>
        <v>#REF!</v>
      </c>
      <c r="AG40" s="87"/>
      <c r="AH40" s="151"/>
      <c r="AI40" s="151"/>
      <c r="AJ40" s="151"/>
      <c r="AK40" s="151"/>
      <c r="AL40" s="151"/>
      <c r="AM40" s="151"/>
    </row>
    <row r="41" spans="2:39" s="7" customFormat="1" outlineLevel="1">
      <c r="B41" s="24" t="s">
        <v>1624</v>
      </c>
      <c r="C41" s="93" t="e">
        <f>-SUMIFS(#REF!,#REF!,B41)</f>
        <v>#REF!</v>
      </c>
      <c r="D41" s="93" t="e">
        <f>-SUMIFS(#REF!,#REF!,B41)</f>
        <v>#REF!</v>
      </c>
      <c r="E41" s="93" t="e">
        <f>-SUMIFS(#REF!,#REF!,B41)</f>
        <v>#REF!</v>
      </c>
      <c r="F41" s="93" t="e">
        <f>-SUMIFS(#REF!,#REF!,B41)</f>
        <v>#REF!</v>
      </c>
      <c r="G41" s="93" t="e">
        <f>-SUMIFS(#REF!,#REF!,B41)</f>
        <v>#REF!</v>
      </c>
      <c r="H41" s="93" t="e">
        <f>-SUMIFS(#REF!,#REF!,B41)</f>
        <v>#REF!</v>
      </c>
      <c r="I41" s="93" t="e">
        <f>-SUMIFS(#REF!,#REF!,B41)</f>
        <v>#REF!</v>
      </c>
      <c r="J41" s="94">
        <f>-SUMIFS('AGT TB Apr -25'!M:M,'AGT TB Apr -25'!S:S,BS!B41)*$J$2</f>
        <v>0</v>
      </c>
      <c r="K41" s="42" t="e">
        <f>SUMIF(#REF!,B:B,#REF!)</f>
        <v>#REF!</v>
      </c>
      <c r="L41" s="44" t="e">
        <f>SUMIF(#REF!,B:B,#REF!)</f>
        <v>#REF!</v>
      </c>
      <c r="M41" s="44" t="e">
        <f>-SUMIF(#REF!,BS!B:B,#REF!)</f>
        <v>#REF!</v>
      </c>
      <c r="N41" s="42" t="e">
        <f>-SUMIF(#REF!,B41,#REF!)</f>
        <v>#REF!</v>
      </c>
      <c r="O41" s="42" t="e">
        <f>SUMIF(#REF!,B:B,#REF!)</f>
        <v>#REF!</v>
      </c>
      <c r="P41" s="44" t="e">
        <f>SUMIF(#REF!,B41,#REF!)</f>
        <v>#REF!</v>
      </c>
      <c r="Q41" s="84" t="e">
        <f>-SUMIFS(#REF!,#REF!,BS!B41)*$Q$2</f>
        <v>#REF!</v>
      </c>
      <c r="R41" s="84"/>
      <c r="S41" s="84"/>
      <c r="T41" s="84"/>
      <c r="U41" s="84"/>
      <c r="V41" s="84"/>
      <c r="W41" s="84"/>
      <c r="X41" s="86" t="e">
        <f t="shared" si="41"/>
        <v>#REF!</v>
      </c>
      <c r="Y41" s="86" t="e">
        <f t="shared" si="42"/>
        <v>#REF!</v>
      </c>
      <c r="Z41" s="86" t="e">
        <f t="shared" si="43"/>
        <v>#REF!</v>
      </c>
      <c r="AA41" s="86" t="e">
        <f t="shared" si="44"/>
        <v>#REF!</v>
      </c>
      <c r="AB41" s="86" t="e">
        <f t="shared" si="45"/>
        <v>#REF!</v>
      </c>
      <c r="AC41" s="86" t="e">
        <f t="shared" si="46"/>
        <v>#REF!</v>
      </c>
      <c r="AD41" s="86" t="e">
        <f t="shared" si="47"/>
        <v>#REF!</v>
      </c>
      <c r="AE41" s="87"/>
      <c r="AF41" s="87" t="e">
        <f t="shared" si="1"/>
        <v>#REF!</v>
      </c>
      <c r="AG41" s="87"/>
      <c r="AH41" s="72" t="s">
        <v>155</v>
      </c>
      <c r="AI41" s="72"/>
      <c r="AJ41" s="72"/>
      <c r="AK41" s="72"/>
      <c r="AL41" s="72"/>
      <c r="AM41" s="72"/>
    </row>
    <row r="42" spans="2:39" s="7" customFormat="1" outlineLevel="1">
      <c r="B42" s="6" t="s">
        <v>22</v>
      </c>
      <c r="C42" s="94" t="e">
        <f>-SUMIFS(#REF!,#REF!,B42)</f>
        <v>#REF!</v>
      </c>
      <c r="D42" s="94" t="e">
        <f>-SUMIFS(#REF!,#REF!,B42)</f>
        <v>#REF!</v>
      </c>
      <c r="E42" s="94" t="e">
        <f>-SUMIFS(#REF!,#REF!,B42)</f>
        <v>#REF!</v>
      </c>
      <c r="F42" s="94" t="e">
        <f>-SUMIFS(#REF!,#REF!,B42)</f>
        <v>#REF!</v>
      </c>
      <c r="G42" s="94" t="e">
        <f>-SUMIFS(#REF!,#REF!,B42)</f>
        <v>#REF!</v>
      </c>
      <c r="H42" s="94" t="e">
        <f>-SUMIFS(#REF!,#REF!,B42)</f>
        <v>#REF!</v>
      </c>
      <c r="I42" s="94" t="e">
        <f>-SUMIFS(#REF!,#REF!,B42)</f>
        <v>#REF!</v>
      </c>
      <c r="J42" s="94">
        <f>-SUMIFS('AGT TB Apr -25'!M:M,'AGT TB Apr -25'!S:S,BS!B42)*$J$2</f>
        <v>0</v>
      </c>
      <c r="K42" s="44"/>
      <c r="L42" s="44"/>
      <c r="M42" s="44"/>
      <c r="N42" s="44"/>
      <c r="O42" s="44"/>
      <c r="P42" s="44"/>
      <c r="Q42" s="84" t="e">
        <f>-SUMIFS(#REF!,#REF!,BS!B42)*$Q$2</f>
        <v>#REF!</v>
      </c>
      <c r="R42" s="84"/>
      <c r="S42" s="84"/>
      <c r="T42" s="84"/>
      <c r="U42" s="84"/>
      <c r="V42" s="84"/>
      <c r="W42" s="84"/>
      <c r="X42" s="86" t="e">
        <f t="shared" si="41"/>
        <v>#REF!</v>
      </c>
      <c r="Y42" s="86" t="e">
        <f t="shared" si="42"/>
        <v>#REF!</v>
      </c>
      <c r="Z42" s="86" t="e">
        <f t="shared" si="43"/>
        <v>#REF!</v>
      </c>
      <c r="AA42" s="86" t="e">
        <f t="shared" si="44"/>
        <v>#REF!</v>
      </c>
      <c r="AB42" s="86" t="e">
        <f t="shared" si="45"/>
        <v>#REF!</v>
      </c>
      <c r="AC42" s="86" t="e">
        <f t="shared" si="46"/>
        <v>#REF!</v>
      </c>
      <c r="AD42" s="86" t="e">
        <f t="shared" si="47"/>
        <v>#REF!</v>
      </c>
      <c r="AE42" s="87">
        <f>AE15</f>
        <v>81008725.390000001</v>
      </c>
      <c r="AF42" s="87" t="e">
        <f t="shared" si="1"/>
        <v>#REF!</v>
      </c>
      <c r="AG42" s="87"/>
      <c r="AH42" s="72" t="s">
        <v>51</v>
      </c>
      <c r="AI42" s="72"/>
      <c r="AJ42" s="72"/>
      <c r="AK42" s="72"/>
      <c r="AL42" s="72"/>
      <c r="AM42" s="72"/>
    </row>
    <row r="43" spans="2:39" s="7" customFormat="1" outlineLevel="1">
      <c r="B43" s="6" t="s">
        <v>287</v>
      </c>
      <c r="C43" s="94" t="e">
        <f>-SUMIFS(#REF!,#REF!,B43)</f>
        <v>#REF!</v>
      </c>
      <c r="D43" s="94" t="e">
        <f>-SUMIFS(#REF!,#REF!,B43)</f>
        <v>#REF!</v>
      </c>
      <c r="E43" s="94" t="e">
        <f>-SUMIFS(#REF!,#REF!,B43)</f>
        <v>#REF!</v>
      </c>
      <c r="F43" s="94" t="e">
        <f>-SUMIFS(#REF!,#REF!,B43)</f>
        <v>#REF!</v>
      </c>
      <c r="G43" s="94" t="e">
        <f>-SUMIFS(#REF!,#REF!,B43)</f>
        <v>#REF!</v>
      </c>
      <c r="H43" s="94" t="e">
        <f>-SUMIFS(#REF!,#REF!,B43)</f>
        <v>#REF!</v>
      </c>
      <c r="I43" s="94" t="e">
        <f>-SUMIFS(#REF!,#REF!,B43)</f>
        <v>#REF!</v>
      </c>
      <c r="J43" s="94">
        <f>-SUMIFS('AGT TB Apr -25'!M:M,'AGT TB Apr -25'!S:S,BS!B43)*$J$2</f>
        <v>0</v>
      </c>
      <c r="K43" s="44">
        <v>0</v>
      </c>
      <c r="L43" s="44">
        <v>0</v>
      </c>
      <c r="M43" s="44" t="e">
        <f>-SUMIF(#REF!,BS!B:B,#REF!)</f>
        <v>#REF!</v>
      </c>
      <c r="N43" s="42" t="e">
        <f>-SUMIF(#REF!,B43,#REF!)</f>
        <v>#REF!</v>
      </c>
      <c r="O43" s="42" t="e">
        <f>SUMIF(#REF!,B:B,#REF!)</f>
        <v>#REF!</v>
      </c>
      <c r="P43" s="44" t="e">
        <f>SUMIF(#REF!,B43,#REF!)</f>
        <v>#REF!</v>
      </c>
      <c r="Q43" s="84" t="e">
        <f>-SUMIFS(#REF!,#REF!,BS!B43)*$Q$2</f>
        <v>#REF!</v>
      </c>
      <c r="R43" s="84"/>
      <c r="S43" s="84"/>
      <c r="T43" s="84"/>
      <c r="U43" s="84"/>
      <c r="V43" s="84"/>
      <c r="W43" s="84"/>
      <c r="X43" s="86" t="e">
        <f t="shared" si="41"/>
        <v>#REF!</v>
      </c>
      <c r="Y43" s="86" t="e">
        <f t="shared" si="42"/>
        <v>#REF!</v>
      </c>
      <c r="Z43" s="86" t="e">
        <f t="shared" si="43"/>
        <v>#REF!</v>
      </c>
      <c r="AA43" s="86" t="e">
        <f t="shared" si="44"/>
        <v>#REF!</v>
      </c>
      <c r="AB43" s="86" t="e">
        <f t="shared" si="45"/>
        <v>#REF!</v>
      </c>
      <c r="AC43" s="86" t="e">
        <f t="shared" si="46"/>
        <v>#REF!</v>
      </c>
      <c r="AD43" s="86" t="e">
        <f t="shared" si="47"/>
        <v>#REF!</v>
      </c>
      <c r="AE43" s="87"/>
      <c r="AF43" s="87" t="e">
        <f t="shared" si="1"/>
        <v>#REF!</v>
      </c>
      <c r="AG43" s="87"/>
      <c r="AH43" s="72"/>
      <c r="AI43" s="72"/>
      <c r="AJ43" s="72"/>
      <c r="AK43" s="72"/>
      <c r="AL43" s="72"/>
      <c r="AM43" s="72"/>
    </row>
    <row r="44" spans="2:39" s="7" customFormat="1" outlineLevel="1">
      <c r="B44" s="6" t="s">
        <v>48</v>
      </c>
      <c r="C44" s="94" t="e">
        <f>-SUMIFS(#REF!,#REF!,B44)</f>
        <v>#REF!</v>
      </c>
      <c r="D44" s="94" t="e">
        <f>-SUMIFS(#REF!,#REF!,B44)</f>
        <v>#REF!</v>
      </c>
      <c r="E44" s="94" t="e">
        <f>-SUMIFS(#REF!,#REF!,B44)</f>
        <v>#REF!</v>
      </c>
      <c r="F44" s="94" t="e">
        <f>-SUMIFS(#REF!,#REF!,B44)</f>
        <v>#REF!</v>
      </c>
      <c r="G44" s="94" t="e">
        <f>-SUMIFS(#REF!,#REF!,B44)</f>
        <v>#REF!</v>
      </c>
      <c r="H44" s="94" t="e">
        <f>-SUMIFS(#REF!,#REF!,B44)</f>
        <v>#REF!</v>
      </c>
      <c r="I44" s="94" t="e">
        <f>-SUMIFS(#REF!,#REF!,B44)</f>
        <v>#REF!</v>
      </c>
      <c r="J44" s="94">
        <f>-SUMIFS('AGT TB Apr -25'!M:M,'AGT TB Apr -25'!S:S,BS!B44)*$J$2</f>
        <v>0</v>
      </c>
      <c r="K44" s="42" t="e">
        <f>SUMIF(#REF!,B:B,#REF!)</f>
        <v>#REF!</v>
      </c>
      <c r="L44" s="44" t="e">
        <f>SUMIF(#REF!,B:B,#REF!)</f>
        <v>#REF!</v>
      </c>
      <c r="M44" s="44" t="e">
        <f>-SUMIF(#REF!,BS!B:B,#REF!)</f>
        <v>#REF!</v>
      </c>
      <c r="N44" s="42" t="e">
        <f>-SUMIF(#REF!,B44,#REF!)</f>
        <v>#REF!</v>
      </c>
      <c r="O44" s="42" t="e">
        <f>SUMIF(#REF!,B:B,#REF!)</f>
        <v>#REF!</v>
      </c>
      <c r="P44" s="44" t="e">
        <f>SUMIF(#REF!,B44,#REF!)</f>
        <v>#REF!</v>
      </c>
      <c r="Q44" s="84" t="e">
        <f>-SUMIFS(#REF!,#REF!,BS!B44)*$Q$2</f>
        <v>#REF!</v>
      </c>
      <c r="R44" s="84"/>
      <c r="S44" s="84"/>
      <c r="T44" s="84"/>
      <c r="U44" s="84"/>
      <c r="V44" s="84"/>
      <c r="W44" s="84"/>
      <c r="X44" s="86" t="e">
        <f t="shared" si="41"/>
        <v>#REF!</v>
      </c>
      <c r="Y44" s="86" t="e">
        <f t="shared" si="42"/>
        <v>#REF!</v>
      </c>
      <c r="Z44" s="86" t="e">
        <f t="shared" si="43"/>
        <v>#REF!</v>
      </c>
      <c r="AA44" s="86" t="e">
        <f t="shared" si="44"/>
        <v>#REF!</v>
      </c>
      <c r="AB44" s="86" t="e">
        <f t="shared" si="45"/>
        <v>#REF!</v>
      </c>
      <c r="AC44" s="86" t="e">
        <f t="shared" si="46"/>
        <v>#REF!</v>
      </c>
      <c r="AD44" s="86" t="e">
        <f t="shared" si="47"/>
        <v>#REF!</v>
      </c>
      <c r="AE44" s="87"/>
      <c r="AF44" s="87" t="e">
        <f t="shared" si="1"/>
        <v>#REF!</v>
      </c>
      <c r="AG44" s="87"/>
      <c r="AH44" s="72" t="s">
        <v>157</v>
      </c>
      <c r="AI44" s="72"/>
      <c r="AJ44" s="72"/>
      <c r="AK44" s="72"/>
      <c r="AL44" s="72"/>
      <c r="AM44" s="72"/>
    </row>
    <row r="45" spans="2:39" s="7" customFormat="1" outlineLevel="1">
      <c r="B45" s="6" t="s">
        <v>1063</v>
      </c>
      <c r="C45" s="94" t="e">
        <f>-SUMIFS(#REF!,#REF!,B45)</f>
        <v>#REF!</v>
      </c>
      <c r="D45" s="94" t="e">
        <f>-SUMIFS(#REF!,#REF!,B45)</f>
        <v>#REF!</v>
      </c>
      <c r="E45" s="94" t="e">
        <f>-SUMIFS(#REF!,#REF!,B45)</f>
        <v>#REF!</v>
      </c>
      <c r="F45" s="94" t="e">
        <f>-SUMIFS(#REF!,#REF!,B45)</f>
        <v>#REF!</v>
      </c>
      <c r="G45" s="94" t="e">
        <f>-SUMIFS(#REF!,#REF!,B45)</f>
        <v>#REF!</v>
      </c>
      <c r="H45" s="94" t="e">
        <f>-SUMIFS(#REF!,#REF!,B45)</f>
        <v>#REF!</v>
      </c>
      <c r="I45" s="94" t="e">
        <f>-SUMIFS(#REF!,#REF!,B45)</f>
        <v>#REF!</v>
      </c>
      <c r="J45" s="94">
        <f>-SUMIFS('AGT TB Apr -25'!M:M,'AGT TB Apr -25'!S:S,BS!B45)*$J$2</f>
        <v>0</v>
      </c>
      <c r="K45" s="42"/>
      <c r="L45" s="44"/>
      <c r="M45" s="44"/>
      <c r="N45" s="42"/>
      <c r="O45" s="42"/>
      <c r="P45" s="44"/>
      <c r="Q45" s="84" t="e">
        <f>-SUMIFS(#REF!,#REF!,BS!B45)*$Q$2</f>
        <v>#REF!</v>
      </c>
      <c r="R45" s="84"/>
      <c r="S45" s="84"/>
      <c r="T45" s="84"/>
      <c r="U45" s="84"/>
      <c r="V45" s="84"/>
      <c r="W45" s="84"/>
      <c r="X45" s="86" t="e">
        <f t="shared" si="41"/>
        <v>#REF!</v>
      </c>
      <c r="Y45" s="86" t="e">
        <f t="shared" si="42"/>
        <v>#REF!</v>
      </c>
      <c r="Z45" s="86" t="e">
        <f t="shared" si="43"/>
        <v>#REF!</v>
      </c>
      <c r="AA45" s="86" t="e">
        <f t="shared" si="44"/>
        <v>#REF!</v>
      </c>
      <c r="AB45" s="86" t="e">
        <f t="shared" si="45"/>
        <v>#REF!</v>
      </c>
      <c r="AC45" s="86" t="e">
        <f t="shared" si="46"/>
        <v>#REF!</v>
      </c>
      <c r="AD45" s="86" t="e">
        <f t="shared" si="47"/>
        <v>#REF!</v>
      </c>
      <c r="AE45" s="87"/>
      <c r="AF45" s="87" t="e">
        <f t="shared" si="1"/>
        <v>#REF!</v>
      </c>
      <c r="AG45" s="87"/>
      <c r="AH45" s="72"/>
      <c r="AI45" s="72"/>
      <c r="AJ45" s="72"/>
      <c r="AK45" s="72"/>
      <c r="AL45" s="72"/>
      <c r="AM45" s="72"/>
    </row>
    <row r="46" spans="2:39" s="7" customFormat="1" outlineLevel="1">
      <c r="B46" s="6" t="s">
        <v>1623</v>
      </c>
      <c r="C46" s="94" t="e">
        <f>-SUMIFS(#REF!,#REF!,B46)</f>
        <v>#REF!</v>
      </c>
      <c r="D46" s="94" t="e">
        <f>-SUMIFS(#REF!,#REF!,B46)</f>
        <v>#REF!</v>
      </c>
      <c r="E46" s="94" t="e">
        <f>-SUMIFS(#REF!,#REF!,B46)</f>
        <v>#REF!</v>
      </c>
      <c r="F46" s="94" t="e">
        <f>-SUMIFS(#REF!,#REF!,B46)</f>
        <v>#REF!</v>
      </c>
      <c r="G46" s="94" t="e">
        <f>-SUMIFS(#REF!,#REF!,B46)</f>
        <v>#REF!</v>
      </c>
      <c r="H46" s="94" t="e">
        <f>-SUMIFS(#REF!,#REF!,B46)</f>
        <v>#REF!</v>
      </c>
      <c r="I46" s="94" t="e">
        <f>-SUMIFS(#REF!,#REF!,B46)</f>
        <v>#REF!</v>
      </c>
      <c r="J46" s="94">
        <f>-SUMIFS('AGT TB Apr -25'!M:M,'AGT TB Apr -25'!S:S,BS!B46)*$J$2</f>
        <v>0</v>
      </c>
      <c r="K46" s="42" t="e">
        <f>SUMIF(#REF!,B:B,#REF!)</f>
        <v>#REF!</v>
      </c>
      <c r="L46" s="44" t="e">
        <f>SUMIF(#REF!,B:B,#REF!)</f>
        <v>#REF!</v>
      </c>
      <c r="M46" s="44" t="e">
        <f>-SUMIF(#REF!,BS!B:B,#REF!)</f>
        <v>#REF!</v>
      </c>
      <c r="N46" s="42" t="e">
        <f>-SUMIF(#REF!,B46,#REF!)</f>
        <v>#REF!</v>
      </c>
      <c r="O46" s="42" t="e">
        <f>SUMIF(#REF!,B:B,#REF!)</f>
        <v>#REF!</v>
      </c>
      <c r="P46" s="44" t="e">
        <f>SUMIF(#REF!,B46,#REF!)</f>
        <v>#REF!</v>
      </c>
      <c r="Q46" s="84" t="e">
        <f>-SUMIFS(#REF!,#REF!,BS!B46)*$Q$2</f>
        <v>#REF!</v>
      </c>
      <c r="R46" s="84"/>
      <c r="S46" s="84"/>
      <c r="T46" s="84"/>
      <c r="U46" s="84"/>
      <c r="V46" s="84"/>
      <c r="W46" s="84"/>
      <c r="X46" s="86" t="e">
        <f t="shared" si="41"/>
        <v>#REF!</v>
      </c>
      <c r="Y46" s="86" t="e">
        <f t="shared" si="42"/>
        <v>#REF!</v>
      </c>
      <c r="Z46" s="86" t="e">
        <f t="shared" si="43"/>
        <v>#REF!</v>
      </c>
      <c r="AA46" s="86" t="e">
        <f t="shared" si="44"/>
        <v>#REF!</v>
      </c>
      <c r="AB46" s="86" t="e">
        <f t="shared" si="45"/>
        <v>#REF!</v>
      </c>
      <c r="AC46" s="86" t="e">
        <f t="shared" si="46"/>
        <v>#REF!</v>
      </c>
      <c r="AD46" s="86" t="e">
        <f t="shared" si="47"/>
        <v>#REF!</v>
      </c>
      <c r="AE46" s="87"/>
      <c r="AF46" s="87" t="e">
        <f t="shared" si="1"/>
        <v>#REF!</v>
      </c>
      <c r="AG46" s="87"/>
      <c r="AH46" s="72"/>
      <c r="AI46" s="72"/>
      <c r="AJ46" s="72"/>
      <c r="AK46" s="72"/>
      <c r="AL46" s="72"/>
      <c r="AM46" s="72"/>
    </row>
    <row r="47" spans="2:39" s="7" customFormat="1" outlineLevel="1">
      <c r="B47" s="6" t="s">
        <v>1625</v>
      </c>
      <c r="C47" s="94" t="e">
        <f>-SUMIFS(#REF!,#REF!,B47)</f>
        <v>#REF!</v>
      </c>
      <c r="D47" s="94" t="e">
        <f>-SUMIFS(#REF!,#REF!,B47)</f>
        <v>#REF!</v>
      </c>
      <c r="E47" s="94" t="e">
        <f>-SUMIFS(#REF!,#REF!,B47)</f>
        <v>#REF!</v>
      </c>
      <c r="F47" s="94" t="e">
        <f>-SUMIFS(#REF!,#REF!,B47)</f>
        <v>#REF!</v>
      </c>
      <c r="G47" s="94" t="e">
        <f>-SUMIFS(#REF!,#REF!,B47)</f>
        <v>#REF!</v>
      </c>
      <c r="H47" s="94" t="e">
        <f>-SUMIFS(#REF!,#REF!,B47)</f>
        <v>#REF!</v>
      </c>
      <c r="I47" s="94" t="e">
        <f>-SUMIFS(#REF!,#REF!,B47)</f>
        <v>#REF!</v>
      </c>
      <c r="J47" s="94">
        <f>-SUMIFS('AGT TB Apr -25'!M:M,'AGT TB Apr -25'!S:S,BS!B47)*$J$2</f>
        <v>0</v>
      </c>
      <c r="K47" s="42"/>
      <c r="L47" s="44"/>
      <c r="M47" s="44"/>
      <c r="N47" s="42"/>
      <c r="O47" s="42"/>
      <c r="P47" s="44"/>
      <c r="Q47" s="84" t="e">
        <f>-SUMIFS(#REF!,#REF!,BS!B47)*$Q$2</f>
        <v>#REF!</v>
      </c>
      <c r="R47" s="84"/>
      <c r="S47" s="84"/>
      <c r="T47" s="84"/>
      <c r="U47" s="84"/>
      <c r="V47" s="84"/>
      <c r="W47" s="84"/>
      <c r="X47" s="86" t="e">
        <f t="shared" si="41"/>
        <v>#REF!</v>
      </c>
      <c r="Y47" s="86" t="e">
        <f t="shared" si="42"/>
        <v>#REF!</v>
      </c>
      <c r="Z47" s="86" t="e">
        <f t="shared" si="43"/>
        <v>#REF!</v>
      </c>
      <c r="AA47" s="86" t="e">
        <f t="shared" si="44"/>
        <v>#REF!</v>
      </c>
      <c r="AB47" s="86" t="e">
        <f t="shared" si="45"/>
        <v>#REF!</v>
      </c>
      <c r="AC47" s="86" t="e">
        <f t="shared" si="46"/>
        <v>#REF!</v>
      </c>
      <c r="AD47" s="86" t="e">
        <f t="shared" si="47"/>
        <v>#REF!</v>
      </c>
      <c r="AE47" s="87"/>
      <c r="AF47" s="87" t="e">
        <f t="shared" si="1"/>
        <v>#REF!</v>
      </c>
      <c r="AG47" s="87"/>
      <c r="AH47" s="72"/>
      <c r="AI47" s="72"/>
      <c r="AJ47" s="72"/>
      <c r="AK47" s="72"/>
      <c r="AL47" s="72"/>
      <c r="AM47" s="72"/>
    </row>
    <row r="48" spans="2:39" s="7" customFormat="1" outlineLevel="1">
      <c r="B48" s="6" t="s">
        <v>1626</v>
      </c>
      <c r="C48" s="94" t="e">
        <f>-SUMIFS(#REF!,#REF!,B48)</f>
        <v>#REF!</v>
      </c>
      <c r="D48" s="94" t="e">
        <f>-SUMIFS(#REF!,#REF!,B48)</f>
        <v>#REF!</v>
      </c>
      <c r="E48" s="94" t="e">
        <f>-SUMIFS(#REF!,#REF!,B48)</f>
        <v>#REF!</v>
      </c>
      <c r="F48" s="94" t="e">
        <f>-SUMIFS(#REF!,#REF!,B48)</f>
        <v>#REF!</v>
      </c>
      <c r="G48" s="94" t="e">
        <f>-SUMIFS(#REF!,#REF!,B48)</f>
        <v>#REF!</v>
      </c>
      <c r="H48" s="94" t="e">
        <f>-SUMIFS(#REF!,#REF!,B48)</f>
        <v>#REF!</v>
      </c>
      <c r="I48" s="94" t="e">
        <f>-SUMIFS(#REF!,#REF!,B48)</f>
        <v>#REF!</v>
      </c>
      <c r="J48" s="94">
        <f>-SUMIFS('AGT TB Apr -25'!M:M,'AGT TB Apr -25'!S:S,BS!B48)*$J$2</f>
        <v>0</v>
      </c>
      <c r="K48" s="42"/>
      <c r="L48" s="44"/>
      <c r="M48" s="44"/>
      <c r="N48" s="42"/>
      <c r="O48" s="42"/>
      <c r="P48" s="44"/>
      <c r="Q48" s="84" t="e">
        <f>-SUMIFS(#REF!,#REF!,BS!B48)*$Q$2</f>
        <v>#REF!</v>
      </c>
      <c r="R48" s="84"/>
      <c r="S48" s="84"/>
      <c r="T48" s="84"/>
      <c r="U48" s="84"/>
      <c r="V48" s="84"/>
      <c r="W48" s="84"/>
      <c r="X48" s="86" t="e">
        <f t="shared" si="41"/>
        <v>#REF!</v>
      </c>
      <c r="Y48" s="86" t="e">
        <f t="shared" si="42"/>
        <v>#REF!</v>
      </c>
      <c r="Z48" s="86" t="e">
        <f t="shared" si="43"/>
        <v>#REF!</v>
      </c>
      <c r="AA48" s="86" t="e">
        <f t="shared" si="44"/>
        <v>#REF!</v>
      </c>
      <c r="AB48" s="86" t="e">
        <f t="shared" si="45"/>
        <v>#REF!</v>
      </c>
      <c r="AC48" s="86" t="e">
        <f t="shared" si="46"/>
        <v>#REF!</v>
      </c>
      <c r="AD48" s="86" t="e">
        <f t="shared" si="47"/>
        <v>#REF!</v>
      </c>
      <c r="AE48" s="87"/>
      <c r="AF48" s="87" t="e">
        <f t="shared" si="1"/>
        <v>#REF!</v>
      </c>
      <c r="AG48" s="87"/>
      <c r="AH48" s="72"/>
      <c r="AI48" s="72"/>
      <c r="AJ48" s="72"/>
      <c r="AK48" s="72"/>
      <c r="AL48" s="72"/>
      <c r="AM48" s="72"/>
    </row>
    <row r="49" spans="2:39" s="7" customFormat="1" outlineLevel="1">
      <c r="B49" s="6" t="s">
        <v>492</v>
      </c>
      <c r="C49" s="94" t="e">
        <f>-SUMIFS(#REF!,#REF!,B49)</f>
        <v>#REF!</v>
      </c>
      <c r="D49" s="94" t="e">
        <f>-SUMIFS(#REF!,#REF!,B49)</f>
        <v>#REF!</v>
      </c>
      <c r="E49" s="94" t="e">
        <f>-SUMIFS(#REF!,#REF!,B49)</f>
        <v>#REF!</v>
      </c>
      <c r="F49" s="94" t="e">
        <f>-SUMIFS(#REF!,#REF!,B49)</f>
        <v>#REF!</v>
      </c>
      <c r="G49" s="94" t="e">
        <f>-SUMIFS(#REF!,#REF!,B49)</f>
        <v>#REF!</v>
      </c>
      <c r="H49" s="94" t="e">
        <f>-SUMIFS(#REF!,#REF!,B49)</f>
        <v>#REF!</v>
      </c>
      <c r="I49" s="94" t="e">
        <f>-SUMIFS(#REF!,#REF!,B49)</f>
        <v>#REF!</v>
      </c>
      <c r="J49" s="94">
        <f>-SUMIFS('AGT TB Apr -25'!M:M,'AGT TB Apr -25'!S:S,BS!B49)*$J$2</f>
        <v>0</v>
      </c>
      <c r="K49" s="42"/>
      <c r="L49" s="44"/>
      <c r="M49" s="44"/>
      <c r="N49" s="42"/>
      <c r="O49" s="42"/>
      <c r="P49" s="44"/>
      <c r="Q49" s="84" t="e">
        <f>-SUMIFS(#REF!,#REF!,BS!B49)*$Q$2</f>
        <v>#REF!</v>
      </c>
      <c r="R49" s="84"/>
      <c r="S49" s="84"/>
      <c r="T49" s="84"/>
      <c r="U49" s="84"/>
      <c r="V49" s="84"/>
      <c r="W49" s="84"/>
      <c r="X49" s="86" t="e">
        <f t="shared" si="41"/>
        <v>#REF!</v>
      </c>
      <c r="Y49" s="86" t="e">
        <f t="shared" si="42"/>
        <v>#REF!</v>
      </c>
      <c r="Z49" s="86" t="e">
        <f t="shared" si="43"/>
        <v>#REF!</v>
      </c>
      <c r="AA49" s="86" t="e">
        <f t="shared" si="44"/>
        <v>#REF!</v>
      </c>
      <c r="AB49" s="86" t="e">
        <f t="shared" si="45"/>
        <v>#REF!</v>
      </c>
      <c r="AC49" s="86" t="e">
        <f t="shared" si="46"/>
        <v>#REF!</v>
      </c>
      <c r="AD49" s="86" t="e">
        <f t="shared" si="47"/>
        <v>#REF!</v>
      </c>
      <c r="AE49" s="87"/>
      <c r="AF49" s="87" t="e">
        <f t="shared" si="1"/>
        <v>#REF!</v>
      </c>
      <c r="AG49" s="87"/>
      <c r="AH49" s="72"/>
      <c r="AI49" s="72"/>
      <c r="AJ49" s="72"/>
      <c r="AK49" s="72"/>
      <c r="AL49" s="72"/>
      <c r="AM49" s="72"/>
    </row>
    <row r="50" spans="2:39" outlineLevel="1">
      <c r="B50" s="6" t="s">
        <v>63</v>
      </c>
      <c r="C50" s="94" t="e">
        <f>-SUMIFS(#REF!,#REF!,B50)</f>
        <v>#REF!</v>
      </c>
      <c r="D50" s="94" t="e">
        <f>-SUMIFS(#REF!,#REF!,B50)</f>
        <v>#REF!</v>
      </c>
      <c r="E50" s="94" t="e">
        <f>-SUMIFS(#REF!,#REF!,B50)</f>
        <v>#REF!</v>
      </c>
      <c r="F50" s="94" t="e">
        <f>-SUMIFS(#REF!,#REF!,B50)</f>
        <v>#REF!</v>
      </c>
      <c r="G50" s="94" t="e">
        <f>-SUMIFS(#REF!,#REF!,B50)</f>
        <v>#REF!</v>
      </c>
      <c r="H50" s="94" t="e">
        <f>-SUMIFS(#REF!,#REF!,B50)</f>
        <v>#REF!</v>
      </c>
      <c r="I50" s="94" t="e">
        <f>-SUMIFS(#REF!,#REF!,B50)</f>
        <v>#REF!</v>
      </c>
      <c r="J50" s="94">
        <f>-SUMIFS('AGT TB Apr -25'!M:M,'AGT TB Apr -25'!S:S,BS!B50)*$J$2</f>
        <v>0</v>
      </c>
      <c r="K50" s="42" t="e">
        <f>SUMIF(#REF!,B:B,#REF!)</f>
        <v>#REF!</v>
      </c>
      <c r="L50" s="44" t="e">
        <f>SUMIF(#REF!,B:B,#REF!)</f>
        <v>#REF!</v>
      </c>
      <c r="M50" s="44" t="e">
        <f>-SUMIF(#REF!,BS!B:B,#REF!)</f>
        <v>#REF!</v>
      </c>
      <c r="N50" s="42" t="e">
        <f>-SUMIF(#REF!,B50,#REF!)</f>
        <v>#REF!</v>
      </c>
      <c r="O50" s="42" t="e">
        <f>SUMIF(#REF!,B:B,#REF!)</f>
        <v>#REF!</v>
      </c>
      <c r="P50" s="44" t="e">
        <f>SUMIF(#REF!,B50,#REF!)</f>
        <v>#REF!</v>
      </c>
      <c r="Q50" s="84" t="e">
        <f>-SUMIFS(#REF!,#REF!,BS!B50)*$Q$2</f>
        <v>#REF!</v>
      </c>
      <c r="R50" s="84"/>
      <c r="S50" s="84"/>
      <c r="T50" s="84"/>
      <c r="U50" s="84"/>
      <c r="V50" s="84"/>
      <c r="W50" s="84"/>
      <c r="X50" s="86" t="e">
        <f t="shared" si="41"/>
        <v>#REF!</v>
      </c>
      <c r="Y50" s="86" t="e">
        <f t="shared" si="42"/>
        <v>#REF!</v>
      </c>
      <c r="Z50" s="86" t="e">
        <f t="shared" si="43"/>
        <v>#REF!</v>
      </c>
      <c r="AA50" s="86" t="e">
        <f t="shared" si="44"/>
        <v>#REF!</v>
      </c>
      <c r="AB50" s="86" t="e">
        <f t="shared" si="45"/>
        <v>#REF!</v>
      </c>
      <c r="AC50" s="86" t="e">
        <f t="shared" si="46"/>
        <v>#REF!</v>
      </c>
      <c r="AD50" s="86" t="e">
        <f t="shared" si="47"/>
        <v>#REF!</v>
      </c>
      <c r="AE50" s="87"/>
      <c r="AF50" s="87" t="e">
        <f t="shared" si="1"/>
        <v>#REF!</v>
      </c>
      <c r="AG50" s="87"/>
      <c r="AH50" s="72" t="s">
        <v>51</v>
      </c>
      <c r="AI50" s="72"/>
      <c r="AJ50" s="72"/>
      <c r="AK50" s="72"/>
      <c r="AL50" s="72"/>
      <c r="AM50" s="72"/>
    </row>
    <row r="51" spans="2:39" outlineLevel="1">
      <c r="B51" s="6" t="s">
        <v>1619</v>
      </c>
      <c r="C51" s="94" t="e">
        <f>-SUMIFS(#REF!,#REF!,B51)</f>
        <v>#REF!</v>
      </c>
      <c r="D51" s="94" t="e">
        <f>-SUMIFS(#REF!,#REF!,B51)</f>
        <v>#REF!</v>
      </c>
      <c r="E51" s="94" t="e">
        <f>-SUMIFS(#REF!,#REF!,B51)</f>
        <v>#REF!</v>
      </c>
      <c r="F51" s="94" t="e">
        <f>-SUMIFS(#REF!,#REF!,B51)</f>
        <v>#REF!</v>
      </c>
      <c r="G51" s="94" t="e">
        <f>-SUMIFS(#REF!,#REF!,B51)</f>
        <v>#REF!</v>
      </c>
      <c r="H51" s="94" t="e">
        <f>-SUMIFS(#REF!,#REF!,B51)</f>
        <v>#REF!</v>
      </c>
      <c r="I51" s="94" t="e">
        <f>-SUMIFS(#REF!,#REF!,B51)</f>
        <v>#REF!</v>
      </c>
      <c r="J51" s="94">
        <f>-SUMIFS('AGT TB Apr -25'!M:M,'AGT TB Apr -25'!S:S,BS!B51)*$J$2</f>
        <v>0</v>
      </c>
      <c r="K51" s="44" t="e">
        <f>SUMIF(#REF!,B:B,#REF!)</f>
        <v>#REF!</v>
      </c>
      <c r="L51" s="44" t="e">
        <f>SUMIF(#REF!,B:B,#REF!)</f>
        <v>#REF!</v>
      </c>
      <c r="M51" s="44" t="e">
        <f>SUMIF(#REF!,BS!B:B,#REF!)</f>
        <v>#REF!</v>
      </c>
      <c r="N51" s="44" t="e">
        <f>SUMIF(#REF!,B51,#REF!)</f>
        <v>#REF!</v>
      </c>
      <c r="O51" s="44" t="e">
        <f>SUMIF(#REF!,B:B,#REF!)</f>
        <v>#REF!</v>
      </c>
      <c r="P51" s="44" t="e">
        <f>SUMIF(#REF!,B51,#REF!)</f>
        <v>#REF!</v>
      </c>
      <c r="Q51" s="84" t="e">
        <f>-SUMIFS(#REF!,#REF!,BS!B51)*$Q$2</f>
        <v>#REF!</v>
      </c>
      <c r="R51" s="84"/>
      <c r="S51" s="84"/>
      <c r="T51" s="84"/>
      <c r="U51" s="84"/>
      <c r="V51" s="84"/>
      <c r="W51" s="84"/>
      <c r="X51" s="86" t="e">
        <f t="shared" si="41"/>
        <v>#REF!</v>
      </c>
      <c r="Y51" s="86" t="e">
        <f t="shared" si="42"/>
        <v>#REF!</v>
      </c>
      <c r="Z51" s="86" t="e">
        <f t="shared" si="43"/>
        <v>#REF!</v>
      </c>
      <c r="AA51" s="86" t="e">
        <f t="shared" si="44"/>
        <v>#REF!</v>
      </c>
      <c r="AB51" s="86" t="e">
        <f t="shared" si="45"/>
        <v>#REF!</v>
      </c>
      <c r="AC51" s="86" t="e">
        <f t="shared" si="46"/>
        <v>#REF!</v>
      </c>
      <c r="AD51" s="86" t="e">
        <f t="shared" si="47"/>
        <v>#REF!</v>
      </c>
      <c r="AE51" s="87" t="e">
        <f>J51+Q51</f>
        <v>#REF!</v>
      </c>
      <c r="AF51" s="87" t="e">
        <f t="shared" si="1"/>
        <v>#REF!</v>
      </c>
      <c r="AG51" s="87"/>
      <c r="AH51" s="72" t="s">
        <v>51</v>
      </c>
      <c r="AI51" s="72"/>
      <c r="AJ51" s="72"/>
      <c r="AK51" s="72"/>
      <c r="AL51" s="72"/>
      <c r="AM51" s="72"/>
    </row>
    <row r="52" spans="2:39" outlineLevel="1">
      <c r="B52" s="6" t="s">
        <v>2184</v>
      </c>
      <c r="C52" s="94" t="e">
        <f>-SUMIFS(#REF!,#REF!,B52)</f>
        <v>#REF!</v>
      </c>
      <c r="D52" s="94" t="e">
        <f>-SUMIFS(#REF!,#REF!,B52)</f>
        <v>#REF!</v>
      </c>
      <c r="E52" s="94" t="e">
        <f>-SUMIFS(#REF!,#REF!,B52)</f>
        <v>#REF!</v>
      </c>
      <c r="F52" s="94" t="e">
        <f>-SUMIFS(#REF!,#REF!,B52)</f>
        <v>#REF!</v>
      </c>
      <c r="G52" s="94" t="e">
        <f>-SUMIFS(#REF!,#REF!,B52)</f>
        <v>#REF!</v>
      </c>
      <c r="H52" s="94" t="e">
        <f>-SUMIFS(#REF!,#REF!,B52)</f>
        <v>#REF!</v>
      </c>
      <c r="I52" s="94" t="e">
        <f>-SUMIFS(#REF!,#REF!,B52)</f>
        <v>#REF!</v>
      </c>
      <c r="J52" s="94">
        <f>-SUMIFS('AGT TB Apr -25'!M:M,'AGT TB Apr -25'!S:S,BS!B52)*$J$2</f>
        <v>0</v>
      </c>
      <c r="K52" s="44" t="e">
        <f>SUMIF(#REF!,B:B,#REF!)</f>
        <v>#REF!</v>
      </c>
      <c r="L52" s="44" t="e">
        <f>SUMIF(#REF!,B:B,#REF!)</f>
        <v>#REF!</v>
      </c>
      <c r="M52" s="44" t="e">
        <f>SUMIF(#REF!,BS!B:B,#REF!)</f>
        <v>#REF!</v>
      </c>
      <c r="N52" s="44" t="e">
        <f>SUMIF(#REF!,B52,#REF!)</f>
        <v>#REF!</v>
      </c>
      <c r="O52" s="44" t="e">
        <f>SUMIF(#REF!,B:B,#REF!)</f>
        <v>#REF!</v>
      </c>
      <c r="P52" s="44" t="e">
        <f>SUMIF(#REF!,B52,#REF!)</f>
        <v>#REF!</v>
      </c>
      <c r="Q52" s="84" t="e">
        <f>-SUMIFS(#REF!,#REF!,BS!B52)*$Q$2</f>
        <v>#REF!</v>
      </c>
      <c r="R52" s="84"/>
      <c r="S52" s="84"/>
      <c r="T52" s="84"/>
      <c r="U52" s="84"/>
      <c r="V52" s="84"/>
      <c r="W52" s="84"/>
      <c r="X52" s="86" t="e">
        <f t="shared" si="41"/>
        <v>#REF!</v>
      </c>
      <c r="Y52" s="86" t="e">
        <f t="shared" si="42"/>
        <v>#REF!</v>
      </c>
      <c r="Z52" s="86" t="e">
        <f t="shared" si="43"/>
        <v>#REF!</v>
      </c>
      <c r="AA52" s="86" t="e">
        <f t="shared" si="44"/>
        <v>#REF!</v>
      </c>
      <c r="AB52" s="86" t="e">
        <f t="shared" si="45"/>
        <v>#REF!</v>
      </c>
      <c r="AC52" s="86" t="e">
        <f t="shared" si="46"/>
        <v>#REF!</v>
      </c>
      <c r="AD52" s="86" t="e">
        <f t="shared" si="47"/>
        <v>#REF!</v>
      </c>
      <c r="AE52" s="87" t="e">
        <f>J52+Q52</f>
        <v>#REF!</v>
      </c>
      <c r="AF52" s="87" t="e">
        <f t="shared" ref="AF52" si="48">X52-AE52</f>
        <v>#REF!</v>
      </c>
      <c r="AG52" s="87"/>
      <c r="AH52" s="72"/>
      <c r="AI52" s="72"/>
      <c r="AJ52" s="72"/>
      <c r="AK52" s="72"/>
      <c r="AL52" s="72"/>
      <c r="AM52" s="72"/>
    </row>
    <row r="53" spans="2:39" outlineLevel="1">
      <c r="B53" s="6" t="s">
        <v>279</v>
      </c>
      <c r="C53" s="94" t="e">
        <f>-SUMIFS(#REF!,#REF!,B53)</f>
        <v>#REF!</v>
      </c>
      <c r="D53" s="94" t="e">
        <f>-SUMIFS(#REF!,#REF!,B53)</f>
        <v>#REF!</v>
      </c>
      <c r="E53" s="94" t="e">
        <f>-SUMIFS(#REF!,#REF!,B53)</f>
        <v>#REF!</v>
      </c>
      <c r="F53" s="94" t="e">
        <f>-SUMIFS(#REF!,#REF!,B53)</f>
        <v>#REF!</v>
      </c>
      <c r="G53" s="94" t="e">
        <f>-SUMIFS(#REF!,#REF!,B53)</f>
        <v>#REF!</v>
      </c>
      <c r="H53" s="94" t="e">
        <f>-SUMIFS(#REF!,#REF!,B53)</f>
        <v>#REF!</v>
      </c>
      <c r="I53" s="94" t="e">
        <f>-SUMIFS(#REF!,#REF!,B53)</f>
        <v>#REF!</v>
      </c>
      <c r="J53" s="94">
        <f>-SUMIFS('AGT TB Apr -25'!M:M,'AGT TB Apr -25'!S:S,BS!B53)*$J$2</f>
        <v>0</v>
      </c>
      <c r="K53" s="44" t="e">
        <f>SUMIF(#REF!,B:B,#REF!)</f>
        <v>#REF!</v>
      </c>
      <c r="L53" s="44" t="e">
        <f>SUMIF(#REF!,B:B,#REF!)</f>
        <v>#REF!</v>
      </c>
      <c r="M53" s="44" t="e">
        <f>SUMIF(#REF!,BS!B:B,#REF!)</f>
        <v>#REF!</v>
      </c>
      <c r="N53" s="44" t="e">
        <f>SUMIF(#REF!,B53,#REF!)</f>
        <v>#REF!</v>
      </c>
      <c r="O53" s="44" t="e">
        <f>SUMIF(#REF!,B:B,#REF!)</f>
        <v>#REF!</v>
      </c>
      <c r="P53" s="44" t="e">
        <f>SUMIF(#REF!,B53,#REF!)</f>
        <v>#REF!</v>
      </c>
      <c r="Q53" s="84" t="e">
        <f>-SUMIFS(#REF!,#REF!,BS!B53)*$Q$2</f>
        <v>#REF!</v>
      </c>
      <c r="R53" s="84"/>
      <c r="S53" s="84"/>
      <c r="T53" s="84"/>
      <c r="U53" s="84"/>
      <c r="V53" s="84"/>
      <c r="W53" s="84"/>
      <c r="X53" s="86" t="e">
        <f t="shared" si="41"/>
        <v>#REF!</v>
      </c>
      <c r="Y53" s="86" t="e">
        <f t="shared" si="42"/>
        <v>#REF!</v>
      </c>
      <c r="Z53" s="86" t="e">
        <f t="shared" si="43"/>
        <v>#REF!</v>
      </c>
      <c r="AA53" s="86" t="e">
        <f t="shared" si="44"/>
        <v>#REF!</v>
      </c>
      <c r="AB53" s="86" t="e">
        <f t="shared" si="45"/>
        <v>#REF!</v>
      </c>
      <c r="AC53" s="86" t="e">
        <f t="shared" si="46"/>
        <v>#REF!</v>
      </c>
      <c r="AD53" s="86" t="e">
        <f t="shared" si="47"/>
        <v>#REF!</v>
      </c>
      <c r="AE53" s="87"/>
      <c r="AF53" s="87" t="e">
        <f t="shared" ref="AF53" si="49">X53-AE53</f>
        <v>#REF!</v>
      </c>
      <c r="AG53" s="87"/>
      <c r="AH53" s="72"/>
      <c r="AI53" s="72"/>
      <c r="AJ53" s="72"/>
      <c r="AK53" s="72"/>
      <c r="AL53" s="72"/>
      <c r="AM53" s="72"/>
    </row>
    <row r="54" spans="2:39" outlineLevel="1">
      <c r="B54" s="6" t="s">
        <v>1620</v>
      </c>
      <c r="C54" s="220" t="e">
        <f t="shared" ref="C54:I54" si="50">SUM(C55:C61)</f>
        <v>#REF!</v>
      </c>
      <c r="D54" s="220" t="e">
        <f t="shared" si="50"/>
        <v>#REF!</v>
      </c>
      <c r="E54" s="220" t="e">
        <f t="shared" si="50"/>
        <v>#REF!</v>
      </c>
      <c r="F54" s="220" t="e">
        <f t="shared" si="50"/>
        <v>#REF!</v>
      </c>
      <c r="G54" s="220" t="e">
        <f t="shared" si="50"/>
        <v>#REF!</v>
      </c>
      <c r="H54" s="220" t="e">
        <f t="shared" si="50"/>
        <v>#REF!</v>
      </c>
      <c r="I54" s="220" t="e">
        <f t="shared" si="50"/>
        <v>#REF!</v>
      </c>
      <c r="J54" s="220">
        <f>SUM(J55:J61)</f>
        <v>0</v>
      </c>
      <c r="K54" s="42"/>
      <c r="L54" s="44"/>
      <c r="M54" s="44"/>
      <c r="N54" s="44"/>
      <c r="O54" s="44"/>
      <c r="P54" s="44" t="e">
        <f>SUMIF(#REF!,B54,#REF!)</f>
        <v>#REF!</v>
      </c>
      <c r="Q54" s="220" t="e">
        <f>SUM(Q55:Q61)</f>
        <v>#REF!</v>
      </c>
      <c r="R54" s="220"/>
      <c r="S54" s="220"/>
      <c r="T54" s="220"/>
      <c r="U54" s="220"/>
      <c r="V54" s="220"/>
      <c r="W54" s="220"/>
      <c r="X54" s="220" t="e">
        <f>SUM(X55:X61)</f>
        <v>#REF!</v>
      </c>
      <c r="Y54" s="220" t="e">
        <f t="shared" ref="Y54:AD54" si="51">SUM(Y55:Y61)</f>
        <v>#REF!</v>
      </c>
      <c r="Z54" s="220" t="e">
        <f t="shared" si="51"/>
        <v>#REF!</v>
      </c>
      <c r="AA54" s="220" t="e">
        <f t="shared" si="51"/>
        <v>#REF!</v>
      </c>
      <c r="AB54" s="220" t="e">
        <f t="shared" si="51"/>
        <v>#REF!</v>
      </c>
      <c r="AC54" s="220" t="e">
        <f t="shared" si="51"/>
        <v>#REF!</v>
      </c>
      <c r="AD54" s="220" t="e">
        <f t="shared" si="51"/>
        <v>#REF!</v>
      </c>
      <c r="AE54" s="221"/>
      <c r="AF54" s="220" t="e">
        <f>SUM(AF55:AF61)</f>
        <v>#REF!</v>
      </c>
      <c r="AG54" s="217"/>
      <c r="AH54" s="72"/>
      <c r="AI54" s="72"/>
      <c r="AJ54" s="72"/>
      <c r="AK54" s="72"/>
      <c r="AL54" s="72"/>
      <c r="AM54" s="72"/>
    </row>
    <row r="55" spans="2:39" ht="14.4" outlineLevel="1">
      <c r="B55" s="179" t="s">
        <v>278</v>
      </c>
      <c r="C55" s="93" t="e">
        <f>-SUMIFS(#REF!,#REF!,B55)</f>
        <v>#REF!</v>
      </c>
      <c r="D55" s="93" t="e">
        <f>-SUMIFS(#REF!,#REF!,B55)</f>
        <v>#REF!</v>
      </c>
      <c r="E55" s="93" t="e">
        <f>-SUMIFS(#REF!,#REF!,B55)</f>
        <v>#REF!</v>
      </c>
      <c r="F55" s="93" t="e">
        <f>-SUMIFS(#REF!,#REF!,B55)</f>
        <v>#REF!</v>
      </c>
      <c r="G55" s="93" t="e">
        <f>-SUMIFS(#REF!,#REF!,B55)</f>
        <v>#REF!</v>
      </c>
      <c r="H55" s="93" t="e">
        <f>-SUMIFS(#REF!,#REF!,B55)</f>
        <v>#REF!</v>
      </c>
      <c r="I55" s="93" t="e">
        <f>-SUMIFS(#REF!,#REF!,B55)</f>
        <v>#REF!</v>
      </c>
      <c r="J55" s="94">
        <f>-SUMIFS('AGT TB Apr -25'!M:M,'AGT TB Apr -25'!S:S,BS!B55)*$J$2</f>
        <v>0</v>
      </c>
      <c r="K55" s="42"/>
      <c r="L55" s="44"/>
      <c r="M55" s="44"/>
      <c r="N55" s="44"/>
      <c r="O55" s="44"/>
      <c r="P55" s="44"/>
      <c r="Q55" s="84" t="e">
        <f>-SUMIFS(#REF!,#REF!,BS!B55)*$Q$2</f>
        <v>#REF!</v>
      </c>
      <c r="R55" s="84"/>
      <c r="S55" s="84"/>
      <c r="T55" s="84"/>
      <c r="U55" s="84"/>
      <c r="V55" s="84"/>
      <c r="W55" s="84"/>
      <c r="X55" s="86" t="e">
        <f t="shared" ref="X55:AD62" si="52">C55+J55+Q55</f>
        <v>#REF!</v>
      </c>
      <c r="Y55" s="86" t="e">
        <f t="shared" si="52"/>
        <v>#REF!</v>
      </c>
      <c r="Z55" s="86" t="e">
        <f t="shared" si="52"/>
        <v>#REF!</v>
      </c>
      <c r="AA55" s="86" t="e">
        <f t="shared" si="52"/>
        <v>#REF!</v>
      </c>
      <c r="AB55" s="86" t="e">
        <f t="shared" si="52"/>
        <v>#REF!</v>
      </c>
      <c r="AC55" s="86" t="e">
        <f t="shared" si="52"/>
        <v>#REF!</v>
      </c>
      <c r="AD55" s="86" t="e">
        <f t="shared" si="52"/>
        <v>#REF!</v>
      </c>
      <c r="AE55" s="87"/>
      <c r="AF55" s="87" t="e">
        <f t="shared" si="1"/>
        <v>#REF!</v>
      </c>
      <c r="AG55" s="87"/>
      <c r="AH55" s="72"/>
      <c r="AI55" s="72"/>
      <c r="AJ55" s="72"/>
      <c r="AK55" s="72"/>
      <c r="AL55" s="72"/>
      <c r="AM55" s="72"/>
    </row>
    <row r="56" spans="2:39" ht="14.4" outlineLevel="1">
      <c r="B56" s="179" t="s">
        <v>1621</v>
      </c>
      <c r="C56" s="93" t="e">
        <f>-SUMIFS(#REF!,#REF!,B56)</f>
        <v>#REF!</v>
      </c>
      <c r="D56" s="93" t="e">
        <f>-SUMIFS(#REF!,#REF!,B56)</f>
        <v>#REF!</v>
      </c>
      <c r="E56" s="93" t="e">
        <f>-SUMIFS(#REF!,#REF!,B56)</f>
        <v>#REF!</v>
      </c>
      <c r="F56" s="93" t="e">
        <f>-SUMIFS(#REF!,#REF!,B56)</f>
        <v>#REF!</v>
      </c>
      <c r="G56" s="93" t="e">
        <f>-SUMIFS(#REF!,#REF!,B56)</f>
        <v>#REF!</v>
      </c>
      <c r="H56" s="93" t="e">
        <f>-SUMIFS(#REF!,#REF!,B56)</f>
        <v>#REF!</v>
      </c>
      <c r="I56" s="93" t="e">
        <f>-SUMIFS(#REF!,#REF!,B56)</f>
        <v>#REF!</v>
      </c>
      <c r="J56" s="94">
        <f>-SUMIFS('AGT TB Apr -25'!M:M,'AGT TB Apr -25'!S:S,BS!B56)*$J$2</f>
        <v>0</v>
      </c>
      <c r="K56" s="42"/>
      <c r="L56" s="44"/>
      <c r="M56" s="44"/>
      <c r="N56" s="44"/>
      <c r="O56" s="44"/>
      <c r="P56" s="44"/>
      <c r="Q56" s="84" t="e">
        <f>-SUMIFS(#REF!,#REF!,BS!B56)*$Q$2</f>
        <v>#REF!</v>
      </c>
      <c r="R56" s="84"/>
      <c r="S56" s="84"/>
      <c r="T56" s="84"/>
      <c r="U56" s="84"/>
      <c r="V56" s="84"/>
      <c r="W56" s="84"/>
      <c r="X56" s="86" t="e">
        <f t="shared" si="52"/>
        <v>#REF!</v>
      </c>
      <c r="Y56" s="86" t="e">
        <f t="shared" si="52"/>
        <v>#REF!</v>
      </c>
      <c r="Z56" s="86" t="e">
        <f t="shared" si="52"/>
        <v>#REF!</v>
      </c>
      <c r="AA56" s="86" t="e">
        <f t="shared" si="52"/>
        <v>#REF!</v>
      </c>
      <c r="AB56" s="86" t="e">
        <f t="shared" si="52"/>
        <v>#REF!</v>
      </c>
      <c r="AC56" s="86" t="e">
        <f t="shared" si="52"/>
        <v>#REF!</v>
      </c>
      <c r="AD56" s="86" t="e">
        <f t="shared" si="52"/>
        <v>#REF!</v>
      </c>
      <c r="AE56" s="87"/>
      <c r="AF56" s="87" t="e">
        <f t="shared" si="1"/>
        <v>#REF!</v>
      </c>
      <c r="AG56" s="87"/>
      <c r="AH56" s="72"/>
      <c r="AI56" s="72"/>
      <c r="AJ56" s="72"/>
      <c r="AK56" s="72"/>
      <c r="AL56" s="72"/>
      <c r="AM56" s="72"/>
    </row>
    <row r="57" spans="2:39" ht="14.4" outlineLevel="1">
      <c r="B57" s="186" t="s">
        <v>1631</v>
      </c>
      <c r="C57" s="93" t="e">
        <f>-SUMIFS(#REF!,#REF!,B57)</f>
        <v>#REF!</v>
      </c>
      <c r="D57" s="93" t="e">
        <f>-SUMIFS(#REF!,#REF!,B57)</f>
        <v>#REF!</v>
      </c>
      <c r="E57" s="93" t="e">
        <f>-SUMIFS(#REF!,#REF!,B57)</f>
        <v>#REF!</v>
      </c>
      <c r="F57" s="93" t="e">
        <f>-SUMIFS(#REF!,#REF!,B57)</f>
        <v>#REF!</v>
      </c>
      <c r="G57" s="93" t="e">
        <f>-SUMIFS(#REF!,#REF!,B57)</f>
        <v>#REF!</v>
      </c>
      <c r="H57" s="93" t="e">
        <f>-SUMIFS(#REF!,#REF!,B57)</f>
        <v>#REF!</v>
      </c>
      <c r="I57" s="93" t="e">
        <f>-SUMIFS(#REF!,#REF!,B57)</f>
        <v>#REF!</v>
      </c>
      <c r="J57" s="93">
        <f>-SUMIFS('AGT TB Apr -25'!M:M,'AGT TB Apr -25'!S:S,BS!B57)*$J$2</f>
        <v>0</v>
      </c>
      <c r="K57" s="42"/>
      <c r="L57" s="44"/>
      <c r="M57" s="44"/>
      <c r="N57" s="44"/>
      <c r="O57" s="44"/>
      <c r="P57" s="44"/>
      <c r="Q57" s="84" t="e">
        <f>-SUMIFS(#REF!,#REF!,BS!B57)*$Q$2</f>
        <v>#REF!</v>
      </c>
      <c r="R57" s="84"/>
      <c r="S57" s="84"/>
      <c r="T57" s="84"/>
      <c r="U57" s="84"/>
      <c r="V57" s="84"/>
      <c r="W57" s="84"/>
      <c r="X57" s="86" t="e">
        <f t="shared" si="52"/>
        <v>#REF!</v>
      </c>
      <c r="Y57" s="86" t="e">
        <f t="shared" si="52"/>
        <v>#REF!</v>
      </c>
      <c r="Z57" s="86" t="e">
        <f t="shared" si="52"/>
        <v>#REF!</v>
      </c>
      <c r="AA57" s="86" t="e">
        <f t="shared" si="52"/>
        <v>#REF!</v>
      </c>
      <c r="AB57" s="86" t="e">
        <f t="shared" si="52"/>
        <v>#REF!</v>
      </c>
      <c r="AC57" s="86" t="e">
        <f t="shared" si="52"/>
        <v>#REF!</v>
      </c>
      <c r="AD57" s="86" t="e">
        <f t="shared" si="52"/>
        <v>#REF!</v>
      </c>
      <c r="AE57" s="87"/>
      <c r="AF57" s="87" t="e">
        <f t="shared" si="1"/>
        <v>#REF!</v>
      </c>
      <c r="AG57" s="87"/>
      <c r="AH57" s="72"/>
      <c r="AI57" s="72"/>
      <c r="AJ57" s="72"/>
      <c r="AK57" s="72"/>
      <c r="AL57" s="72"/>
      <c r="AM57" s="72"/>
    </row>
    <row r="58" spans="2:39" outlineLevel="1">
      <c r="B58" s="24" t="s">
        <v>968</v>
      </c>
      <c r="C58" s="93" t="e">
        <f>-SUMIFS(#REF!,#REF!,B58)</f>
        <v>#REF!</v>
      </c>
      <c r="D58" s="93" t="e">
        <f>-SUMIFS(#REF!,#REF!,B58)</f>
        <v>#REF!</v>
      </c>
      <c r="E58" s="93" t="e">
        <f>-SUMIFS(#REF!,#REF!,B58)</f>
        <v>#REF!</v>
      </c>
      <c r="F58" s="93" t="e">
        <f>-SUMIFS(#REF!,#REF!,B58)</f>
        <v>#REF!</v>
      </c>
      <c r="G58" s="93" t="e">
        <f>-SUMIFS(#REF!,#REF!,B58)</f>
        <v>#REF!</v>
      </c>
      <c r="H58" s="93" t="e">
        <f>-SUMIFS(#REF!,#REF!,B58)</f>
        <v>#REF!</v>
      </c>
      <c r="I58" s="93" t="e">
        <f>-SUMIFS(#REF!,#REF!,B58)</f>
        <v>#REF!</v>
      </c>
      <c r="J58" s="94">
        <f>-SUMIFS('AGT TB Apr -25'!M:M,'AGT TB Apr -25'!S:S,BS!B58)*$J$2</f>
        <v>0</v>
      </c>
      <c r="K58" s="42"/>
      <c r="L58" s="44"/>
      <c r="M58" s="44"/>
      <c r="N58" s="44"/>
      <c r="O58" s="44"/>
      <c r="P58" s="44"/>
      <c r="Q58" s="84" t="e">
        <f>-SUMIFS(#REF!,#REF!,BS!B58)*$Q$2</f>
        <v>#REF!</v>
      </c>
      <c r="R58" s="84"/>
      <c r="S58" s="84"/>
      <c r="T58" s="84"/>
      <c r="U58" s="84"/>
      <c r="V58" s="84"/>
      <c r="W58" s="84"/>
      <c r="X58" s="86" t="e">
        <f t="shared" si="52"/>
        <v>#REF!</v>
      </c>
      <c r="Y58" s="86" t="e">
        <f t="shared" si="52"/>
        <v>#REF!</v>
      </c>
      <c r="Z58" s="86" t="e">
        <f t="shared" si="52"/>
        <v>#REF!</v>
      </c>
      <c r="AA58" s="86" t="e">
        <f t="shared" si="52"/>
        <v>#REF!</v>
      </c>
      <c r="AB58" s="86" t="e">
        <f t="shared" si="52"/>
        <v>#REF!</v>
      </c>
      <c r="AC58" s="86" t="e">
        <f t="shared" si="52"/>
        <v>#REF!</v>
      </c>
      <c r="AD58" s="86" t="e">
        <f t="shared" si="52"/>
        <v>#REF!</v>
      </c>
      <c r="AE58" s="87"/>
      <c r="AF58" s="87" t="e">
        <f t="shared" si="1"/>
        <v>#REF!</v>
      </c>
      <c r="AG58" s="87"/>
      <c r="AH58" s="72"/>
      <c r="AI58" s="72"/>
      <c r="AJ58" s="72"/>
      <c r="AK58" s="72"/>
      <c r="AL58" s="72"/>
      <c r="AM58" s="72"/>
    </row>
    <row r="59" spans="2:39" ht="14.4" outlineLevel="1">
      <c r="B59" s="179" t="s">
        <v>1627</v>
      </c>
      <c r="C59" s="93" t="e">
        <f>-SUMIFS(#REF!,#REF!,B59)</f>
        <v>#REF!</v>
      </c>
      <c r="D59" s="93" t="e">
        <f>-SUMIFS(#REF!,#REF!,B59)</f>
        <v>#REF!</v>
      </c>
      <c r="E59" s="93" t="e">
        <f>-SUMIFS(#REF!,#REF!,B59)</f>
        <v>#REF!</v>
      </c>
      <c r="F59" s="93" t="e">
        <f>-SUMIFS(#REF!,#REF!,B59)</f>
        <v>#REF!</v>
      </c>
      <c r="G59" s="93" t="e">
        <f>-SUMIFS(#REF!,#REF!,B59)</f>
        <v>#REF!</v>
      </c>
      <c r="H59" s="93" t="e">
        <f>-SUMIFS(#REF!,#REF!,B59)</f>
        <v>#REF!</v>
      </c>
      <c r="I59" s="93" t="e">
        <f>-SUMIFS(#REF!,#REF!,B59)</f>
        <v>#REF!</v>
      </c>
      <c r="J59" s="94">
        <f>-SUMIFS('AGT TB Apr -25'!M:M,'AGT TB Apr -25'!S:S,BS!B59)*$J$2</f>
        <v>0</v>
      </c>
      <c r="K59" s="42"/>
      <c r="L59" s="44"/>
      <c r="M59" s="44"/>
      <c r="N59" s="44"/>
      <c r="O59" s="44"/>
      <c r="P59" s="44"/>
      <c r="Q59" s="84" t="e">
        <f>-SUMIFS(#REF!,#REF!,BS!B59)*$Q$2</f>
        <v>#REF!</v>
      </c>
      <c r="R59" s="84"/>
      <c r="S59" s="84"/>
      <c r="T59" s="84"/>
      <c r="U59" s="84"/>
      <c r="V59" s="84"/>
      <c r="W59" s="84"/>
      <c r="X59" s="86" t="e">
        <f t="shared" si="52"/>
        <v>#REF!</v>
      </c>
      <c r="Y59" s="86" t="e">
        <f t="shared" si="52"/>
        <v>#REF!</v>
      </c>
      <c r="Z59" s="86" t="e">
        <f t="shared" si="52"/>
        <v>#REF!</v>
      </c>
      <c r="AA59" s="86" t="e">
        <f t="shared" si="52"/>
        <v>#REF!</v>
      </c>
      <c r="AB59" s="86" t="e">
        <f t="shared" si="52"/>
        <v>#REF!</v>
      </c>
      <c r="AC59" s="86" t="e">
        <f t="shared" si="52"/>
        <v>#REF!</v>
      </c>
      <c r="AD59" s="86" t="e">
        <f t="shared" si="52"/>
        <v>#REF!</v>
      </c>
      <c r="AE59" s="87"/>
      <c r="AF59" s="87" t="e">
        <f t="shared" si="1"/>
        <v>#REF!</v>
      </c>
      <c r="AG59" s="87"/>
      <c r="AH59" s="72"/>
      <c r="AI59" s="72"/>
      <c r="AJ59" s="72"/>
      <c r="AK59" s="72"/>
      <c r="AL59" s="72"/>
      <c r="AM59" s="72"/>
    </row>
    <row r="60" spans="2:39" outlineLevel="1">
      <c r="B60" s="24" t="s">
        <v>1628</v>
      </c>
      <c r="C60" s="93" t="e">
        <f>-SUMIFS(#REF!,#REF!,B60)</f>
        <v>#REF!</v>
      </c>
      <c r="D60" s="93" t="e">
        <f>-SUMIFS(#REF!,#REF!,B60)</f>
        <v>#REF!</v>
      </c>
      <c r="E60" s="93" t="e">
        <f>-SUMIFS(#REF!,#REF!,B60)</f>
        <v>#REF!</v>
      </c>
      <c r="F60" s="93" t="e">
        <f>-SUMIFS(#REF!,#REF!,B60)</f>
        <v>#REF!</v>
      </c>
      <c r="G60" s="93" t="e">
        <f>-SUMIFS(#REF!,#REF!,B60)</f>
        <v>#REF!</v>
      </c>
      <c r="H60" s="93" t="e">
        <f>-SUMIFS(#REF!,#REF!,B60)</f>
        <v>#REF!</v>
      </c>
      <c r="I60" s="93" t="e">
        <f>-SUMIFS(#REF!,#REF!,B60)</f>
        <v>#REF!</v>
      </c>
      <c r="J60" s="94">
        <f>-SUMIFS('AGT TB Apr -25'!M:M,'AGT TB Apr -25'!S:S,BS!B60)*$J$2</f>
        <v>0</v>
      </c>
      <c r="K60" s="42"/>
      <c r="L60" s="44"/>
      <c r="M60" s="44"/>
      <c r="N60" s="44"/>
      <c r="O60" s="44"/>
      <c r="P60" s="44"/>
      <c r="Q60" s="84" t="e">
        <f>-SUMIFS(#REF!,#REF!,BS!B60)*$Q$2</f>
        <v>#REF!</v>
      </c>
      <c r="R60" s="84"/>
      <c r="S60" s="84"/>
      <c r="T60" s="84"/>
      <c r="U60" s="84"/>
      <c r="V60" s="84"/>
      <c r="W60" s="84"/>
      <c r="X60" s="86" t="e">
        <f t="shared" si="52"/>
        <v>#REF!</v>
      </c>
      <c r="Y60" s="86" t="e">
        <f t="shared" si="52"/>
        <v>#REF!</v>
      </c>
      <c r="Z60" s="86" t="e">
        <f t="shared" si="52"/>
        <v>#REF!</v>
      </c>
      <c r="AA60" s="86" t="e">
        <f t="shared" si="52"/>
        <v>#REF!</v>
      </c>
      <c r="AB60" s="86" t="e">
        <f t="shared" si="52"/>
        <v>#REF!</v>
      </c>
      <c r="AC60" s="86" t="e">
        <f t="shared" si="52"/>
        <v>#REF!</v>
      </c>
      <c r="AD60" s="86" t="e">
        <f t="shared" si="52"/>
        <v>#REF!</v>
      </c>
      <c r="AE60" s="87"/>
      <c r="AF60" s="87" t="e">
        <f t="shared" si="1"/>
        <v>#REF!</v>
      </c>
      <c r="AG60" s="87"/>
      <c r="AH60" s="72"/>
      <c r="AI60" s="72"/>
      <c r="AJ60" s="72"/>
      <c r="AK60" s="72"/>
      <c r="AL60" s="72"/>
      <c r="AM60" s="72"/>
    </row>
    <row r="61" spans="2:39" outlineLevel="1">
      <c r="B61" s="194" t="s">
        <v>1749</v>
      </c>
      <c r="C61" s="93" t="e">
        <f>-SUMIFS(#REF!,#REF!,B61)</f>
        <v>#REF!</v>
      </c>
      <c r="D61" s="93" t="e">
        <f>-SUMIFS(#REF!,#REF!,B61)</f>
        <v>#REF!</v>
      </c>
      <c r="E61" s="93" t="e">
        <f>-SUMIFS(#REF!,#REF!,B61)</f>
        <v>#REF!</v>
      </c>
      <c r="F61" s="93" t="e">
        <f>-SUMIFS(#REF!,#REF!,B61)</f>
        <v>#REF!</v>
      </c>
      <c r="G61" s="93" t="e">
        <f>-SUMIFS(#REF!,#REF!,B61)</f>
        <v>#REF!</v>
      </c>
      <c r="H61" s="93" t="e">
        <f>-SUMIFS(#REF!,#REF!,B61)</f>
        <v>#REF!</v>
      </c>
      <c r="I61" s="93" t="e">
        <f>-SUMIFS(#REF!,#REF!,B61)</f>
        <v>#REF!</v>
      </c>
      <c r="J61" s="94">
        <f>-SUMIFS('AGT TB Apr -25'!M:M,'AGT TB Apr -25'!S:S,BS!B61)*$J$2</f>
        <v>0</v>
      </c>
      <c r="K61" s="42" t="e">
        <f>SUMIF(#REF!,B:B,#REF!)</f>
        <v>#REF!</v>
      </c>
      <c r="L61" s="44" t="e">
        <f>SUMIF(#REF!,B:B,#REF!)</f>
        <v>#REF!</v>
      </c>
      <c r="M61" s="44" t="e">
        <f>SUMIF(#REF!,BS!B:B,#REF!)</f>
        <v>#REF!</v>
      </c>
      <c r="N61" s="42" t="e">
        <f>-SUMIF(#REF!,B61,#REF!)</f>
        <v>#REF!</v>
      </c>
      <c r="O61" s="42" t="e">
        <f>-SUMIF(#REF!,B:B,#REF!)</f>
        <v>#REF!</v>
      </c>
      <c r="P61" s="44" t="e">
        <f>SUMIF(#REF!,B61,#REF!)</f>
        <v>#REF!</v>
      </c>
      <c r="Q61" s="84" t="e">
        <f>-SUMIFS(#REF!,#REF!,BS!B61)*$Q$2</f>
        <v>#REF!</v>
      </c>
      <c r="R61" s="84"/>
      <c r="S61" s="84"/>
      <c r="T61" s="84"/>
      <c r="U61" s="84"/>
      <c r="V61" s="84"/>
      <c r="W61" s="84"/>
      <c r="X61" s="86" t="e">
        <f t="shared" si="52"/>
        <v>#REF!</v>
      </c>
      <c r="Y61" s="86" t="e">
        <f t="shared" si="52"/>
        <v>#REF!</v>
      </c>
      <c r="Z61" s="86" t="e">
        <f t="shared" si="52"/>
        <v>#REF!</v>
      </c>
      <c r="AA61" s="86" t="e">
        <f t="shared" si="52"/>
        <v>#REF!</v>
      </c>
      <c r="AB61" s="86" t="e">
        <f t="shared" si="52"/>
        <v>#REF!</v>
      </c>
      <c r="AC61" s="86" t="e">
        <f t="shared" si="52"/>
        <v>#REF!</v>
      </c>
      <c r="AD61" s="86" t="e">
        <f t="shared" si="52"/>
        <v>#REF!</v>
      </c>
      <c r="AE61" s="87"/>
      <c r="AF61" s="87" t="e">
        <f t="shared" si="1"/>
        <v>#REF!</v>
      </c>
      <c r="AG61" s="87"/>
      <c r="AH61" s="16"/>
      <c r="AI61" s="16"/>
      <c r="AJ61" s="16"/>
      <c r="AK61" s="16"/>
      <c r="AL61" s="16"/>
      <c r="AM61" s="16"/>
    </row>
    <row r="62" spans="2:39">
      <c r="B62" s="6" t="s">
        <v>25</v>
      </c>
      <c r="C62" s="126"/>
      <c r="D62" s="126"/>
      <c r="E62" s="126"/>
      <c r="F62" s="126"/>
      <c r="G62" s="126"/>
      <c r="H62" s="126"/>
      <c r="I62" s="126"/>
      <c r="J62" s="126"/>
      <c r="K62" s="28"/>
      <c r="L62" s="28"/>
      <c r="M62" s="28"/>
      <c r="N62" s="28"/>
      <c r="O62" s="28"/>
      <c r="P62" s="28"/>
      <c r="Q62" s="84" t="e">
        <f>-SUMIFS(#REF!,#REF!,BS!B62)*$Q$2</f>
        <v>#REF!</v>
      </c>
      <c r="R62" s="84"/>
      <c r="S62" s="84"/>
      <c r="T62" s="84"/>
      <c r="U62" s="84"/>
      <c r="V62" s="84"/>
      <c r="W62" s="84"/>
      <c r="X62" s="86" t="e">
        <f t="shared" si="52"/>
        <v>#REF!</v>
      </c>
      <c r="Y62" s="86">
        <f t="shared" si="52"/>
        <v>0</v>
      </c>
      <c r="Z62" s="86">
        <f t="shared" si="52"/>
        <v>0</v>
      </c>
      <c r="AA62" s="86">
        <f t="shared" si="52"/>
        <v>0</v>
      </c>
      <c r="AB62" s="86">
        <f t="shared" si="52"/>
        <v>0</v>
      </c>
      <c r="AC62" s="86">
        <f t="shared" si="52"/>
        <v>0</v>
      </c>
      <c r="AD62" s="86">
        <f t="shared" si="52"/>
        <v>0</v>
      </c>
      <c r="AE62" s="30"/>
      <c r="AF62" s="87" t="e">
        <f t="shared" si="1"/>
        <v>#REF!</v>
      </c>
      <c r="AG62" s="87"/>
      <c r="AH62" s="16"/>
      <c r="AI62" s="16"/>
      <c r="AJ62" s="16"/>
      <c r="AK62" s="16"/>
      <c r="AL62" s="16"/>
      <c r="AM62" s="16"/>
    </row>
    <row r="63" spans="2:39">
      <c r="B63" s="6" t="s">
        <v>26</v>
      </c>
      <c r="C63" s="224" t="e">
        <f t="shared" ref="C63:D63" si="53">SUM(C64:C65)</f>
        <v>#REF!</v>
      </c>
      <c r="D63" s="224" t="e">
        <f t="shared" si="53"/>
        <v>#REF!</v>
      </c>
      <c r="E63" s="224" t="e">
        <f t="shared" ref="E63:F63" si="54">SUM(E64:E65)</f>
        <v>#REF!</v>
      </c>
      <c r="F63" s="224" t="e">
        <f t="shared" si="54"/>
        <v>#REF!</v>
      </c>
      <c r="G63" s="224" t="e">
        <f t="shared" ref="G63:I63" si="55">SUM(G64:G65)</f>
        <v>#REF!</v>
      </c>
      <c r="H63" s="224" t="e">
        <f t="shared" si="55"/>
        <v>#REF!</v>
      </c>
      <c r="I63" s="224" t="e">
        <f t="shared" si="55"/>
        <v>#REF!</v>
      </c>
      <c r="J63" s="224">
        <f t="shared" ref="J63" si="56">SUM(J64:J65)</f>
        <v>0</v>
      </c>
      <c r="K63" s="42"/>
      <c r="L63" s="44"/>
      <c r="M63" s="44"/>
      <c r="N63" s="44"/>
      <c r="O63" s="44"/>
      <c r="P63" s="44"/>
      <c r="Q63" s="224" t="e">
        <f t="shared" ref="Q63:X63" si="57">SUM(Q64:Q65)</f>
        <v>#REF!</v>
      </c>
      <c r="R63" s="224"/>
      <c r="S63" s="224"/>
      <c r="T63" s="224"/>
      <c r="U63" s="224"/>
      <c r="V63" s="224"/>
      <c r="W63" s="224"/>
      <c r="X63" s="224" t="e">
        <f t="shared" si="57"/>
        <v>#REF!</v>
      </c>
      <c r="Y63" s="224" t="e">
        <f t="shared" ref="Y63:AD63" si="58">SUM(Y64:Y65)</f>
        <v>#REF!</v>
      </c>
      <c r="Z63" s="224" t="e">
        <f t="shared" si="58"/>
        <v>#REF!</v>
      </c>
      <c r="AA63" s="224" t="e">
        <f t="shared" si="58"/>
        <v>#REF!</v>
      </c>
      <c r="AB63" s="224" t="e">
        <f t="shared" si="58"/>
        <v>#REF!</v>
      </c>
      <c r="AC63" s="224" t="e">
        <f t="shared" si="58"/>
        <v>#REF!</v>
      </c>
      <c r="AD63" s="224" t="e">
        <f t="shared" si="58"/>
        <v>#REF!</v>
      </c>
      <c r="AE63" s="225"/>
      <c r="AF63" s="224" t="e">
        <f t="shared" ref="AF63" si="59">SUM(AF64:AF65)</f>
        <v>#REF!</v>
      </c>
      <c r="AG63" s="217"/>
      <c r="AH63" s="16" t="s">
        <v>156</v>
      </c>
      <c r="AI63" s="16"/>
      <c r="AJ63" s="16"/>
      <c r="AK63" s="16"/>
      <c r="AL63" s="16"/>
      <c r="AM63" s="16"/>
    </row>
    <row r="64" spans="2:39">
      <c r="B64" s="24" t="s">
        <v>1614</v>
      </c>
      <c r="C64" s="93" t="e">
        <f>-SUMIFS(#REF!,#REF!,B64)</f>
        <v>#REF!</v>
      </c>
      <c r="D64" s="93" t="e">
        <f>-SUMIFS(#REF!,#REF!,B64)</f>
        <v>#REF!</v>
      </c>
      <c r="E64" s="93" t="e">
        <f>-SUMIFS(#REF!,#REF!,B64)</f>
        <v>#REF!</v>
      </c>
      <c r="F64" s="93" t="e">
        <f>-SUMIFS(#REF!,#REF!,B64)</f>
        <v>#REF!</v>
      </c>
      <c r="G64" s="93" t="e">
        <f>-SUMIFS(#REF!,#REF!,B64)</f>
        <v>#REF!</v>
      </c>
      <c r="H64" s="93" t="e">
        <f>-SUMIFS(#REF!,#REF!,B64)</f>
        <v>#REF!</v>
      </c>
      <c r="I64" s="93" t="e">
        <f>-SUMIFS(#REF!,#REF!,B64)</f>
        <v>#REF!</v>
      </c>
      <c r="J64" s="94">
        <f>-SUMIFS('AGT TB Apr -25'!M:M,'AGT TB Apr -25'!S:S,BS!B64)*$J$2</f>
        <v>0</v>
      </c>
      <c r="K64" s="42"/>
      <c r="L64" s="44"/>
      <c r="M64" s="44"/>
      <c r="N64" s="44"/>
      <c r="O64" s="44"/>
      <c r="P64" s="44"/>
      <c r="Q64" s="84" t="e">
        <f>-SUMIFS(#REF!,#REF!,BS!B64)*$Q$2</f>
        <v>#REF!</v>
      </c>
      <c r="R64" s="84"/>
      <c r="S64" s="84"/>
      <c r="T64" s="84"/>
      <c r="U64" s="84"/>
      <c r="V64" s="84"/>
      <c r="W64" s="84"/>
      <c r="X64" s="86" t="e">
        <f t="shared" ref="X64:AD66" si="60">C64+J64+Q64</f>
        <v>#REF!</v>
      </c>
      <c r="Y64" s="86" t="e">
        <f t="shared" si="60"/>
        <v>#REF!</v>
      </c>
      <c r="Z64" s="86" t="e">
        <f t="shared" si="60"/>
        <v>#REF!</v>
      </c>
      <c r="AA64" s="86" t="e">
        <f t="shared" si="60"/>
        <v>#REF!</v>
      </c>
      <c r="AB64" s="86" t="e">
        <f t="shared" si="60"/>
        <v>#REF!</v>
      </c>
      <c r="AC64" s="86" t="e">
        <f t="shared" si="60"/>
        <v>#REF!</v>
      </c>
      <c r="AD64" s="86" t="e">
        <f t="shared" si="60"/>
        <v>#REF!</v>
      </c>
      <c r="AE64" s="88">
        <f>J64</f>
        <v>0</v>
      </c>
      <c r="AF64" s="87" t="e">
        <f t="shared" si="1"/>
        <v>#REF!</v>
      </c>
      <c r="AG64" s="87"/>
      <c r="AH64" s="16"/>
      <c r="AI64" s="16"/>
      <c r="AJ64" s="16"/>
      <c r="AK64" s="16"/>
      <c r="AL64" s="16"/>
      <c r="AM64" s="16"/>
    </row>
    <row r="65" spans="2:40">
      <c r="B65" s="24" t="s">
        <v>1615</v>
      </c>
      <c r="C65" s="93" t="e">
        <f>-SUMIFS(#REF!,#REF!,B65)</f>
        <v>#REF!</v>
      </c>
      <c r="D65" s="93" t="e">
        <f>-SUMIFS(#REF!,#REF!,B65)</f>
        <v>#REF!</v>
      </c>
      <c r="E65" s="93" t="e">
        <f>-SUMIFS(#REF!,#REF!,B65)</f>
        <v>#REF!</v>
      </c>
      <c r="F65" s="93" t="e">
        <f>-SUMIFS(#REF!,#REF!,B65)</f>
        <v>#REF!</v>
      </c>
      <c r="G65" s="93" t="e">
        <f>-SUMIFS(#REF!,#REF!,B65)</f>
        <v>#REF!</v>
      </c>
      <c r="H65" s="93" t="e">
        <f>-SUMIFS(#REF!,#REF!,B65)</f>
        <v>#REF!</v>
      </c>
      <c r="I65" s="93" t="e">
        <f>-SUMIFS(#REF!,#REF!,B65)</f>
        <v>#REF!</v>
      </c>
      <c r="J65" s="94">
        <f>-SUMIFS('AGT TB Apr -25'!M:M,'AGT TB Apr -25'!S:S,BS!B65)*$J$2</f>
        <v>0</v>
      </c>
      <c r="K65" s="42"/>
      <c r="L65" s="44"/>
      <c r="M65" s="44"/>
      <c r="N65" s="44"/>
      <c r="O65" s="44"/>
      <c r="P65" s="44"/>
      <c r="Q65" s="84" t="e">
        <f>-SUMIFS(#REF!,#REF!,BS!B65)*$Q$2</f>
        <v>#REF!</v>
      </c>
      <c r="R65" s="84"/>
      <c r="S65" s="84"/>
      <c r="T65" s="84"/>
      <c r="U65" s="84"/>
      <c r="V65" s="84"/>
      <c r="W65" s="84"/>
      <c r="X65" s="86" t="e">
        <f t="shared" si="60"/>
        <v>#REF!</v>
      </c>
      <c r="Y65" s="86" t="e">
        <f t="shared" si="60"/>
        <v>#REF!</v>
      </c>
      <c r="Z65" s="86" t="e">
        <f t="shared" si="60"/>
        <v>#REF!</v>
      </c>
      <c r="AA65" s="86" t="e">
        <f t="shared" si="60"/>
        <v>#REF!</v>
      </c>
      <c r="AB65" s="86" t="e">
        <f t="shared" si="60"/>
        <v>#REF!</v>
      </c>
      <c r="AC65" s="86" t="e">
        <f t="shared" si="60"/>
        <v>#REF!</v>
      </c>
      <c r="AD65" s="86" t="e">
        <f t="shared" si="60"/>
        <v>#REF!</v>
      </c>
      <c r="AE65" s="88"/>
      <c r="AF65" s="87" t="e">
        <f t="shared" si="1"/>
        <v>#REF!</v>
      </c>
      <c r="AG65" s="87"/>
      <c r="AH65" s="16"/>
      <c r="AI65" s="16"/>
      <c r="AJ65" s="16"/>
      <c r="AK65" s="16"/>
      <c r="AL65" s="16"/>
      <c r="AM65" s="16"/>
    </row>
    <row r="66" spans="2:40">
      <c r="B66" s="24"/>
      <c r="C66" s="126"/>
      <c r="D66" s="126"/>
      <c r="E66" s="126"/>
      <c r="F66" s="126"/>
      <c r="G66" s="126"/>
      <c r="H66" s="126"/>
      <c r="I66" s="126"/>
      <c r="J66" s="126"/>
      <c r="K66" s="42"/>
      <c r="L66" s="44"/>
      <c r="M66" s="44"/>
      <c r="N66" s="44"/>
      <c r="O66" s="44"/>
      <c r="P66" s="44"/>
      <c r="Q66" s="85"/>
      <c r="R66" s="85"/>
      <c r="S66" s="85"/>
      <c r="T66" s="85"/>
      <c r="U66" s="85"/>
      <c r="V66" s="85"/>
      <c r="W66" s="85"/>
      <c r="X66" s="86">
        <f t="shared" si="60"/>
        <v>0</v>
      </c>
      <c r="Y66" s="86">
        <f t="shared" si="60"/>
        <v>0</v>
      </c>
      <c r="Z66" s="86">
        <f t="shared" si="60"/>
        <v>0</v>
      </c>
      <c r="AA66" s="86">
        <f t="shared" si="60"/>
        <v>0</v>
      </c>
      <c r="AB66" s="86">
        <f t="shared" si="60"/>
        <v>0</v>
      </c>
      <c r="AC66" s="86">
        <f t="shared" si="60"/>
        <v>0</v>
      </c>
      <c r="AD66" s="86">
        <f t="shared" si="60"/>
        <v>0</v>
      </c>
      <c r="AE66" s="88"/>
      <c r="AF66" s="87">
        <f t="shared" si="1"/>
        <v>0</v>
      </c>
      <c r="AG66" s="87"/>
      <c r="AH66" s="16"/>
      <c r="AI66" s="16"/>
      <c r="AJ66" s="16"/>
      <c r="AK66" s="16"/>
      <c r="AL66" s="16"/>
      <c r="AM66" s="16"/>
    </row>
    <row r="67" spans="2:40">
      <c r="B67" s="6" t="s">
        <v>27</v>
      </c>
      <c r="C67" s="224" t="e">
        <f t="shared" ref="C67:D67" si="61">SUM(C68:C71)</f>
        <v>#REF!</v>
      </c>
      <c r="D67" s="224" t="e">
        <f t="shared" si="61"/>
        <v>#REF!</v>
      </c>
      <c r="E67" s="224" t="e">
        <f t="shared" ref="E67:F67" si="62">SUM(E68:E71)</f>
        <v>#REF!</v>
      </c>
      <c r="F67" s="224" t="e">
        <f t="shared" si="62"/>
        <v>#REF!</v>
      </c>
      <c r="G67" s="224" t="e">
        <f t="shared" ref="G67:I67" si="63">SUM(G68:G71)</f>
        <v>#REF!</v>
      </c>
      <c r="H67" s="224" t="e">
        <f t="shared" si="63"/>
        <v>#REF!</v>
      </c>
      <c r="I67" s="224" t="e">
        <f t="shared" si="63"/>
        <v>#REF!</v>
      </c>
      <c r="J67" s="224">
        <f t="shared" ref="J67:P67" si="64">SUM(J68:J71)</f>
        <v>0</v>
      </c>
      <c r="K67" s="44" t="e">
        <f t="shared" si="64"/>
        <v>#REF!</v>
      </c>
      <c r="L67" s="44" t="e">
        <f t="shared" si="64"/>
        <v>#REF!</v>
      </c>
      <c r="M67" s="44" t="e">
        <f t="shared" si="64"/>
        <v>#REF!</v>
      </c>
      <c r="N67" s="44" t="e">
        <f t="shared" si="64"/>
        <v>#REF!</v>
      </c>
      <c r="O67" s="44" t="e">
        <f t="shared" si="64"/>
        <v>#REF!</v>
      </c>
      <c r="P67" s="44" t="e">
        <f t="shared" si="64"/>
        <v>#REF!</v>
      </c>
      <c r="Q67" s="224" t="e">
        <f t="shared" ref="Q67:X67" si="65">SUM(Q68:Q71)</f>
        <v>#REF!</v>
      </c>
      <c r="R67" s="224"/>
      <c r="S67" s="224"/>
      <c r="T67" s="224"/>
      <c r="U67" s="224"/>
      <c r="V67" s="224"/>
      <c r="W67" s="224"/>
      <c r="X67" s="224" t="e">
        <f t="shared" si="65"/>
        <v>#REF!</v>
      </c>
      <c r="Y67" s="224" t="e">
        <f t="shared" ref="Y67:AD67" si="66">SUM(Y68:Y71)</f>
        <v>#REF!</v>
      </c>
      <c r="Z67" s="224" t="e">
        <f t="shared" si="66"/>
        <v>#REF!</v>
      </c>
      <c r="AA67" s="224" t="e">
        <f t="shared" si="66"/>
        <v>#REF!</v>
      </c>
      <c r="AB67" s="224" t="e">
        <f t="shared" si="66"/>
        <v>#REF!</v>
      </c>
      <c r="AC67" s="224" t="e">
        <f t="shared" si="66"/>
        <v>#REF!</v>
      </c>
      <c r="AD67" s="224" t="e">
        <f t="shared" si="66"/>
        <v>#REF!</v>
      </c>
      <c r="AE67" s="225"/>
      <c r="AF67" s="224" t="e">
        <f t="shared" ref="AF67" si="67">SUM(AF68:AF71)</f>
        <v>#REF!</v>
      </c>
      <c r="AG67" s="217"/>
      <c r="AH67" s="72"/>
      <c r="AI67" s="72"/>
      <c r="AJ67" s="72"/>
      <c r="AK67" s="72"/>
      <c r="AL67" s="72"/>
      <c r="AM67" s="72"/>
    </row>
    <row r="68" spans="2:40" outlineLevel="1">
      <c r="B68" s="56" t="s">
        <v>1616</v>
      </c>
      <c r="C68" s="93" t="e">
        <f>-SUMIFS(#REF!,#REF!,B68)</f>
        <v>#REF!</v>
      </c>
      <c r="D68" s="93" t="e">
        <f>-SUMIFS(#REF!,#REF!,B68)</f>
        <v>#REF!</v>
      </c>
      <c r="E68" s="93" t="e">
        <f>-SUMIFS(#REF!,#REF!,B68)</f>
        <v>#REF!</v>
      </c>
      <c r="F68" s="93" t="e">
        <f>-SUMIFS(#REF!,#REF!,B68)</f>
        <v>#REF!</v>
      </c>
      <c r="G68" s="93" t="e">
        <f>-SUMIFS(#REF!,#REF!,B68)</f>
        <v>#REF!</v>
      </c>
      <c r="H68" s="93" t="e">
        <f>-SUMIFS(#REF!,#REF!,B68)</f>
        <v>#REF!</v>
      </c>
      <c r="I68" s="93" t="e">
        <f>-SUMIFS(#REF!,#REF!,B68)</f>
        <v>#REF!</v>
      </c>
      <c r="J68" s="94">
        <f>-SUMIFS('AGT TB Apr -25'!M:M,'AGT TB Apr -25'!S:S,BS!B68)*$J$2</f>
        <v>0</v>
      </c>
      <c r="K68" s="44" t="e">
        <f>PL!#REF!</f>
        <v>#REF!</v>
      </c>
      <c r="L68" s="44" t="e">
        <f>PL!#REF!+K68</f>
        <v>#REF!</v>
      </c>
      <c r="M68" s="44" t="e">
        <f>PL!#REF!+L68</f>
        <v>#REF!</v>
      </c>
      <c r="N68" s="44" t="e">
        <f>PL!#REF!+M68</f>
        <v>#REF!</v>
      </c>
      <c r="O68" s="44" t="e">
        <f>PL!#REF!+N68</f>
        <v>#REF!</v>
      </c>
      <c r="P68" s="44" t="e">
        <f>PL!#REF!+O68</f>
        <v>#REF!</v>
      </c>
      <c r="Q68" s="84" t="e">
        <f>-SUMIFS(#REF!,#REF!,BS!B68)*$Q$2</f>
        <v>#REF!</v>
      </c>
      <c r="R68" s="84"/>
      <c r="S68" s="84"/>
      <c r="T68" s="84"/>
      <c r="U68" s="84"/>
      <c r="V68" s="84"/>
      <c r="W68" s="84"/>
      <c r="X68" s="86" t="e">
        <f t="shared" ref="X68:AD71" si="68">C68+J68+Q68</f>
        <v>#REF!</v>
      </c>
      <c r="Y68" s="86" t="e">
        <f t="shared" si="68"/>
        <v>#REF!</v>
      </c>
      <c r="Z68" s="86" t="e">
        <f t="shared" si="68"/>
        <v>#REF!</v>
      </c>
      <c r="AA68" s="86" t="e">
        <f t="shared" si="68"/>
        <v>#REF!</v>
      </c>
      <c r="AB68" s="86" t="e">
        <f t="shared" si="68"/>
        <v>#REF!</v>
      </c>
      <c r="AC68" s="86" t="e">
        <f t="shared" si="68"/>
        <v>#REF!</v>
      </c>
      <c r="AD68" s="86" t="e">
        <f t="shared" si="68"/>
        <v>#REF!</v>
      </c>
      <c r="AE68" s="87"/>
      <c r="AF68" s="87" t="e">
        <f t="shared" si="1"/>
        <v>#REF!</v>
      </c>
      <c r="AG68" s="87"/>
      <c r="AH68" s="72"/>
      <c r="AI68" s="72"/>
      <c r="AJ68" s="72"/>
      <c r="AK68" s="72"/>
      <c r="AL68" s="72"/>
      <c r="AM68" s="72"/>
      <c r="AN68" s="9" t="e">
        <f>#REF!/#REF!</f>
        <v>#REF!</v>
      </c>
    </row>
    <row r="69" spans="2:40" outlineLevel="1">
      <c r="B69" s="56" t="s">
        <v>1617</v>
      </c>
      <c r="C69" s="208" t="e">
        <f>PL!#REF!</f>
        <v>#REF!</v>
      </c>
      <c r="D69" s="208" t="e">
        <f>PL!#REF!+C69</f>
        <v>#REF!</v>
      </c>
      <c r="E69" s="208" t="e">
        <f>PL!#REF!+D69</f>
        <v>#REF!</v>
      </c>
      <c r="F69" s="208" t="e">
        <f>PL!#REF!+E69</f>
        <v>#REF!</v>
      </c>
      <c r="G69" s="208" t="e">
        <f>PL!#REF!+F69</f>
        <v>#REF!</v>
      </c>
      <c r="H69" s="208" t="e">
        <f>PL!#REF!+G69</f>
        <v>#REF!</v>
      </c>
      <c r="I69" s="208" t="e">
        <f>PL!#REF!+H69</f>
        <v>#REF!</v>
      </c>
      <c r="J69" s="209">
        <f>PL!C171</f>
        <v>0</v>
      </c>
      <c r="K69" s="44"/>
      <c r="L69" s="44"/>
      <c r="M69" s="44"/>
      <c r="N69" s="44"/>
      <c r="O69" s="44"/>
      <c r="P69" s="44"/>
      <c r="Q69" s="210" t="e">
        <f>PL!#REF!</f>
        <v>#REF!</v>
      </c>
      <c r="R69" s="210"/>
      <c r="S69" s="210"/>
      <c r="T69" s="210"/>
      <c r="U69" s="210"/>
      <c r="V69" s="210"/>
      <c r="W69" s="210"/>
      <c r="X69" s="86" t="e">
        <f t="shared" si="68"/>
        <v>#REF!</v>
      </c>
      <c r="Y69" s="86" t="e">
        <f t="shared" si="68"/>
        <v>#REF!</v>
      </c>
      <c r="Z69" s="86" t="e">
        <f t="shared" si="68"/>
        <v>#REF!</v>
      </c>
      <c r="AA69" s="86" t="e">
        <f t="shared" si="68"/>
        <v>#REF!</v>
      </c>
      <c r="AB69" s="86" t="e">
        <f t="shared" si="68"/>
        <v>#REF!</v>
      </c>
      <c r="AC69" s="86" t="e">
        <f t="shared" si="68"/>
        <v>#REF!</v>
      </c>
      <c r="AD69" s="86" t="e">
        <f t="shared" si="68"/>
        <v>#REF!</v>
      </c>
      <c r="AE69" s="87"/>
      <c r="AF69" s="87" t="e">
        <f t="shared" si="1"/>
        <v>#REF!</v>
      </c>
      <c r="AG69" s="87"/>
      <c r="AH69" s="72"/>
      <c r="AI69" s="72"/>
      <c r="AJ69" s="72"/>
      <c r="AK69" s="72"/>
      <c r="AL69" s="72"/>
      <c r="AM69" s="72"/>
      <c r="AN69" s="9"/>
    </row>
    <row r="70" spans="2:40" outlineLevel="1">
      <c r="B70" s="56" t="s">
        <v>1166</v>
      </c>
      <c r="C70" s="93" t="e">
        <f>-SUMIFS(#REF!,#REF!,B70)</f>
        <v>#REF!</v>
      </c>
      <c r="D70" s="93" t="e">
        <f>-SUMIFS(#REF!,#REF!,B70)</f>
        <v>#REF!</v>
      </c>
      <c r="E70" s="93" t="e">
        <f>-SUMIFS(#REF!,#REF!,B70)</f>
        <v>#REF!</v>
      </c>
      <c r="F70" s="93" t="e">
        <f>-SUMIFS(#REF!,#REF!,B70)</f>
        <v>#REF!</v>
      </c>
      <c r="G70" s="93" t="e">
        <f>-SUMIFS(#REF!,#REF!,B70)</f>
        <v>#REF!</v>
      </c>
      <c r="H70" s="93" t="e">
        <f>-SUMIFS(#REF!,#REF!,B70)</f>
        <v>#REF!</v>
      </c>
      <c r="I70" s="93" t="e">
        <f>-SUMIFS(#REF!,#REF!,B70)</f>
        <v>#REF!</v>
      </c>
      <c r="J70" s="94">
        <f>-SUMIFS('AGT TB Apr -25'!M:M,'AGT TB Apr -25'!S:S,BS!B70)*$J$2</f>
        <v>0</v>
      </c>
      <c r="K70" s="44"/>
      <c r="L70" s="44"/>
      <c r="M70" s="44"/>
      <c r="N70" s="44"/>
      <c r="O70" s="44"/>
      <c r="P70" s="44"/>
      <c r="Q70" s="84" t="e">
        <f>-SUMIFS(#REF!,#REF!,BS!B70)*$Q$2</f>
        <v>#REF!</v>
      </c>
      <c r="R70" s="84"/>
      <c r="S70" s="84"/>
      <c r="T70" s="84"/>
      <c r="U70" s="84"/>
      <c r="V70" s="84"/>
      <c r="W70" s="84"/>
      <c r="X70" s="86" t="e">
        <f t="shared" si="68"/>
        <v>#REF!</v>
      </c>
      <c r="Y70" s="86" t="e">
        <f t="shared" si="68"/>
        <v>#REF!</v>
      </c>
      <c r="Z70" s="86" t="e">
        <f t="shared" si="68"/>
        <v>#REF!</v>
      </c>
      <c r="AA70" s="86" t="e">
        <f t="shared" si="68"/>
        <v>#REF!</v>
      </c>
      <c r="AB70" s="86" t="e">
        <f t="shared" si="68"/>
        <v>#REF!</v>
      </c>
      <c r="AC70" s="86" t="e">
        <f t="shared" si="68"/>
        <v>#REF!</v>
      </c>
      <c r="AD70" s="86" t="e">
        <f t="shared" si="68"/>
        <v>#REF!</v>
      </c>
      <c r="AE70" s="87"/>
      <c r="AF70" s="87" t="e">
        <f t="shared" si="1"/>
        <v>#REF!</v>
      </c>
      <c r="AG70" s="87"/>
      <c r="AH70" s="72"/>
      <c r="AI70" s="72"/>
      <c r="AJ70" s="72"/>
      <c r="AK70" s="72"/>
      <c r="AL70" s="72"/>
      <c r="AM70" s="72"/>
      <c r="AN70" s="9"/>
    </row>
    <row r="71" spans="2:40" outlineLevel="1">
      <c r="B71" s="56" t="s">
        <v>317</v>
      </c>
      <c r="C71" s="93" t="e">
        <f>-SUMIFS(#REF!,#REF!,B71)</f>
        <v>#REF!</v>
      </c>
      <c r="D71" s="93" t="e">
        <f>-SUMIFS(#REF!,#REF!,B71)</f>
        <v>#REF!</v>
      </c>
      <c r="E71" s="93" t="e">
        <f>-SUMIFS(#REF!,#REF!,B71)</f>
        <v>#REF!</v>
      </c>
      <c r="F71" s="93" t="e">
        <f>-SUMIFS(#REF!,#REF!,B71)</f>
        <v>#REF!</v>
      </c>
      <c r="G71" s="93" t="e">
        <f>-SUMIFS(#REF!,#REF!,B71)</f>
        <v>#REF!</v>
      </c>
      <c r="H71" s="93" t="e">
        <f>-SUMIFS(#REF!,#REF!,B71)</f>
        <v>#REF!</v>
      </c>
      <c r="I71" s="93" t="e">
        <f>-SUMIFS(#REF!,#REF!,B71)</f>
        <v>#REF!</v>
      </c>
      <c r="J71" s="94">
        <f>-SUMIFS('AGT TB Apr -25'!M:M,'AGT TB Apr -25'!S:S,BS!B71)*$J$2</f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84" t="e">
        <f>-SUMIFS(#REF!,#REF!,BS!B71)*$Q$2</f>
        <v>#REF!</v>
      </c>
      <c r="R71" s="84"/>
      <c r="S71" s="84"/>
      <c r="T71" s="84"/>
      <c r="U71" s="84"/>
      <c r="V71" s="84"/>
      <c r="W71" s="84"/>
      <c r="X71" s="86" t="e">
        <f t="shared" si="68"/>
        <v>#REF!</v>
      </c>
      <c r="Y71" s="86" t="e">
        <f t="shared" si="68"/>
        <v>#REF!</v>
      </c>
      <c r="Z71" s="86" t="e">
        <f t="shared" si="68"/>
        <v>#REF!</v>
      </c>
      <c r="AA71" s="86" t="e">
        <f t="shared" si="68"/>
        <v>#REF!</v>
      </c>
      <c r="AB71" s="86" t="e">
        <f t="shared" si="68"/>
        <v>#REF!</v>
      </c>
      <c r="AC71" s="86" t="e">
        <f t="shared" si="68"/>
        <v>#REF!</v>
      </c>
      <c r="AD71" s="86" t="e">
        <f t="shared" si="68"/>
        <v>#REF!</v>
      </c>
      <c r="AE71" s="87"/>
      <c r="AF71" s="87" t="e">
        <f t="shared" si="1"/>
        <v>#REF!</v>
      </c>
      <c r="AG71" s="87"/>
      <c r="AH71" s="16"/>
      <c r="AI71" s="16"/>
      <c r="AJ71" s="16"/>
      <c r="AK71" s="16"/>
      <c r="AL71" s="16"/>
      <c r="AM71" s="16"/>
    </row>
    <row r="72" spans="2:40" ht="14.4" thickBot="1">
      <c r="B72" s="211" t="s">
        <v>28</v>
      </c>
      <c r="C72" s="213" t="e">
        <f t="shared" ref="C72:D72" si="69">C67+C63</f>
        <v>#REF!</v>
      </c>
      <c r="D72" s="213" t="e">
        <f t="shared" si="69"/>
        <v>#REF!</v>
      </c>
      <c r="E72" s="213" t="e">
        <f t="shared" ref="E72:F72" si="70">E67+E63</f>
        <v>#REF!</v>
      </c>
      <c r="F72" s="213" t="e">
        <f t="shared" si="70"/>
        <v>#REF!</v>
      </c>
      <c r="G72" s="213" t="e">
        <f t="shared" ref="G72:I72" si="71">G67+G63</f>
        <v>#REF!</v>
      </c>
      <c r="H72" s="213" t="e">
        <f t="shared" si="71"/>
        <v>#REF!</v>
      </c>
      <c r="I72" s="213" t="e">
        <f t="shared" si="71"/>
        <v>#REF!</v>
      </c>
      <c r="J72" s="213">
        <f t="shared" ref="J72" si="72">J67+J63</f>
        <v>0</v>
      </c>
      <c r="K72" s="212" t="e">
        <f>SUM(K63:K67)</f>
        <v>#REF!</v>
      </c>
      <c r="L72" s="212" t="e">
        <f>SUM(L63:L67)</f>
        <v>#REF!</v>
      </c>
      <c r="M72" s="212" t="e">
        <f>SUM(M63:M67)</f>
        <v>#REF!</v>
      </c>
      <c r="N72" s="212" t="e">
        <f t="shared" ref="N72:P72" si="73">SUM(N63:N67)</f>
        <v>#REF!</v>
      </c>
      <c r="O72" s="212" t="e">
        <f t="shared" si="73"/>
        <v>#REF!</v>
      </c>
      <c r="P72" s="212" t="e">
        <f t="shared" si="73"/>
        <v>#REF!</v>
      </c>
      <c r="Q72" s="213" t="e">
        <f t="shared" ref="Q72:X72" si="74">Q67+Q63</f>
        <v>#REF!</v>
      </c>
      <c r="R72" s="213"/>
      <c r="S72" s="213"/>
      <c r="T72" s="213"/>
      <c r="U72" s="213"/>
      <c r="V72" s="213"/>
      <c r="W72" s="213"/>
      <c r="X72" s="213" t="e">
        <f t="shared" si="74"/>
        <v>#REF!</v>
      </c>
      <c r="Y72" s="213" t="e">
        <f t="shared" ref="Y72:AD72" si="75">Y67+Y63</f>
        <v>#REF!</v>
      </c>
      <c r="Z72" s="213" t="e">
        <f t="shared" si="75"/>
        <v>#REF!</v>
      </c>
      <c r="AA72" s="213" t="e">
        <f t="shared" si="75"/>
        <v>#REF!</v>
      </c>
      <c r="AB72" s="213" t="e">
        <f t="shared" si="75"/>
        <v>#REF!</v>
      </c>
      <c r="AC72" s="213" t="e">
        <f t="shared" si="75"/>
        <v>#REF!</v>
      </c>
      <c r="AD72" s="213" t="e">
        <f t="shared" si="75"/>
        <v>#REF!</v>
      </c>
      <c r="AE72" s="13" t="e">
        <f>SUM(AE37:AE71)</f>
        <v>#REF!</v>
      </c>
      <c r="AF72" s="87" t="e">
        <f t="shared" si="1"/>
        <v>#REF!</v>
      </c>
      <c r="AG72" s="87"/>
      <c r="AH72" s="91"/>
      <c r="AI72" s="137"/>
      <c r="AJ72" s="137"/>
      <c r="AK72" s="137"/>
      <c r="AL72" s="137"/>
      <c r="AM72" s="137"/>
    </row>
    <row r="73" spans="2:40" ht="15" outlineLevel="1" thickTop="1">
      <c r="B73" s="226" t="s">
        <v>1629</v>
      </c>
      <c r="C73" s="184" t="e">
        <f t="shared" ref="C73:I73" si="76">C37+SUM(C42:C54)+C72</f>
        <v>#REF!</v>
      </c>
      <c r="D73" s="184" t="e">
        <f t="shared" si="76"/>
        <v>#REF!</v>
      </c>
      <c r="E73" s="184" t="e">
        <f t="shared" si="76"/>
        <v>#REF!</v>
      </c>
      <c r="F73" s="184" t="e">
        <f t="shared" si="76"/>
        <v>#REF!</v>
      </c>
      <c r="G73" s="184" t="e">
        <f t="shared" si="76"/>
        <v>#REF!</v>
      </c>
      <c r="H73" s="184" t="e">
        <f t="shared" si="76"/>
        <v>#REF!</v>
      </c>
      <c r="I73" s="184" t="e">
        <f t="shared" si="76"/>
        <v>#REF!</v>
      </c>
      <c r="J73" s="184">
        <f>J37+SUM(J42:J54)+J72</f>
        <v>0</v>
      </c>
      <c r="Q73" s="184" t="e">
        <f>Q37+SUM(Q42:Q54)+Q72</f>
        <v>#REF!</v>
      </c>
      <c r="R73" s="184"/>
      <c r="S73" s="184"/>
      <c r="T73" s="184"/>
      <c r="U73" s="184"/>
      <c r="V73" s="184"/>
      <c r="W73" s="184"/>
      <c r="X73" s="184" t="e">
        <f>X37+SUM(X42:X54)+X72</f>
        <v>#REF!</v>
      </c>
      <c r="Y73" s="184" t="e">
        <f t="shared" ref="Y73:AD73" si="77">Y37+SUM(Y42:Y54)+Y72</f>
        <v>#REF!</v>
      </c>
      <c r="Z73" s="184" t="e">
        <f t="shared" si="77"/>
        <v>#REF!</v>
      </c>
      <c r="AA73" s="184" t="e">
        <f t="shared" si="77"/>
        <v>#REF!</v>
      </c>
      <c r="AB73" s="184" t="e">
        <f t="shared" si="77"/>
        <v>#REF!</v>
      </c>
      <c r="AC73" s="184" t="e">
        <f t="shared" si="77"/>
        <v>#REF!</v>
      </c>
      <c r="AD73" s="184" t="e">
        <f t="shared" si="77"/>
        <v>#REF!</v>
      </c>
      <c r="AE73" s="87" t="e">
        <f>AE35-AE72</f>
        <v>#REF!</v>
      </c>
      <c r="AF73" s="184" t="e">
        <f>AF37+SUM(AF42:AF54)+AF72</f>
        <v>#REF!</v>
      </c>
      <c r="AG73" s="184"/>
    </row>
    <row r="74" spans="2:40" s="231" customFormat="1" ht="15" outlineLevel="1" thickBot="1">
      <c r="B74" s="227" t="s">
        <v>150</v>
      </c>
      <c r="C74" s="82" t="e">
        <f t="shared" ref="C74:D74" si="78">C35-C73</f>
        <v>#REF!</v>
      </c>
      <c r="D74" s="82" t="e">
        <f t="shared" si="78"/>
        <v>#REF!</v>
      </c>
      <c r="E74" s="82" t="e">
        <f t="shared" ref="E74:F74" si="79">E35-E73</f>
        <v>#REF!</v>
      </c>
      <c r="F74" s="82" t="e">
        <f t="shared" si="79"/>
        <v>#REF!</v>
      </c>
      <c r="G74" s="82" t="e">
        <f t="shared" ref="G74:I74" si="80">G35-G73</f>
        <v>#REF!</v>
      </c>
      <c r="H74" s="82" t="e">
        <f t="shared" si="80"/>
        <v>#REF!</v>
      </c>
      <c r="I74" s="82" t="e">
        <f t="shared" si="80"/>
        <v>#REF!</v>
      </c>
      <c r="J74" s="82">
        <f t="shared" ref="J74" si="81">J35-J73</f>
        <v>0</v>
      </c>
      <c r="K74" s="228"/>
      <c r="L74" s="228"/>
      <c r="M74" s="228"/>
      <c r="N74" s="228"/>
      <c r="O74" s="228"/>
      <c r="P74" s="228"/>
      <c r="Q74" s="82" t="e">
        <f t="shared" ref="Q74:X74" si="82">Q35-Q73</f>
        <v>#REF!</v>
      </c>
      <c r="R74" s="82"/>
      <c r="S74" s="82"/>
      <c r="T74" s="82"/>
      <c r="U74" s="82"/>
      <c r="V74" s="82"/>
      <c r="W74" s="82"/>
      <c r="X74" s="82" t="e">
        <f t="shared" si="82"/>
        <v>#REF!</v>
      </c>
      <c r="Y74" s="82" t="e">
        <f t="shared" ref="Y74:AD74" si="83">Y35-Y73</f>
        <v>#REF!</v>
      </c>
      <c r="Z74" s="82" t="e">
        <f t="shared" si="83"/>
        <v>#REF!</v>
      </c>
      <c r="AA74" s="82" t="e">
        <f t="shared" si="83"/>
        <v>#REF!</v>
      </c>
      <c r="AB74" s="82" t="e">
        <f t="shared" si="83"/>
        <v>#REF!</v>
      </c>
      <c r="AC74" s="82" t="e">
        <f t="shared" si="83"/>
        <v>#REF!</v>
      </c>
      <c r="AD74" s="82" t="e">
        <f t="shared" si="83"/>
        <v>#REF!</v>
      </c>
      <c r="AE74" s="229"/>
      <c r="AF74" s="82" t="e">
        <f t="shared" ref="AF74" si="84">AF35-AF73</f>
        <v>#REF!</v>
      </c>
      <c r="AG74" s="82"/>
      <c r="AH74" s="230"/>
      <c r="AI74" s="230"/>
      <c r="AJ74" s="230"/>
      <c r="AK74" s="230"/>
      <c r="AL74" s="230"/>
      <c r="AM74" s="230"/>
    </row>
    <row r="75" spans="2:40" ht="15" outlineLevel="1" thickTop="1">
      <c r="B75" s="183"/>
      <c r="C75" s="184"/>
      <c r="J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87"/>
      <c r="AF75" s="87"/>
      <c r="AG75" s="87"/>
    </row>
    <row r="76" spans="2:40" ht="14.4" outlineLevel="1">
      <c r="B76" s="183"/>
      <c r="C76" s="184"/>
      <c r="J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87"/>
      <c r="AF76" s="87"/>
      <c r="AG76" s="87"/>
    </row>
    <row r="77" spans="2:40" ht="14.4" outlineLevel="1">
      <c r="B77" s="183"/>
      <c r="C77" s="184"/>
      <c r="J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87"/>
      <c r="AF77" s="87"/>
      <c r="AG77" s="87"/>
    </row>
    <row r="78" spans="2:40" outlineLevel="1">
      <c r="B78" s="5" t="s">
        <v>318</v>
      </c>
      <c r="X78" s="46" t="e">
        <f>#REF!+#REF!+#REF!+#REF!+#REF!</f>
        <v>#REF!</v>
      </c>
    </row>
    <row r="79" spans="2:40" outlineLevel="1">
      <c r="B79" s="5" t="s">
        <v>316</v>
      </c>
      <c r="X79" s="46" t="e">
        <f>PL!#REF!+PL!#REF!+PL!#REF!+PL!#REF!+PL!#REF!+PL!#REF!+PL!#REF!+PL!#REF!+PL!#REF!+PL!#REF!+PL!#REF!-13800-24040+5707500+X69+X70</f>
        <v>#REF!</v>
      </c>
      <c r="AH79" s="60"/>
      <c r="AI79" s="61"/>
      <c r="AJ79" s="61"/>
      <c r="AK79" s="61"/>
      <c r="AL79" s="61"/>
      <c r="AM79" s="61"/>
    </row>
    <row r="80" spans="2:40" outlineLevel="1">
      <c r="B80" s="5" t="s">
        <v>319</v>
      </c>
      <c r="X80" s="46" t="e">
        <f>SUM(X78:X79)-X72</f>
        <v>#REF!</v>
      </c>
      <c r="AH80" s="152"/>
      <c r="AI80" s="152"/>
      <c r="AJ80" s="152"/>
      <c r="AK80" s="152"/>
      <c r="AL80" s="152"/>
      <c r="AM80" s="152"/>
    </row>
    <row r="81" spans="2:33" outlineLevel="1">
      <c r="B81" s="33" t="s">
        <v>725</v>
      </c>
      <c r="C81" s="83"/>
      <c r="D81" s="83"/>
      <c r="E81" s="83"/>
      <c r="F81" s="83"/>
      <c r="G81" s="83"/>
      <c r="H81" s="83"/>
      <c r="I81" s="83"/>
      <c r="J81" s="206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 t="e">
        <f>X79-X6</f>
        <v>#REF!</v>
      </c>
      <c r="Y81" s="191"/>
      <c r="Z81" s="191"/>
      <c r="AA81" s="191"/>
      <c r="AB81" s="191"/>
      <c r="AC81" s="191"/>
      <c r="AD81" s="191"/>
      <c r="AE81" s="191"/>
      <c r="AF81" s="191"/>
      <c r="AG81" s="191"/>
    </row>
    <row r="82" spans="2:33">
      <c r="B82" s="5" t="s">
        <v>726</v>
      </c>
    </row>
    <row r="83" spans="2:33">
      <c r="B83" s="153" t="s">
        <v>629</v>
      </c>
      <c r="X83" s="46" t="e">
        <f>SUMIFS(#REF!,#REF!,BS!B83)</f>
        <v>#REF!</v>
      </c>
    </row>
    <row r="84" spans="2:33">
      <c r="B84" s="153" t="s">
        <v>567</v>
      </c>
      <c r="X84" s="46" t="e">
        <f>SUMIFS(#REF!,#REF!,BS!B84)</f>
        <v>#REF!</v>
      </c>
    </row>
    <row r="85" spans="2:33">
      <c r="B85" s="153" t="s">
        <v>299</v>
      </c>
      <c r="X85" s="46" t="e">
        <f>SUMIFS(#REF!,#REF!,BS!B85)</f>
        <v>#REF!</v>
      </c>
    </row>
    <row r="86" spans="2:33">
      <c r="B86" s="153" t="s">
        <v>135</v>
      </c>
      <c r="X86" s="46">
        <v>8676237.9800000004</v>
      </c>
    </row>
    <row r="87" spans="2:33">
      <c r="B87" s="153" t="s">
        <v>720</v>
      </c>
      <c r="X87" s="46" t="e">
        <f>#REF!</f>
        <v>#REF!</v>
      </c>
    </row>
    <row r="88" spans="2:33">
      <c r="B88" s="153" t="s">
        <v>270</v>
      </c>
      <c r="X88" s="46" t="e">
        <f>SUMIFS(#REF!,#REF!,BS!B88)</f>
        <v>#REF!</v>
      </c>
    </row>
    <row r="89" spans="2:33">
      <c r="B89" s="153" t="s">
        <v>231</v>
      </c>
      <c r="X89" s="46" t="e">
        <f>SUMIFS(#REF!,#REF!,BS!B89)</f>
        <v>#REF!</v>
      </c>
    </row>
    <row r="90" spans="2:33">
      <c r="B90" s="153" t="s">
        <v>1195</v>
      </c>
      <c r="X90" s="46" t="e">
        <f>-#REF!</f>
        <v>#REF!</v>
      </c>
    </row>
    <row r="91" spans="2:33">
      <c r="B91" s="153"/>
    </row>
    <row r="92" spans="2:33" ht="14.4" thickBot="1">
      <c r="B92" s="65" t="s">
        <v>727</v>
      </c>
      <c r="C92" s="82"/>
      <c r="D92" s="82"/>
      <c r="E92" s="82"/>
      <c r="F92" s="82"/>
      <c r="G92" s="82"/>
      <c r="H92" s="82"/>
      <c r="I92" s="82"/>
      <c r="J92" s="207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 t="e">
        <f>X81-SUM(X83:X91)</f>
        <v>#REF!</v>
      </c>
      <c r="Y92" s="191"/>
      <c r="Z92" s="191"/>
      <c r="AA92" s="191"/>
      <c r="AB92" s="191"/>
      <c r="AC92" s="191"/>
      <c r="AD92" s="191"/>
      <c r="AE92" s="191"/>
      <c r="AF92" s="191"/>
      <c r="AG92" s="191"/>
    </row>
    <row r="93" spans="2:33" ht="14.4" thickTop="1">
      <c r="H93" s="46" t="e">
        <f>H68/22.83</f>
        <v>#REF!</v>
      </c>
      <c r="I93" s="46" t="e">
        <f>I68/22.83</f>
        <v>#REF!</v>
      </c>
    </row>
    <row r="94" spans="2:33">
      <c r="I94" s="46" t="e">
        <f>(I93-$H$93)</f>
        <v>#REF!</v>
      </c>
    </row>
    <row r="95" spans="2:33">
      <c r="I95" s="46">
        <v>24074.880000000001</v>
      </c>
    </row>
    <row r="522" spans="8:8">
      <c r="H522" s="46">
        <f>SUM(H463:H521)</f>
        <v>0</v>
      </c>
    </row>
  </sheetData>
  <autoFilter ref="B4:AF74" xr:uid="{00000000-0001-0000-1A00-000000000000}"/>
  <hyperlinks>
    <hyperlink ref="AH2" r:id="rId1" location="/reports/customerbalancesummarydetail?is_from_summary_report=true&amp;rule=%7B%22columns%22%3A%5B%7B%22index%22%3A1%2C%22field%22%3A%22customer_id%22%2C%22group%22%3A%22report%22%2C%22comparator%22%3A%22equal%22%2C%22value%22%3A%221154402000001872089%22%7D%5D%2C%22criteria_string%22%3A%221%22%7D&amp;show_by=closing_balance&amp;to_date=2025-04-30" display="https://books.zoho.in/app - /reports/customerbalancesummarydetail?is_from_summary_report=true&amp;rule=%7B%22columns%22%3A%5B%7B%22index%22%3A1%2C%22field%22%3A%22customer_id%22%2C%22group%22%3A%22report%22%2C%22comparator%22%3A%22equal%22%2C%22value%22%3A%221154402000001872089%22%7D%5D%2C%22criteria_string%22%3A%221%22%7D&amp;show_by=closing_balance&amp;to_date=2025-04-30" xr:uid="{A4E9DBFF-A68A-4EB1-830A-356201916BF8}"/>
    <hyperlink ref="AH1" r:id="rId2" location="/reports/customerbalancesummarydetail?is_from_summary_report=true&amp;rule=%7B%22columns%22%3A%5B%7B%22index%22%3A1%2C%22field%22%3A%22customer_id%22%2C%22group%22%3A%22report%22%2C%22comparator%22%3A%22equal%22%2C%22value%22%3A%221154402000000176467%22%7D%5D%2C%22criteria_string%22%3A%221%22%7D&amp;show_by=closing_balance&amp;to_date=2025-04-30" display="https://books.zoho.in/app - /reports/customerbalancesummarydetail?is_from_summary_report=true&amp;rule=%7B%22columns%22%3A%5B%7B%22index%22%3A1%2C%22field%22%3A%22customer_id%22%2C%22group%22%3A%22report%22%2C%22comparator%22%3A%22equal%22%2C%22value%22%3A%221154402000000176467%22%7D%5D%2C%22criteria_string%22%3A%221%22%7D&amp;show_by=closing_balance&amp;to_date=2025-04-30" xr:uid="{02121AFC-5C7B-4A9B-A221-998737351AA2}"/>
  </hyperlinks>
  <pageMargins left="0.7" right="0.7" top="0.75" bottom="0.75" header="0.3" footer="0.3"/>
  <pageSetup orientation="portrait" r:id="rId3"/>
  <ignoredErrors>
    <ignoredError sqref="AH7 N72 N61:N62 K11:L11 H78:H79 H1:H2 K72:L72 P72 K61:L62 H94:H521 H81:H82 K41:P41 H523:H1048576 N11 P54 K46:P46 K50:L51 N50:N51 P61:P62 P50:P51 N8:N9 K8:L9 K43:P44" formula="1"/>
  </ignoredErrors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AEDB-7630-4B5F-B27D-13E0DDBEF8FB}">
  <sheetPr codeName="Sheet161"/>
  <dimension ref="A1:N1048570"/>
  <sheetViews>
    <sheetView showGridLines="0" zoomScale="78" workbookViewId="0">
      <pane ySplit="1" topLeftCell="A87" activePane="bottomLeft" state="frozen"/>
      <selection activeCell="FJ92" sqref="FJ92"/>
      <selection pane="bottomLeft" activeCell="A2394" sqref="A2394"/>
    </sheetView>
  </sheetViews>
  <sheetFormatPr defaultColWidth="8.6640625" defaultRowHeight="14.4"/>
  <cols>
    <col min="1" max="1" width="32.6640625" style="53" customWidth="1"/>
    <col min="2" max="2" width="27.88671875" style="53" bestFit="1" customWidth="1"/>
    <col min="3" max="3" width="42.88671875" style="53" customWidth="1"/>
    <col min="4" max="4" width="12.5546875" style="53" customWidth="1"/>
    <col min="5" max="5" width="7.88671875" style="53" bestFit="1" customWidth="1"/>
    <col min="6" max="6" width="23.88671875" style="53" customWidth="1"/>
    <col min="7" max="7" width="51.5546875" style="53" bestFit="1" customWidth="1"/>
    <col min="8" max="8" width="11.44140625" style="53" bestFit="1" customWidth="1"/>
    <col min="9" max="16384" width="8.6640625" style="53"/>
  </cols>
  <sheetData>
    <row r="1" spans="1:7">
      <c r="A1" s="36" t="s">
        <v>1833</v>
      </c>
      <c r="B1" s="36" t="s">
        <v>918</v>
      </c>
      <c r="C1" s="36" t="s">
        <v>919</v>
      </c>
      <c r="D1" s="36" t="s">
        <v>951</v>
      </c>
      <c r="E1" s="36" t="s">
        <v>785</v>
      </c>
      <c r="F1" s="36" t="s">
        <v>57</v>
      </c>
      <c r="G1" s="36" t="s">
        <v>243</v>
      </c>
    </row>
    <row r="2" spans="1:7" hidden="1">
      <c r="A2" s="36" t="s">
        <v>416</v>
      </c>
      <c r="B2" s="36" t="s">
        <v>314</v>
      </c>
      <c r="C2" s="36" t="str">
        <f>_xlfn.CONCAT(Table4[[#This Row],[Ledger Name]],Table4[[#This Row],[Entity Name]])</f>
        <v>AssetsExpora</v>
      </c>
      <c r="D2" s="36" t="s">
        <v>952</v>
      </c>
      <c r="E2" s="49">
        <v>0</v>
      </c>
      <c r="F2" s="49">
        <v>0</v>
      </c>
      <c r="G2" s="101">
        <v>0</v>
      </c>
    </row>
    <row r="3" spans="1:7" hidden="1">
      <c r="A3" s="36" t="s">
        <v>415</v>
      </c>
      <c r="B3" s="36" t="s">
        <v>314</v>
      </c>
      <c r="C3" s="36" t="str">
        <f>_xlfn.CONCAT(Table4[[#This Row],[Ledger Name]],Table4[[#This Row],[Entity Name]])</f>
        <v>AccountExpora</v>
      </c>
      <c r="D3" s="36" t="s">
        <v>952</v>
      </c>
      <c r="E3" s="49">
        <v>0</v>
      </c>
      <c r="F3" s="49">
        <v>0</v>
      </c>
      <c r="G3" s="101">
        <v>0</v>
      </c>
    </row>
    <row r="4" spans="1:7" hidden="1">
      <c r="A4" s="36" t="s">
        <v>451</v>
      </c>
      <c r="B4" s="36" t="s">
        <v>314</v>
      </c>
      <c r="C4" s="36" t="str">
        <f>_xlfn.CONCAT(Table4[[#This Row],[Ledger Name]],Table4[[#This Row],[Entity Name]])</f>
        <v>Accounts ReceivableExpora</v>
      </c>
      <c r="D4" s="36" t="s">
        <v>936</v>
      </c>
      <c r="E4" s="49" t="s">
        <v>746</v>
      </c>
      <c r="F4" s="49" t="s">
        <v>112</v>
      </c>
      <c r="G4" s="101" t="s">
        <v>112</v>
      </c>
    </row>
    <row r="5" spans="1:7" hidden="1">
      <c r="A5" s="36" t="s">
        <v>452</v>
      </c>
      <c r="B5" s="36" t="s">
        <v>314</v>
      </c>
      <c r="C5" s="36" t="str">
        <f>_xlfn.CONCAT(Table4[[#This Row],[Ledger Name]],Table4[[#This Row],[Entity Name]])</f>
        <v>Advance TDS (FY21-22)Expora</v>
      </c>
      <c r="D5" s="36" t="s">
        <v>936</v>
      </c>
      <c r="E5" s="49" t="s">
        <v>746</v>
      </c>
      <c r="F5" s="49" t="s">
        <v>52</v>
      </c>
      <c r="G5" s="24" t="s">
        <v>1601</v>
      </c>
    </row>
    <row r="6" spans="1:7" hidden="1">
      <c r="A6" s="36" t="s">
        <v>658</v>
      </c>
      <c r="B6" s="36" t="s">
        <v>314</v>
      </c>
      <c r="C6" s="36" t="str">
        <f>_xlfn.CONCAT(Table4[[#This Row],[Ledger Name]],Table4[[#This Row],[Entity Name]])</f>
        <v>Advance to VendorExpora</v>
      </c>
      <c r="D6" s="36" t="s">
        <v>936</v>
      </c>
      <c r="E6" s="49" t="s">
        <v>746</v>
      </c>
      <c r="F6" s="49" t="s">
        <v>52</v>
      </c>
      <c r="G6" s="24" t="s">
        <v>658</v>
      </c>
    </row>
    <row r="7" spans="1:7" hidden="1">
      <c r="A7" s="36" t="s">
        <v>410</v>
      </c>
      <c r="B7" s="36" t="s">
        <v>314</v>
      </c>
      <c r="C7" s="36" t="str">
        <f>_xlfn.CONCAT(Table4[[#This Row],[Ledger Name]],Table4[[#This Row],[Entity Name]])</f>
        <v>ASPIRARCH MARKET PLATFORMS PRIVATE LIMITED - AXIS BANKExpora</v>
      </c>
      <c r="D7" s="36" t="s">
        <v>936</v>
      </c>
      <c r="E7" s="49" t="s">
        <v>746</v>
      </c>
      <c r="F7" s="49" t="s">
        <v>24</v>
      </c>
      <c r="G7" s="24" t="s">
        <v>1613</v>
      </c>
    </row>
    <row r="8" spans="1:7" hidden="1">
      <c r="A8" s="36" t="s">
        <v>444</v>
      </c>
      <c r="B8" s="36" t="s">
        <v>314</v>
      </c>
      <c r="C8" s="36" t="str">
        <f>_xlfn.CONCAT(Table4[[#This Row],[Ledger Name]],Table4[[#This Row],[Entity Name]])</f>
        <v>ASPIRARCH MARKET PLATFORMS PVT LTD - CANARA BANKExpora</v>
      </c>
      <c r="D8" s="36" t="s">
        <v>936</v>
      </c>
      <c r="E8" s="49" t="s">
        <v>746</v>
      </c>
      <c r="F8" s="49" t="s">
        <v>24</v>
      </c>
      <c r="G8" s="24" t="s">
        <v>1613</v>
      </c>
    </row>
    <row r="9" spans="1:7" hidden="1">
      <c r="A9" s="36" t="s">
        <v>390</v>
      </c>
      <c r="B9" s="36" t="s">
        <v>314</v>
      </c>
      <c r="C9" s="36" t="str">
        <f>_xlfn.CONCAT(Table4[[#This Row],[Ledger Name]],Table4[[#This Row],[Entity Name]])</f>
        <v>ASPIRARCH MARKET PLATFORMS PVT LTD- OD ACCOUNT CANARAExpora</v>
      </c>
      <c r="D9" s="36" t="s">
        <v>936</v>
      </c>
      <c r="E9" s="49" t="s">
        <v>746</v>
      </c>
      <c r="F9" s="49" t="s">
        <v>345</v>
      </c>
      <c r="G9" s="24" t="s">
        <v>1749</v>
      </c>
    </row>
    <row r="10" spans="1:7" hidden="1">
      <c r="A10" s="36" t="s">
        <v>811</v>
      </c>
      <c r="B10" s="36" t="s">
        <v>314</v>
      </c>
      <c r="C10" s="36" t="str">
        <f>_xlfn.CONCAT(Table4[[#This Row],[Ledger Name]],Table4[[#This Row],[Entity Name]])</f>
        <v>AXIS BANK CC ODExpora</v>
      </c>
      <c r="D10" s="36" t="s">
        <v>936</v>
      </c>
      <c r="E10" s="49" t="s">
        <v>746</v>
      </c>
      <c r="F10" s="49" t="s">
        <v>345</v>
      </c>
      <c r="G10" s="24" t="s">
        <v>1749</v>
      </c>
    </row>
    <row r="11" spans="1:7" hidden="1">
      <c r="A11" s="36" t="s">
        <v>199</v>
      </c>
      <c r="B11" s="36" t="s">
        <v>314</v>
      </c>
      <c r="C11" s="36" t="str">
        <f>_xlfn.CONCAT(Table4[[#This Row],[Ledger Name]],Table4[[#This Row],[Entity Name]])</f>
        <v>Citi BankExpora</v>
      </c>
      <c r="D11" s="36" t="s">
        <v>936</v>
      </c>
      <c r="E11" s="49" t="s">
        <v>746</v>
      </c>
      <c r="F11" s="49" t="s">
        <v>24</v>
      </c>
      <c r="G11" s="24" t="s">
        <v>1613</v>
      </c>
    </row>
    <row r="12" spans="1:7" hidden="1">
      <c r="A12" s="36" t="s">
        <v>453</v>
      </c>
      <c r="B12" s="36" t="s">
        <v>314</v>
      </c>
      <c r="C12" s="36" t="str">
        <f>_xlfn.CONCAT(Table4[[#This Row],[Ledger Name]],Table4[[#This Row],[Entity Name]])</f>
        <v>Clearing GLExpora</v>
      </c>
      <c r="D12" s="36" t="s">
        <v>936</v>
      </c>
      <c r="E12" s="49" t="s">
        <v>746</v>
      </c>
      <c r="F12" s="49" t="s">
        <v>52</v>
      </c>
      <c r="G12" s="24" t="s">
        <v>1613</v>
      </c>
    </row>
    <row r="13" spans="1:7" hidden="1">
      <c r="A13" s="36" t="s">
        <v>454</v>
      </c>
      <c r="B13" s="36" t="s">
        <v>314</v>
      </c>
      <c r="C13" s="36" t="str">
        <f>_xlfn.CONCAT(Table4[[#This Row],[Ledger Name]],Table4[[#This Row],[Entity Name]])</f>
        <v>Computers and LaptopsExpora</v>
      </c>
      <c r="D13" s="36" t="s">
        <v>936</v>
      </c>
      <c r="E13" s="49" t="s">
        <v>746</v>
      </c>
      <c r="F13" s="49" t="s">
        <v>346</v>
      </c>
      <c r="G13" s="182" t="s">
        <v>346</v>
      </c>
    </row>
    <row r="14" spans="1:7" hidden="1">
      <c r="A14" s="36" t="s">
        <v>874</v>
      </c>
      <c r="B14" s="36" t="s">
        <v>314</v>
      </c>
      <c r="C14" s="36" t="str">
        <f>_xlfn.CONCAT(Table4[[#This Row],[Ledger Name]],Table4[[#This Row],[Entity Name]])</f>
        <v>Apple Mb Air 13.6 M3 8c 8GB 256gbExpora</v>
      </c>
      <c r="D14" s="36" t="s">
        <v>936</v>
      </c>
      <c r="E14" s="49" t="s">
        <v>746</v>
      </c>
      <c r="F14" s="49" t="s">
        <v>346</v>
      </c>
      <c r="G14" s="182" t="s">
        <v>346</v>
      </c>
    </row>
    <row r="15" spans="1:7" hidden="1">
      <c r="A15" s="36" t="s">
        <v>875</v>
      </c>
      <c r="B15" s="36" t="s">
        <v>314</v>
      </c>
      <c r="C15" s="36" t="str">
        <f>_xlfn.CONCAT(Table4[[#This Row],[Ledger Name]],Table4[[#This Row],[Entity Name]])</f>
        <v>Apple Mb Pro 14 M3 11c 512GBExpora</v>
      </c>
      <c r="D15" s="36" t="s">
        <v>936</v>
      </c>
      <c r="E15" s="49" t="s">
        <v>746</v>
      </c>
      <c r="F15" s="49" t="s">
        <v>346</v>
      </c>
      <c r="G15" s="182" t="s">
        <v>346</v>
      </c>
    </row>
    <row r="16" spans="1:7" hidden="1">
      <c r="A16" s="36" t="s">
        <v>137</v>
      </c>
      <c r="B16" s="36" t="s">
        <v>314</v>
      </c>
      <c r="C16" s="36" t="str">
        <f>_xlfn.CONCAT(Table4[[#This Row],[Ledger Name]],Table4[[#This Row],[Entity Name]])</f>
        <v>HP PROBOOK 430 GBExpora</v>
      </c>
      <c r="D16" s="36" t="s">
        <v>936</v>
      </c>
      <c r="E16" s="49" t="s">
        <v>746</v>
      </c>
      <c r="F16" s="49" t="s">
        <v>346</v>
      </c>
      <c r="G16" s="182" t="s">
        <v>346</v>
      </c>
    </row>
    <row r="17" spans="1:7" hidden="1">
      <c r="A17" s="36" t="s">
        <v>304</v>
      </c>
      <c r="B17" s="36" t="s">
        <v>314</v>
      </c>
      <c r="C17" s="36" t="str">
        <f>_xlfn.CONCAT(Table4[[#This Row],[Ledger Name]],Table4[[#This Row],[Entity Name]])</f>
        <v>HP PROBOOK 440 GBExpora</v>
      </c>
      <c r="D17" s="36" t="s">
        <v>936</v>
      </c>
      <c r="E17" s="49" t="s">
        <v>746</v>
      </c>
      <c r="F17" s="49" t="s">
        <v>346</v>
      </c>
      <c r="G17" s="182" t="s">
        <v>346</v>
      </c>
    </row>
    <row r="18" spans="1:7" hidden="1">
      <c r="A18" s="36" t="s">
        <v>305</v>
      </c>
      <c r="B18" s="36" t="s">
        <v>314</v>
      </c>
      <c r="C18" s="36" t="str">
        <f>_xlfn.CONCAT(Table4[[#This Row],[Ledger Name]],Table4[[#This Row],[Entity Name]])</f>
        <v>HP PROBOOK 450 GBExpora</v>
      </c>
      <c r="D18" s="36" t="s">
        <v>936</v>
      </c>
      <c r="E18" s="49" t="s">
        <v>746</v>
      </c>
      <c r="F18" s="49" t="s">
        <v>346</v>
      </c>
      <c r="G18" s="182" t="s">
        <v>346</v>
      </c>
    </row>
    <row r="19" spans="1:7" hidden="1">
      <c r="A19" s="36" t="s">
        <v>273</v>
      </c>
      <c r="B19" s="36" t="s">
        <v>314</v>
      </c>
      <c r="C19" s="36" t="str">
        <f>_xlfn.CONCAT(Table4[[#This Row],[Ledger Name]],Table4[[#This Row],[Entity Name]])</f>
        <v>I - PADExpora</v>
      </c>
      <c r="D19" s="36" t="s">
        <v>936</v>
      </c>
      <c r="E19" s="49" t="s">
        <v>746</v>
      </c>
      <c r="F19" s="49" t="s">
        <v>346</v>
      </c>
      <c r="G19" s="182" t="s">
        <v>346</v>
      </c>
    </row>
    <row r="20" spans="1:7" hidden="1">
      <c r="A20" s="36" t="s">
        <v>99</v>
      </c>
      <c r="B20" s="36" t="s">
        <v>314</v>
      </c>
      <c r="C20" s="36" t="str">
        <f>_xlfn.CONCAT(Table4[[#This Row],[Ledger Name]],Table4[[#This Row],[Entity Name]])</f>
        <v>I.T. EquipmentExpora</v>
      </c>
      <c r="D20" s="36" t="s">
        <v>936</v>
      </c>
      <c r="E20" s="49" t="s">
        <v>746</v>
      </c>
      <c r="F20" s="49" t="s">
        <v>346</v>
      </c>
      <c r="G20" s="182" t="s">
        <v>346</v>
      </c>
    </row>
    <row r="21" spans="1:7" hidden="1">
      <c r="A21" s="36" t="s">
        <v>85</v>
      </c>
      <c r="B21" s="36" t="s">
        <v>314</v>
      </c>
      <c r="C21" s="36" t="str">
        <f>_xlfn.CONCAT(Table4[[#This Row],[Ledger Name]],Table4[[#This Row],[Entity Name]])</f>
        <v>Lenovo ThinkPad E14 20TAS0YF00Expora</v>
      </c>
      <c r="D21" s="36" t="s">
        <v>936</v>
      </c>
      <c r="E21" s="49" t="s">
        <v>746</v>
      </c>
      <c r="F21" s="49" t="s">
        <v>346</v>
      </c>
      <c r="G21" s="182" t="s">
        <v>346</v>
      </c>
    </row>
    <row r="22" spans="1:7" hidden="1">
      <c r="A22" s="36" t="s">
        <v>640</v>
      </c>
      <c r="B22" s="36" t="s">
        <v>314</v>
      </c>
      <c r="C22" s="36" t="str">
        <f>_xlfn.CONCAT(Table4[[#This Row],[Ledger Name]],Table4[[#This Row],[Entity Name]])</f>
        <v>Lenovo ThinkPad E14 21E3S06C00Expora</v>
      </c>
      <c r="D22" s="36" t="s">
        <v>936</v>
      </c>
      <c r="E22" s="49" t="s">
        <v>746</v>
      </c>
      <c r="F22" s="49" t="s">
        <v>346</v>
      </c>
      <c r="G22" s="182" t="s">
        <v>346</v>
      </c>
    </row>
    <row r="23" spans="1:7" hidden="1">
      <c r="A23" s="36" t="s">
        <v>455</v>
      </c>
      <c r="B23" s="36" t="s">
        <v>314</v>
      </c>
      <c r="C23" s="36" t="str">
        <f>_xlfn.CONCAT(Table4[[#This Row],[Ledger Name]],Table4[[#This Row],[Entity Name]])</f>
        <v>Total for Computers and LaptopsExpora</v>
      </c>
      <c r="D23" s="36" t="s">
        <v>952</v>
      </c>
      <c r="E23" s="49">
        <v>0</v>
      </c>
      <c r="F23" s="49">
        <v>0</v>
      </c>
      <c r="G23" s="101">
        <v>0</v>
      </c>
    </row>
    <row r="24" spans="1:7" hidden="1">
      <c r="A24" s="36" t="s">
        <v>247</v>
      </c>
      <c r="B24" s="36" t="s">
        <v>314</v>
      </c>
      <c r="C24" s="36" t="str">
        <f>_xlfn.CONCAT(Table4[[#This Row],[Ledger Name]],Table4[[#This Row],[Entity Name]])</f>
        <v>Duty Drawback ReceivableExpora</v>
      </c>
      <c r="D24" s="36" t="s">
        <v>936</v>
      </c>
      <c r="E24" s="49" t="s">
        <v>746</v>
      </c>
      <c r="F24" s="49" t="s">
        <v>52</v>
      </c>
      <c r="G24" s="24" t="s">
        <v>1607</v>
      </c>
    </row>
    <row r="25" spans="1:7" hidden="1">
      <c r="A25" s="36" t="s">
        <v>778</v>
      </c>
      <c r="B25" s="36" t="s">
        <v>314</v>
      </c>
      <c r="C25" s="36" t="str">
        <f>_xlfn.CONCAT(Table4[[#This Row],[Ledger Name]],Table4[[#This Row],[Entity Name]])</f>
        <v>ECGC Premium AdvanceExpora</v>
      </c>
      <c r="D25" s="36" t="s">
        <v>936</v>
      </c>
      <c r="E25" s="49" t="s">
        <v>746</v>
      </c>
      <c r="F25" s="49" t="s">
        <v>52</v>
      </c>
      <c r="G25" s="24" t="s">
        <v>1607</v>
      </c>
    </row>
    <row r="26" spans="1:7" hidden="1">
      <c r="A26" s="36" t="s">
        <v>456</v>
      </c>
      <c r="B26" s="36" t="s">
        <v>314</v>
      </c>
      <c r="C26" s="36" t="str">
        <f>_xlfn.CONCAT(Table4[[#This Row],[Ledger Name]],Table4[[#This Row],[Entity Name]])</f>
        <v>Employee AdvanceExpora</v>
      </c>
      <c r="D26" s="36" t="s">
        <v>952</v>
      </c>
      <c r="E26" s="49">
        <v>0</v>
      </c>
      <c r="F26" s="49">
        <v>0</v>
      </c>
      <c r="G26" s="101">
        <v>0</v>
      </c>
    </row>
    <row r="27" spans="1:7" hidden="1">
      <c r="A27" s="36" t="s">
        <v>178</v>
      </c>
      <c r="B27" s="36" t="s">
        <v>314</v>
      </c>
      <c r="C27" s="36" t="str">
        <f>_xlfn.CONCAT(Table4[[#This Row],[Ledger Name]],Table4[[#This Row],[Entity Name]])</f>
        <v>Advance SalaryExpora</v>
      </c>
      <c r="D27" s="36" t="s">
        <v>936</v>
      </c>
      <c r="E27" s="49" t="s">
        <v>746</v>
      </c>
      <c r="F27" s="49" t="s">
        <v>52</v>
      </c>
      <c r="G27" s="24" t="s">
        <v>1608</v>
      </c>
    </row>
    <row r="28" spans="1:7" hidden="1">
      <c r="A28" s="36" t="s">
        <v>164</v>
      </c>
      <c r="B28" s="36" t="s">
        <v>314</v>
      </c>
      <c r="C28" s="36" t="str">
        <f>_xlfn.CONCAT(Table4[[#This Row],[Ledger Name]],Table4[[#This Row],[Entity Name]])</f>
        <v>Advance Salary to Prakash ChaudharyExpora</v>
      </c>
      <c r="D28" s="36" t="s">
        <v>936</v>
      </c>
      <c r="E28" s="49" t="s">
        <v>746</v>
      </c>
      <c r="F28" s="49" t="s">
        <v>52</v>
      </c>
      <c r="G28" s="24" t="s">
        <v>1608</v>
      </c>
    </row>
    <row r="29" spans="1:7" hidden="1">
      <c r="A29" s="36" t="s">
        <v>812</v>
      </c>
      <c r="B29" s="36" t="s">
        <v>314</v>
      </c>
      <c r="C29" s="36" t="str">
        <f>_xlfn.CONCAT(Table4[[#This Row],[Ledger Name]],Table4[[#This Row],[Entity Name]])</f>
        <v>Advance Salary to Pravin AroraExpora</v>
      </c>
      <c r="D29" s="36" t="s">
        <v>936</v>
      </c>
      <c r="E29" s="49" t="s">
        <v>746</v>
      </c>
      <c r="F29" s="49" t="s">
        <v>52</v>
      </c>
      <c r="G29" s="24" t="s">
        <v>1608</v>
      </c>
    </row>
    <row r="30" spans="1:7" hidden="1">
      <c r="A30" s="36" t="s">
        <v>457</v>
      </c>
      <c r="B30" s="36" t="s">
        <v>314</v>
      </c>
      <c r="C30" s="36" t="str">
        <f>_xlfn.CONCAT(Table4[[#This Row],[Ledger Name]],Table4[[#This Row],[Entity Name]])</f>
        <v>Total for Advance SalaryExpora</v>
      </c>
      <c r="D30" s="36" t="s">
        <v>952</v>
      </c>
      <c r="E30" s="49">
        <v>0</v>
      </c>
      <c r="F30" s="49">
        <v>0</v>
      </c>
      <c r="G30" s="101">
        <v>0</v>
      </c>
    </row>
    <row r="31" spans="1:7" hidden="1">
      <c r="A31" s="36" t="s">
        <v>458</v>
      </c>
      <c r="B31" s="36" t="s">
        <v>314</v>
      </c>
      <c r="C31" s="36" t="str">
        <f>_xlfn.CONCAT(Table4[[#This Row],[Ledger Name]],Table4[[#This Row],[Entity Name]])</f>
        <v>Total for Employee AdvanceExpora</v>
      </c>
      <c r="D31" s="36" t="s">
        <v>952</v>
      </c>
      <c r="E31" s="49">
        <v>0</v>
      </c>
      <c r="F31" s="49">
        <v>0</v>
      </c>
      <c r="G31" s="101">
        <v>0</v>
      </c>
    </row>
    <row r="32" spans="1:7" hidden="1">
      <c r="A32" s="36" t="s">
        <v>43</v>
      </c>
      <c r="B32" s="36" t="s">
        <v>314</v>
      </c>
      <c r="C32" s="36" t="str">
        <f>_xlfn.CONCAT(Table4[[#This Row],[Ledger Name]],Table4[[#This Row],[Entity Name]])</f>
        <v>Foreign ExchangeExpora</v>
      </c>
      <c r="D32" s="36" t="s">
        <v>952</v>
      </c>
      <c r="E32" s="49">
        <v>0</v>
      </c>
      <c r="F32" s="49">
        <v>0</v>
      </c>
      <c r="G32" s="101">
        <v>0</v>
      </c>
    </row>
    <row r="33" spans="1:7" hidden="1">
      <c r="A33" s="36" t="s">
        <v>462</v>
      </c>
      <c r="B33" s="36" t="s">
        <v>314</v>
      </c>
      <c r="C33" s="36" t="str">
        <f>_xlfn.CONCAT(Table4[[#This Row],[Ledger Name]],Table4[[#This Row],[Entity Name]])</f>
        <v>Foreign Exchange - Krushang BoriaExpora</v>
      </c>
      <c r="D33" s="36" t="s">
        <v>936</v>
      </c>
      <c r="E33" s="49" t="s">
        <v>746</v>
      </c>
      <c r="F33" s="49" t="s">
        <v>52</v>
      </c>
      <c r="G33" s="6" t="s">
        <v>1625</v>
      </c>
    </row>
    <row r="34" spans="1:7" hidden="1">
      <c r="A34" s="36" t="s">
        <v>593</v>
      </c>
      <c r="B34" s="36" t="s">
        <v>314</v>
      </c>
      <c r="C34" s="36" t="str">
        <f>_xlfn.CONCAT(Table4[[#This Row],[Ledger Name]],Table4[[#This Row],[Entity Name]])</f>
        <v>Foreign Exchange - Manish KhiyaniExpora</v>
      </c>
      <c r="D34" s="36" t="s">
        <v>936</v>
      </c>
      <c r="E34" s="49" t="s">
        <v>746</v>
      </c>
      <c r="F34" s="49" t="s">
        <v>52</v>
      </c>
      <c r="G34" s="101" t="s">
        <v>54</v>
      </c>
    </row>
    <row r="35" spans="1:7" hidden="1">
      <c r="A35" s="36" t="s">
        <v>463</v>
      </c>
      <c r="B35" s="36" t="s">
        <v>314</v>
      </c>
      <c r="C35" s="36" t="str">
        <f>_xlfn.CONCAT(Table4[[#This Row],[Ledger Name]],Table4[[#This Row],[Entity Name]])</f>
        <v>Foreign Exchange - Prakash ChaudharyExpora</v>
      </c>
      <c r="D35" s="36" t="s">
        <v>936</v>
      </c>
      <c r="E35" s="49" t="s">
        <v>746</v>
      </c>
      <c r="F35" s="49" t="s">
        <v>52</v>
      </c>
      <c r="G35" s="101" t="s">
        <v>280</v>
      </c>
    </row>
    <row r="36" spans="1:7" hidden="1">
      <c r="A36" s="36" t="s">
        <v>464</v>
      </c>
      <c r="B36" s="36" t="s">
        <v>314</v>
      </c>
      <c r="C36" s="36" t="str">
        <f>_xlfn.CONCAT(Table4[[#This Row],[Ledger Name]],Table4[[#This Row],[Entity Name]])</f>
        <v>Foreign Exchange - Priyanka ShahExpora</v>
      </c>
      <c r="D36" s="36" t="s">
        <v>936</v>
      </c>
      <c r="E36" s="49" t="s">
        <v>746</v>
      </c>
      <c r="F36" s="49" t="s">
        <v>52</v>
      </c>
      <c r="G36" s="101" t="s">
        <v>1613</v>
      </c>
    </row>
    <row r="37" spans="1:7" hidden="1">
      <c r="A37" s="36" t="s">
        <v>465</v>
      </c>
      <c r="B37" s="36" t="s">
        <v>314</v>
      </c>
      <c r="C37" s="36" t="str">
        <f>_xlfn.CONCAT(Table4[[#This Row],[Ledger Name]],Table4[[#This Row],[Entity Name]])</f>
        <v>Foreign Exchange - Saranya RavikumarExpora</v>
      </c>
      <c r="D37" s="36" t="s">
        <v>936</v>
      </c>
      <c r="E37" s="49" t="s">
        <v>746</v>
      </c>
      <c r="F37" s="49" t="s">
        <v>52</v>
      </c>
      <c r="G37" s="101" t="s">
        <v>1613</v>
      </c>
    </row>
    <row r="38" spans="1:7" hidden="1">
      <c r="A38" s="36" t="s">
        <v>466</v>
      </c>
      <c r="B38" s="36" t="s">
        <v>314</v>
      </c>
      <c r="C38" s="36" t="str">
        <f>_xlfn.CONCAT(Table4[[#This Row],[Ledger Name]],Table4[[#This Row],[Entity Name]])</f>
        <v>Foreign Exchange - Ved ShahExpora</v>
      </c>
      <c r="D38" s="36" t="s">
        <v>936</v>
      </c>
      <c r="E38" s="49" t="s">
        <v>746</v>
      </c>
      <c r="F38" s="49" t="s">
        <v>52</v>
      </c>
      <c r="G38" s="101" t="s">
        <v>1613</v>
      </c>
    </row>
    <row r="39" spans="1:7" hidden="1">
      <c r="A39" s="36" t="s">
        <v>467</v>
      </c>
      <c r="B39" s="36" t="s">
        <v>314</v>
      </c>
      <c r="C39" s="36" t="str">
        <f>_xlfn.CONCAT(Table4[[#This Row],[Ledger Name]],Table4[[#This Row],[Entity Name]])</f>
        <v>Foreign Exchange - Viral TrivediExpora</v>
      </c>
      <c r="D39" s="36" t="s">
        <v>936</v>
      </c>
      <c r="E39" s="49" t="s">
        <v>746</v>
      </c>
      <c r="F39" s="49" t="s">
        <v>52</v>
      </c>
      <c r="G39" s="101" t="s">
        <v>1613</v>
      </c>
    </row>
    <row r="40" spans="1:7" hidden="1">
      <c r="A40" s="36" t="s">
        <v>237</v>
      </c>
      <c r="B40" s="36" t="s">
        <v>314</v>
      </c>
      <c r="C40" s="36" t="str">
        <f>_xlfn.CONCAT(Table4[[#This Row],[Ledger Name]],Table4[[#This Row],[Entity Name]])</f>
        <v>Foreign Exchange- Abhinav BoriaExpora</v>
      </c>
      <c r="D40" s="36" t="s">
        <v>936</v>
      </c>
      <c r="E40" s="49" t="s">
        <v>746</v>
      </c>
      <c r="F40" s="49" t="s">
        <v>52</v>
      </c>
      <c r="G40" s="101" t="s">
        <v>1613</v>
      </c>
    </row>
    <row r="41" spans="1:7" hidden="1">
      <c r="A41" s="36" t="s">
        <v>459</v>
      </c>
      <c r="B41" s="36" t="s">
        <v>314</v>
      </c>
      <c r="C41" s="36" t="str">
        <f>_xlfn.CONCAT(Table4[[#This Row],[Ledger Name]],Table4[[#This Row],[Entity Name]])</f>
        <v>Foreign Exchange- Aditya KaushalExpora</v>
      </c>
      <c r="D41" s="36" t="s">
        <v>936</v>
      </c>
      <c r="E41" s="49" t="s">
        <v>746</v>
      </c>
      <c r="F41" s="49" t="s">
        <v>52</v>
      </c>
      <c r="G41" s="101" t="s">
        <v>1613</v>
      </c>
    </row>
    <row r="42" spans="1:7" hidden="1">
      <c r="A42" s="36" t="s">
        <v>460</v>
      </c>
      <c r="B42" s="36" t="s">
        <v>314</v>
      </c>
      <c r="C42" s="36" t="str">
        <f>_xlfn.CONCAT(Table4[[#This Row],[Ledger Name]],Table4[[#This Row],[Entity Name]])</f>
        <v>Foreign Exchange- Ajit ShahExpora</v>
      </c>
      <c r="D42" s="36" t="s">
        <v>936</v>
      </c>
      <c r="E42" s="49" t="s">
        <v>746</v>
      </c>
      <c r="F42" s="49" t="s">
        <v>52</v>
      </c>
      <c r="G42" s="101" t="s">
        <v>1613</v>
      </c>
    </row>
    <row r="43" spans="1:7" hidden="1">
      <c r="A43" s="36" t="s">
        <v>728</v>
      </c>
      <c r="B43" s="36" t="s">
        <v>314</v>
      </c>
      <c r="C43" s="36" t="str">
        <f>_xlfn.CONCAT(Table4[[#This Row],[Ledger Name]],Table4[[#This Row],[Entity Name]])</f>
        <v>Foreign Exchange- Ashay ShahExpora</v>
      </c>
      <c r="D43" s="36" t="s">
        <v>936</v>
      </c>
      <c r="E43" s="49" t="s">
        <v>746</v>
      </c>
      <c r="F43" s="49" t="s">
        <v>52</v>
      </c>
      <c r="G43" s="101" t="s">
        <v>1613</v>
      </c>
    </row>
    <row r="44" spans="1:7" hidden="1">
      <c r="A44" s="36" t="s">
        <v>272</v>
      </c>
      <c r="B44" s="36" t="s">
        <v>314</v>
      </c>
      <c r="C44" s="36" t="str">
        <f>_xlfn.CONCAT(Table4[[#This Row],[Ledger Name]],Table4[[#This Row],[Entity Name]])</f>
        <v>Foreign Exchange- Prakash ChoudharyExpora</v>
      </c>
      <c r="D44" s="36" t="s">
        <v>936</v>
      </c>
      <c r="E44" s="49" t="s">
        <v>746</v>
      </c>
      <c r="F44" s="49" t="s">
        <v>52</v>
      </c>
      <c r="G44" s="101" t="s">
        <v>1613</v>
      </c>
    </row>
    <row r="45" spans="1:7" hidden="1">
      <c r="A45" s="36" t="s">
        <v>134</v>
      </c>
      <c r="B45" s="36" t="s">
        <v>314</v>
      </c>
      <c r="C45" s="36" t="str">
        <f>_xlfn.CONCAT(Table4[[#This Row],[Ledger Name]],Table4[[#This Row],[Entity Name]])</f>
        <v>Foreign Exchange- Vaibhavi ShahExpora</v>
      </c>
      <c r="D45" s="36" t="s">
        <v>936</v>
      </c>
      <c r="E45" s="49" t="s">
        <v>746</v>
      </c>
      <c r="F45" s="49" t="s">
        <v>52</v>
      </c>
      <c r="G45" s="101" t="s">
        <v>1613</v>
      </c>
    </row>
    <row r="46" spans="1:7" hidden="1">
      <c r="A46" s="36" t="s">
        <v>659</v>
      </c>
      <c r="B46" s="36" t="s">
        <v>314</v>
      </c>
      <c r="C46" s="36" t="str">
        <f>_xlfn.CONCAT(Table4[[#This Row],[Ledger Name]],Table4[[#This Row],[Entity Name]])</f>
        <v>Foreign Exchange-SanjithExpora</v>
      </c>
      <c r="D46" s="36" t="s">
        <v>936</v>
      </c>
      <c r="E46" s="49" t="s">
        <v>746</v>
      </c>
      <c r="F46" s="49" t="s">
        <v>52</v>
      </c>
      <c r="G46" s="101" t="s">
        <v>1613</v>
      </c>
    </row>
    <row r="47" spans="1:7" hidden="1">
      <c r="A47" s="36" t="s">
        <v>461</v>
      </c>
      <c r="B47" s="36" t="s">
        <v>314</v>
      </c>
      <c r="C47" s="36" t="str">
        <f>_xlfn.CONCAT(Table4[[#This Row],[Ledger Name]],Table4[[#This Row],[Entity Name]])</f>
        <v>Total for Foreign ExchangeExpora</v>
      </c>
      <c r="D47" s="36" t="s">
        <v>952</v>
      </c>
      <c r="E47" s="49">
        <v>0</v>
      </c>
      <c r="F47" s="49">
        <v>0</v>
      </c>
      <c r="G47" s="101">
        <v>0</v>
      </c>
    </row>
    <row r="48" spans="1:7" hidden="1">
      <c r="A48" s="36" t="s">
        <v>758</v>
      </c>
      <c r="B48" s="36" t="s">
        <v>314</v>
      </c>
      <c r="C48" s="36" t="str">
        <f>_xlfn.CONCAT(Table4[[#This Row],[Ledger Name]],Table4[[#This Row],[Entity Name]])</f>
        <v>ICE Gate E- Wallet ( Custom Duty )Expora</v>
      </c>
      <c r="D48" s="36" t="s">
        <v>936</v>
      </c>
      <c r="E48" s="49" t="s">
        <v>746</v>
      </c>
      <c r="F48" s="49" t="s">
        <v>24</v>
      </c>
      <c r="G48" s="24" t="s">
        <v>1613</v>
      </c>
    </row>
    <row r="49" spans="1:7" hidden="1">
      <c r="A49" s="36" t="s">
        <v>46</v>
      </c>
      <c r="B49" s="36" t="s">
        <v>314</v>
      </c>
      <c r="C49" s="36" t="str">
        <f>_xlfn.CONCAT(Table4[[#This Row],[Ledger Name]],Table4[[#This Row],[Entity Name]])</f>
        <v>IDBI BankExpora</v>
      </c>
      <c r="D49" s="36" t="s">
        <v>936</v>
      </c>
      <c r="E49" s="49" t="s">
        <v>746</v>
      </c>
      <c r="F49" s="49" t="s">
        <v>24</v>
      </c>
      <c r="G49" s="24" t="s">
        <v>1613</v>
      </c>
    </row>
    <row r="50" spans="1:7" hidden="1">
      <c r="A50" s="36" t="s">
        <v>837</v>
      </c>
      <c r="B50" s="36" t="s">
        <v>314</v>
      </c>
      <c r="C50" s="36" t="str">
        <f>_xlfn.CONCAT(Table4[[#This Row],[Ledger Name]],Table4[[#This Row],[Entity Name]])</f>
        <v>IGST ReceivableExpora</v>
      </c>
      <c r="D50" s="36" t="s">
        <v>936</v>
      </c>
      <c r="E50" s="49" t="s">
        <v>746</v>
      </c>
      <c r="F50" s="49" t="s">
        <v>52</v>
      </c>
      <c r="G50" s="24" t="s">
        <v>1604</v>
      </c>
    </row>
    <row r="51" spans="1:7" hidden="1">
      <c r="A51" s="36" t="s">
        <v>468</v>
      </c>
      <c r="B51" s="36" t="s">
        <v>314</v>
      </c>
      <c r="C51" s="36" t="str">
        <f>_xlfn.CONCAT(Table4[[#This Row],[Ledger Name]],Table4[[#This Row],[Entity Name]])</f>
        <v>Input Tax CreditsExpora</v>
      </c>
      <c r="D51" s="36" t="s">
        <v>952</v>
      </c>
      <c r="E51" s="49">
        <v>0</v>
      </c>
      <c r="F51" s="49">
        <v>0</v>
      </c>
      <c r="G51" s="101">
        <v>0</v>
      </c>
    </row>
    <row r="52" spans="1:7" hidden="1">
      <c r="A52" s="36" t="s">
        <v>469</v>
      </c>
      <c r="B52" s="36" t="s">
        <v>314</v>
      </c>
      <c r="C52" s="36" t="str">
        <f>_xlfn.CONCAT(Table4[[#This Row],[Ledger Name]],Table4[[#This Row],[Entity Name]])</f>
        <v>Input CGSTExpora</v>
      </c>
      <c r="D52" s="36" t="s">
        <v>936</v>
      </c>
      <c r="E52" s="49" t="s">
        <v>746</v>
      </c>
      <c r="F52" s="49" t="s">
        <v>52</v>
      </c>
      <c r="G52" s="24" t="s">
        <v>1604</v>
      </c>
    </row>
    <row r="53" spans="1:7" hidden="1">
      <c r="A53" s="36" t="s">
        <v>470</v>
      </c>
      <c r="B53" s="36" t="s">
        <v>314</v>
      </c>
      <c r="C53" s="36" t="str">
        <f>_xlfn.CONCAT(Table4[[#This Row],[Ledger Name]],Table4[[#This Row],[Entity Name]])</f>
        <v>Input IGSTExpora</v>
      </c>
      <c r="D53" s="36" t="s">
        <v>936</v>
      </c>
      <c r="E53" s="49" t="s">
        <v>746</v>
      </c>
      <c r="F53" s="49" t="s">
        <v>52</v>
      </c>
      <c r="G53" s="24" t="s">
        <v>1604</v>
      </c>
    </row>
    <row r="54" spans="1:7" hidden="1">
      <c r="A54" s="36" t="s">
        <v>471</v>
      </c>
      <c r="B54" s="36" t="s">
        <v>314</v>
      </c>
      <c r="C54" s="36" t="str">
        <f>_xlfn.CONCAT(Table4[[#This Row],[Ledger Name]],Table4[[#This Row],[Entity Name]])</f>
        <v>Input SGSTExpora</v>
      </c>
      <c r="D54" s="36" t="s">
        <v>936</v>
      </c>
      <c r="E54" s="49" t="s">
        <v>746</v>
      </c>
      <c r="F54" s="49" t="s">
        <v>52</v>
      </c>
      <c r="G54" s="24" t="s">
        <v>1604</v>
      </c>
    </row>
    <row r="55" spans="1:7" hidden="1">
      <c r="A55" s="36" t="s">
        <v>472</v>
      </c>
      <c r="B55" s="36" t="s">
        <v>314</v>
      </c>
      <c r="C55" s="36" t="str">
        <f>_xlfn.CONCAT(Table4[[#This Row],[Ledger Name]],Table4[[#This Row],[Entity Name]])</f>
        <v>Total for Input Tax CreditsExpora</v>
      </c>
      <c r="D55" s="36" t="s">
        <v>952</v>
      </c>
      <c r="E55" s="49">
        <v>0</v>
      </c>
      <c r="F55" s="49">
        <v>0</v>
      </c>
      <c r="G55" s="101">
        <v>0</v>
      </c>
    </row>
    <row r="56" spans="1:7" hidden="1">
      <c r="A56" s="36" t="s">
        <v>473</v>
      </c>
      <c r="B56" s="36" t="s">
        <v>314</v>
      </c>
      <c r="C56" s="36" t="str">
        <f>_xlfn.CONCAT(Table4[[#This Row],[Ledger Name]],Table4[[#This Row],[Entity Name]])</f>
        <v>Intangible AssetExpora</v>
      </c>
      <c r="D56" s="36" t="s">
        <v>952</v>
      </c>
      <c r="E56" s="49">
        <v>0</v>
      </c>
      <c r="F56" s="49">
        <v>0</v>
      </c>
      <c r="G56" s="101">
        <v>0</v>
      </c>
    </row>
    <row r="57" spans="1:7" hidden="1">
      <c r="A57" s="36" t="s">
        <v>474</v>
      </c>
      <c r="B57" s="36" t="s">
        <v>314</v>
      </c>
      <c r="C57" s="36" t="str">
        <f>_xlfn.CONCAT(Table4[[#This Row],[Ledger Name]],Table4[[#This Row],[Entity Name]])</f>
        <v>Expora OSExpora</v>
      </c>
      <c r="D57" s="36" t="s">
        <v>936</v>
      </c>
      <c r="E57" s="49" t="s">
        <v>746</v>
      </c>
      <c r="F57" s="49" t="s">
        <v>347</v>
      </c>
      <c r="G57" s="101" t="s">
        <v>347</v>
      </c>
    </row>
    <row r="58" spans="1:7" hidden="1">
      <c r="A58" s="36" t="s">
        <v>475</v>
      </c>
      <c r="B58" s="36" t="s">
        <v>314</v>
      </c>
      <c r="C58" s="36" t="str">
        <f>_xlfn.CONCAT(Table4[[#This Row],[Ledger Name]],Table4[[#This Row],[Entity Name]])</f>
        <v>Total for Intangible AssetExpora</v>
      </c>
      <c r="D58" s="36" t="s">
        <v>952</v>
      </c>
      <c r="E58" s="49">
        <v>0</v>
      </c>
      <c r="F58" s="49">
        <v>0</v>
      </c>
      <c r="G58" s="101">
        <v>0</v>
      </c>
    </row>
    <row r="59" spans="1:7" hidden="1">
      <c r="A59" s="36" t="s">
        <v>83</v>
      </c>
      <c r="B59" s="36" t="s">
        <v>314</v>
      </c>
      <c r="C59" s="36" t="str">
        <f>_xlfn.CONCAT(Table4[[#This Row],[Ledger Name]],Table4[[#This Row],[Entity Name]])</f>
        <v>Interest ReceivableExpora</v>
      </c>
      <c r="D59" s="36" t="s">
        <v>936</v>
      </c>
      <c r="E59" s="49" t="s">
        <v>746</v>
      </c>
      <c r="F59" s="49" t="s">
        <v>52</v>
      </c>
      <c r="G59" s="24" t="s">
        <v>1606</v>
      </c>
    </row>
    <row r="60" spans="1:7" hidden="1">
      <c r="A60" s="36" t="s">
        <v>476</v>
      </c>
      <c r="B60" s="36" t="s">
        <v>314</v>
      </c>
      <c r="C60" s="36" t="str">
        <f>_xlfn.CONCAT(Table4[[#This Row],[Ledger Name]],Table4[[#This Row],[Entity Name]])</f>
        <v>Inventory AssetExpora</v>
      </c>
      <c r="D60" s="36" t="s">
        <v>936</v>
      </c>
      <c r="E60" s="49" t="s">
        <v>746</v>
      </c>
      <c r="F60" s="49" t="s">
        <v>47</v>
      </c>
      <c r="G60" s="101" t="s">
        <v>47</v>
      </c>
    </row>
    <row r="61" spans="1:7" hidden="1">
      <c r="A61" s="36" t="s">
        <v>101</v>
      </c>
      <c r="B61" s="36" t="s">
        <v>314</v>
      </c>
      <c r="C61" s="36" t="str">
        <f>_xlfn.CONCAT(Table4[[#This Row],[Ledger Name]],Table4[[#This Row],[Entity Name]])</f>
        <v>Loans &amp; Advances (Asset)Expora</v>
      </c>
      <c r="D61" s="36" t="s">
        <v>952</v>
      </c>
      <c r="E61" s="49">
        <v>0</v>
      </c>
      <c r="F61" s="49">
        <v>0</v>
      </c>
      <c r="G61" s="101">
        <v>0</v>
      </c>
    </row>
    <row r="62" spans="1:7" hidden="1">
      <c r="A62" s="36" t="s">
        <v>477</v>
      </c>
      <c r="B62" s="36" t="s">
        <v>314</v>
      </c>
      <c r="C62" s="36" t="str">
        <f>_xlfn.CONCAT(Table4[[#This Row],[Ledger Name]],Table4[[#This Row],[Entity Name]])</f>
        <v>Arha Platform General Trading LLC (L)Expora</v>
      </c>
      <c r="D62" s="36" t="s">
        <v>936</v>
      </c>
      <c r="E62" s="49" t="s">
        <v>746</v>
      </c>
      <c r="F62" s="49" t="s">
        <v>52</v>
      </c>
      <c r="G62" s="24" t="s">
        <v>1606</v>
      </c>
    </row>
    <row r="63" spans="1:7" hidden="1">
      <c r="A63" s="36" t="s">
        <v>246</v>
      </c>
      <c r="B63" s="36" t="s">
        <v>314</v>
      </c>
      <c r="C63" s="36" t="str">
        <f>_xlfn.CONCAT(Table4[[#This Row],[Ledger Name]],Table4[[#This Row],[Entity Name]])</f>
        <v>Arha Platform Jewellery Trading LLC (L)Expora</v>
      </c>
      <c r="D63" s="36" t="s">
        <v>936</v>
      </c>
      <c r="E63" s="49" t="s">
        <v>746</v>
      </c>
      <c r="F63" s="49" t="s">
        <v>52</v>
      </c>
      <c r="G63" s="101" t="s">
        <v>133</v>
      </c>
    </row>
    <row r="64" spans="1:7" hidden="1">
      <c r="A64" s="36" t="s">
        <v>709</v>
      </c>
      <c r="B64" s="36" t="s">
        <v>314</v>
      </c>
      <c r="C64" s="36" t="str">
        <f>_xlfn.CONCAT(Table4[[#This Row],[Ledger Name]],Table4[[#This Row],[Entity Name]])</f>
        <v>Loan to Arha BeninExpora</v>
      </c>
      <c r="D64" s="36" t="s">
        <v>936</v>
      </c>
      <c r="E64" s="49" t="s">
        <v>746</v>
      </c>
      <c r="F64" s="49" t="s">
        <v>52</v>
      </c>
      <c r="G64" s="24" t="s">
        <v>1606</v>
      </c>
    </row>
    <row r="65" spans="1:7" hidden="1">
      <c r="A65" s="36" t="s">
        <v>395</v>
      </c>
      <c r="B65" s="36" t="s">
        <v>314</v>
      </c>
      <c r="C65" s="36" t="str">
        <f>_xlfn.CONCAT(Table4[[#This Row],[Ledger Name]],Table4[[#This Row],[Entity Name]])</f>
        <v>Loan to Aspirarch Lanka (Pvt) LtdExpora</v>
      </c>
      <c r="D65" s="36" t="s">
        <v>936</v>
      </c>
      <c r="E65" s="49" t="s">
        <v>746</v>
      </c>
      <c r="F65" s="49" t="s">
        <v>52</v>
      </c>
      <c r="G65" s="24" t="s">
        <v>1606</v>
      </c>
    </row>
    <row r="66" spans="1:7" hidden="1">
      <c r="A66" s="36" t="s">
        <v>117</v>
      </c>
      <c r="B66" s="36" t="s">
        <v>314</v>
      </c>
      <c r="C66" s="36" t="str">
        <f>_xlfn.CONCAT(Table4[[#This Row],[Ledger Name]],Table4[[#This Row],[Entity Name]])</f>
        <v>Loan to Aspirarch Market Platforms Limited (US Sub)Expora</v>
      </c>
      <c r="D66" s="36" t="s">
        <v>936</v>
      </c>
      <c r="E66" s="49" t="s">
        <v>746</v>
      </c>
      <c r="F66" s="49" t="s">
        <v>52</v>
      </c>
      <c r="G66" s="24" t="s">
        <v>1606</v>
      </c>
    </row>
    <row r="67" spans="1:7" hidden="1">
      <c r="A67" s="36" t="s">
        <v>813</v>
      </c>
      <c r="B67" s="36" t="s">
        <v>314</v>
      </c>
      <c r="C67" s="36" t="str">
        <f>_xlfn.CONCAT(Table4[[#This Row],[Ledger Name]],Table4[[#This Row],[Entity Name]])</f>
        <v>Loan to MKS EXPORAExpora</v>
      </c>
      <c r="D67" s="36" t="s">
        <v>936</v>
      </c>
      <c r="E67" s="49" t="s">
        <v>746</v>
      </c>
      <c r="F67" s="49" t="s">
        <v>52</v>
      </c>
      <c r="G67" s="24" t="s">
        <v>1606</v>
      </c>
    </row>
    <row r="68" spans="1:7" hidden="1">
      <c r="A68" s="36" t="s">
        <v>176</v>
      </c>
      <c r="B68" s="36" t="s">
        <v>314</v>
      </c>
      <c r="C68" s="36" t="str">
        <f>_xlfn.CONCAT(Table4[[#This Row],[Ledger Name]],Table4[[#This Row],[Entity Name]])</f>
        <v>Loans to Arha Platforms General Trading LLCExpora</v>
      </c>
      <c r="D68" s="36" t="s">
        <v>936</v>
      </c>
      <c r="E68" s="49" t="s">
        <v>746</v>
      </c>
      <c r="F68" s="49" t="s">
        <v>52</v>
      </c>
      <c r="G68" s="24" t="s">
        <v>1606</v>
      </c>
    </row>
    <row r="69" spans="1:7" hidden="1">
      <c r="A69" s="36" t="s">
        <v>446</v>
      </c>
      <c r="B69" s="36" t="s">
        <v>314</v>
      </c>
      <c r="C69" s="36" t="str">
        <f>_xlfn.CONCAT(Table4[[#This Row],[Ledger Name]],Table4[[#This Row],[Entity Name]])</f>
        <v>Loans to Arha Platforms Jewellery Trading LLCExpora</v>
      </c>
      <c r="D69" s="36" t="s">
        <v>936</v>
      </c>
      <c r="E69" s="49" t="s">
        <v>746</v>
      </c>
      <c r="F69" s="49" t="s">
        <v>52</v>
      </c>
      <c r="G69" s="101" t="s">
        <v>133</v>
      </c>
    </row>
    <row r="70" spans="1:7" hidden="1">
      <c r="A70" s="36" t="s">
        <v>478</v>
      </c>
      <c r="B70" s="36" t="s">
        <v>314</v>
      </c>
      <c r="C70" s="36" t="str">
        <f>_xlfn.CONCAT(Table4[[#This Row],[Ledger Name]],Table4[[#This Row],[Entity Name]])</f>
        <v>Total for Loans &amp; Advances (Asset)Expora</v>
      </c>
      <c r="D70" s="36" t="s">
        <v>952</v>
      </c>
      <c r="E70" s="49">
        <v>0</v>
      </c>
      <c r="F70" s="49">
        <v>0</v>
      </c>
      <c r="G70" s="101">
        <v>0</v>
      </c>
    </row>
    <row r="71" spans="1:7" hidden="1">
      <c r="A71" s="36" t="s">
        <v>479</v>
      </c>
      <c r="B71" s="36" t="s">
        <v>314</v>
      </c>
      <c r="C71" s="36" t="str">
        <f>_xlfn.CONCAT(Table4[[#This Row],[Ledger Name]],Table4[[#This Row],[Entity Name]])</f>
        <v>Non Current InvestmentExpora</v>
      </c>
      <c r="D71" s="36" t="s">
        <v>952</v>
      </c>
      <c r="E71" s="49">
        <v>0</v>
      </c>
      <c r="F71" s="49">
        <v>0</v>
      </c>
      <c r="G71" s="101">
        <v>0</v>
      </c>
    </row>
    <row r="72" spans="1:7" hidden="1">
      <c r="A72" s="36" t="s">
        <v>480</v>
      </c>
      <c r="B72" s="36" t="s">
        <v>314</v>
      </c>
      <c r="C72" s="36" t="str">
        <f>_xlfn.CONCAT(Table4[[#This Row],[Ledger Name]],Table4[[#This Row],[Entity Name]])</f>
        <v>Arha Platform General Trading LLC (SC)Expora</v>
      </c>
      <c r="D72" s="36" t="s">
        <v>936</v>
      </c>
      <c r="E72" s="49" t="s">
        <v>746</v>
      </c>
      <c r="F72" s="49" t="s">
        <v>209</v>
      </c>
      <c r="G72" s="101" t="s">
        <v>209</v>
      </c>
    </row>
    <row r="73" spans="1:7" hidden="1">
      <c r="A73" s="36" t="s">
        <v>481</v>
      </c>
      <c r="B73" s="36" t="s">
        <v>314</v>
      </c>
      <c r="C73" s="36" t="str">
        <f>_xlfn.CONCAT(Table4[[#This Row],[Ledger Name]],Table4[[#This Row],[Entity Name]])</f>
        <v>Parnia ExporaExpora</v>
      </c>
      <c r="D73" s="36" t="s">
        <v>936</v>
      </c>
      <c r="E73" s="49" t="s">
        <v>746</v>
      </c>
      <c r="F73" s="49" t="s">
        <v>78</v>
      </c>
      <c r="G73" s="101" t="s">
        <v>78</v>
      </c>
    </row>
    <row r="74" spans="1:7" hidden="1">
      <c r="A74" s="36" t="s">
        <v>45</v>
      </c>
      <c r="B74" s="36" t="s">
        <v>314</v>
      </c>
      <c r="C74" s="36" t="str">
        <f>_xlfn.CONCAT(Table4[[#This Row],[Ledger Name]],Table4[[#This Row],[Entity Name]])</f>
        <v>Term DepositExpora</v>
      </c>
      <c r="D74" s="36" t="s">
        <v>936</v>
      </c>
      <c r="E74" s="49" t="s">
        <v>746</v>
      </c>
      <c r="F74" s="49" t="s">
        <v>42</v>
      </c>
      <c r="G74" s="101" t="s">
        <v>42</v>
      </c>
    </row>
    <row r="75" spans="1:7" hidden="1">
      <c r="A75" s="36" t="s">
        <v>482</v>
      </c>
      <c r="B75" s="36" t="s">
        <v>314</v>
      </c>
      <c r="C75" s="36" t="str">
        <f>_xlfn.CONCAT(Table4[[#This Row],[Ledger Name]],Table4[[#This Row],[Entity Name]])</f>
        <v>Total for Non Current InvestmentExpora</v>
      </c>
      <c r="D75" s="36" t="s">
        <v>952</v>
      </c>
      <c r="E75" s="49">
        <v>0</v>
      </c>
      <c r="F75" s="49">
        <v>0</v>
      </c>
      <c r="G75" s="101">
        <v>0</v>
      </c>
    </row>
    <row r="76" spans="1:7" hidden="1">
      <c r="A76" s="36"/>
      <c r="B76" s="36" t="s">
        <v>314</v>
      </c>
      <c r="C76" s="36" t="str">
        <f>_xlfn.CONCAT(Table4[[#This Row],[Ledger Name]],Table4[[#This Row],[Entity Name]])</f>
        <v>Expora</v>
      </c>
      <c r="D76" s="36" t="s">
        <v>952</v>
      </c>
      <c r="E76" s="49">
        <v>0</v>
      </c>
      <c r="F76" s="49">
        <v>0</v>
      </c>
      <c r="G76" s="101">
        <v>0</v>
      </c>
    </row>
    <row r="77" spans="1:7" hidden="1">
      <c r="A77" s="36" t="s">
        <v>98</v>
      </c>
      <c r="B77" s="36" t="s">
        <v>314</v>
      </c>
      <c r="C77" s="36" t="str">
        <f>_xlfn.CONCAT(Table4[[#This Row],[Ledger Name]],Table4[[#This Row],[Entity Name]])</f>
        <v>Alfa water purifierExpora</v>
      </c>
      <c r="D77" s="36" t="s">
        <v>936</v>
      </c>
      <c r="E77" s="49" t="s">
        <v>746</v>
      </c>
      <c r="F77" s="49" t="s">
        <v>346</v>
      </c>
      <c r="G77" s="182" t="s">
        <v>346</v>
      </c>
    </row>
    <row r="78" spans="1:7" hidden="1">
      <c r="A78" s="36" t="s">
        <v>320</v>
      </c>
      <c r="B78" s="36" t="s">
        <v>314</v>
      </c>
      <c r="C78" s="36" t="str">
        <f>_xlfn.CONCAT(Table4[[#This Row],[Ledger Name]],Table4[[#This Row],[Entity Name]])</f>
        <v>Face Reader Attendance DeviceExpora</v>
      </c>
      <c r="D78" s="36" t="s">
        <v>936</v>
      </c>
      <c r="E78" s="49" t="s">
        <v>746</v>
      </c>
      <c r="F78" s="49" t="s">
        <v>346</v>
      </c>
      <c r="G78" s="182" t="s">
        <v>346</v>
      </c>
    </row>
    <row r="79" spans="1:7" hidden="1">
      <c r="A79" s="36" t="s">
        <v>100</v>
      </c>
      <c r="B79" s="36" t="s">
        <v>314</v>
      </c>
      <c r="C79" s="36" t="str">
        <f>_xlfn.CONCAT(Table4[[#This Row],[Ledger Name]],Table4[[#This Row],[Entity Name]])</f>
        <v>kelvinator refrigeratorExpora</v>
      </c>
      <c r="D79" s="36" t="s">
        <v>936</v>
      </c>
      <c r="E79" s="49" t="s">
        <v>746</v>
      </c>
      <c r="F79" s="49" t="s">
        <v>346</v>
      </c>
      <c r="G79" s="182" t="s">
        <v>346</v>
      </c>
    </row>
    <row r="80" spans="1:7" hidden="1">
      <c r="A80" s="36" t="s">
        <v>68</v>
      </c>
      <c r="B80" s="36" t="s">
        <v>314</v>
      </c>
      <c r="C80" s="36" t="str">
        <f>_xlfn.CONCAT(Table4[[#This Row],[Ledger Name]],Table4[[#This Row],[Entity Name]])</f>
        <v>LG OvenExpora</v>
      </c>
      <c r="D80" s="36" t="s">
        <v>936</v>
      </c>
      <c r="E80" s="49" t="s">
        <v>746</v>
      </c>
      <c r="F80" s="49" t="s">
        <v>346</v>
      </c>
      <c r="G80" s="182" t="s">
        <v>346</v>
      </c>
    </row>
    <row r="81" spans="1:7" hidden="1">
      <c r="A81" s="36" t="s">
        <v>120</v>
      </c>
      <c r="B81" s="36" t="s">
        <v>314</v>
      </c>
      <c r="C81" s="36" t="str">
        <f>_xlfn.CONCAT(Table4[[#This Row],[Ledger Name]],Table4[[#This Row],[Entity Name]])</f>
        <v>NokiaExpora</v>
      </c>
      <c r="D81" s="36" t="s">
        <v>936</v>
      </c>
      <c r="E81" s="49" t="s">
        <v>746</v>
      </c>
      <c r="F81" s="49" t="s">
        <v>346</v>
      </c>
      <c r="G81" s="182" t="s">
        <v>346</v>
      </c>
    </row>
    <row r="82" spans="1:7" hidden="1">
      <c r="A82" s="36" t="s">
        <v>125</v>
      </c>
      <c r="B82" s="36" t="s">
        <v>314</v>
      </c>
      <c r="C82" s="36" t="str">
        <f>_xlfn.CONCAT(Table4[[#This Row],[Ledger Name]],Table4[[#This Row],[Entity Name]])</f>
        <v>OPPO A31Expora</v>
      </c>
      <c r="D82" s="36" t="s">
        <v>936</v>
      </c>
      <c r="E82" s="49" t="s">
        <v>746</v>
      </c>
      <c r="F82" s="49" t="s">
        <v>346</v>
      </c>
      <c r="G82" s="182" t="s">
        <v>346</v>
      </c>
    </row>
    <row r="83" spans="1:7" hidden="1">
      <c r="A83" s="36" t="s">
        <v>44</v>
      </c>
      <c r="B83" s="36" t="s">
        <v>314</v>
      </c>
      <c r="C83" s="36" t="str">
        <f>_xlfn.CONCAT(Table4[[#This Row],[Ledger Name]],Table4[[#This Row],[Entity Name]])</f>
        <v>Redmi 10 PrimeExpora</v>
      </c>
      <c r="D83" s="36" t="s">
        <v>936</v>
      </c>
      <c r="E83" s="49" t="s">
        <v>746</v>
      </c>
      <c r="F83" s="49" t="s">
        <v>346</v>
      </c>
      <c r="G83" s="182" t="s">
        <v>346</v>
      </c>
    </row>
    <row r="84" spans="1:7" hidden="1">
      <c r="A84" s="36" t="s">
        <v>79</v>
      </c>
      <c r="B84" s="36" t="s">
        <v>314</v>
      </c>
      <c r="C84" s="36" t="str">
        <f>_xlfn.CONCAT(Table4[[#This Row],[Ledger Name]],Table4[[#This Row],[Entity Name]])</f>
        <v>Voltas Water DispenserExpora</v>
      </c>
      <c r="D84" s="36" t="s">
        <v>936</v>
      </c>
      <c r="E84" s="49" t="s">
        <v>746</v>
      </c>
      <c r="F84" s="49" t="s">
        <v>346</v>
      </c>
      <c r="G84" s="182" t="s">
        <v>346</v>
      </c>
    </row>
    <row r="85" spans="1:7" hidden="1">
      <c r="A85" s="36" t="s">
        <v>69</v>
      </c>
      <c r="B85" s="36" t="s">
        <v>314</v>
      </c>
      <c r="C85" s="36" t="str">
        <f>_xlfn.CONCAT(Table4[[#This Row],[Ledger Name]],Table4[[#This Row],[Entity Name]])</f>
        <v>VU 55' Ultra HD TVExpora</v>
      </c>
      <c r="D85" s="36" t="s">
        <v>936</v>
      </c>
      <c r="E85" s="49" t="s">
        <v>746</v>
      </c>
      <c r="F85" s="49" t="s">
        <v>346</v>
      </c>
      <c r="G85" s="182" t="s">
        <v>346</v>
      </c>
    </row>
    <row r="86" spans="1:7" hidden="1">
      <c r="A86" s="36" t="s">
        <v>483</v>
      </c>
      <c r="B86" s="36" t="s">
        <v>314</v>
      </c>
      <c r="C86" s="36" t="str">
        <f>_xlfn.CONCAT(Table4[[#This Row],[Ledger Name]],Table4[[#This Row],[Entity Name]])</f>
        <v>Total for Office EquipmentExpora</v>
      </c>
      <c r="D86" s="36" t="s">
        <v>952</v>
      </c>
      <c r="E86" s="49">
        <v>0</v>
      </c>
      <c r="F86" s="49">
        <v>0</v>
      </c>
      <c r="G86" s="101">
        <v>0</v>
      </c>
    </row>
    <row r="87" spans="1:7" hidden="1">
      <c r="A87" s="36" t="s">
        <v>403</v>
      </c>
      <c r="B87" s="36" t="s">
        <v>314</v>
      </c>
      <c r="C87" s="36" t="str">
        <f>_xlfn.CONCAT(Table4[[#This Row],[Ledger Name]],Table4[[#This Row],[Entity Name]])</f>
        <v>Petty CashExpora</v>
      </c>
      <c r="D87" s="36" t="s">
        <v>936</v>
      </c>
      <c r="E87" s="49" t="s">
        <v>746</v>
      </c>
      <c r="F87" s="49" t="s">
        <v>24</v>
      </c>
      <c r="G87" s="24" t="s">
        <v>1612</v>
      </c>
    </row>
    <row r="88" spans="1:7" hidden="1">
      <c r="A88" s="36"/>
      <c r="B88" s="36"/>
      <c r="C88" s="36" t="str">
        <f>_xlfn.CONCAT(Table4[[#This Row],[Ledger Name]],Table4[[#This Row],[Entity Name]])</f>
        <v/>
      </c>
      <c r="D88" s="36" t="s">
        <v>936</v>
      </c>
      <c r="E88" s="49" t="s">
        <v>746</v>
      </c>
      <c r="F88" s="49" t="s">
        <v>52</v>
      </c>
      <c r="G88" s="24" t="s">
        <v>1606</v>
      </c>
    </row>
    <row r="89" spans="1:7" hidden="1">
      <c r="A89" s="36" t="s">
        <v>29</v>
      </c>
      <c r="B89" s="36" t="s">
        <v>314</v>
      </c>
      <c r="C89" s="36" t="str">
        <f>_xlfn.CONCAT(Table4[[#This Row],[Ledger Name]],Table4[[#This Row],[Entity Name]])</f>
        <v>Prepaid ExpensesExpora</v>
      </c>
      <c r="D89" s="36" t="s">
        <v>936</v>
      </c>
      <c r="E89" s="49" t="s">
        <v>746</v>
      </c>
      <c r="F89" s="49" t="s">
        <v>52</v>
      </c>
      <c r="G89" s="24" t="s">
        <v>1605</v>
      </c>
    </row>
    <row r="90" spans="1:7" hidden="1">
      <c r="A90" s="36" t="s">
        <v>484</v>
      </c>
      <c r="B90" s="36" t="s">
        <v>314</v>
      </c>
      <c r="C90" s="36" t="str">
        <f>_xlfn.CONCAT(Table4[[#This Row],[Ledger Name]],Table4[[#This Row],[Entity Name]])</f>
        <v>Reverse Charge Tax Input but not dueExpora</v>
      </c>
      <c r="D90" s="36" t="s">
        <v>936</v>
      </c>
      <c r="E90" s="49" t="s">
        <v>746</v>
      </c>
      <c r="F90" s="49" t="s">
        <v>52</v>
      </c>
      <c r="G90" s="24" t="s">
        <v>1604</v>
      </c>
    </row>
    <row r="91" spans="1:7" hidden="1">
      <c r="A91" s="36" t="s">
        <v>747</v>
      </c>
      <c r="B91" s="36" t="s">
        <v>314</v>
      </c>
      <c r="C91" s="36" t="str">
        <f>_xlfn.CONCAT(Table4[[#This Row],[Ledger Name]],Table4[[#This Row],[Entity Name]])</f>
        <v>Rodtep ReceivableExpora</v>
      </c>
      <c r="D91" s="36" t="s">
        <v>936</v>
      </c>
      <c r="E91" s="49" t="s">
        <v>746</v>
      </c>
      <c r="F91" s="49" t="s">
        <v>52</v>
      </c>
      <c r="G91" s="24" t="s">
        <v>1603</v>
      </c>
    </row>
    <row r="92" spans="1:7" hidden="1">
      <c r="A92" s="36" t="s">
        <v>80</v>
      </c>
      <c r="B92" s="36" t="s">
        <v>314</v>
      </c>
      <c r="C92" s="36" t="str">
        <f>_xlfn.CONCAT(Table4[[#This Row],[Ledger Name]],Table4[[#This Row],[Entity Name]])</f>
        <v>Security DepositExpora</v>
      </c>
      <c r="D92" s="36" t="s">
        <v>936</v>
      </c>
      <c r="E92" s="49" t="s">
        <v>746</v>
      </c>
      <c r="F92" s="49" t="s">
        <v>52</v>
      </c>
      <c r="G92" s="24" t="s">
        <v>1602</v>
      </c>
    </row>
    <row r="93" spans="1:7" hidden="1">
      <c r="A93" s="36" t="s">
        <v>838</v>
      </c>
      <c r="B93" s="36" t="s">
        <v>314</v>
      </c>
      <c r="C93" s="36" t="str">
        <f>_xlfn.CONCAT(Table4[[#This Row],[Ledger Name]],Table4[[#This Row],[Entity Name]])</f>
        <v>Security Deposit (Shipping)Expora</v>
      </c>
      <c r="D93" s="36" t="s">
        <v>936</v>
      </c>
      <c r="E93" s="49" t="s">
        <v>746</v>
      </c>
      <c r="F93" s="49" t="s">
        <v>52</v>
      </c>
      <c r="G93" s="24" t="s">
        <v>1602</v>
      </c>
    </row>
    <row r="94" spans="1:7" hidden="1">
      <c r="A94" s="36" t="s">
        <v>595</v>
      </c>
      <c r="B94" s="36" t="s">
        <v>314</v>
      </c>
      <c r="C94" s="36" t="str">
        <f>_xlfn.CONCAT(Table4[[#This Row],[Ledger Name]],Table4[[#This Row],[Entity Name]])</f>
        <v>Security Deposit - Delhi OfficeExpora</v>
      </c>
      <c r="D94" s="36" t="s">
        <v>936</v>
      </c>
      <c r="E94" s="49" t="s">
        <v>746</v>
      </c>
      <c r="F94" s="49" t="s">
        <v>52</v>
      </c>
      <c r="G94" s="24" t="s">
        <v>1602</v>
      </c>
    </row>
    <row r="95" spans="1:7" hidden="1">
      <c r="A95" s="36" t="s">
        <v>486</v>
      </c>
      <c r="B95" s="36" t="s">
        <v>314</v>
      </c>
      <c r="C95" s="36" t="str">
        <f>_xlfn.CONCAT(Table4[[#This Row],[Ledger Name]],Table4[[#This Row],[Entity Name]])</f>
        <v>Security Deposit - Reliance InternetExpora</v>
      </c>
      <c r="D95" s="36" t="s">
        <v>936</v>
      </c>
      <c r="E95" s="49" t="s">
        <v>746</v>
      </c>
      <c r="F95" s="49" t="s">
        <v>52</v>
      </c>
      <c r="G95" s="24" t="s">
        <v>1602</v>
      </c>
    </row>
    <row r="96" spans="1:7" hidden="1">
      <c r="A96" s="36" t="s">
        <v>487</v>
      </c>
      <c r="B96" s="36" t="s">
        <v>314</v>
      </c>
      <c r="C96" s="36" t="str">
        <f>_xlfn.CONCAT(Table4[[#This Row],[Ledger Name]],Table4[[#This Row],[Entity Name]])</f>
        <v>Security Deposit - Vidyavihar OfficeExpora</v>
      </c>
      <c r="D96" s="36" t="s">
        <v>936</v>
      </c>
      <c r="E96" s="49" t="s">
        <v>746</v>
      </c>
      <c r="F96" s="49" t="s">
        <v>52</v>
      </c>
      <c r="G96" s="24" t="s">
        <v>1602</v>
      </c>
    </row>
    <row r="97" spans="1:7" hidden="1">
      <c r="A97" s="36" t="s">
        <v>839</v>
      </c>
      <c r="B97" s="36" t="s">
        <v>314</v>
      </c>
      <c r="C97" s="36" t="str">
        <f>_xlfn.CONCAT(Table4[[#This Row],[Ledger Name]],Table4[[#This Row],[Entity Name]])</f>
        <v>Security Deposit-Guntur OfficeExpora</v>
      </c>
      <c r="D97" s="36" t="s">
        <v>936</v>
      </c>
      <c r="E97" s="49" t="s">
        <v>746</v>
      </c>
      <c r="F97" s="49" t="s">
        <v>52</v>
      </c>
      <c r="G97" s="24" t="s">
        <v>1602</v>
      </c>
    </row>
    <row r="98" spans="1:7" hidden="1">
      <c r="A98" s="36" t="s">
        <v>953</v>
      </c>
      <c r="B98" s="36" t="s">
        <v>314</v>
      </c>
      <c r="C98" s="36" t="str">
        <f>_xlfn.CONCAT(Table4[[#This Row],[Ledger Name]],Table4[[#This Row],[Entity Name]])</f>
        <v>Total for Security DepositExpora</v>
      </c>
      <c r="D98" s="36" t="s">
        <v>952</v>
      </c>
      <c r="E98" s="49">
        <v>0</v>
      </c>
      <c r="F98" s="49">
        <v>0</v>
      </c>
      <c r="G98" s="24"/>
    </row>
    <row r="99" spans="1:7" hidden="1">
      <c r="A99" s="36" t="s">
        <v>177</v>
      </c>
      <c r="B99" s="36" t="s">
        <v>314</v>
      </c>
      <c r="C99" s="36" t="str">
        <f>_xlfn.CONCAT(Table4[[#This Row],[Ledger Name]],Table4[[#This Row],[Entity Name]])</f>
        <v>TCSExpora</v>
      </c>
      <c r="D99" s="36" t="s">
        <v>936</v>
      </c>
      <c r="E99" s="49" t="s">
        <v>746</v>
      </c>
      <c r="F99" s="49" t="s">
        <v>52</v>
      </c>
      <c r="G99" s="24" t="s">
        <v>1600</v>
      </c>
    </row>
    <row r="100" spans="1:7" hidden="1">
      <c r="A100" s="36" t="s">
        <v>67</v>
      </c>
      <c r="B100" s="36" t="s">
        <v>314</v>
      </c>
      <c r="C100" s="36" t="str">
        <f>_xlfn.CONCAT(Table4[[#This Row],[Ledger Name]],Table4[[#This Row],[Entity Name]])</f>
        <v>TCS ReceivableExpora</v>
      </c>
      <c r="D100" s="36" t="s">
        <v>936</v>
      </c>
      <c r="E100" s="49" t="s">
        <v>746</v>
      </c>
      <c r="F100" s="49" t="s">
        <v>52</v>
      </c>
      <c r="G100" s="24" t="s">
        <v>1600</v>
      </c>
    </row>
    <row r="101" spans="1:7" hidden="1">
      <c r="A101" s="36" t="s">
        <v>768</v>
      </c>
      <c r="B101" s="36" t="s">
        <v>314</v>
      </c>
      <c r="C101" s="36" t="str">
        <f>_xlfn.CONCAT(Table4[[#This Row],[Ledger Name]],Table4[[#This Row],[Entity Name]])</f>
        <v>TDS ReceivableExpora</v>
      </c>
      <c r="D101" s="36" t="s">
        <v>936</v>
      </c>
      <c r="E101" s="49" t="s">
        <v>746</v>
      </c>
      <c r="F101" s="49" t="s">
        <v>52</v>
      </c>
      <c r="G101" s="24" t="s">
        <v>1601</v>
      </c>
    </row>
    <row r="102" spans="1:7" hidden="1">
      <c r="A102" s="36" t="s">
        <v>759</v>
      </c>
      <c r="B102" s="36" t="s">
        <v>314</v>
      </c>
      <c r="C102" s="36" t="str">
        <f>_xlfn.CONCAT(Table4[[#This Row],[Ledger Name]],Table4[[#This Row],[Entity Name]])</f>
        <v>Tradearch Market Platforms Pvt Ltd -OD ACCOUNT AXISExpora</v>
      </c>
      <c r="D102" s="36" t="s">
        <v>936</v>
      </c>
      <c r="E102" s="49" t="s">
        <v>746</v>
      </c>
      <c r="F102" s="49" t="s">
        <v>345</v>
      </c>
      <c r="G102" s="24" t="s">
        <v>1749</v>
      </c>
    </row>
    <row r="103" spans="1:7" hidden="1">
      <c r="A103" s="36" t="s">
        <v>840</v>
      </c>
      <c r="B103" s="36" t="s">
        <v>314</v>
      </c>
      <c r="C103" s="36" t="str">
        <f>_xlfn.CONCAT(Table4[[#This Row],[Ledger Name]],Table4[[#This Row],[Entity Name]])</f>
        <v>Tradearch Market Platforms Pvt Ltd- SCExpora</v>
      </c>
      <c r="D103" s="36" t="s">
        <v>936</v>
      </c>
      <c r="E103" s="49" t="s">
        <v>746</v>
      </c>
      <c r="F103" s="49" t="s">
        <v>24</v>
      </c>
      <c r="G103" s="101" t="s">
        <v>1613</v>
      </c>
    </row>
    <row r="104" spans="1:7" hidden="1">
      <c r="A104" s="36" t="s">
        <v>417</v>
      </c>
      <c r="B104" s="36" t="s">
        <v>314</v>
      </c>
      <c r="C104" s="36" t="str">
        <f>_xlfn.CONCAT(Table4[[#This Row],[Ledger Name]],Table4[[#This Row],[Entity Name]])</f>
        <v>LiabilitiesExpora</v>
      </c>
      <c r="D104" s="36" t="s">
        <v>952</v>
      </c>
      <c r="E104" s="49">
        <v>0</v>
      </c>
      <c r="F104" s="49">
        <v>0</v>
      </c>
      <c r="G104" s="101">
        <v>0</v>
      </c>
    </row>
    <row r="105" spans="1:7" hidden="1">
      <c r="A105" s="36" t="s">
        <v>391</v>
      </c>
      <c r="B105" s="36" t="s">
        <v>314</v>
      </c>
      <c r="C105" s="36" t="str">
        <f>_xlfn.CONCAT(Table4[[#This Row],[Ledger Name]],Table4[[#This Row],[Entity Name]])</f>
        <v>4505060100457296Expora</v>
      </c>
      <c r="D105" s="36" t="s">
        <v>936</v>
      </c>
      <c r="E105" s="49" t="s">
        <v>746</v>
      </c>
      <c r="F105" s="49" t="s">
        <v>52</v>
      </c>
      <c r="G105" s="24" t="s">
        <v>1628</v>
      </c>
    </row>
    <row r="106" spans="1:7" hidden="1">
      <c r="A106" s="36" t="s">
        <v>392</v>
      </c>
      <c r="B106" s="36" t="s">
        <v>314</v>
      </c>
      <c r="C106" s="36" t="str">
        <f>_xlfn.CONCAT(Table4[[#This Row],[Ledger Name]],Table4[[#This Row],[Entity Name]])</f>
        <v>4505060100457304Expora</v>
      </c>
      <c r="D106" s="36" t="s">
        <v>936</v>
      </c>
      <c r="E106" s="49" t="s">
        <v>746</v>
      </c>
      <c r="F106" s="49" t="s">
        <v>52</v>
      </c>
      <c r="G106" s="24" t="s">
        <v>1628</v>
      </c>
    </row>
    <row r="107" spans="1:7" hidden="1">
      <c r="A107" s="36" t="s">
        <v>488</v>
      </c>
      <c r="B107" s="36" t="s">
        <v>314</v>
      </c>
      <c r="C107" s="36" t="str">
        <f>_xlfn.CONCAT(Table4[[#This Row],[Ledger Name]],Table4[[#This Row],[Entity Name]])</f>
        <v>Accounts PayableExpora</v>
      </c>
      <c r="D107" s="36" t="s">
        <v>936</v>
      </c>
      <c r="E107" s="49" t="s">
        <v>746</v>
      </c>
      <c r="F107" s="49" t="s">
        <v>22</v>
      </c>
      <c r="G107" s="101" t="s">
        <v>22</v>
      </c>
    </row>
    <row r="108" spans="1:7" hidden="1">
      <c r="A108" s="36" t="s">
        <v>337</v>
      </c>
      <c r="B108" s="36" t="s">
        <v>314</v>
      </c>
      <c r="C108" s="36" t="str">
        <f>_xlfn.CONCAT(Table4[[#This Row],[Ledger Name]],Table4[[#This Row],[Entity Name]])</f>
        <v>Advance from CustomerExpora</v>
      </c>
      <c r="D108" s="36" t="s">
        <v>936</v>
      </c>
      <c r="E108" s="49" t="s">
        <v>746</v>
      </c>
      <c r="F108" s="49" t="s">
        <v>287</v>
      </c>
      <c r="G108" s="6" t="s">
        <v>287</v>
      </c>
    </row>
    <row r="109" spans="1:7" hidden="1">
      <c r="A109" s="36" t="s">
        <v>265</v>
      </c>
      <c r="B109" s="36" t="s">
        <v>314</v>
      </c>
      <c r="C109" s="36" t="str">
        <f>_xlfn.CONCAT(Table4[[#This Row],[Ledger Name]],Table4[[#This Row],[Entity Name]])</f>
        <v>Vichi Agro Products Pvt. Ltd.Expora</v>
      </c>
      <c r="D109" s="36" t="s">
        <v>936</v>
      </c>
      <c r="E109" s="49" t="s">
        <v>746</v>
      </c>
      <c r="F109" s="49" t="s">
        <v>287</v>
      </c>
      <c r="G109" s="6" t="s">
        <v>287</v>
      </c>
    </row>
    <row r="110" spans="1:7" hidden="1">
      <c r="A110" s="36" t="s">
        <v>489</v>
      </c>
      <c r="B110" s="36" t="s">
        <v>314</v>
      </c>
      <c r="C110" s="36" t="str">
        <f>_xlfn.CONCAT(Table4[[#This Row],[Ledger Name]],Table4[[#This Row],[Entity Name]])</f>
        <v>Total for Advance from CustomerExpora</v>
      </c>
      <c r="D110" s="36" t="s">
        <v>952</v>
      </c>
      <c r="E110" s="49">
        <v>0</v>
      </c>
      <c r="F110" s="49">
        <v>0</v>
      </c>
      <c r="G110" s="101">
        <v>0</v>
      </c>
    </row>
    <row r="111" spans="1:7" hidden="1">
      <c r="A111" s="36" t="s">
        <v>490</v>
      </c>
      <c r="B111" s="36" t="s">
        <v>314</v>
      </c>
      <c r="C111" s="36" t="str">
        <f>_xlfn.CONCAT(Table4[[#This Row],[Ledger Name]],Table4[[#This Row],[Entity Name]])</f>
        <v>Employee ReimbursementsExpora</v>
      </c>
      <c r="D111" s="36" t="s">
        <v>952</v>
      </c>
      <c r="E111" s="49">
        <v>0</v>
      </c>
      <c r="F111" s="49">
        <v>0</v>
      </c>
      <c r="G111" s="101">
        <v>0</v>
      </c>
    </row>
    <row r="112" spans="1:7" hidden="1">
      <c r="A112" s="36" t="s">
        <v>402</v>
      </c>
      <c r="B112" s="36" t="s">
        <v>314</v>
      </c>
      <c r="C112" s="36" t="str">
        <f>_xlfn.CONCAT(Table4[[#This Row],[Ledger Name]],Table4[[#This Row],[Entity Name]])</f>
        <v>Ankit Panchbhai Reimbursement.Expora</v>
      </c>
      <c r="D112" s="36" t="s">
        <v>936</v>
      </c>
      <c r="E112" s="49" t="s">
        <v>746</v>
      </c>
      <c r="F112" s="49" t="s">
        <v>52</v>
      </c>
      <c r="G112" s="6" t="s">
        <v>1625</v>
      </c>
    </row>
    <row r="113" spans="1:7" hidden="1">
      <c r="A113" s="36" t="s">
        <v>118</v>
      </c>
      <c r="B113" s="36" t="s">
        <v>314</v>
      </c>
      <c r="C113" s="36" t="str">
        <f>_xlfn.CONCAT(Table4[[#This Row],[Ledger Name]],Table4[[#This Row],[Entity Name]])</f>
        <v>Devanshu ReimbursementExpora</v>
      </c>
      <c r="D113" s="36" t="s">
        <v>936</v>
      </c>
      <c r="E113" s="49" t="s">
        <v>746</v>
      </c>
      <c r="F113" s="49" t="s">
        <v>52</v>
      </c>
      <c r="G113" s="6" t="s">
        <v>1625</v>
      </c>
    </row>
    <row r="114" spans="1:7" hidden="1">
      <c r="A114" s="36" t="s">
        <v>340</v>
      </c>
      <c r="B114" s="36" t="s">
        <v>314</v>
      </c>
      <c r="C114" s="36" t="str">
        <f>_xlfn.CONCAT(Table4[[#This Row],[Ledger Name]],Table4[[#This Row],[Entity Name]])</f>
        <v>Manoj ReimbursementExpora</v>
      </c>
      <c r="D114" s="36" t="s">
        <v>936</v>
      </c>
      <c r="E114" s="49" t="s">
        <v>746</v>
      </c>
      <c r="F114" s="49" t="s">
        <v>52</v>
      </c>
      <c r="G114" s="6" t="s">
        <v>1625</v>
      </c>
    </row>
    <row r="115" spans="1:7" hidden="1">
      <c r="A115" s="36" t="s">
        <v>406</v>
      </c>
      <c r="B115" s="36" t="s">
        <v>314</v>
      </c>
      <c r="C115" s="36" t="str">
        <f>_xlfn.CONCAT(Table4[[#This Row],[Ledger Name]],Table4[[#This Row],[Entity Name]])</f>
        <v>Prakash ReimbursementExpora</v>
      </c>
      <c r="D115" s="36" t="s">
        <v>936</v>
      </c>
      <c r="E115" s="49" t="s">
        <v>746</v>
      </c>
      <c r="F115" s="49" t="s">
        <v>52</v>
      </c>
      <c r="G115" s="6" t="s">
        <v>1625</v>
      </c>
    </row>
    <row r="116" spans="1:7" hidden="1">
      <c r="A116" s="36" t="s">
        <v>596</v>
      </c>
      <c r="B116" s="36" t="s">
        <v>314</v>
      </c>
      <c r="C116" s="36" t="str">
        <f>_xlfn.CONCAT(Table4[[#This Row],[Ledger Name]],Table4[[#This Row],[Entity Name]])</f>
        <v>Saranya reimbursementExpora</v>
      </c>
      <c r="D116" s="36" t="s">
        <v>936</v>
      </c>
      <c r="E116" s="49" t="s">
        <v>746</v>
      </c>
      <c r="F116" s="49" t="s">
        <v>52</v>
      </c>
      <c r="G116" s="6" t="s">
        <v>1625</v>
      </c>
    </row>
    <row r="117" spans="1:7" hidden="1">
      <c r="A117" s="36" t="s">
        <v>443</v>
      </c>
      <c r="B117" s="36" t="s">
        <v>314</v>
      </c>
      <c r="C117" s="36" t="str">
        <f>_xlfn.CONCAT(Table4[[#This Row],[Ledger Name]],Table4[[#This Row],[Entity Name]])</f>
        <v>Ved ReimbursementExpora</v>
      </c>
      <c r="D117" s="36" t="s">
        <v>936</v>
      </c>
      <c r="E117" s="49" t="s">
        <v>746</v>
      </c>
      <c r="F117" s="49" t="s">
        <v>52</v>
      </c>
      <c r="G117" s="6" t="s">
        <v>1625</v>
      </c>
    </row>
    <row r="118" spans="1:7" hidden="1">
      <c r="A118" s="36" t="s">
        <v>711</v>
      </c>
      <c r="B118" s="36" t="s">
        <v>314</v>
      </c>
      <c r="C118" s="36" t="str">
        <f>_xlfn.CONCAT(Table4[[#This Row],[Ledger Name]],Table4[[#This Row],[Entity Name]])</f>
        <v>Viral ReimbursementExpora</v>
      </c>
      <c r="D118" s="36" t="s">
        <v>936</v>
      </c>
      <c r="E118" s="49" t="s">
        <v>746</v>
      </c>
      <c r="F118" s="49" t="s">
        <v>195</v>
      </c>
      <c r="G118" s="6" t="s">
        <v>1625</v>
      </c>
    </row>
    <row r="119" spans="1:7" hidden="1">
      <c r="A119" s="36" t="s">
        <v>491</v>
      </c>
      <c r="B119" s="36" t="s">
        <v>314</v>
      </c>
      <c r="C119" s="36" t="str">
        <f>_xlfn.CONCAT(Table4[[#This Row],[Ledger Name]],Table4[[#This Row],[Entity Name]])</f>
        <v>Total for Employee ReimbursementsExpora</v>
      </c>
      <c r="D119" s="36" t="s">
        <v>952</v>
      </c>
      <c r="E119" s="49">
        <v>0</v>
      </c>
      <c r="F119" s="49">
        <v>0</v>
      </c>
      <c r="G119" s="101">
        <v>0</v>
      </c>
    </row>
    <row r="120" spans="1:7" hidden="1">
      <c r="A120" s="36" t="s">
        <v>893</v>
      </c>
      <c r="B120" s="36" t="s">
        <v>314</v>
      </c>
      <c r="C120" s="36" t="str">
        <f>_xlfn.CONCAT(Table4[[#This Row],[Ledger Name]],Table4[[#This Row],[Entity Name]])</f>
        <v>F02EBOU241095001Expora</v>
      </c>
      <c r="D120" s="36" t="s">
        <v>952</v>
      </c>
      <c r="E120" s="49">
        <v>0</v>
      </c>
      <c r="F120" s="49">
        <v>0</v>
      </c>
      <c r="G120" s="101">
        <v>0</v>
      </c>
    </row>
    <row r="121" spans="1:7" hidden="1">
      <c r="A121" s="36" t="s">
        <v>876</v>
      </c>
      <c r="B121" s="36" t="s">
        <v>314</v>
      </c>
      <c r="C121" s="36" t="str">
        <f>_xlfn.CONCAT(Table4[[#This Row],[Ledger Name]],Table4[[#This Row],[Entity Name]])</f>
        <v>Loan TAEXP2425001 BDExpora</v>
      </c>
      <c r="D121" s="36" t="s">
        <v>936</v>
      </c>
      <c r="E121" s="49" t="s">
        <v>746</v>
      </c>
      <c r="F121" s="49" t="s">
        <v>345</v>
      </c>
      <c r="G121" s="24" t="s">
        <v>968</v>
      </c>
    </row>
    <row r="122" spans="1:7" hidden="1">
      <c r="A122" s="36" t="s">
        <v>954</v>
      </c>
      <c r="B122" s="36" t="s">
        <v>314</v>
      </c>
      <c r="C122" s="36" t="str">
        <f>_xlfn.CONCAT(Table4[[#This Row],[Ledger Name]],Table4[[#This Row],[Entity Name]])</f>
        <v>Total for F02EBOU241095001Expora</v>
      </c>
      <c r="D122" s="36" t="s">
        <v>952</v>
      </c>
      <c r="E122" s="49">
        <v>0</v>
      </c>
      <c r="F122" s="49">
        <v>0</v>
      </c>
      <c r="G122" s="101">
        <v>0</v>
      </c>
    </row>
    <row r="123" spans="1:7" hidden="1">
      <c r="A123" s="36" t="s">
        <v>814</v>
      </c>
      <c r="B123" s="36" t="s">
        <v>314</v>
      </c>
      <c r="C123" s="36" t="str">
        <f>_xlfn.CONCAT(Table4[[#This Row],[Ledger Name]],Table4[[#This Row],[Entity Name]])</f>
        <v>Gratuity Payable- CurrentExpora</v>
      </c>
      <c r="D123" s="36" t="s">
        <v>936</v>
      </c>
      <c r="E123" s="49" t="s">
        <v>746</v>
      </c>
      <c r="F123" s="49" t="s">
        <v>195</v>
      </c>
      <c r="G123" s="24" t="s">
        <v>1622</v>
      </c>
    </row>
    <row r="124" spans="1:7" hidden="1">
      <c r="A124" s="36" t="s">
        <v>815</v>
      </c>
      <c r="B124" s="36" t="s">
        <v>314</v>
      </c>
      <c r="C124" s="36" t="str">
        <f>_xlfn.CONCAT(Table4[[#This Row],[Ledger Name]],Table4[[#This Row],[Entity Name]])</f>
        <v>Gratuity Payable- Non CurrentExpora</v>
      </c>
      <c r="D124" s="36" t="s">
        <v>936</v>
      </c>
      <c r="E124" s="49" t="s">
        <v>746</v>
      </c>
      <c r="F124" s="49" t="s">
        <v>195</v>
      </c>
      <c r="G124" s="24" t="s">
        <v>1622</v>
      </c>
    </row>
    <row r="125" spans="1:7" hidden="1">
      <c r="A125" s="36" t="s">
        <v>492</v>
      </c>
      <c r="B125" s="36" t="s">
        <v>314</v>
      </c>
      <c r="C125" s="36" t="str">
        <f>_xlfn.CONCAT(Table4[[#This Row],[Ledger Name]],Table4[[#This Row],[Entity Name]])</f>
        <v>GST PayableExpora</v>
      </c>
      <c r="D125" s="36" t="s">
        <v>936</v>
      </c>
      <c r="E125" s="49" t="s">
        <v>746</v>
      </c>
      <c r="F125" s="49" t="s">
        <v>63</v>
      </c>
      <c r="G125" s="36" t="s">
        <v>492</v>
      </c>
    </row>
    <row r="126" spans="1:7" hidden="1">
      <c r="A126" s="36" t="s">
        <v>493</v>
      </c>
      <c r="B126" s="36" t="s">
        <v>314</v>
      </c>
      <c r="C126" s="36" t="str">
        <f>_xlfn.CONCAT(Table4[[#This Row],[Ledger Name]],Table4[[#This Row],[Entity Name]])</f>
        <v>Output CGSTExpora</v>
      </c>
      <c r="D126" s="36" t="s">
        <v>936</v>
      </c>
      <c r="E126" s="49" t="s">
        <v>746</v>
      </c>
      <c r="F126" s="49" t="s">
        <v>63</v>
      </c>
      <c r="G126" s="36" t="s">
        <v>492</v>
      </c>
    </row>
    <row r="127" spans="1:7" hidden="1">
      <c r="A127" s="36" t="s">
        <v>494</v>
      </c>
      <c r="B127" s="36" t="s">
        <v>314</v>
      </c>
      <c r="C127" s="36" t="str">
        <f>_xlfn.CONCAT(Table4[[#This Row],[Ledger Name]],Table4[[#This Row],[Entity Name]])</f>
        <v>Output IGSTExpora</v>
      </c>
      <c r="D127" s="36" t="s">
        <v>936</v>
      </c>
      <c r="E127" s="49" t="s">
        <v>746</v>
      </c>
      <c r="F127" s="49" t="s">
        <v>63</v>
      </c>
      <c r="G127" s="36" t="s">
        <v>492</v>
      </c>
    </row>
    <row r="128" spans="1:7" hidden="1">
      <c r="A128" s="36" t="s">
        <v>495</v>
      </c>
      <c r="B128" s="36" t="s">
        <v>314</v>
      </c>
      <c r="C128" s="36" t="str">
        <f>_xlfn.CONCAT(Table4[[#This Row],[Ledger Name]],Table4[[#This Row],[Entity Name]])</f>
        <v>Output SGSTExpora</v>
      </c>
      <c r="D128" s="36" t="s">
        <v>936</v>
      </c>
      <c r="E128" s="49" t="s">
        <v>746</v>
      </c>
      <c r="F128" s="49" t="s">
        <v>63</v>
      </c>
      <c r="G128" s="36" t="s">
        <v>492</v>
      </c>
    </row>
    <row r="129" spans="1:12" hidden="1">
      <c r="A129" s="36" t="s">
        <v>496</v>
      </c>
      <c r="B129" s="36" t="s">
        <v>314</v>
      </c>
      <c r="C129" s="36" t="str">
        <f>_xlfn.CONCAT(Table4[[#This Row],[Ledger Name]],Table4[[#This Row],[Entity Name]])</f>
        <v>Total for GST PayableExpora</v>
      </c>
      <c r="D129" s="36" t="s">
        <v>952</v>
      </c>
      <c r="E129" s="49">
        <v>0</v>
      </c>
      <c r="F129" s="49">
        <v>0</v>
      </c>
      <c r="G129" s="101">
        <v>0</v>
      </c>
    </row>
    <row r="130" spans="1:12" hidden="1">
      <c r="A130" s="36" t="s">
        <v>894</v>
      </c>
      <c r="B130" s="36" t="s">
        <v>314</v>
      </c>
      <c r="C130" s="36" t="str">
        <f>_xlfn.CONCAT(Table4[[#This Row],[Ledger Name]],Table4[[#This Row],[Entity Name]])</f>
        <v>Inter Corporate DepositExpora</v>
      </c>
      <c r="D130" s="36" t="s">
        <v>936</v>
      </c>
      <c r="E130" s="49" t="s">
        <v>746</v>
      </c>
      <c r="F130" s="49" t="s">
        <v>23</v>
      </c>
      <c r="G130" s="186" t="s">
        <v>1631</v>
      </c>
    </row>
    <row r="131" spans="1:12" hidden="1">
      <c r="A131" s="36" t="s">
        <v>97</v>
      </c>
      <c r="B131" s="36" t="s">
        <v>314</v>
      </c>
      <c r="C131" s="36" t="str">
        <f>_xlfn.CONCAT(Table4[[#This Row],[Ledger Name]],Table4[[#This Row],[Entity Name]])</f>
        <v>Interest on Unsecured Loan PayableExpora</v>
      </c>
      <c r="D131" s="36" t="s">
        <v>952</v>
      </c>
      <c r="E131" s="49">
        <v>0</v>
      </c>
      <c r="F131" s="49">
        <v>0</v>
      </c>
      <c r="G131" s="101">
        <v>0</v>
      </c>
    </row>
    <row r="132" spans="1:12" hidden="1">
      <c r="A132" s="36" t="s">
        <v>301</v>
      </c>
      <c r="B132" s="36" t="s">
        <v>314</v>
      </c>
      <c r="C132" s="36" t="str">
        <f>_xlfn.CONCAT(Table4[[#This Row],[Ledger Name]],Table4[[#This Row],[Entity Name]])</f>
        <v>Interest on Unsecured Loan Payable- BSExpora</v>
      </c>
      <c r="D132" s="36" t="s">
        <v>936</v>
      </c>
      <c r="E132" s="49" t="s">
        <v>746</v>
      </c>
      <c r="F132" s="49" t="s">
        <v>48</v>
      </c>
      <c r="G132" s="101" t="s">
        <v>48</v>
      </c>
    </row>
    <row r="133" spans="1:12" hidden="1">
      <c r="A133" s="36" t="s">
        <v>302</v>
      </c>
      <c r="B133" s="36" t="s">
        <v>314</v>
      </c>
      <c r="C133" s="36" t="str">
        <f>_xlfn.CONCAT(Table4[[#This Row],[Ledger Name]],Table4[[#This Row],[Entity Name]])</f>
        <v>Interest on Unsecured Loan Payable- PMPLExpora</v>
      </c>
      <c r="D133" s="36" t="s">
        <v>936</v>
      </c>
      <c r="E133" s="49" t="s">
        <v>746</v>
      </c>
      <c r="F133" s="49" t="s">
        <v>48</v>
      </c>
      <c r="G133" s="101" t="s">
        <v>48</v>
      </c>
    </row>
    <row r="134" spans="1:12" hidden="1">
      <c r="A134" s="36" t="s">
        <v>296</v>
      </c>
      <c r="B134" s="36" t="s">
        <v>314</v>
      </c>
      <c r="C134" s="36" t="str">
        <f>_xlfn.CONCAT(Table4[[#This Row],[Ledger Name]],Table4[[#This Row],[Entity Name]])</f>
        <v>Interest on Unsecured Loan Payable- PSExpora</v>
      </c>
      <c r="D134" s="36" t="s">
        <v>936</v>
      </c>
      <c r="E134" s="49" t="s">
        <v>746</v>
      </c>
      <c r="F134" s="49" t="s">
        <v>48</v>
      </c>
      <c r="G134" s="101" t="s">
        <v>48</v>
      </c>
    </row>
    <row r="135" spans="1:12" hidden="1">
      <c r="A135" s="36" t="s">
        <v>303</v>
      </c>
      <c r="B135" s="36" t="s">
        <v>314</v>
      </c>
      <c r="C135" s="36" t="str">
        <f>_xlfn.CONCAT(Table4[[#This Row],[Ledger Name]],Table4[[#This Row],[Entity Name]])</f>
        <v>Interest on Unsecured Loan Payable- SSExpora</v>
      </c>
      <c r="D135" s="36" t="s">
        <v>936</v>
      </c>
      <c r="E135" s="49" t="s">
        <v>746</v>
      </c>
      <c r="F135" s="49" t="s">
        <v>48</v>
      </c>
      <c r="G135" s="101" t="s">
        <v>48</v>
      </c>
    </row>
    <row r="136" spans="1:12" hidden="1">
      <c r="A136" s="36" t="s">
        <v>497</v>
      </c>
      <c r="B136" s="36" t="s">
        <v>314</v>
      </c>
      <c r="C136" s="36" t="str">
        <f>_xlfn.CONCAT(Table4[[#This Row],[Ledger Name]],Table4[[#This Row],[Entity Name]])</f>
        <v>Total for Interest on Unsecured Loan PayableExpora</v>
      </c>
      <c r="D136" s="36" t="s">
        <v>952</v>
      </c>
      <c r="E136" s="49">
        <v>0</v>
      </c>
      <c r="F136" s="49">
        <v>0</v>
      </c>
      <c r="G136" s="101">
        <v>0</v>
      </c>
    </row>
    <row r="137" spans="1:12" hidden="1">
      <c r="A137" s="36" t="s">
        <v>561</v>
      </c>
      <c r="B137" s="36" t="s">
        <v>314</v>
      </c>
      <c r="C137" s="36" t="str">
        <f>_xlfn.CONCAT(Table4[[#This Row],[Ledger Name]],Table4[[#This Row],[Entity Name]])</f>
        <v>Opening Balance AdjustmentsExpora</v>
      </c>
      <c r="D137" s="36" t="s">
        <v>936</v>
      </c>
      <c r="E137" s="49" t="s">
        <v>746</v>
      </c>
      <c r="F137" s="49">
        <v>0</v>
      </c>
      <c r="G137" s="24" t="s">
        <v>1602</v>
      </c>
    </row>
    <row r="138" spans="1:12" hidden="1">
      <c r="A138" s="36" t="s">
        <v>498</v>
      </c>
      <c r="B138" s="36" t="s">
        <v>314</v>
      </c>
      <c r="C138" s="36" t="str">
        <f>_xlfn.CONCAT(Table4[[#This Row],[Ledger Name]],Table4[[#This Row],[Entity Name]])</f>
        <v>Payment received from the VendorExpora</v>
      </c>
      <c r="D138" s="36" t="s">
        <v>936</v>
      </c>
      <c r="E138" s="49" t="s">
        <v>746</v>
      </c>
      <c r="F138" s="49" t="s">
        <v>287</v>
      </c>
      <c r="G138" s="24" t="s">
        <v>1608</v>
      </c>
    </row>
    <row r="139" spans="1:12" hidden="1">
      <c r="A139" s="36" t="s">
        <v>89</v>
      </c>
      <c r="B139" s="36" t="s">
        <v>314</v>
      </c>
      <c r="C139" s="36" t="str">
        <f>_xlfn.CONCAT(Table4[[#This Row],[Ledger Name]],Table4[[#This Row],[Entity Name]])</f>
        <v>Provident FundExpora</v>
      </c>
      <c r="D139" s="36" t="s">
        <v>936</v>
      </c>
      <c r="E139" s="49" t="s">
        <v>746</v>
      </c>
      <c r="F139" s="49" t="s">
        <v>63</v>
      </c>
      <c r="G139" s="101" t="s">
        <v>63</v>
      </c>
    </row>
    <row r="140" spans="1:12" hidden="1">
      <c r="A140" s="36" t="s">
        <v>841</v>
      </c>
      <c r="B140" s="36" t="s">
        <v>314</v>
      </c>
      <c r="C140" s="36" t="str">
        <f>_xlfn.CONCAT(Table4[[#This Row],[Ledger Name]],Table4[[#This Row],[Entity Name]])</f>
        <v>Provision for Doubtful LoanExpora</v>
      </c>
      <c r="D140" s="36" t="s">
        <v>936</v>
      </c>
      <c r="E140" s="49" t="s">
        <v>746</v>
      </c>
      <c r="F140" s="49" t="s">
        <v>195</v>
      </c>
      <c r="G140" s="24" t="s">
        <v>1618</v>
      </c>
    </row>
    <row r="141" spans="1:12" hidden="1">
      <c r="A141" s="36" t="s">
        <v>238</v>
      </c>
      <c r="B141" s="36" t="s">
        <v>314</v>
      </c>
      <c r="C141" s="36" t="str">
        <f>_xlfn.CONCAT(Table4[[#This Row],[Ledger Name]],Table4[[#This Row],[Entity Name]])</f>
        <v>Provision PayableExpora</v>
      </c>
      <c r="D141" s="162" t="s">
        <v>936</v>
      </c>
      <c r="E141" s="163" t="s">
        <v>746</v>
      </c>
      <c r="F141" s="163" t="s">
        <v>195</v>
      </c>
      <c r="G141" s="24" t="s">
        <v>1624</v>
      </c>
      <c r="I141" s="162"/>
      <c r="J141" s="163"/>
      <c r="K141" s="163"/>
      <c r="L141" s="164"/>
    </row>
    <row r="142" spans="1:12" hidden="1">
      <c r="A142" s="36" t="s">
        <v>207</v>
      </c>
      <c r="B142" s="36" t="s">
        <v>314</v>
      </c>
      <c r="C142" s="36" t="str">
        <f>_xlfn.CONCAT(Table4[[#This Row],[Ledger Name]],Table4[[#This Row],[Entity Name]])</f>
        <v>Salary PayableExpora</v>
      </c>
      <c r="D142" s="36" t="s">
        <v>936</v>
      </c>
      <c r="E142" s="49" t="s">
        <v>746</v>
      </c>
      <c r="F142" s="49" t="s">
        <v>195</v>
      </c>
      <c r="G142" s="6" t="s">
        <v>1623</v>
      </c>
    </row>
    <row r="143" spans="1:12" hidden="1">
      <c r="A143" s="36" t="s">
        <v>276</v>
      </c>
      <c r="B143" s="36" t="s">
        <v>314</v>
      </c>
      <c r="C143" s="36" t="str">
        <f>_xlfn.CONCAT(Table4[[#This Row],[Ledger Name]],Table4[[#This Row],[Entity Name]])</f>
        <v>Secured LoansExpora</v>
      </c>
      <c r="D143" s="36" t="s">
        <v>952</v>
      </c>
      <c r="E143" s="49">
        <v>0</v>
      </c>
      <c r="F143" s="49">
        <v>0</v>
      </c>
      <c r="G143" s="101">
        <v>0</v>
      </c>
    </row>
    <row r="144" spans="1:12" hidden="1">
      <c r="A144" s="36" t="s">
        <v>895</v>
      </c>
      <c r="B144" s="36" t="s">
        <v>314</v>
      </c>
      <c r="C144" s="36" t="str">
        <f>_xlfn.CONCAT(Table4[[#This Row],[Ledger Name]],Table4[[#This Row],[Entity Name]])</f>
        <v>F02EOBU241255003Expora</v>
      </c>
      <c r="D144" s="36" t="s">
        <v>952</v>
      </c>
      <c r="E144" s="49">
        <v>0</v>
      </c>
      <c r="F144" s="49">
        <v>0</v>
      </c>
      <c r="G144" s="101">
        <v>0</v>
      </c>
    </row>
    <row r="145" spans="1:7" hidden="1">
      <c r="A145" s="36" t="s">
        <v>896</v>
      </c>
      <c r="B145" s="36" t="s">
        <v>314</v>
      </c>
      <c r="C145" s="36" t="str">
        <f>_xlfn.CONCAT(Table4[[#This Row],[Ledger Name]],Table4[[#This Row],[Entity Name]])</f>
        <v>Loan TAEXP2425009 BDExpora</v>
      </c>
      <c r="D145" s="36" t="s">
        <v>936</v>
      </c>
      <c r="E145" s="49" t="s">
        <v>746</v>
      </c>
      <c r="F145" s="49" t="s">
        <v>345</v>
      </c>
      <c r="G145" s="24" t="s">
        <v>968</v>
      </c>
    </row>
    <row r="146" spans="1:7" hidden="1">
      <c r="A146" s="36" t="s">
        <v>955</v>
      </c>
      <c r="B146" s="36" t="s">
        <v>314</v>
      </c>
      <c r="C146" s="36" t="str">
        <f>_xlfn.CONCAT(Table4[[#This Row],[Ledger Name]],Table4[[#This Row],[Entity Name]])</f>
        <v>Total for F02EOBU241255003Expora</v>
      </c>
      <c r="D146" s="36" t="s">
        <v>952</v>
      </c>
      <c r="E146" s="49">
        <v>0</v>
      </c>
      <c r="F146" s="49">
        <v>0</v>
      </c>
      <c r="G146" s="101">
        <v>0</v>
      </c>
    </row>
    <row r="147" spans="1:7" hidden="1">
      <c r="A147" s="36" t="s">
        <v>897</v>
      </c>
      <c r="B147" s="36" t="s">
        <v>314</v>
      </c>
      <c r="C147" s="36" t="str">
        <f>_xlfn.CONCAT(Table4[[#This Row],[Ledger Name]],Table4[[#This Row],[Entity Name]])</f>
        <v>F02EOBU241255004Expora</v>
      </c>
      <c r="D147" s="36" t="s">
        <v>952</v>
      </c>
      <c r="E147" s="49">
        <v>0</v>
      </c>
      <c r="F147" s="49">
        <v>0</v>
      </c>
      <c r="G147" s="101">
        <v>0</v>
      </c>
    </row>
    <row r="148" spans="1:7" hidden="1">
      <c r="A148" s="36" t="s">
        <v>898</v>
      </c>
      <c r="B148" s="36" t="s">
        <v>314</v>
      </c>
      <c r="C148" s="36" t="str">
        <f>_xlfn.CONCAT(Table4[[#This Row],[Ledger Name]],Table4[[#This Row],[Entity Name]])</f>
        <v>Loan TAEXP2425011 BDExpora</v>
      </c>
      <c r="D148" s="36" t="s">
        <v>936</v>
      </c>
      <c r="E148" s="49" t="s">
        <v>746</v>
      </c>
      <c r="F148" s="49" t="s">
        <v>23</v>
      </c>
      <c r="G148" s="24" t="s">
        <v>968</v>
      </c>
    </row>
    <row r="149" spans="1:7" hidden="1">
      <c r="A149" s="36" t="s">
        <v>956</v>
      </c>
      <c r="B149" s="36" t="s">
        <v>314</v>
      </c>
      <c r="C149" s="36" t="str">
        <f>_xlfn.CONCAT(Table4[[#This Row],[Ledger Name]],Table4[[#This Row],[Entity Name]])</f>
        <v>Total for F02EOBU241255004Expora</v>
      </c>
      <c r="D149" s="36" t="s">
        <v>952</v>
      </c>
      <c r="E149" s="49">
        <v>0</v>
      </c>
      <c r="F149" s="49">
        <v>0</v>
      </c>
      <c r="G149" s="101">
        <v>0</v>
      </c>
    </row>
    <row r="150" spans="1:7" hidden="1">
      <c r="A150" s="36" t="s">
        <v>277</v>
      </c>
      <c r="B150" s="36" t="s">
        <v>314</v>
      </c>
      <c r="C150" s="36" t="str">
        <f>_xlfn.CONCAT(Table4[[#This Row],[Ledger Name]],Table4[[#This Row],[Entity Name]])</f>
        <v>Loan Under Bill DiscountingExpora</v>
      </c>
      <c r="D150" s="36" t="s">
        <v>952</v>
      </c>
      <c r="E150" s="49">
        <v>0</v>
      </c>
      <c r="F150" s="49">
        <v>0</v>
      </c>
      <c r="G150" s="101">
        <v>0</v>
      </c>
    </row>
    <row r="151" spans="1:7" hidden="1">
      <c r="A151" s="36" t="s">
        <v>899</v>
      </c>
      <c r="B151" s="36" t="s">
        <v>314</v>
      </c>
      <c r="C151" s="36" t="str">
        <f>_xlfn.CONCAT(Table4[[#This Row],[Ledger Name]],Table4[[#This Row],[Entity Name]])</f>
        <v>F02EOBU240405001Expora</v>
      </c>
      <c r="D151" s="36" t="s">
        <v>952</v>
      </c>
      <c r="E151" s="49">
        <v>0</v>
      </c>
      <c r="F151" s="49">
        <v>0</v>
      </c>
      <c r="G151" s="101">
        <v>0</v>
      </c>
    </row>
    <row r="152" spans="1:7" hidden="1">
      <c r="A152" s="36" t="s">
        <v>817</v>
      </c>
      <c r="B152" s="36" t="s">
        <v>314</v>
      </c>
      <c r="C152" s="36" t="str">
        <f>_xlfn.CONCAT(Table4[[#This Row],[Ledger Name]],Table4[[#This Row],[Entity Name]])</f>
        <v>Loan ASP/EXP/23-24/063 BDExpora</v>
      </c>
      <c r="D152" s="36" t="s">
        <v>936</v>
      </c>
      <c r="E152" s="49" t="s">
        <v>746</v>
      </c>
      <c r="F152" s="49" t="s">
        <v>345</v>
      </c>
      <c r="G152" s="24" t="s">
        <v>968</v>
      </c>
    </row>
    <row r="153" spans="1:7" hidden="1">
      <c r="A153" s="36" t="s">
        <v>957</v>
      </c>
      <c r="B153" s="36" t="s">
        <v>314</v>
      </c>
      <c r="C153" s="36" t="str">
        <f>_xlfn.CONCAT(Table4[[#This Row],[Ledger Name]],Table4[[#This Row],[Entity Name]])</f>
        <v>Total for F02EOBU240405001Expora</v>
      </c>
      <c r="D153" s="36" t="s">
        <v>952</v>
      </c>
      <c r="E153" s="49">
        <v>0</v>
      </c>
      <c r="F153" s="49">
        <v>0</v>
      </c>
      <c r="G153" s="101">
        <v>0</v>
      </c>
    </row>
    <row r="154" spans="1:7" hidden="1">
      <c r="A154" s="36" t="s">
        <v>885</v>
      </c>
      <c r="B154" s="36" t="s">
        <v>314</v>
      </c>
      <c r="C154" s="36" t="str">
        <f>_xlfn.CONCAT(Table4[[#This Row],[Ledger Name]],Table4[[#This Row],[Entity Name]])</f>
        <v>F02EOBU240595002Expora</v>
      </c>
      <c r="D154" s="36" t="s">
        <v>952</v>
      </c>
      <c r="E154" s="49">
        <v>0</v>
      </c>
      <c r="F154" s="49">
        <v>0</v>
      </c>
      <c r="G154" s="101">
        <v>0</v>
      </c>
    </row>
    <row r="155" spans="1:7" hidden="1">
      <c r="A155" s="36" t="s">
        <v>842</v>
      </c>
      <c r="B155" s="36" t="s">
        <v>314</v>
      </c>
      <c r="C155" s="36" t="str">
        <f>_xlfn.CONCAT(Table4[[#This Row],[Ledger Name]],Table4[[#This Row],[Entity Name]])</f>
        <v>Loan ASP/EXP/23-24/067 BDExpora</v>
      </c>
      <c r="D155" s="36" t="s">
        <v>936</v>
      </c>
      <c r="E155" s="49" t="s">
        <v>746</v>
      </c>
      <c r="F155" s="49" t="s">
        <v>345</v>
      </c>
      <c r="G155" s="24" t="s">
        <v>968</v>
      </c>
    </row>
    <row r="156" spans="1:7" hidden="1">
      <c r="A156" s="36" t="s">
        <v>958</v>
      </c>
      <c r="B156" s="36" t="s">
        <v>314</v>
      </c>
      <c r="C156" s="36" t="str">
        <f>_xlfn.CONCAT(Table4[[#This Row],[Ledger Name]],Table4[[#This Row],[Entity Name]])</f>
        <v>Total for F02EOBU240595002Expora</v>
      </c>
      <c r="D156" s="36" t="s">
        <v>952</v>
      </c>
      <c r="E156" s="49">
        <v>0</v>
      </c>
      <c r="F156" s="49">
        <v>0</v>
      </c>
      <c r="G156" s="101">
        <v>0</v>
      </c>
    </row>
    <row r="157" spans="1:7" hidden="1">
      <c r="A157" s="36" t="s">
        <v>900</v>
      </c>
      <c r="B157" s="36" t="s">
        <v>314</v>
      </c>
      <c r="C157" s="36" t="str">
        <f>_xlfn.CONCAT(Table4[[#This Row],[Ledger Name]],Table4[[#This Row],[Entity Name]])</f>
        <v>F02EOBU241365002Expora</v>
      </c>
      <c r="D157" s="36" t="s">
        <v>952</v>
      </c>
      <c r="E157" s="49">
        <v>0</v>
      </c>
      <c r="F157" s="49">
        <v>0</v>
      </c>
      <c r="G157" s="101">
        <v>0</v>
      </c>
    </row>
    <row r="158" spans="1:7" hidden="1">
      <c r="A158" s="36" t="s">
        <v>901</v>
      </c>
      <c r="B158" s="36" t="s">
        <v>314</v>
      </c>
      <c r="C158" s="36" t="str">
        <f>_xlfn.CONCAT(Table4[[#This Row],[Ledger Name]],Table4[[#This Row],[Entity Name]])</f>
        <v>Loan TAEXP2425008 BDExpora</v>
      </c>
      <c r="D158" s="36" t="s">
        <v>936</v>
      </c>
      <c r="E158" s="49" t="s">
        <v>746</v>
      </c>
      <c r="F158" s="49" t="s">
        <v>23</v>
      </c>
      <c r="G158" s="24" t="s">
        <v>968</v>
      </c>
    </row>
    <row r="159" spans="1:7" hidden="1">
      <c r="A159" s="36" t="s">
        <v>959</v>
      </c>
      <c r="B159" s="36" t="s">
        <v>314</v>
      </c>
      <c r="C159" s="36" t="str">
        <f>_xlfn.CONCAT(Table4[[#This Row],[Ledger Name]],Table4[[#This Row],[Entity Name]])</f>
        <v>Total for F02EOBU241365002Expora</v>
      </c>
      <c r="D159" s="36" t="s">
        <v>952</v>
      </c>
      <c r="E159" s="49">
        <v>0</v>
      </c>
      <c r="F159" s="49">
        <v>0</v>
      </c>
      <c r="G159" s="101">
        <v>0</v>
      </c>
    </row>
    <row r="160" spans="1:7" hidden="1">
      <c r="A160" s="36" t="s">
        <v>338</v>
      </c>
      <c r="B160" s="36" t="s">
        <v>314</v>
      </c>
      <c r="C160" s="36" t="str">
        <f>_xlfn.CONCAT(Table4[[#This Row],[Ledger Name]],Table4[[#This Row],[Entity Name]])</f>
        <v>Loan ASP/22-23/95- BDExpora</v>
      </c>
      <c r="D160" s="36" t="s">
        <v>936</v>
      </c>
      <c r="E160" s="49" t="s">
        <v>746</v>
      </c>
      <c r="F160" s="49" t="s">
        <v>345</v>
      </c>
      <c r="G160" s="24" t="s">
        <v>968</v>
      </c>
    </row>
    <row r="161" spans="1:7" hidden="1">
      <c r="A161" s="36" t="s">
        <v>902</v>
      </c>
      <c r="B161" s="36" t="s">
        <v>314</v>
      </c>
      <c r="C161" s="36" t="str">
        <f>_xlfn.CONCAT(Table4[[#This Row],[Ledger Name]],Table4[[#This Row],[Entity Name]])</f>
        <v>Loan TAEXP2425010 - BDExpora</v>
      </c>
      <c r="D161" s="36" t="s">
        <v>936</v>
      </c>
      <c r="E161" s="49" t="s">
        <v>746</v>
      </c>
      <c r="F161" s="49" t="s">
        <v>23</v>
      </c>
      <c r="G161" s="24" t="s">
        <v>968</v>
      </c>
    </row>
    <row r="162" spans="1:7" hidden="1">
      <c r="A162" s="36" t="s">
        <v>903</v>
      </c>
      <c r="B162" s="36" t="s">
        <v>314</v>
      </c>
      <c r="C162" s="36" t="str">
        <f>_xlfn.CONCAT(Table4[[#This Row],[Ledger Name]],Table4[[#This Row],[Entity Name]])</f>
        <v>Loan TAEXP2425012- BDExpora</v>
      </c>
      <c r="D162" s="36" t="s">
        <v>936</v>
      </c>
      <c r="E162" s="49" t="s">
        <v>746</v>
      </c>
      <c r="F162" s="49" t="s">
        <v>23</v>
      </c>
      <c r="G162" s="24" t="s">
        <v>968</v>
      </c>
    </row>
    <row r="163" spans="1:7" hidden="1">
      <c r="A163" s="36" t="s">
        <v>499</v>
      </c>
      <c r="B163" s="36" t="s">
        <v>314</v>
      </c>
      <c r="C163" s="36" t="str">
        <f>_xlfn.CONCAT(Table4[[#This Row],[Ledger Name]],Table4[[#This Row],[Entity Name]])</f>
        <v>Total for Loan Under Bill DiscountingExpora</v>
      </c>
      <c r="D163" s="36" t="s">
        <v>952</v>
      </c>
      <c r="E163" s="49">
        <v>0</v>
      </c>
      <c r="F163" s="49">
        <v>0</v>
      </c>
      <c r="G163" s="101">
        <v>0</v>
      </c>
    </row>
    <row r="164" spans="1:7" hidden="1">
      <c r="A164" s="36" t="s">
        <v>500</v>
      </c>
      <c r="B164" s="36" t="s">
        <v>314</v>
      </c>
      <c r="C164" s="36" t="str">
        <f>_xlfn.CONCAT(Table4[[#This Row],[Ledger Name]],Table4[[#This Row],[Entity Name]])</f>
        <v>PCFC LoansExpora</v>
      </c>
      <c r="D164" s="36" t="s">
        <v>952</v>
      </c>
      <c r="E164" s="49">
        <v>0</v>
      </c>
      <c r="F164" s="49">
        <v>0</v>
      </c>
      <c r="G164" s="101">
        <v>0</v>
      </c>
    </row>
    <row r="165" spans="1:7" hidden="1">
      <c r="A165" s="36" t="s">
        <v>339</v>
      </c>
      <c r="B165" s="36" t="s">
        <v>314</v>
      </c>
      <c r="C165" s="36" t="str">
        <f>_xlfn.CONCAT(Table4[[#This Row],[Ledger Name]],Table4[[#This Row],[Entity Name]])</f>
        <v>F02PCFC230825002Expora</v>
      </c>
      <c r="D165" s="36" t="s">
        <v>952</v>
      </c>
      <c r="E165" s="49">
        <v>0</v>
      </c>
      <c r="F165" s="49">
        <v>0</v>
      </c>
      <c r="G165" s="101">
        <v>0</v>
      </c>
    </row>
    <row r="166" spans="1:7" hidden="1">
      <c r="A166" s="36" t="s">
        <v>322</v>
      </c>
      <c r="B166" s="36" t="s">
        <v>314</v>
      </c>
      <c r="C166" s="36" t="str">
        <f>_xlfn.CONCAT(Table4[[#This Row],[Ledger Name]],Table4[[#This Row],[Entity Name]])</f>
        <v>DT/PO/2023/045Expora</v>
      </c>
      <c r="D166" s="36" t="s">
        <v>936</v>
      </c>
      <c r="E166" s="49" t="s">
        <v>746</v>
      </c>
      <c r="F166" s="49" t="s">
        <v>345</v>
      </c>
      <c r="G166" s="24" t="s">
        <v>968</v>
      </c>
    </row>
    <row r="167" spans="1:7" hidden="1">
      <c r="A167" s="36" t="s">
        <v>501</v>
      </c>
      <c r="B167" s="36" t="s">
        <v>314</v>
      </c>
      <c r="C167" s="36" t="str">
        <f>_xlfn.CONCAT(Table4[[#This Row],[Ledger Name]],Table4[[#This Row],[Entity Name]])</f>
        <v>Total for F02PCFC230825002Expora</v>
      </c>
      <c r="D167" s="36" t="s">
        <v>952</v>
      </c>
      <c r="E167" s="49">
        <v>0</v>
      </c>
      <c r="F167" s="49">
        <v>0</v>
      </c>
      <c r="G167" s="101">
        <v>0</v>
      </c>
    </row>
    <row r="168" spans="1:7" hidden="1">
      <c r="A168" s="36" t="s">
        <v>877</v>
      </c>
      <c r="B168" s="36" t="s">
        <v>314</v>
      </c>
      <c r="C168" s="36" t="str">
        <f>_xlfn.CONCAT(Table4[[#This Row],[Ledger Name]],Table4[[#This Row],[Entity Name]])</f>
        <v>PC D13194971Expora</v>
      </c>
      <c r="D168" s="36" t="s">
        <v>936</v>
      </c>
      <c r="E168" s="49" t="s">
        <v>746</v>
      </c>
      <c r="F168" s="49" t="s">
        <v>345</v>
      </c>
      <c r="G168" s="101" t="s">
        <v>278</v>
      </c>
    </row>
    <row r="169" spans="1:7" hidden="1">
      <c r="A169" s="36" t="s">
        <v>904</v>
      </c>
      <c r="B169" s="36" t="s">
        <v>314</v>
      </c>
      <c r="C169" s="36" t="str">
        <f>_xlfn.CONCAT(Table4[[#This Row],[Ledger Name]],Table4[[#This Row],[Entity Name]])</f>
        <v>PC D13225260Expora</v>
      </c>
      <c r="D169" s="36" t="s">
        <v>936</v>
      </c>
      <c r="E169" s="49" t="s">
        <v>746</v>
      </c>
      <c r="F169" s="49" t="s">
        <v>345</v>
      </c>
      <c r="G169" s="101" t="s">
        <v>278</v>
      </c>
    </row>
    <row r="170" spans="1:7" hidden="1">
      <c r="A170" s="36" t="s">
        <v>905</v>
      </c>
      <c r="B170" s="36" t="s">
        <v>314</v>
      </c>
      <c r="C170" s="36" t="str">
        <f>_xlfn.CONCAT(Table4[[#This Row],[Ledger Name]],Table4[[#This Row],[Entity Name]])</f>
        <v>PC D13242117Expora</v>
      </c>
      <c r="D170" s="36" t="s">
        <v>936</v>
      </c>
      <c r="E170" s="49" t="s">
        <v>746</v>
      </c>
      <c r="F170" s="49" t="s">
        <v>345</v>
      </c>
      <c r="G170" s="101" t="s">
        <v>278</v>
      </c>
    </row>
    <row r="171" spans="1:7" hidden="1">
      <c r="A171" s="36" t="s">
        <v>878</v>
      </c>
      <c r="B171" s="36" t="s">
        <v>314</v>
      </c>
      <c r="C171" s="36" t="str">
        <f>_xlfn.CONCAT(Table4[[#This Row],[Ledger Name]],Table4[[#This Row],[Entity Name]])</f>
        <v>PC-D13183307Expora</v>
      </c>
      <c r="D171" s="36" t="s">
        <v>952</v>
      </c>
      <c r="E171" s="49">
        <v>0</v>
      </c>
      <c r="F171" s="49">
        <v>0</v>
      </c>
      <c r="G171" s="101">
        <v>0</v>
      </c>
    </row>
    <row r="172" spans="1:7" hidden="1">
      <c r="A172" s="36" t="s">
        <v>879</v>
      </c>
      <c r="B172" s="36" t="s">
        <v>314</v>
      </c>
      <c r="C172" s="36" t="str">
        <f>_xlfn.CONCAT(Table4[[#This Row],[Ledger Name]],Table4[[#This Row],[Entity Name]])</f>
        <v>PURCHASE/60/2024Expora</v>
      </c>
      <c r="D172" s="36" t="s">
        <v>936</v>
      </c>
      <c r="E172" s="49" t="s">
        <v>746</v>
      </c>
      <c r="F172" s="49" t="s">
        <v>345</v>
      </c>
      <c r="G172" s="179" t="s">
        <v>1621</v>
      </c>
    </row>
    <row r="173" spans="1:7" hidden="1">
      <c r="A173" s="36" t="s">
        <v>960</v>
      </c>
      <c r="B173" s="36" t="s">
        <v>314</v>
      </c>
      <c r="C173" s="36" t="str">
        <f>_xlfn.CONCAT(Table4[[#This Row],[Ledger Name]],Table4[[#This Row],[Entity Name]])</f>
        <v>Total for PC-D13183307Expora</v>
      </c>
      <c r="D173" s="36" t="s">
        <v>952</v>
      </c>
      <c r="E173" s="49">
        <v>0</v>
      </c>
      <c r="F173" s="49">
        <v>0</v>
      </c>
      <c r="G173" s="101">
        <v>0</v>
      </c>
    </row>
    <row r="174" spans="1:7" hidden="1">
      <c r="A174" s="36" t="s">
        <v>502</v>
      </c>
      <c r="B174" s="36" t="s">
        <v>314</v>
      </c>
      <c r="C174" s="36" t="str">
        <f>_xlfn.CONCAT(Table4[[#This Row],[Ledger Name]],Table4[[#This Row],[Entity Name]])</f>
        <v>Total for PCFC LoansExpora</v>
      </c>
      <c r="D174" s="36" t="s">
        <v>952</v>
      </c>
      <c r="E174" s="49">
        <v>0</v>
      </c>
      <c r="F174" s="49">
        <v>0</v>
      </c>
      <c r="G174" s="101">
        <v>0</v>
      </c>
    </row>
    <row r="175" spans="1:7" hidden="1">
      <c r="A175" s="36" t="s">
        <v>906</v>
      </c>
      <c r="B175" s="36" t="s">
        <v>314</v>
      </c>
      <c r="C175" s="36" t="str">
        <f>_xlfn.CONCAT(Table4[[#This Row],[Ledger Name]],Table4[[#This Row],[Entity Name]])</f>
        <v>Warehouse FinanceExpora</v>
      </c>
      <c r="D175" s="36" t="s">
        <v>936</v>
      </c>
      <c r="E175" s="49" t="s">
        <v>746</v>
      </c>
      <c r="F175" s="49" t="s">
        <v>345</v>
      </c>
      <c r="G175" s="179" t="s">
        <v>1621</v>
      </c>
    </row>
    <row r="176" spans="1:7" hidden="1">
      <c r="A176" s="36" t="s">
        <v>445</v>
      </c>
      <c r="B176" s="36" t="s">
        <v>314</v>
      </c>
      <c r="C176" s="36" t="str">
        <f>_xlfn.CONCAT(Table4[[#This Row],[Ledger Name]],Table4[[#This Row],[Entity Name]])</f>
        <v>Canara BankExpora</v>
      </c>
      <c r="D176" s="36" t="s">
        <v>936</v>
      </c>
      <c r="E176" s="49" t="s">
        <v>746</v>
      </c>
      <c r="F176" s="49" t="s">
        <v>24</v>
      </c>
      <c r="G176" s="24" t="s">
        <v>1621</v>
      </c>
    </row>
    <row r="177" spans="1:7" hidden="1">
      <c r="A177" s="36" t="s">
        <v>708</v>
      </c>
      <c r="B177" s="36" t="s">
        <v>314</v>
      </c>
      <c r="C177" s="36" t="str">
        <f>_xlfn.CONCAT(Table4[[#This Row],[Ledger Name]],Table4[[#This Row],[Entity Name]])</f>
        <v>Black PepperExpora</v>
      </c>
      <c r="D177" s="36" t="s">
        <v>936</v>
      </c>
      <c r="E177" s="49" t="s">
        <v>746</v>
      </c>
      <c r="F177" s="49" t="s">
        <v>345</v>
      </c>
      <c r="G177" s="179" t="s">
        <v>278</v>
      </c>
    </row>
    <row r="178" spans="1:7" hidden="1">
      <c r="A178" s="36" t="s">
        <v>843</v>
      </c>
      <c r="B178" s="36" t="s">
        <v>314</v>
      </c>
      <c r="C178" s="36" t="str">
        <f>_xlfn.CONCAT(Table4[[#This Row],[Ledger Name]],Table4[[#This Row],[Entity Name]])</f>
        <v>Red ChilliExpora</v>
      </c>
      <c r="D178" s="36" t="s">
        <v>936</v>
      </c>
      <c r="E178" s="49" t="s">
        <v>746</v>
      </c>
      <c r="F178" s="49" t="s">
        <v>345</v>
      </c>
      <c r="G178" s="179" t="s">
        <v>278</v>
      </c>
    </row>
    <row r="179" spans="1:7" hidden="1">
      <c r="A179" s="36" t="s">
        <v>750</v>
      </c>
      <c r="B179" s="36" t="s">
        <v>314</v>
      </c>
      <c r="C179" s="36" t="str">
        <f>_xlfn.CONCAT(Table4[[#This Row],[Ledger Name]],Table4[[#This Row],[Entity Name]])</f>
        <v>Rice - Basmati - 1509 Steam RiceExpora</v>
      </c>
      <c r="D179" s="36" t="s">
        <v>936</v>
      </c>
      <c r="E179" s="49" t="s">
        <v>746</v>
      </c>
      <c r="F179" s="49" t="s">
        <v>345</v>
      </c>
      <c r="G179" s="179" t="s">
        <v>278</v>
      </c>
    </row>
    <row r="180" spans="1:7" hidden="1">
      <c r="A180" s="36" t="s">
        <v>591</v>
      </c>
      <c r="B180" s="36" t="s">
        <v>314</v>
      </c>
      <c r="C180" s="36" t="str">
        <f>_xlfn.CONCAT(Table4[[#This Row],[Ledger Name]],Table4[[#This Row],[Entity Name]])</f>
        <v>ToorExpora</v>
      </c>
      <c r="D180" s="36" t="s">
        <v>936</v>
      </c>
      <c r="E180" s="49" t="s">
        <v>746</v>
      </c>
      <c r="F180" s="49" t="s">
        <v>345</v>
      </c>
      <c r="G180" s="179" t="s">
        <v>278</v>
      </c>
    </row>
    <row r="181" spans="1:7" hidden="1">
      <c r="A181" s="36" t="s">
        <v>961</v>
      </c>
      <c r="B181" s="36" t="s">
        <v>314</v>
      </c>
      <c r="C181" s="36" t="str">
        <f>_xlfn.CONCAT(Table4[[#This Row],[Ledger Name]],Table4[[#This Row],[Entity Name]])</f>
        <v>Total for Canara BankExpora</v>
      </c>
      <c r="D181" s="36" t="s">
        <v>952</v>
      </c>
      <c r="E181" s="49">
        <v>0</v>
      </c>
      <c r="F181" s="49">
        <v>0</v>
      </c>
      <c r="G181" s="101">
        <v>0</v>
      </c>
    </row>
    <row r="182" spans="1:7" hidden="1">
      <c r="A182" s="36" t="s">
        <v>962</v>
      </c>
      <c r="B182" s="36" t="s">
        <v>314</v>
      </c>
      <c r="C182" s="36" t="str">
        <f>_xlfn.CONCAT(Table4[[#This Row],[Ledger Name]],Table4[[#This Row],[Entity Name]])</f>
        <v>Total for Warehouse FinanceExpora</v>
      </c>
      <c r="D182" s="36" t="s">
        <v>952</v>
      </c>
      <c r="E182" s="49">
        <v>0</v>
      </c>
      <c r="F182" s="49">
        <v>0</v>
      </c>
      <c r="G182" s="101">
        <v>0</v>
      </c>
    </row>
    <row r="183" spans="1:7" hidden="1">
      <c r="A183" s="36" t="s">
        <v>503</v>
      </c>
      <c r="B183" s="36" t="s">
        <v>314</v>
      </c>
      <c r="C183" s="36" t="str">
        <f>_xlfn.CONCAT(Table4[[#This Row],[Ledger Name]],Table4[[#This Row],[Entity Name]])</f>
        <v>Total for Secured LoansExpora</v>
      </c>
      <c r="D183" s="36" t="s">
        <v>952</v>
      </c>
      <c r="E183" s="49">
        <v>0</v>
      </c>
      <c r="F183" s="49">
        <v>0</v>
      </c>
      <c r="G183" s="101">
        <v>0</v>
      </c>
    </row>
    <row r="184" spans="1:7" hidden="1">
      <c r="A184" s="36" t="s">
        <v>504</v>
      </c>
      <c r="B184" s="36" t="s">
        <v>314</v>
      </c>
      <c r="C184" s="36" t="str">
        <f>_xlfn.CONCAT(Table4[[#This Row],[Ledger Name]],Table4[[#This Row],[Entity Name]])</f>
        <v>Statutory Deductions PayableExpora</v>
      </c>
      <c r="D184" s="36" t="s">
        <v>952</v>
      </c>
      <c r="E184" s="49">
        <v>0</v>
      </c>
      <c r="F184" s="49">
        <v>0</v>
      </c>
      <c r="G184" s="101">
        <v>0</v>
      </c>
    </row>
    <row r="185" spans="1:7" hidden="1">
      <c r="A185" s="36" t="s">
        <v>396</v>
      </c>
      <c r="B185" s="36" t="s">
        <v>314</v>
      </c>
      <c r="C185" s="36" t="str">
        <f>_xlfn.CONCAT(Table4[[#This Row],[Ledger Name]],Table4[[#This Row],[Entity Name]])</f>
        <v>ESIC PayableExpora</v>
      </c>
      <c r="D185" s="162" t="s">
        <v>936</v>
      </c>
      <c r="E185" s="163" t="s">
        <v>746</v>
      </c>
      <c r="F185" s="163" t="s">
        <v>195</v>
      </c>
      <c r="G185" s="6" t="s">
        <v>63</v>
      </c>
    </row>
    <row r="186" spans="1:7" hidden="1">
      <c r="A186" s="36" t="s">
        <v>505</v>
      </c>
      <c r="B186" s="36" t="s">
        <v>314</v>
      </c>
      <c r="C186" s="36" t="str">
        <f>_xlfn.CONCAT(Table4[[#This Row],[Ledger Name]],Table4[[#This Row],[Entity Name]])</f>
        <v>Profession Tax PayableExpora</v>
      </c>
      <c r="D186" s="36" t="s">
        <v>936</v>
      </c>
      <c r="E186" s="49" t="s">
        <v>746</v>
      </c>
      <c r="F186" s="49" t="s">
        <v>63</v>
      </c>
      <c r="G186" s="6" t="s">
        <v>63</v>
      </c>
    </row>
    <row r="187" spans="1:7" hidden="1">
      <c r="A187" s="36" t="s">
        <v>506</v>
      </c>
      <c r="B187" s="36" t="s">
        <v>314</v>
      </c>
      <c r="C187" s="36" t="str">
        <f>_xlfn.CONCAT(Table4[[#This Row],[Ledger Name]],Table4[[#This Row],[Entity Name]])</f>
        <v>Total for Statutory Deductions PayableExpora</v>
      </c>
      <c r="D187" s="36" t="s">
        <v>952</v>
      </c>
      <c r="E187" s="49">
        <v>0</v>
      </c>
      <c r="F187" s="49">
        <v>0</v>
      </c>
      <c r="G187" s="101">
        <v>0</v>
      </c>
    </row>
    <row r="188" spans="1:7" hidden="1">
      <c r="A188" s="36" t="s">
        <v>442</v>
      </c>
      <c r="B188" s="36" t="s">
        <v>314</v>
      </c>
      <c r="C188" s="36" t="str">
        <f>_xlfn.CONCAT(Table4[[#This Row],[Ledger Name]],Table4[[#This Row],[Entity Name]])</f>
        <v>TCS PayableExpora</v>
      </c>
      <c r="D188" s="36" t="s">
        <v>936</v>
      </c>
      <c r="E188" s="49" t="s">
        <v>746</v>
      </c>
      <c r="F188" s="49" t="s">
        <v>63</v>
      </c>
      <c r="G188" s="6" t="s">
        <v>63</v>
      </c>
    </row>
    <row r="189" spans="1:7" hidden="1">
      <c r="A189" s="36" t="s">
        <v>407</v>
      </c>
      <c r="B189" s="36" t="s">
        <v>314</v>
      </c>
      <c r="C189" s="36" t="str">
        <f>_xlfn.CONCAT(Table4[[#This Row],[Ledger Name]],Table4[[#This Row],[Entity Name]])</f>
        <v>TDS PayableExpora</v>
      </c>
      <c r="D189" s="36" t="s">
        <v>936</v>
      </c>
      <c r="E189" s="49" t="s">
        <v>746</v>
      </c>
      <c r="F189" s="49" t="s">
        <v>63</v>
      </c>
      <c r="G189" s="6" t="s">
        <v>63</v>
      </c>
    </row>
    <row r="190" spans="1:7" hidden="1">
      <c r="A190" s="36" t="s">
        <v>404</v>
      </c>
      <c r="B190" s="36" t="s">
        <v>314</v>
      </c>
      <c r="C190" s="36" t="str">
        <f>_xlfn.CONCAT(Table4[[#This Row],[Ledger Name]],Table4[[#This Row],[Entity Name]])</f>
        <v>Payroll Tax PayableExpora</v>
      </c>
      <c r="D190" s="36" t="s">
        <v>936</v>
      </c>
      <c r="E190" s="49" t="s">
        <v>746</v>
      </c>
      <c r="F190" s="49" t="s">
        <v>63</v>
      </c>
      <c r="G190" s="6" t="s">
        <v>63</v>
      </c>
    </row>
    <row r="191" spans="1:7" hidden="1">
      <c r="A191" s="36" t="s">
        <v>963</v>
      </c>
      <c r="B191" s="36" t="s">
        <v>314</v>
      </c>
      <c r="C191" s="36" t="str">
        <f>_xlfn.CONCAT(Table4[[#This Row],[Ledger Name]],Table4[[#This Row],[Entity Name]])</f>
        <v>Total for TDS PayableExpora</v>
      </c>
      <c r="D191" s="36" t="s">
        <v>952</v>
      </c>
      <c r="E191" s="49">
        <v>0</v>
      </c>
      <c r="F191" s="49">
        <v>0</v>
      </c>
      <c r="G191" s="101">
        <v>0</v>
      </c>
    </row>
    <row r="192" spans="1:7" hidden="1">
      <c r="A192" s="36" t="s">
        <v>597</v>
      </c>
      <c r="B192" s="36" t="s">
        <v>314</v>
      </c>
      <c r="C192" s="36" t="str">
        <f>_xlfn.CONCAT(Table4[[#This Row],[Ledger Name]],Table4[[#This Row],[Entity Name]])</f>
        <v>Unearned RevenueExpora</v>
      </c>
      <c r="D192" s="36" t="s">
        <v>936</v>
      </c>
      <c r="E192" s="49" t="s">
        <v>746</v>
      </c>
      <c r="F192" s="49" t="s">
        <v>287</v>
      </c>
      <c r="G192" s="101" t="s">
        <v>337</v>
      </c>
    </row>
    <row r="193" spans="1:7" hidden="1">
      <c r="A193" s="36" t="s">
        <v>95</v>
      </c>
      <c r="B193" s="36" t="s">
        <v>314</v>
      </c>
      <c r="C193" s="36" t="str">
        <f>_xlfn.CONCAT(Table4[[#This Row],[Ledger Name]],Table4[[#This Row],[Entity Name]])</f>
        <v>Unsecured LoansExpora</v>
      </c>
      <c r="D193" s="36" t="s">
        <v>936</v>
      </c>
      <c r="E193" s="49" t="s">
        <v>746</v>
      </c>
      <c r="F193" s="49" t="s">
        <v>345</v>
      </c>
      <c r="G193" s="24" t="s">
        <v>1749</v>
      </c>
    </row>
    <row r="194" spans="1:7" hidden="1">
      <c r="A194" s="36" t="s">
        <v>87</v>
      </c>
      <c r="B194" s="36" t="s">
        <v>314</v>
      </c>
      <c r="C194" s="36" t="str">
        <f>_xlfn.CONCAT(Table4[[#This Row],[Ledger Name]],Table4[[#This Row],[Entity Name]])</f>
        <v>Priyanka Bhaskar ShahExpora</v>
      </c>
      <c r="D194" s="36" t="s">
        <v>936</v>
      </c>
      <c r="E194" s="49" t="s">
        <v>746</v>
      </c>
      <c r="F194" s="49" t="s">
        <v>345</v>
      </c>
      <c r="G194" s="6" t="s">
        <v>1619</v>
      </c>
    </row>
    <row r="195" spans="1:7" hidden="1">
      <c r="A195" s="36" t="s">
        <v>264</v>
      </c>
      <c r="B195" s="36" t="s">
        <v>314</v>
      </c>
      <c r="C195" s="36" t="str">
        <f>_xlfn.CONCAT(Table4[[#This Row],[Ledger Name]],Table4[[#This Row],[Entity Name]])</f>
        <v>Priyanka Medical Pvt LtdExpora</v>
      </c>
      <c r="D195" s="36" t="s">
        <v>936</v>
      </c>
      <c r="E195" s="49" t="s">
        <v>746</v>
      </c>
      <c r="F195" s="49" t="s">
        <v>345</v>
      </c>
      <c r="G195" s="6" t="s">
        <v>1619</v>
      </c>
    </row>
    <row r="196" spans="1:7" hidden="1">
      <c r="A196" s="36" t="s">
        <v>119</v>
      </c>
      <c r="B196" s="36" t="s">
        <v>314</v>
      </c>
      <c r="C196" s="36" t="str">
        <f>_xlfn.CONCAT(Table4[[#This Row],[Ledger Name]],Table4[[#This Row],[Entity Name]])</f>
        <v>Siddharth Bhaskar ShahExpora</v>
      </c>
      <c r="D196" s="36" t="s">
        <v>936</v>
      </c>
      <c r="E196" s="49" t="s">
        <v>746</v>
      </c>
      <c r="F196" s="49" t="s">
        <v>345</v>
      </c>
      <c r="G196" s="6" t="s">
        <v>1619</v>
      </c>
    </row>
    <row r="197" spans="1:7" hidden="1">
      <c r="A197" s="36" t="s">
        <v>507</v>
      </c>
      <c r="B197" s="36" t="s">
        <v>314</v>
      </c>
      <c r="C197" s="36" t="str">
        <f>_xlfn.CONCAT(Table4[[#This Row],[Ledger Name]],Table4[[#This Row],[Entity Name]])</f>
        <v>Total for Unsecured LoansExpora</v>
      </c>
      <c r="D197" s="36" t="s">
        <v>952</v>
      </c>
      <c r="E197" s="49">
        <v>0</v>
      </c>
      <c r="F197" s="49">
        <v>0</v>
      </c>
      <c r="G197" s="101">
        <v>0</v>
      </c>
    </row>
    <row r="198" spans="1:7" hidden="1">
      <c r="A198" s="36" t="s">
        <v>418</v>
      </c>
      <c r="B198" s="36" t="s">
        <v>314</v>
      </c>
      <c r="C198" s="36" t="str">
        <f>_xlfn.CONCAT(Table4[[#This Row],[Ledger Name]],Table4[[#This Row],[Entity Name]])</f>
        <v>EquitiesExpora</v>
      </c>
      <c r="D198" s="36" t="s">
        <v>952</v>
      </c>
      <c r="E198" s="49">
        <v>0</v>
      </c>
      <c r="F198" s="49">
        <v>0</v>
      </c>
      <c r="G198" s="101">
        <v>0</v>
      </c>
    </row>
    <row r="199" spans="1:7" hidden="1">
      <c r="A199" s="36" t="s">
        <v>550</v>
      </c>
      <c r="B199" s="36" t="s">
        <v>314</v>
      </c>
      <c r="C199" s="36" t="str">
        <f>_xlfn.CONCAT(Table4[[#This Row],[Ledger Name]],Table4[[#This Row],[Entity Name]])</f>
        <v>Current Year EarningsExpora</v>
      </c>
      <c r="D199" s="36" t="s">
        <v>936</v>
      </c>
      <c r="E199" s="49" t="s">
        <v>746</v>
      </c>
      <c r="F199" s="49" t="s">
        <v>27</v>
      </c>
      <c r="G199" s="56" t="s">
        <v>1617</v>
      </c>
    </row>
    <row r="200" spans="1:7" hidden="1">
      <c r="A200" s="36" t="s">
        <v>508</v>
      </c>
      <c r="B200" s="36" t="s">
        <v>314</v>
      </c>
      <c r="C200" s="36" t="str">
        <f>_xlfn.CONCAT(Table4[[#This Row],[Ledger Name]],Table4[[#This Row],[Entity Name]])</f>
        <v>Retained EarningsExpora</v>
      </c>
      <c r="D200" s="36" t="s">
        <v>936</v>
      </c>
      <c r="E200" s="49" t="s">
        <v>746</v>
      </c>
      <c r="F200" s="49" t="s">
        <v>27</v>
      </c>
      <c r="G200" s="56" t="s">
        <v>1616</v>
      </c>
    </row>
    <row r="201" spans="1:7" hidden="1">
      <c r="A201" s="36" t="s">
        <v>218</v>
      </c>
      <c r="B201" s="36" t="s">
        <v>314</v>
      </c>
      <c r="C201" s="36" t="str">
        <f>_xlfn.CONCAT(Table4[[#This Row],[Ledger Name]],Table4[[#This Row],[Entity Name]])</f>
        <v>Securities PremiumExpora</v>
      </c>
      <c r="D201" s="36" t="s">
        <v>936</v>
      </c>
      <c r="E201" s="49" t="s">
        <v>746</v>
      </c>
      <c r="F201" s="49" t="s">
        <v>27</v>
      </c>
      <c r="G201" s="56" t="s">
        <v>317</v>
      </c>
    </row>
    <row r="202" spans="1:7" hidden="1">
      <c r="A202" s="36" t="s">
        <v>26</v>
      </c>
      <c r="B202" s="36" t="s">
        <v>314</v>
      </c>
      <c r="C202" s="36" t="str">
        <f>_xlfn.CONCAT(Table4[[#This Row],[Ledger Name]],Table4[[#This Row],[Entity Name]])</f>
        <v>Share CapitalExpora</v>
      </c>
      <c r="D202" s="36" t="s">
        <v>952</v>
      </c>
      <c r="E202" s="49">
        <v>0</v>
      </c>
      <c r="F202" s="49">
        <v>0</v>
      </c>
      <c r="G202" s="101">
        <v>0</v>
      </c>
    </row>
    <row r="203" spans="1:7" hidden="1">
      <c r="A203" s="36" t="s">
        <v>239</v>
      </c>
      <c r="B203" s="36" t="s">
        <v>314</v>
      </c>
      <c r="C203" s="36" t="str">
        <f>_xlfn.CONCAT(Table4[[#This Row],[Ledger Name]],Table4[[#This Row],[Entity Name]])</f>
        <v>Anand ShahExpora</v>
      </c>
      <c r="D203" s="36" t="s">
        <v>936</v>
      </c>
      <c r="E203" s="49" t="s">
        <v>746</v>
      </c>
      <c r="F203" s="49" t="s">
        <v>26</v>
      </c>
      <c r="G203" s="24" t="s">
        <v>1614</v>
      </c>
    </row>
    <row r="204" spans="1:7" hidden="1">
      <c r="A204" s="36" t="s">
        <v>168</v>
      </c>
      <c r="B204" s="36" t="s">
        <v>314</v>
      </c>
      <c r="C204" s="36" t="str">
        <f>_xlfn.CONCAT(Table4[[#This Row],[Ledger Name]],Table4[[#This Row],[Entity Name]])</f>
        <v>Arpi Atul MehtaExpora</v>
      </c>
      <c r="D204" s="36" t="s">
        <v>936</v>
      </c>
      <c r="E204" s="49" t="s">
        <v>746</v>
      </c>
      <c r="F204" s="49" t="s">
        <v>26</v>
      </c>
      <c r="G204" s="24" t="s">
        <v>1614</v>
      </c>
    </row>
    <row r="205" spans="1:7" hidden="1">
      <c r="A205" s="36" t="s">
        <v>115</v>
      </c>
      <c r="B205" s="36" t="s">
        <v>314</v>
      </c>
      <c r="C205" s="36" t="str">
        <f>_xlfn.CONCAT(Table4[[#This Row],[Ledger Name]],Table4[[#This Row],[Entity Name]])</f>
        <v>Arpi Shah Family TrustExpora</v>
      </c>
      <c r="D205" s="36" t="s">
        <v>936</v>
      </c>
      <c r="E205" s="49" t="s">
        <v>746</v>
      </c>
      <c r="F205" s="49" t="s">
        <v>26</v>
      </c>
      <c r="G205" s="24" t="s">
        <v>1614</v>
      </c>
    </row>
    <row r="206" spans="1:7" hidden="1">
      <c r="A206" s="36" t="s">
        <v>59</v>
      </c>
      <c r="B206" s="36" t="s">
        <v>314</v>
      </c>
      <c r="C206" s="36" t="str">
        <f>_xlfn.CONCAT(Table4[[#This Row],[Ledger Name]],Table4[[#This Row],[Entity Name]])</f>
        <v>Aspire Financial ConsultingExpora</v>
      </c>
      <c r="D206" s="36" t="s">
        <v>936</v>
      </c>
      <c r="E206" s="49" t="s">
        <v>746</v>
      </c>
      <c r="F206" s="49" t="s">
        <v>26</v>
      </c>
      <c r="G206" s="24" t="s">
        <v>1614</v>
      </c>
    </row>
    <row r="207" spans="1:7" hidden="1">
      <c r="A207" s="36" t="s">
        <v>844</v>
      </c>
      <c r="B207" s="36" t="s">
        <v>314</v>
      </c>
      <c r="C207" s="36" t="str">
        <f>_xlfn.CONCAT(Table4[[#This Row],[Ledger Name]],Table4[[#This Row],[Entity Name]])</f>
        <v>Hansa Nikhil ShahExpora</v>
      </c>
      <c r="D207" s="36" t="s">
        <v>936</v>
      </c>
      <c r="E207" s="49" t="s">
        <v>746</v>
      </c>
      <c r="F207" s="49" t="s">
        <v>26</v>
      </c>
      <c r="G207" s="24" t="s">
        <v>1615</v>
      </c>
    </row>
    <row r="208" spans="1:7" hidden="1">
      <c r="A208" s="36" t="s">
        <v>169</v>
      </c>
      <c r="B208" s="36" t="s">
        <v>314</v>
      </c>
      <c r="C208" s="36" t="str">
        <f>_xlfn.CONCAT(Table4[[#This Row],[Ledger Name]],Table4[[#This Row],[Entity Name]])</f>
        <v>Jasmin Bhashkar Shah jointly with Siddharth ShahExpora</v>
      </c>
      <c r="D208" s="36" t="s">
        <v>936</v>
      </c>
      <c r="E208" s="49" t="s">
        <v>746</v>
      </c>
      <c r="F208" s="49" t="s">
        <v>26</v>
      </c>
      <c r="G208" s="24" t="s">
        <v>1614</v>
      </c>
    </row>
    <row r="209" spans="1:7" hidden="1">
      <c r="A209" s="36" t="s">
        <v>170</v>
      </c>
      <c r="B209" s="36" t="s">
        <v>314</v>
      </c>
      <c r="C209" s="36" t="str">
        <f>_xlfn.CONCAT(Table4[[#This Row],[Ledger Name]],Table4[[#This Row],[Entity Name]])</f>
        <v>Jasmine Shah jointly with Priyanka ShahExpora</v>
      </c>
      <c r="D209" s="36" t="s">
        <v>936</v>
      </c>
      <c r="E209" s="49" t="s">
        <v>746</v>
      </c>
      <c r="F209" s="49" t="s">
        <v>26</v>
      </c>
      <c r="G209" s="24" t="s">
        <v>1614</v>
      </c>
    </row>
    <row r="210" spans="1:7" hidden="1">
      <c r="A210" s="36" t="s">
        <v>58</v>
      </c>
      <c r="B210" s="36" t="s">
        <v>314</v>
      </c>
      <c r="C210" s="36" t="str">
        <f>_xlfn.CONCAT(Table4[[#This Row],[Ledger Name]],Table4[[#This Row],[Entity Name]])</f>
        <v>Kedar Shivanand MankekarExpora</v>
      </c>
      <c r="D210" s="36" t="s">
        <v>936</v>
      </c>
      <c r="E210" s="49" t="s">
        <v>746</v>
      </c>
      <c r="F210" s="49" t="s">
        <v>26</v>
      </c>
      <c r="G210" s="24" t="s">
        <v>1614</v>
      </c>
    </row>
    <row r="211" spans="1:7" hidden="1">
      <c r="A211" s="36" t="s">
        <v>171</v>
      </c>
      <c r="B211" s="36" t="s">
        <v>314</v>
      </c>
      <c r="C211" s="36" t="str">
        <f>_xlfn.CONCAT(Table4[[#This Row],[Ledger Name]],Table4[[#This Row],[Entity Name]])</f>
        <v>Krushang Boria (SC)Expora</v>
      </c>
      <c r="D211" s="36" t="s">
        <v>936</v>
      </c>
      <c r="E211" s="49" t="s">
        <v>746</v>
      </c>
      <c r="F211" s="49" t="s">
        <v>26</v>
      </c>
      <c r="G211" s="24" t="s">
        <v>1614</v>
      </c>
    </row>
    <row r="212" spans="1:7" hidden="1">
      <c r="A212" s="36" t="s">
        <v>845</v>
      </c>
      <c r="B212" s="36" t="s">
        <v>314</v>
      </c>
      <c r="C212" s="36" t="str">
        <f>_xlfn.CONCAT(Table4[[#This Row],[Ledger Name]],Table4[[#This Row],[Entity Name]])</f>
        <v>Paresh ShahExpora</v>
      </c>
      <c r="D212" s="36" t="s">
        <v>936</v>
      </c>
      <c r="E212" s="49" t="s">
        <v>746</v>
      </c>
      <c r="F212" s="49" t="s">
        <v>26</v>
      </c>
      <c r="G212" s="24" t="s">
        <v>1615</v>
      </c>
    </row>
    <row r="213" spans="1:7" hidden="1">
      <c r="A213" s="36" t="s">
        <v>172</v>
      </c>
      <c r="B213" s="36" t="s">
        <v>314</v>
      </c>
      <c r="C213" s="36" t="str">
        <f>_xlfn.CONCAT(Table4[[#This Row],[Ledger Name]],Table4[[#This Row],[Entity Name]])</f>
        <v>Priyanka Shah ( SC )Expora</v>
      </c>
      <c r="D213" s="36" t="s">
        <v>936</v>
      </c>
      <c r="E213" s="49" t="s">
        <v>746</v>
      </c>
      <c r="F213" s="49" t="s">
        <v>26</v>
      </c>
      <c r="G213" s="24" t="s">
        <v>1614</v>
      </c>
    </row>
    <row r="214" spans="1:7" hidden="1">
      <c r="A214" s="36" t="s">
        <v>116</v>
      </c>
      <c r="B214" s="36" t="s">
        <v>314</v>
      </c>
      <c r="C214" s="36" t="str">
        <f>_xlfn.CONCAT(Table4[[#This Row],[Ledger Name]],Table4[[#This Row],[Entity Name]])</f>
        <v>Priyanka Shah Family TrustExpora</v>
      </c>
      <c r="D214" s="36" t="s">
        <v>936</v>
      </c>
      <c r="E214" s="49" t="s">
        <v>746</v>
      </c>
      <c r="F214" s="49" t="s">
        <v>26</v>
      </c>
      <c r="G214" s="24" t="s">
        <v>1614</v>
      </c>
    </row>
    <row r="215" spans="1:7" hidden="1">
      <c r="A215" s="36" t="s">
        <v>846</v>
      </c>
      <c r="B215" s="36" t="s">
        <v>314</v>
      </c>
      <c r="C215" s="36" t="str">
        <f>_xlfn.CONCAT(Table4[[#This Row],[Ledger Name]],Table4[[#This Row],[Entity Name]])</f>
        <v>Ritesh SejpalExpora</v>
      </c>
      <c r="D215" s="36" t="s">
        <v>936</v>
      </c>
      <c r="E215" s="49" t="s">
        <v>746</v>
      </c>
      <c r="F215" s="49" t="s">
        <v>26</v>
      </c>
      <c r="G215" s="24" t="s">
        <v>1615</v>
      </c>
    </row>
    <row r="216" spans="1:7" hidden="1">
      <c r="A216" s="36" t="s">
        <v>230</v>
      </c>
      <c r="B216" s="36" t="s">
        <v>314</v>
      </c>
      <c r="C216" s="36" t="str">
        <f>_xlfn.CONCAT(Table4[[#This Row],[Ledger Name]],Table4[[#This Row],[Entity Name]])</f>
        <v>Series A1 CCPS SharesExpora</v>
      </c>
      <c r="D216" s="36" t="s">
        <v>952</v>
      </c>
      <c r="E216" s="49">
        <v>0</v>
      </c>
      <c r="F216" s="49">
        <v>0</v>
      </c>
      <c r="G216" s="101">
        <v>0</v>
      </c>
    </row>
    <row r="217" spans="1:7" hidden="1">
      <c r="A217" s="36" t="s">
        <v>509</v>
      </c>
      <c r="B217" s="36" t="s">
        <v>314</v>
      </c>
      <c r="C217" s="36" t="str">
        <f>_xlfn.CONCAT(Table4[[#This Row],[Ledger Name]],Table4[[#This Row],[Entity Name]])</f>
        <v>Akarsh BharadwajExpora</v>
      </c>
      <c r="D217" s="36" t="s">
        <v>936</v>
      </c>
      <c r="E217" s="49" t="s">
        <v>746</v>
      </c>
      <c r="F217" s="49" t="s">
        <v>26</v>
      </c>
      <c r="G217" s="24" t="s">
        <v>1615</v>
      </c>
    </row>
    <row r="218" spans="1:7" hidden="1">
      <c r="A218" s="36" t="s">
        <v>229</v>
      </c>
      <c r="B218" s="36" t="s">
        <v>314</v>
      </c>
      <c r="C218" s="36" t="str">
        <f>_xlfn.CONCAT(Table4[[#This Row],[Ledger Name]],Table4[[#This Row],[Entity Name]])</f>
        <v>Anand Nimesh ShahExpora</v>
      </c>
      <c r="D218" s="36" t="s">
        <v>936</v>
      </c>
      <c r="E218" s="49" t="s">
        <v>746</v>
      </c>
      <c r="F218" s="49" t="s">
        <v>26</v>
      </c>
      <c r="G218" s="24" t="s">
        <v>1615</v>
      </c>
    </row>
    <row r="219" spans="1:7" hidden="1">
      <c r="A219" s="36" t="s">
        <v>510</v>
      </c>
      <c r="B219" s="36" t="s">
        <v>314</v>
      </c>
      <c r="C219" s="36" t="str">
        <f>_xlfn.CONCAT(Table4[[#This Row],[Ledger Name]],Table4[[#This Row],[Entity Name]])</f>
        <v>Ashid BasheerExpora</v>
      </c>
      <c r="D219" s="36" t="s">
        <v>936</v>
      </c>
      <c r="E219" s="49" t="s">
        <v>746</v>
      </c>
      <c r="F219" s="49" t="s">
        <v>26</v>
      </c>
      <c r="G219" s="24" t="s">
        <v>1615</v>
      </c>
    </row>
    <row r="220" spans="1:7" hidden="1">
      <c r="A220" s="36" t="s">
        <v>511</v>
      </c>
      <c r="B220" s="36" t="s">
        <v>314</v>
      </c>
      <c r="C220" s="36" t="str">
        <f>_xlfn.CONCAT(Table4[[#This Row],[Ledger Name]],Table4[[#This Row],[Entity Name]])</f>
        <v>Devika MenonExpora</v>
      </c>
      <c r="D220" s="36" t="s">
        <v>936</v>
      </c>
      <c r="E220" s="49" t="s">
        <v>746</v>
      </c>
      <c r="F220" s="49" t="s">
        <v>26</v>
      </c>
      <c r="G220" s="24" t="s">
        <v>1615</v>
      </c>
    </row>
    <row r="221" spans="1:7" hidden="1">
      <c r="A221" s="36" t="s">
        <v>221</v>
      </c>
      <c r="B221" s="36" t="s">
        <v>314</v>
      </c>
      <c r="C221" s="36" t="str">
        <f>_xlfn.CONCAT(Table4[[#This Row],[Ledger Name]],Table4[[#This Row],[Entity Name]])</f>
        <v>Dhanashree GiriExpora</v>
      </c>
      <c r="D221" s="36" t="s">
        <v>936</v>
      </c>
      <c r="E221" s="49" t="s">
        <v>746</v>
      </c>
      <c r="F221" s="49" t="s">
        <v>26</v>
      </c>
      <c r="G221" s="24" t="s">
        <v>1615</v>
      </c>
    </row>
    <row r="222" spans="1:7" hidden="1">
      <c r="A222" s="36" t="s">
        <v>512</v>
      </c>
      <c r="B222" s="36" t="s">
        <v>314</v>
      </c>
      <c r="C222" s="36" t="str">
        <f>_xlfn.CONCAT(Table4[[#This Row],[Ledger Name]],Table4[[#This Row],[Entity Name]])</f>
        <v>Drashti Shriram ShahExpora</v>
      </c>
      <c r="D222" s="36" t="s">
        <v>936</v>
      </c>
      <c r="E222" s="49" t="s">
        <v>746</v>
      </c>
      <c r="F222" s="49" t="s">
        <v>26</v>
      </c>
      <c r="G222" s="24" t="s">
        <v>1615</v>
      </c>
    </row>
    <row r="223" spans="1:7" hidden="1">
      <c r="A223" s="36" t="s">
        <v>400</v>
      </c>
      <c r="B223" s="36" t="s">
        <v>314</v>
      </c>
      <c r="C223" s="36" t="str">
        <f>_xlfn.CONCAT(Table4[[#This Row],[Ledger Name]],Table4[[#This Row],[Entity Name]])</f>
        <v>Harsh Deepak ShahExpora</v>
      </c>
      <c r="D223" s="36" t="s">
        <v>936</v>
      </c>
      <c r="E223" s="49" t="s">
        <v>746</v>
      </c>
      <c r="F223" s="49" t="s">
        <v>26</v>
      </c>
      <c r="G223" s="24" t="s">
        <v>1615</v>
      </c>
    </row>
    <row r="224" spans="1:7" hidden="1">
      <c r="A224" s="36" t="s">
        <v>220</v>
      </c>
      <c r="B224" s="36" t="s">
        <v>314</v>
      </c>
      <c r="C224" s="36" t="str">
        <f>_xlfn.CONCAT(Table4[[#This Row],[Ledger Name]],Table4[[#This Row],[Entity Name]])</f>
        <v>Hiral Nilesh GandhiExpora</v>
      </c>
      <c r="D224" s="36" t="s">
        <v>936</v>
      </c>
      <c r="E224" s="49" t="s">
        <v>746</v>
      </c>
      <c r="F224" s="49" t="s">
        <v>26</v>
      </c>
      <c r="G224" s="24" t="s">
        <v>1615</v>
      </c>
    </row>
    <row r="225" spans="1:7" hidden="1">
      <c r="A225" s="36" t="s">
        <v>401</v>
      </c>
      <c r="B225" s="36" t="s">
        <v>314</v>
      </c>
      <c r="C225" s="36" t="str">
        <f>_xlfn.CONCAT(Table4[[#This Row],[Ledger Name]],Table4[[#This Row],[Entity Name]])</f>
        <v>Iqbal Ishak KhanExpora</v>
      </c>
      <c r="D225" s="36" t="s">
        <v>936</v>
      </c>
      <c r="E225" s="49" t="s">
        <v>746</v>
      </c>
      <c r="F225" s="49" t="s">
        <v>26</v>
      </c>
      <c r="G225" s="24" t="s">
        <v>1615</v>
      </c>
    </row>
    <row r="226" spans="1:7" hidden="1">
      <c r="A226" s="36" t="s">
        <v>513</v>
      </c>
      <c r="B226" s="36" t="s">
        <v>314</v>
      </c>
      <c r="C226" s="36" t="str">
        <f>_xlfn.CONCAT(Table4[[#This Row],[Ledger Name]],Table4[[#This Row],[Entity Name]])</f>
        <v>Ishita Bhavya HariaExpora</v>
      </c>
      <c r="D226" s="36" t="s">
        <v>936</v>
      </c>
      <c r="E226" s="49" t="s">
        <v>746</v>
      </c>
      <c r="F226" s="49" t="s">
        <v>26</v>
      </c>
      <c r="G226" s="24" t="s">
        <v>1615</v>
      </c>
    </row>
    <row r="227" spans="1:7" hidden="1">
      <c r="A227" s="36" t="s">
        <v>408</v>
      </c>
      <c r="B227" s="36" t="s">
        <v>314</v>
      </c>
      <c r="C227" s="36" t="str">
        <f>_xlfn.CONCAT(Table4[[#This Row],[Ledger Name]],Table4[[#This Row],[Entity Name]])</f>
        <v>Kapur Family TrustExpora</v>
      </c>
      <c r="D227" s="36" t="s">
        <v>936</v>
      </c>
      <c r="E227" s="49" t="s">
        <v>746</v>
      </c>
      <c r="F227" s="49" t="s">
        <v>26</v>
      </c>
      <c r="G227" s="24" t="s">
        <v>1615</v>
      </c>
    </row>
    <row r="228" spans="1:7" hidden="1">
      <c r="A228" s="36" t="s">
        <v>448</v>
      </c>
      <c r="B228" s="36" t="s">
        <v>314</v>
      </c>
      <c r="C228" s="36" t="str">
        <f>_xlfn.CONCAT(Table4[[#This Row],[Ledger Name]],Table4[[#This Row],[Entity Name]])</f>
        <v>Kishor Dedhia Famity TrustExpora</v>
      </c>
      <c r="D228" s="36" t="s">
        <v>936</v>
      </c>
      <c r="E228" s="49" t="s">
        <v>746</v>
      </c>
      <c r="F228" s="49" t="s">
        <v>26</v>
      </c>
      <c r="G228" s="24" t="s">
        <v>1615</v>
      </c>
    </row>
    <row r="229" spans="1:7" hidden="1">
      <c r="A229" s="36" t="s">
        <v>224</v>
      </c>
      <c r="B229" s="36" t="s">
        <v>314</v>
      </c>
      <c r="C229" s="36" t="str">
        <f>_xlfn.CONCAT(Table4[[#This Row],[Ledger Name]],Table4[[#This Row],[Entity Name]])</f>
        <v>Kousanee Pradeep ChhedaExpora</v>
      </c>
      <c r="D229" s="36" t="s">
        <v>936</v>
      </c>
      <c r="E229" s="49" t="s">
        <v>746</v>
      </c>
      <c r="F229" s="49" t="s">
        <v>26</v>
      </c>
      <c r="G229" s="24" t="s">
        <v>1615</v>
      </c>
    </row>
    <row r="230" spans="1:7" hidden="1">
      <c r="A230" s="36" t="s">
        <v>409</v>
      </c>
      <c r="B230" s="36" t="s">
        <v>314</v>
      </c>
      <c r="C230" s="36" t="str">
        <f>_xlfn.CONCAT(Table4[[#This Row],[Ledger Name]],Table4[[#This Row],[Entity Name]])</f>
        <v>MEMG FAMILY OFFICE LLPExpora</v>
      </c>
      <c r="D230" s="36" t="s">
        <v>936</v>
      </c>
      <c r="E230" s="49" t="s">
        <v>746</v>
      </c>
      <c r="F230" s="49" t="s">
        <v>26</v>
      </c>
      <c r="G230" s="24" t="s">
        <v>1615</v>
      </c>
    </row>
    <row r="231" spans="1:7" hidden="1">
      <c r="A231" s="36" t="s">
        <v>228</v>
      </c>
      <c r="B231" s="36" t="s">
        <v>314</v>
      </c>
      <c r="C231" s="36" t="str">
        <f>_xlfn.CONCAT(Table4[[#This Row],[Ledger Name]],Table4[[#This Row],[Entity Name]])</f>
        <v>Mr. AnujExpora</v>
      </c>
      <c r="D231" s="36" t="s">
        <v>936</v>
      </c>
      <c r="E231" s="49" t="s">
        <v>746</v>
      </c>
      <c r="F231" s="49" t="s">
        <v>26</v>
      </c>
      <c r="G231" s="24" t="s">
        <v>1615</v>
      </c>
    </row>
    <row r="232" spans="1:7" hidden="1">
      <c r="A232" s="36" t="s">
        <v>227</v>
      </c>
      <c r="B232" s="36" t="s">
        <v>314</v>
      </c>
      <c r="C232" s="36" t="str">
        <f>_xlfn.CONCAT(Table4[[#This Row],[Ledger Name]],Table4[[#This Row],[Entity Name]])</f>
        <v>Nayna Pradeep ChhedaExpora</v>
      </c>
      <c r="D232" s="36" t="s">
        <v>936</v>
      </c>
      <c r="E232" s="49" t="s">
        <v>746</v>
      </c>
      <c r="F232" s="49" t="s">
        <v>26</v>
      </c>
      <c r="G232" s="24" t="s">
        <v>1615</v>
      </c>
    </row>
    <row r="233" spans="1:7" hidden="1">
      <c r="A233" s="36" t="s">
        <v>226</v>
      </c>
      <c r="B233" s="36" t="s">
        <v>314</v>
      </c>
      <c r="C233" s="36" t="str">
        <f>_xlfn.CONCAT(Table4[[#This Row],[Ledger Name]],Table4[[#This Row],[Entity Name]])</f>
        <v>Pradip Jethalal MorbiaExpora</v>
      </c>
      <c r="D233" s="36" t="s">
        <v>936</v>
      </c>
      <c r="E233" s="49" t="s">
        <v>746</v>
      </c>
      <c r="F233" s="49" t="s">
        <v>26</v>
      </c>
      <c r="G233" s="24" t="s">
        <v>1615</v>
      </c>
    </row>
    <row r="234" spans="1:7" hidden="1">
      <c r="A234" s="36" t="s">
        <v>449</v>
      </c>
      <c r="B234" s="36" t="s">
        <v>314</v>
      </c>
      <c r="C234" s="36" t="str">
        <f>_xlfn.CONCAT(Table4[[#This Row],[Ledger Name]],Table4[[#This Row],[Entity Name]])</f>
        <v>Pranay Anil ShahExpora</v>
      </c>
      <c r="D234" s="36" t="s">
        <v>936</v>
      </c>
      <c r="E234" s="49" t="s">
        <v>746</v>
      </c>
      <c r="F234" s="49" t="s">
        <v>26</v>
      </c>
      <c r="G234" s="24" t="s">
        <v>1615</v>
      </c>
    </row>
    <row r="235" spans="1:7" hidden="1">
      <c r="A235" s="36" t="s">
        <v>447</v>
      </c>
      <c r="B235" s="36" t="s">
        <v>314</v>
      </c>
      <c r="C235" s="36" t="str">
        <f>_xlfn.CONCAT(Table4[[#This Row],[Ledger Name]],Table4[[#This Row],[Entity Name]])</f>
        <v>Priya GoelExpora</v>
      </c>
      <c r="D235" s="36" t="s">
        <v>936</v>
      </c>
      <c r="E235" s="49" t="s">
        <v>746</v>
      </c>
      <c r="F235" s="49" t="s">
        <v>26</v>
      </c>
      <c r="G235" s="24" t="s">
        <v>1615</v>
      </c>
    </row>
    <row r="236" spans="1:7" hidden="1">
      <c r="A236" s="36" t="s">
        <v>300</v>
      </c>
      <c r="B236" s="36" t="s">
        <v>314</v>
      </c>
      <c r="C236" s="36" t="str">
        <f>_xlfn.CONCAT(Table4[[#This Row],[Ledger Name]],Table4[[#This Row],[Entity Name]])</f>
        <v>Purplelabs Search Pvt Ltd Share CapitalExpora</v>
      </c>
      <c r="D236" s="36" t="s">
        <v>936</v>
      </c>
      <c r="E236" s="49" t="s">
        <v>746</v>
      </c>
      <c r="F236" s="49" t="s">
        <v>26</v>
      </c>
      <c r="G236" s="24" t="s">
        <v>1615</v>
      </c>
    </row>
    <row r="237" spans="1:7" hidden="1">
      <c r="A237" s="36" t="s">
        <v>514</v>
      </c>
      <c r="B237" s="36" t="s">
        <v>314</v>
      </c>
      <c r="C237" s="36" t="str">
        <f>_xlfn.CONCAT(Table4[[#This Row],[Ledger Name]],Table4[[#This Row],[Entity Name]])</f>
        <v>Rajesh Natwarlal ShahExpora</v>
      </c>
      <c r="D237" s="36" t="s">
        <v>936</v>
      </c>
      <c r="E237" s="49" t="s">
        <v>746</v>
      </c>
      <c r="F237" s="49" t="s">
        <v>26</v>
      </c>
      <c r="G237" s="24" t="s">
        <v>1615</v>
      </c>
    </row>
    <row r="238" spans="1:7" hidden="1">
      <c r="A238" s="36" t="s">
        <v>217</v>
      </c>
      <c r="B238" s="36" t="s">
        <v>314</v>
      </c>
      <c r="C238" s="36" t="str">
        <f>_xlfn.CONCAT(Table4[[#This Row],[Ledger Name]],Table4[[#This Row],[Entity Name]])</f>
        <v>Rishit Jaysukh ParekhExpora</v>
      </c>
      <c r="D238" s="36" t="s">
        <v>936</v>
      </c>
      <c r="E238" s="49" t="s">
        <v>746</v>
      </c>
      <c r="F238" s="49" t="s">
        <v>26</v>
      </c>
      <c r="G238" s="24" t="s">
        <v>1615</v>
      </c>
    </row>
    <row r="239" spans="1:7" hidden="1">
      <c r="A239" s="36" t="s">
        <v>223</v>
      </c>
      <c r="B239" s="36" t="s">
        <v>314</v>
      </c>
      <c r="C239" s="36" t="str">
        <f>_xlfn.CONCAT(Table4[[#This Row],[Ledger Name]],Table4[[#This Row],[Entity Name]])</f>
        <v>Rohan Ramesh MorbiaExpora</v>
      </c>
      <c r="D239" s="36" t="s">
        <v>936</v>
      </c>
      <c r="E239" s="49" t="s">
        <v>746</v>
      </c>
      <c r="F239" s="49" t="s">
        <v>26</v>
      </c>
      <c r="G239" s="24" t="s">
        <v>1615</v>
      </c>
    </row>
    <row r="240" spans="1:7" hidden="1">
      <c r="A240" s="36" t="s">
        <v>222</v>
      </c>
      <c r="B240" s="36" t="s">
        <v>314</v>
      </c>
      <c r="C240" s="36" t="str">
        <f>_xlfn.CONCAT(Table4[[#This Row],[Ledger Name]],Table4[[#This Row],[Entity Name]])</f>
        <v>Ronak Kishor MorbiaExpora</v>
      </c>
      <c r="D240" s="36" t="s">
        <v>936</v>
      </c>
      <c r="E240" s="49" t="s">
        <v>746</v>
      </c>
      <c r="F240" s="49" t="s">
        <v>26</v>
      </c>
      <c r="G240" s="24" t="s">
        <v>1615</v>
      </c>
    </row>
    <row r="241" spans="1:7" hidden="1">
      <c r="A241" s="36" t="s">
        <v>219</v>
      </c>
      <c r="B241" s="36" t="s">
        <v>314</v>
      </c>
      <c r="C241" s="36" t="str">
        <f>_xlfn.CONCAT(Table4[[#This Row],[Ledger Name]],Table4[[#This Row],[Entity Name]])</f>
        <v>Sangita ParekhExpora</v>
      </c>
      <c r="D241" s="36" t="s">
        <v>936</v>
      </c>
      <c r="E241" s="49" t="s">
        <v>746</v>
      </c>
      <c r="F241" s="49" t="s">
        <v>26</v>
      </c>
      <c r="G241" s="24" t="s">
        <v>1615</v>
      </c>
    </row>
    <row r="242" spans="1:7" hidden="1">
      <c r="A242" s="36" t="s">
        <v>515</v>
      </c>
      <c r="B242" s="36" t="s">
        <v>314</v>
      </c>
      <c r="C242" s="36" t="str">
        <f>_xlfn.CONCAT(Table4[[#This Row],[Ledger Name]],Table4[[#This Row],[Entity Name]])</f>
        <v>Saumil Girish ParekhExpora</v>
      </c>
      <c r="D242" s="36" t="s">
        <v>936</v>
      </c>
      <c r="E242" s="49" t="s">
        <v>746</v>
      </c>
      <c r="F242" s="49" t="s">
        <v>26</v>
      </c>
      <c r="G242" s="24" t="s">
        <v>1615</v>
      </c>
    </row>
    <row r="243" spans="1:7" hidden="1">
      <c r="A243" s="36" t="s">
        <v>516</v>
      </c>
      <c r="B243" s="36" t="s">
        <v>314</v>
      </c>
      <c r="C243" s="36" t="str">
        <f>_xlfn.CONCAT(Table4[[#This Row],[Ledger Name]],Table4[[#This Row],[Entity Name]])</f>
        <v>Simmi Shankar Narayanan &amp; Shankar Narayanan Madhava MenonExpora</v>
      </c>
      <c r="D243" s="36" t="s">
        <v>936</v>
      </c>
      <c r="E243" s="49" t="s">
        <v>746</v>
      </c>
      <c r="F243" s="49" t="s">
        <v>26</v>
      </c>
      <c r="G243" s="24" t="s">
        <v>1615</v>
      </c>
    </row>
    <row r="244" spans="1:7" hidden="1">
      <c r="A244" s="36" t="s">
        <v>411</v>
      </c>
      <c r="B244" s="36" t="s">
        <v>314</v>
      </c>
      <c r="C244" s="36" t="str">
        <f>_xlfn.CONCAT(Table4[[#This Row],[Ledger Name]],Table4[[#This Row],[Entity Name]])</f>
        <v>Sujan Jyot Singh MalhotraExpora</v>
      </c>
      <c r="D244" s="36" t="s">
        <v>936</v>
      </c>
      <c r="E244" s="49" t="s">
        <v>746</v>
      </c>
      <c r="F244" s="49" t="s">
        <v>26</v>
      </c>
      <c r="G244" s="24" t="s">
        <v>1615</v>
      </c>
    </row>
    <row r="245" spans="1:7" hidden="1">
      <c r="A245" s="36" t="s">
        <v>225</v>
      </c>
      <c r="B245" s="36" t="s">
        <v>314</v>
      </c>
      <c r="C245" s="36" t="str">
        <f>_xlfn.CONCAT(Table4[[#This Row],[Ledger Name]],Table4[[#This Row],[Entity Name]])</f>
        <v>Sumaali Pradeep ChhedaExpora</v>
      </c>
      <c r="D245" s="36" t="s">
        <v>936</v>
      </c>
      <c r="E245" s="49" t="s">
        <v>746</v>
      </c>
      <c r="F245" s="49" t="s">
        <v>26</v>
      </c>
      <c r="G245" s="24" t="s">
        <v>1615</v>
      </c>
    </row>
    <row r="246" spans="1:7" hidden="1">
      <c r="A246" s="36" t="s">
        <v>517</v>
      </c>
      <c r="B246" s="36" t="s">
        <v>314</v>
      </c>
      <c r="C246" s="36" t="str">
        <f>_xlfn.CONCAT(Table4[[#This Row],[Ledger Name]],Table4[[#This Row],[Entity Name]])</f>
        <v>Tanavi MohantyExpora</v>
      </c>
      <c r="D246" s="36" t="s">
        <v>936</v>
      </c>
      <c r="E246" s="49" t="s">
        <v>746</v>
      </c>
      <c r="F246" s="49" t="s">
        <v>26</v>
      </c>
      <c r="G246" s="24" t="s">
        <v>1615</v>
      </c>
    </row>
    <row r="247" spans="1:7" hidden="1">
      <c r="A247" s="36" t="s">
        <v>598</v>
      </c>
      <c r="B247" s="36" t="s">
        <v>314</v>
      </c>
      <c r="C247" s="36" t="str">
        <f>_xlfn.CONCAT(Table4[[#This Row],[Ledger Name]],Table4[[#This Row],[Entity Name]])</f>
        <v>Yogesh ShuklaExpora</v>
      </c>
      <c r="D247" s="36" t="s">
        <v>936</v>
      </c>
      <c r="E247" s="49" t="s">
        <v>746</v>
      </c>
      <c r="F247" s="49" t="s">
        <v>26</v>
      </c>
      <c r="G247" s="24" t="s">
        <v>1615</v>
      </c>
    </row>
    <row r="248" spans="1:7" hidden="1">
      <c r="A248" s="36" t="s">
        <v>518</v>
      </c>
      <c r="B248" s="36" t="s">
        <v>314</v>
      </c>
      <c r="C248" s="36" t="str">
        <f>_xlfn.CONCAT(Table4[[#This Row],[Ledger Name]],Table4[[#This Row],[Entity Name]])</f>
        <v>Total for Series A1 CCPS SharesExpora</v>
      </c>
      <c r="D248" s="36" t="s">
        <v>952</v>
      </c>
      <c r="E248" s="49">
        <v>0</v>
      </c>
      <c r="F248" s="49">
        <v>0</v>
      </c>
      <c r="G248" s="101">
        <v>0</v>
      </c>
    </row>
    <row r="249" spans="1:7" hidden="1">
      <c r="A249" s="36" t="s">
        <v>519</v>
      </c>
      <c r="B249" s="36" t="s">
        <v>314</v>
      </c>
      <c r="C249" s="36" t="str">
        <f>_xlfn.CONCAT(Table4[[#This Row],[Ledger Name]],Table4[[#This Row],[Entity Name]])</f>
        <v>Share Capital (Partly Paid up)Expora</v>
      </c>
      <c r="D249" s="36" t="s">
        <v>952</v>
      </c>
      <c r="E249" s="49">
        <v>0</v>
      </c>
      <c r="F249" s="49">
        <v>0</v>
      </c>
      <c r="G249" s="101">
        <v>0</v>
      </c>
    </row>
    <row r="250" spans="1:7" hidden="1">
      <c r="A250" s="36" t="s">
        <v>167</v>
      </c>
      <c r="B250" s="36" t="s">
        <v>314</v>
      </c>
      <c r="C250" s="36" t="str">
        <f>_xlfn.CONCAT(Table4[[#This Row],[Ledger Name]],Table4[[#This Row],[Entity Name]])</f>
        <v>Krushang Boria (SC) Partly Paidup SharesExpora</v>
      </c>
      <c r="D250" s="36" t="s">
        <v>936</v>
      </c>
      <c r="E250" s="49" t="s">
        <v>746</v>
      </c>
      <c r="F250" s="49" t="s">
        <v>26</v>
      </c>
      <c r="G250" s="24" t="s">
        <v>1615</v>
      </c>
    </row>
    <row r="251" spans="1:7" hidden="1">
      <c r="A251" s="36" t="s">
        <v>520</v>
      </c>
      <c r="B251" s="36" t="s">
        <v>314</v>
      </c>
      <c r="C251" s="36" t="str">
        <f>_xlfn.CONCAT(Table4[[#This Row],[Ledger Name]],Table4[[#This Row],[Entity Name]])</f>
        <v>Total for Share Capital (Partly Paid up)Expora</v>
      </c>
      <c r="D251" s="36" t="s">
        <v>952</v>
      </c>
      <c r="E251" s="49">
        <v>0</v>
      </c>
      <c r="F251" s="49">
        <v>0</v>
      </c>
      <c r="G251" s="101">
        <v>0</v>
      </c>
    </row>
    <row r="252" spans="1:7" hidden="1">
      <c r="A252" s="36" t="s">
        <v>60</v>
      </c>
      <c r="B252" s="36" t="s">
        <v>314</v>
      </c>
      <c r="C252" s="36" t="str">
        <f>_xlfn.CONCAT(Table4[[#This Row],[Ledger Name]],Table4[[#This Row],[Entity Name]])</f>
        <v>Shivanand Shankar MankekarExpora</v>
      </c>
      <c r="D252" s="36" t="s">
        <v>936</v>
      </c>
      <c r="E252" s="49" t="s">
        <v>746</v>
      </c>
      <c r="F252" s="49" t="s">
        <v>26</v>
      </c>
      <c r="G252" s="24" t="s">
        <v>1615</v>
      </c>
    </row>
    <row r="253" spans="1:7" hidden="1">
      <c r="A253" s="36" t="s">
        <v>174</v>
      </c>
      <c r="B253" s="36" t="s">
        <v>314</v>
      </c>
      <c r="C253" s="36" t="str">
        <f>_xlfn.CONCAT(Table4[[#This Row],[Ledger Name]],Table4[[#This Row],[Entity Name]])</f>
        <v>Siddharth Shah (SC)Expora</v>
      </c>
      <c r="D253" s="36" t="s">
        <v>936</v>
      </c>
      <c r="E253" s="49" t="s">
        <v>746</v>
      </c>
      <c r="F253" s="49" t="s">
        <v>26</v>
      </c>
      <c r="G253" s="24" t="s">
        <v>1615</v>
      </c>
    </row>
    <row r="254" spans="1:7" hidden="1">
      <c r="A254" s="36" t="s">
        <v>173</v>
      </c>
      <c r="B254" s="36" t="s">
        <v>314</v>
      </c>
      <c r="C254" s="36" t="str">
        <f>_xlfn.CONCAT(Table4[[#This Row],[Ledger Name]],Table4[[#This Row],[Entity Name]])</f>
        <v>Siddharth Shah Family TrustExpora</v>
      </c>
      <c r="D254" s="36" t="s">
        <v>936</v>
      </c>
      <c r="E254" s="49" t="s">
        <v>746</v>
      </c>
      <c r="F254" s="49" t="s">
        <v>26</v>
      </c>
      <c r="G254" s="24" t="s">
        <v>1615</v>
      </c>
    </row>
    <row r="255" spans="1:7" hidden="1">
      <c r="A255" s="36" t="s">
        <v>61</v>
      </c>
      <c r="B255" s="36" t="s">
        <v>314</v>
      </c>
      <c r="C255" s="36" t="str">
        <f>_xlfn.CONCAT(Table4[[#This Row],[Ledger Name]],Table4[[#This Row],[Entity Name]])</f>
        <v>Vaibhavi Paresh ShahExpora</v>
      </c>
      <c r="D255" s="36" t="s">
        <v>936</v>
      </c>
      <c r="E255" s="49" t="s">
        <v>746</v>
      </c>
      <c r="F255" s="49" t="s">
        <v>26</v>
      </c>
      <c r="G255" s="24" t="s">
        <v>1615</v>
      </c>
    </row>
    <row r="256" spans="1:7" hidden="1">
      <c r="A256" s="36" t="s">
        <v>521</v>
      </c>
      <c r="B256" s="36" t="s">
        <v>314</v>
      </c>
      <c r="C256" s="36" t="str">
        <f>_xlfn.CONCAT(Table4[[#This Row],[Ledger Name]],Table4[[#This Row],[Entity Name]])</f>
        <v>Total for Share CapitalExpora</v>
      </c>
      <c r="D256" s="36" t="s">
        <v>952</v>
      </c>
      <c r="E256" s="49">
        <v>0</v>
      </c>
      <c r="F256" s="49">
        <v>0</v>
      </c>
      <c r="G256" s="101">
        <v>0</v>
      </c>
    </row>
    <row r="257" spans="1:7" hidden="1">
      <c r="A257" s="36" t="s">
        <v>419</v>
      </c>
      <c r="B257" s="36" t="s">
        <v>314</v>
      </c>
      <c r="C257" s="36" t="str">
        <f>_xlfn.CONCAT(Table4[[#This Row],[Ledger Name]],Table4[[#This Row],[Entity Name]])</f>
        <v>IncomeExpora</v>
      </c>
      <c r="D257" s="36" t="s">
        <v>952</v>
      </c>
      <c r="E257" s="49">
        <v>0</v>
      </c>
      <c r="F257" s="49">
        <v>0</v>
      </c>
      <c r="G257" s="101">
        <v>0</v>
      </c>
    </row>
    <row r="258" spans="1:7" hidden="1">
      <c r="A258" s="36" t="s">
        <v>712</v>
      </c>
      <c r="B258" s="36" t="s">
        <v>314</v>
      </c>
      <c r="C258" s="36" t="str">
        <f>_xlfn.CONCAT(Table4[[#This Row],[Ledger Name]],Table4[[#This Row],[Entity Name]])</f>
        <v>DiscountExpora</v>
      </c>
      <c r="D258" s="36" t="s">
        <v>936</v>
      </c>
      <c r="E258" s="49" t="s">
        <v>152</v>
      </c>
      <c r="F258" s="49" t="s">
        <v>1</v>
      </c>
      <c r="G258" s="101" t="s">
        <v>235</v>
      </c>
    </row>
    <row r="259" spans="1:7" hidden="1">
      <c r="A259" s="36" t="s">
        <v>163</v>
      </c>
      <c r="B259" s="36" t="s">
        <v>314</v>
      </c>
      <c r="C259" s="36" t="str">
        <f>_xlfn.CONCAT(Table4[[#This Row],[Ledger Name]],Table4[[#This Row],[Entity Name]])</f>
        <v>Duty DrawbackExpora</v>
      </c>
      <c r="D259" s="36" t="s">
        <v>936</v>
      </c>
      <c r="E259" s="49" t="s">
        <v>152</v>
      </c>
      <c r="F259" s="49" t="s">
        <v>189</v>
      </c>
      <c r="G259" s="101" t="s">
        <v>163</v>
      </c>
    </row>
    <row r="260" spans="1:7" hidden="1">
      <c r="A260" s="36" t="s">
        <v>780</v>
      </c>
      <c r="B260" s="36" t="s">
        <v>314</v>
      </c>
      <c r="C260" s="36" t="str">
        <f>_xlfn.CONCAT(Table4[[#This Row],[Ledger Name]],Table4[[#This Row],[Entity Name]])</f>
        <v>RodtepExpora</v>
      </c>
      <c r="D260" s="36" t="s">
        <v>936</v>
      </c>
      <c r="E260" s="49" t="s">
        <v>152</v>
      </c>
      <c r="F260" s="49" t="s">
        <v>189</v>
      </c>
      <c r="G260" s="101" t="s">
        <v>313</v>
      </c>
    </row>
    <row r="261" spans="1:7" hidden="1">
      <c r="A261" s="36" t="s">
        <v>91</v>
      </c>
      <c r="B261" s="36" t="s">
        <v>314</v>
      </c>
      <c r="C261" s="36" t="str">
        <f>_xlfn.CONCAT(Table4[[#This Row],[Ledger Name]],Table4[[#This Row],[Entity Name]])</f>
        <v>SalesExpora</v>
      </c>
      <c r="D261" s="36" t="s">
        <v>936</v>
      </c>
      <c r="E261" s="49" t="s">
        <v>152</v>
      </c>
      <c r="F261" s="49" t="s">
        <v>1</v>
      </c>
      <c r="G261" s="101" t="s">
        <v>91</v>
      </c>
    </row>
    <row r="262" spans="1:7" hidden="1">
      <c r="A262" s="36" t="s">
        <v>261</v>
      </c>
      <c r="B262" s="36" t="s">
        <v>314</v>
      </c>
      <c r="C262" s="36" t="str">
        <f>_xlfn.CONCAT(Table4[[#This Row],[Ledger Name]],Table4[[#This Row],[Entity Name]])</f>
        <v>ExpenseExpora</v>
      </c>
      <c r="D262" s="36" t="s">
        <v>952</v>
      </c>
      <c r="E262" s="49">
        <v>0</v>
      </c>
      <c r="F262" s="49">
        <v>0</v>
      </c>
      <c r="G262" s="101">
        <v>0</v>
      </c>
    </row>
    <row r="263" spans="1:7" hidden="1">
      <c r="A263" s="36" t="s">
        <v>103</v>
      </c>
      <c r="B263" s="36" t="s">
        <v>314</v>
      </c>
      <c r="C263" s="36" t="str">
        <f>_xlfn.CONCAT(Table4[[#This Row],[Ledger Name]],Table4[[#This Row],[Entity Name]])</f>
        <v>Administrative ChargesExpora</v>
      </c>
      <c r="D263" s="36" t="s">
        <v>936</v>
      </c>
      <c r="E263" s="49" t="s">
        <v>152</v>
      </c>
      <c r="F263" s="49" t="s">
        <v>5</v>
      </c>
      <c r="G263" s="101" t="s">
        <v>35</v>
      </c>
    </row>
    <row r="264" spans="1:7" hidden="1">
      <c r="A264" s="36" t="s">
        <v>413</v>
      </c>
      <c r="B264" s="36" t="s">
        <v>314</v>
      </c>
      <c r="C264" s="36" t="str">
        <f>_xlfn.CONCAT(Table4[[#This Row],[Ledger Name]],Table4[[#This Row],[Entity Name]])</f>
        <v>Advertising And MarketingExpora</v>
      </c>
      <c r="D264" s="36" t="s">
        <v>936</v>
      </c>
      <c r="E264" s="49" t="s">
        <v>152</v>
      </c>
      <c r="F264" s="49" t="s">
        <v>153</v>
      </c>
      <c r="G264" s="101" t="s">
        <v>66</v>
      </c>
    </row>
    <row r="265" spans="1:7" hidden="1">
      <c r="A265" s="36" t="s">
        <v>713</v>
      </c>
      <c r="B265" s="36" t="s">
        <v>314</v>
      </c>
      <c r="C265" s="36" t="str">
        <f>_xlfn.CONCAT(Table4[[#This Row],[Ledger Name]],Table4[[#This Row],[Entity Name]])</f>
        <v>Audit ExpensesExpora</v>
      </c>
      <c r="D265" s="36" t="s">
        <v>936</v>
      </c>
      <c r="E265" s="49" t="s">
        <v>152</v>
      </c>
      <c r="F265" s="49" t="s">
        <v>9</v>
      </c>
      <c r="G265" s="101" t="s">
        <v>187</v>
      </c>
    </row>
    <row r="266" spans="1:7" hidden="1">
      <c r="A266" s="36" t="s">
        <v>441</v>
      </c>
      <c r="B266" s="36" t="s">
        <v>314</v>
      </c>
      <c r="C266" s="36" t="str">
        <f>_xlfn.CONCAT(Table4[[#This Row],[Ledger Name]],Table4[[#This Row],[Entity Name]])</f>
        <v>Bank Charges Against Import/MTT Transaction.Expora</v>
      </c>
      <c r="D266" s="36" t="s">
        <v>936</v>
      </c>
      <c r="E266" s="36" t="s">
        <v>152</v>
      </c>
      <c r="F266" s="49" t="s">
        <v>93</v>
      </c>
      <c r="G266" s="101" t="s">
        <v>138</v>
      </c>
    </row>
    <row r="267" spans="1:7" hidden="1">
      <c r="A267" s="36" t="s">
        <v>386</v>
      </c>
      <c r="B267" s="36" t="s">
        <v>314</v>
      </c>
      <c r="C267" s="36" t="str">
        <f>_xlfn.CONCAT(Table4[[#This Row],[Ledger Name]],Table4[[#This Row],[Entity Name]])</f>
        <v>Bank Fees and ChargesExpora</v>
      </c>
      <c r="D267" s="36" t="s">
        <v>936</v>
      </c>
      <c r="E267" s="49" t="s">
        <v>152</v>
      </c>
      <c r="F267" s="49" t="s">
        <v>13</v>
      </c>
      <c r="G267" s="101" t="s">
        <v>422</v>
      </c>
    </row>
    <row r="268" spans="1:7" hidden="1">
      <c r="A268" s="36" t="s">
        <v>271</v>
      </c>
      <c r="B268" s="36" t="s">
        <v>314</v>
      </c>
      <c r="C268" s="36" t="str">
        <f>_xlfn.CONCAT(Table4[[#This Row],[Ledger Name]],Table4[[#This Row],[Entity Name]])</f>
        <v>Bill Discounting Interest CostExpora</v>
      </c>
      <c r="D268" s="36" t="s">
        <v>936</v>
      </c>
      <c r="E268" s="49" t="s">
        <v>152</v>
      </c>
      <c r="F268" s="49" t="s">
        <v>315</v>
      </c>
      <c r="G268" s="101" t="s">
        <v>281</v>
      </c>
    </row>
    <row r="269" spans="1:7" hidden="1">
      <c r="A269" s="36" t="s">
        <v>600</v>
      </c>
      <c r="B269" s="36" t="s">
        <v>314</v>
      </c>
      <c r="C269" s="36" t="str">
        <f>_xlfn.CONCAT(Table4[[#This Row],[Ledger Name]],Table4[[#This Row],[Entity Name]])</f>
        <v>Commission &amp; Brokerage ChargesExpora</v>
      </c>
      <c r="D269" s="36" t="s">
        <v>936</v>
      </c>
      <c r="E269" s="49" t="s">
        <v>152</v>
      </c>
      <c r="F269" s="49" t="s">
        <v>93</v>
      </c>
      <c r="G269" s="101" t="s">
        <v>600</v>
      </c>
    </row>
    <row r="270" spans="1:7" hidden="1">
      <c r="A270" s="36" t="s">
        <v>523</v>
      </c>
      <c r="B270" s="36" t="s">
        <v>314</v>
      </c>
      <c r="C270" s="36" t="str">
        <f>_xlfn.CONCAT(Table4[[#This Row],[Ledger Name]],Table4[[#This Row],[Entity Name]])</f>
        <v>Cost of Goods SoldExpora</v>
      </c>
      <c r="D270" s="36" t="s">
        <v>936</v>
      </c>
      <c r="E270" s="49" t="s">
        <v>152</v>
      </c>
      <c r="F270" s="49" t="s">
        <v>93</v>
      </c>
      <c r="G270" s="106" t="s">
        <v>50</v>
      </c>
    </row>
    <row r="271" spans="1:7" hidden="1">
      <c r="A271" s="36" t="s">
        <v>810</v>
      </c>
      <c r="B271" s="36" t="s">
        <v>314</v>
      </c>
      <c r="C271" s="36" t="str">
        <f>_xlfn.CONCAT(Table4[[#This Row],[Ledger Name]],Table4[[#This Row],[Entity Name]])</f>
        <v>ASP/EXP/2324/069Expora</v>
      </c>
      <c r="D271" s="36" t="s">
        <v>936</v>
      </c>
      <c r="E271" s="49" t="s">
        <v>152</v>
      </c>
      <c r="F271" s="49" t="s">
        <v>93</v>
      </c>
      <c r="G271" s="101" t="s">
        <v>138</v>
      </c>
    </row>
    <row r="272" spans="1:7" hidden="1">
      <c r="A272" s="36" t="s">
        <v>834</v>
      </c>
      <c r="B272" s="36" t="s">
        <v>314</v>
      </c>
      <c r="C272" s="36" t="str">
        <f>_xlfn.CONCAT(Table4[[#This Row],[Ledger Name]],Table4[[#This Row],[Entity Name]])</f>
        <v>ASP/EXP/2324/076Expora</v>
      </c>
      <c r="D272" s="36" t="s">
        <v>936</v>
      </c>
      <c r="E272" s="49" t="s">
        <v>152</v>
      </c>
      <c r="F272" s="49" t="s">
        <v>93</v>
      </c>
      <c r="G272" s="101" t="s">
        <v>138</v>
      </c>
    </row>
    <row r="273" spans="1:7" hidden="1">
      <c r="A273" s="36" t="s">
        <v>836</v>
      </c>
      <c r="B273" s="36" t="s">
        <v>314</v>
      </c>
      <c r="C273" s="36" t="str">
        <f>_xlfn.CONCAT(Table4[[#This Row],[Ledger Name]],Table4[[#This Row],[Entity Name]])</f>
        <v>ASP/EXP/2324/077Expora</v>
      </c>
      <c r="D273" s="36" t="s">
        <v>936</v>
      </c>
      <c r="E273" s="49" t="s">
        <v>152</v>
      </c>
      <c r="F273" s="49" t="s">
        <v>93</v>
      </c>
      <c r="G273" s="101" t="s">
        <v>138</v>
      </c>
    </row>
    <row r="274" spans="1:7" hidden="1">
      <c r="A274" s="36" t="s">
        <v>185</v>
      </c>
      <c r="B274" s="36" t="s">
        <v>314</v>
      </c>
      <c r="C274" s="36" t="str">
        <f>_xlfn.CONCAT(Table4[[#This Row],[Ledger Name]],Table4[[#This Row],[Entity Name]])</f>
        <v>Export DutyExpora</v>
      </c>
      <c r="D274" s="36" t="s">
        <v>936</v>
      </c>
      <c r="E274" s="49" t="s">
        <v>152</v>
      </c>
      <c r="F274" s="49" t="s">
        <v>93</v>
      </c>
      <c r="G274" s="101" t="s">
        <v>138</v>
      </c>
    </row>
    <row r="275" spans="1:7" hidden="1">
      <c r="A275" s="36" t="s">
        <v>592</v>
      </c>
      <c r="B275" s="36" t="s">
        <v>314</v>
      </c>
      <c r="C275" s="36" t="str">
        <f>_xlfn.CONCAT(Table4[[#This Row],[Ledger Name]],Table4[[#This Row],[Entity Name]])</f>
        <v>Import DutyExpora</v>
      </c>
      <c r="D275" s="36" t="s">
        <v>936</v>
      </c>
      <c r="E275" s="49" t="s">
        <v>152</v>
      </c>
      <c r="F275" s="49" t="s">
        <v>93</v>
      </c>
      <c r="G275" s="101" t="s">
        <v>138</v>
      </c>
    </row>
    <row r="276" spans="1:7" hidden="1">
      <c r="A276" s="36" t="s">
        <v>800</v>
      </c>
      <c r="B276" s="36" t="s">
        <v>314</v>
      </c>
      <c r="C276" s="36" t="str">
        <f>_xlfn.CONCAT(Table4[[#This Row],[Ledger Name]],Table4[[#This Row],[Entity Name]])</f>
        <v>Selling &amp; DistributionExpora</v>
      </c>
      <c r="D276" s="36" t="s">
        <v>936</v>
      </c>
      <c r="E276" s="49" t="s">
        <v>152</v>
      </c>
      <c r="F276" s="49" t="s">
        <v>786</v>
      </c>
      <c r="G276" s="101" t="s">
        <v>786</v>
      </c>
    </row>
    <row r="277" spans="1:7" hidden="1">
      <c r="A277" s="36" t="s">
        <v>861</v>
      </c>
      <c r="B277" s="36" t="s">
        <v>314</v>
      </c>
      <c r="C277" s="36" t="str">
        <f>_xlfn.CONCAT(Table4[[#This Row],[Ledger Name]],Table4[[#This Row],[Entity Name]])</f>
        <v>TAEXP2425001Expora</v>
      </c>
      <c r="D277" s="36" t="s">
        <v>936</v>
      </c>
      <c r="E277" s="49" t="s">
        <v>152</v>
      </c>
      <c r="F277" s="49" t="s">
        <v>93</v>
      </c>
      <c r="G277" s="101" t="s">
        <v>138</v>
      </c>
    </row>
    <row r="278" spans="1:7" hidden="1">
      <c r="A278" s="36" t="s">
        <v>863</v>
      </c>
      <c r="B278" s="36" t="s">
        <v>314</v>
      </c>
      <c r="C278" s="36" t="str">
        <f>_xlfn.CONCAT(Table4[[#This Row],[Ledger Name]],Table4[[#This Row],[Entity Name]])</f>
        <v>TAEXP2425004Expora</v>
      </c>
      <c r="D278" s="36" t="s">
        <v>936</v>
      </c>
      <c r="E278" s="49" t="s">
        <v>152</v>
      </c>
      <c r="F278" s="49" t="s">
        <v>93</v>
      </c>
      <c r="G278" s="101" t="s">
        <v>138</v>
      </c>
    </row>
    <row r="279" spans="1:7" hidden="1">
      <c r="A279" s="36" t="s">
        <v>867</v>
      </c>
      <c r="B279" s="36" t="s">
        <v>314</v>
      </c>
      <c r="C279" s="36" t="str">
        <f>_xlfn.CONCAT(Table4[[#This Row],[Ledger Name]],Table4[[#This Row],[Entity Name]])</f>
        <v>TAEXP2425006Expora</v>
      </c>
      <c r="D279" s="36" t="s">
        <v>936</v>
      </c>
      <c r="E279" s="49" t="s">
        <v>152</v>
      </c>
      <c r="F279" s="49" t="s">
        <v>93</v>
      </c>
      <c r="G279" s="101" t="s">
        <v>138</v>
      </c>
    </row>
    <row r="280" spans="1:7" hidden="1">
      <c r="A280" s="36" t="s">
        <v>866</v>
      </c>
      <c r="B280" s="36" t="s">
        <v>314</v>
      </c>
      <c r="C280" s="36" t="str">
        <f>_xlfn.CONCAT(Table4[[#This Row],[Ledger Name]],Table4[[#This Row],[Entity Name]])</f>
        <v>TAEXP2425007Expora</v>
      </c>
      <c r="D280" s="36" t="s">
        <v>936</v>
      </c>
      <c r="E280" s="49" t="s">
        <v>152</v>
      </c>
      <c r="F280" s="49" t="s">
        <v>93</v>
      </c>
      <c r="G280" s="101" t="s">
        <v>138</v>
      </c>
    </row>
    <row r="281" spans="1:7" hidden="1">
      <c r="A281" s="36" t="s">
        <v>871</v>
      </c>
      <c r="B281" s="36" t="s">
        <v>314</v>
      </c>
      <c r="C281" s="36" t="str">
        <f>_xlfn.CONCAT(Table4[[#This Row],[Ledger Name]],Table4[[#This Row],[Entity Name]])</f>
        <v>TAEXP2425008Expora</v>
      </c>
      <c r="D281" s="36" t="s">
        <v>936</v>
      </c>
      <c r="E281" s="49" t="s">
        <v>152</v>
      </c>
      <c r="F281" s="49" t="s">
        <v>93</v>
      </c>
      <c r="G281" s="101" t="s">
        <v>138</v>
      </c>
    </row>
    <row r="282" spans="1:7" hidden="1">
      <c r="A282" s="36" t="s">
        <v>868</v>
      </c>
      <c r="B282" s="36" t="s">
        <v>314</v>
      </c>
      <c r="C282" s="36" t="str">
        <f>_xlfn.CONCAT(Table4[[#This Row],[Ledger Name]],Table4[[#This Row],[Entity Name]])</f>
        <v>TAEXP2425009Expora</v>
      </c>
      <c r="D282" s="36" t="s">
        <v>936</v>
      </c>
      <c r="E282" s="49" t="s">
        <v>152</v>
      </c>
      <c r="F282" s="49" t="s">
        <v>93</v>
      </c>
      <c r="G282" s="101" t="s">
        <v>138</v>
      </c>
    </row>
    <row r="283" spans="1:7" hidden="1">
      <c r="A283" s="36" t="s">
        <v>873</v>
      </c>
      <c r="B283" s="36" t="s">
        <v>314</v>
      </c>
      <c r="C283" s="36" t="str">
        <f>_xlfn.CONCAT(Table4[[#This Row],[Ledger Name]],Table4[[#This Row],[Entity Name]])</f>
        <v>TAEXP2425010Expora</v>
      </c>
      <c r="D283" s="36" t="s">
        <v>936</v>
      </c>
      <c r="E283" s="49" t="s">
        <v>152</v>
      </c>
      <c r="F283" s="49" t="s">
        <v>93</v>
      </c>
      <c r="G283" s="101" t="s">
        <v>138</v>
      </c>
    </row>
    <row r="284" spans="1:7" hidden="1">
      <c r="A284" s="36" t="s">
        <v>872</v>
      </c>
      <c r="B284" s="36" t="s">
        <v>314</v>
      </c>
      <c r="C284" s="36" t="str">
        <f>_xlfn.CONCAT(Table4[[#This Row],[Ledger Name]],Table4[[#This Row],[Entity Name]])</f>
        <v>TAEXP2425011Expora</v>
      </c>
      <c r="D284" s="36" t="s">
        <v>936</v>
      </c>
      <c r="E284" s="49" t="s">
        <v>152</v>
      </c>
      <c r="F284" s="49" t="s">
        <v>93</v>
      </c>
      <c r="G284" s="101" t="s">
        <v>138</v>
      </c>
    </row>
    <row r="285" spans="1:7" hidden="1">
      <c r="A285" s="36" t="s">
        <v>907</v>
      </c>
      <c r="B285" s="36" t="s">
        <v>314</v>
      </c>
      <c r="C285" s="36" t="str">
        <f>_xlfn.CONCAT(Table4[[#This Row],[Ledger Name]],Table4[[#This Row],[Entity Name]])</f>
        <v>TAEXP2425012Expora</v>
      </c>
      <c r="D285" s="36" t="s">
        <v>936</v>
      </c>
      <c r="E285" s="49" t="s">
        <v>152</v>
      </c>
      <c r="F285" s="49" t="s">
        <v>93</v>
      </c>
      <c r="G285" s="101" t="s">
        <v>138</v>
      </c>
    </row>
    <row r="286" spans="1:7" hidden="1">
      <c r="A286" s="36" t="s">
        <v>908</v>
      </c>
      <c r="B286" s="36" t="s">
        <v>314</v>
      </c>
      <c r="C286" s="36" t="str">
        <f>_xlfn.CONCAT(Table4[[#This Row],[Ledger Name]],Table4[[#This Row],[Entity Name]])</f>
        <v>TAEXP2425013Expora</v>
      </c>
      <c r="D286" s="36" t="s">
        <v>936</v>
      </c>
      <c r="E286" s="49" t="s">
        <v>152</v>
      </c>
      <c r="F286" s="49" t="s">
        <v>93</v>
      </c>
      <c r="G286" s="101" t="s">
        <v>138</v>
      </c>
    </row>
    <row r="287" spans="1:7" hidden="1">
      <c r="A287" s="36" t="s">
        <v>909</v>
      </c>
      <c r="B287" s="36" t="s">
        <v>314</v>
      </c>
      <c r="C287" s="36" t="str">
        <f>_xlfn.CONCAT(Table4[[#This Row],[Ledger Name]],Table4[[#This Row],[Entity Name]])</f>
        <v>TAEXP2425014Expora</v>
      </c>
      <c r="D287" s="36" t="s">
        <v>936</v>
      </c>
      <c r="E287" s="49" t="s">
        <v>152</v>
      </c>
      <c r="F287" s="49" t="s">
        <v>93</v>
      </c>
      <c r="G287" s="101" t="s">
        <v>138</v>
      </c>
    </row>
    <row r="288" spans="1:7" hidden="1">
      <c r="A288" s="36" t="s">
        <v>910</v>
      </c>
      <c r="B288" s="36" t="s">
        <v>314</v>
      </c>
      <c r="C288" s="36" t="str">
        <f>_xlfn.CONCAT(Table4[[#This Row],[Ledger Name]],Table4[[#This Row],[Entity Name]])</f>
        <v>TAEXP2425015Expora</v>
      </c>
      <c r="D288" s="36" t="s">
        <v>936</v>
      </c>
      <c r="E288" s="49" t="s">
        <v>152</v>
      </c>
      <c r="F288" s="49" t="s">
        <v>93</v>
      </c>
      <c r="G288" s="101" t="s">
        <v>138</v>
      </c>
    </row>
    <row r="289" spans="1:7" hidden="1">
      <c r="A289" s="36" t="s">
        <v>911</v>
      </c>
      <c r="B289" s="36" t="s">
        <v>314</v>
      </c>
      <c r="C289" s="36" t="str">
        <f>_xlfn.CONCAT(Table4[[#This Row],[Ledger Name]],Table4[[#This Row],[Entity Name]])</f>
        <v>TALOC2324001Expora</v>
      </c>
      <c r="D289" s="36" t="s">
        <v>936</v>
      </c>
      <c r="E289" s="49" t="s">
        <v>152</v>
      </c>
      <c r="F289" s="49" t="s">
        <v>93</v>
      </c>
      <c r="G289" s="101" t="s">
        <v>138</v>
      </c>
    </row>
    <row r="290" spans="1:7" hidden="1">
      <c r="A290" s="36" t="s">
        <v>912</v>
      </c>
      <c r="B290" s="36" t="s">
        <v>314</v>
      </c>
      <c r="C290" s="36" t="str">
        <f>_xlfn.CONCAT(Table4[[#This Row],[Ledger Name]],Table4[[#This Row],[Entity Name]])</f>
        <v>TALOC2425004Expora</v>
      </c>
      <c r="D290" s="36" t="s">
        <v>936</v>
      </c>
      <c r="E290" s="49" t="s">
        <v>152</v>
      </c>
      <c r="F290" s="49" t="s">
        <v>93</v>
      </c>
      <c r="G290" s="101" t="s">
        <v>138</v>
      </c>
    </row>
    <row r="291" spans="1:7" hidden="1">
      <c r="A291" s="36" t="s">
        <v>913</v>
      </c>
      <c r="B291" s="36" t="s">
        <v>314</v>
      </c>
      <c r="C291" s="36" t="str">
        <f>_xlfn.CONCAT(Table4[[#This Row],[Ledger Name]],Table4[[#This Row],[Entity Name]])</f>
        <v>TALOC2425010Expora</v>
      </c>
      <c r="D291" s="36" t="s">
        <v>936</v>
      </c>
      <c r="E291" s="49" t="s">
        <v>152</v>
      </c>
      <c r="F291" s="49" t="s">
        <v>93</v>
      </c>
      <c r="G291" s="101" t="s">
        <v>138</v>
      </c>
    </row>
    <row r="292" spans="1:7" hidden="1">
      <c r="A292" s="36" t="s">
        <v>914</v>
      </c>
      <c r="B292" s="36" t="s">
        <v>314</v>
      </c>
      <c r="C292" s="36" t="str">
        <f>_xlfn.CONCAT(Table4[[#This Row],[Ledger Name]],Table4[[#This Row],[Entity Name]])</f>
        <v>TALOC2425035Expora</v>
      </c>
      <c r="D292" s="36" t="s">
        <v>936</v>
      </c>
      <c r="E292" s="49" t="s">
        <v>152</v>
      </c>
      <c r="F292" s="49" t="s">
        <v>93</v>
      </c>
      <c r="G292" s="101" t="s">
        <v>138</v>
      </c>
    </row>
    <row r="293" spans="1:7" hidden="1">
      <c r="A293" s="36" t="s">
        <v>915</v>
      </c>
      <c r="B293" s="36" t="s">
        <v>314</v>
      </c>
      <c r="C293" s="36" t="str">
        <f>_xlfn.CONCAT(Table4[[#This Row],[Ledger Name]],Table4[[#This Row],[Entity Name]])</f>
        <v>TALOC2425053Expora</v>
      </c>
      <c r="D293" s="36" t="s">
        <v>936</v>
      </c>
      <c r="E293" s="49" t="s">
        <v>152</v>
      </c>
      <c r="F293" s="49" t="s">
        <v>93</v>
      </c>
      <c r="G293" s="101" t="s">
        <v>138</v>
      </c>
    </row>
    <row r="294" spans="1:7" hidden="1">
      <c r="A294" s="36" t="s">
        <v>847</v>
      </c>
      <c r="B294" s="36" t="s">
        <v>314</v>
      </c>
      <c r="C294" s="36" t="str">
        <f>_xlfn.CONCAT(Table4[[#This Row],[Ledger Name]],Table4[[#This Row],[Entity Name]])</f>
        <v>Warehouse Exp (Unja)Expora</v>
      </c>
      <c r="D294" s="36" t="s">
        <v>936</v>
      </c>
      <c r="E294" s="36" t="s">
        <v>152</v>
      </c>
      <c r="F294" s="49" t="s">
        <v>93</v>
      </c>
      <c r="G294" s="101" t="s">
        <v>138</v>
      </c>
    </row>
    <row r="295" spans="1:7" hidden="1">
      <c r="A295" s="36" t="s">
        <v>526</v>
      </c>
      <c r="B295" s="36" t="s">
        <v>314</v>
      </c>
      <c r="C295" s="36" t="str">
        <f>_xlfn.CONCAT(Table4[[#This Row],[Ledger Name]],Table4[[#This Row],[Entity Name]])</f>
        <v>Total for Cost of Goods SoldExpora</v>
      </c>
      <c r="D295" s="36" t="s">
        <v>952</v>
      </c>
      <c r="E295" s="49">
        <v>0</v>
      </c>
      <c r="F295" s="49">
        <v>0</v>
      </c>
      <c r="G295" s="101">
        <v>0</v>
      </c>
    </row>
    <row r="296" spans="1:7" hidden="1">
      <c r="A296" s="36" t="s">
        <v>201</v>
      </c>
      <c r="B296" s="36" t="s">
        <v>314</v>
      </c>
      <c r="C296" s="36" t="str">
        <f>_xlfn.CONCAT(Table4[[#This Row],[Ledger Name]],Table4[[#This Row],[Entity Name]])</f>
        <v>Courier ChargesExpora</v>
      </c>
      <c r="D296" s="36" t="s">
        <v>936</v>
      </c>
      <c r="E296" s="49" t="s">
        <v>152</v>
      </c>
      <c r="F296" s="49" t="s">
        <v>5</v>
      </c>
      <c r="G296" s="101" t="s">
        <v>33</v>
      </c>
    </row>
    <row r="297" spans="1:7" hidden="1">
      <c r="A297" s="36" t="s">
        <v>527</v>
      </c>
      <c r="B297" s="36" t="s">
        <v>314</v>
      </c>
      <c r="C297" s="36" t="str">
        <f>_xlfn.CONCAT(Table4[[#This Row],[Ledger Name]],Table4[[#This Row],[Entity Name]])</f>
        <v>Depreciation And AmortisationExpora</v>
      </c>
      <c r="D297" s="36" t="s">
        <v>936</v>
      </c>
      <c r="E297" s="49" t="s">
        <v>152</v>
      </c>
      <c r="F297" s="49" t="s">
        <v>17</v>
      </c>
      <c r="G297" s="101" t="s">
        <v>17</v>
      </c>
    </row>
    <row r="298" spans="1:7" hidden="1">
      <c r="A298" s="36" t="s">
        <v>528</v>
      </c>
      <c r="B298" s="36" t="s">
        <v>314</v>
      </c>
      <c r="C298" s="36" t="str">
        <f>_xlfn.CONCAT(Table4[[#This Row],[Ledger Name]],Table4[[#This Row],[Entity Name]])</f>
        <v>E-BRC ChargesExpora</v>
      </c>
      <c r="D298" s="36" t="s">
        <v>936</v>
      </c>
      <c r="E298" s="49" t="s">
        <v>152</v>
      </c>
      <c r="F298" s="49" t="s">
        <v>315</v>
      </c>
      <c r="G298" s="101" t="s">
        <v>321</v>
      </c>
    </row>
    <row r="299" spans="1:7" hidden="1">
      <c r="A299" s="36" t="s">
        <v>414</v>
      </c>
      <c r="B299" s="36" t="s">
        <v>314</v>
      </c>
      <c r="C299" s="36" t="str">
        <f>_xlfn.CONCAT(Table4[[#This Row],[Ledger Name]],Table4[[#This Row],[Entity Name]])</f>
        <v>Exchange Gain or LossExpora</v>
      </c>
      <c r="D299" s="36" t="s">
        <v>936</v>
      </c>
      <c r="E299" s="49" t="s">
        <v>152</v>
      </c>
      <c r="F299" s="49" t="s">
        <v>315</v>
      </c>
      <c r="G299" s="101" t="s">
        <v>205</v>
      </c>
    </row>
    <row r="300" spans="1:7" hidden="1">
      <c r="A300" s="36" t="s">
        <v>315</v>
      </c>
      <c r="B300" s="36" t="s">
        <v>314</v>
      </c>
      <c r="C300" s="36" t="str">
        <f>_xlfn.CONCAT(Table4[[#This Row],[Ledger Name]],Table4[[#This Row],[Entity Name]])</f>
        <v>Finance CostExpora</v>
      </c>
      <c r="D300" s="36" t="s">
        <v>952</v>
      </c>
      <c r="E300" s="49">
        <v>0</v>
      </c>
      <c r="F300" s="49">
        <v>0</v>
      </c>
      <c r="G300" s="101">
        <v>0</v>
      </c>
    </row>
    <row r="301" spans="1:7" hidden="1">
      <c r="A301" s="36" t="s">
        <v>286</v>
      </c>
      <c r="B301" s="36" t="s">
        <v>314</v>
      </c>
      <c r="C301" s="36" t="str">
        <f>_xlfn.CONCAT(Table4[[#This Row],[Ledger Name]],Table4[[#This Row],[Entity Name]])</f>
        <v>Interest on CC/OD LoanExpora</v>
      </c>
      <c r="D301" s="36" t="s">
        <v>936</v>
      </c>
      <c r="E301" s="49" t="s">
        <v>152</v>
      </c>
      <c r="F301" s="49" t="s">
        <v>315</v>
      </c>
      <c r="G301" s="101" t="s">
        <v>286</v>
      </c>
    </row>
    <row r="302" spans="1:7" hidden="1">
      <c r="A302" s="36" t="s">
        <v>105</v>
      </c>
      <c r="B302" s="36" t="s">
        <v>314</v>
      </c>
      <c r="C302" s="36" t="str">
        <f>_xlfn.CONCAT(Table4[[#This Row],[Ledger Name]],Table4[[#This Row],[Entity Name]])</f>
        <v>Interest on Unsecured LoanExpora</v>
      </c>
      <c r="D302" s="36" t="s">
        <v>936</v>
      </c>
      <c r="E302" s="49" t="s">
        <v>152</v>
      </c>
      <c r="F302" s="49" t="s">
        <v>315</v>
      </c>
      <c r="G302" s="101" t="s">
        <v>284</v>
      </c>
    </row>
    <row r="303" spans="1:7" hidden="1">
      <c r="A303" s="36" t="s">
        <v>530</v>
      </c>
      <c r="B303" s="36" t="s">
        <v>314</v>
      </c>
      <c r="C303" s="36" t="str">
        <f>_xlfn.CONCAT(Table4[[#This Row],[Ledger Name]],Table4[[#This Row],[Entity Name]])</f>
        <v>Total for Finance CostExpora</v>
      </c>
      <c r="D303" s="36" t="s">
        <v>952</v>
      </c>
      <c r="E303" s="49">
        <v>0</v>
      </c>
      <c r="F303" s="49">
        <v>0</v>
      </c>
      <c r="G303" s="101">
        <v>0</v>
      </c>
    </row>
    <row r="304" spans="1:7" hidden="1">
      <c r="A304" s="36" t="s">
        <v>131</v>
      </c>
      <c r="B304" s="36" t="s">
        <v>314</v>
      </c>
      <c r="C304" s="36" t="str">
        <f>_xlfn.CONCAT(Table4[[#This Row],[Ledger Name]],Table4[[#This Row],[Entity Name]])</f>
        <v>Foreign Remittance ChargesExpora</v>
      </c>
      <c r="D304" s="36" t="s">
        <v>936</v>
      </c>
      <c r="E304" s="49" t="s">
        <v>152</v>
      </c>
      <c r="F304" s="49" t="s">
        <v>5</v>
      </c>
      <c r="G304" s="101" t="s">
        <v>131</v>
      </c>
    </row>
    <row r="305" spans="1:7" hidden="1">
      <c r="A305" s="36" t="s">
        <v>232</v>
      </c>
      <c r="B305" s="36" t="s">
        <v>314</v>
      </c>
      <c r="C305" s="36" t="str">
        <f>_xlfn.CONCAT(Table4[[#This Row],[Ledger Name]],Table4[[#This Row],[Entity Name]])</f>
        <v>Goods Insurance ChargesExpora</v>
      </c>
      <c r="D305" s="36" t="s">
        <v>936</v>
      </c>
      <c r="E305" s="49" t="s">
        <v>152</v>
      </c>
      <c r="F305" s="49" t="s">
        <v>5</v>
      </c>
      <c r="G305" s="101" t="s">
        <v>132</v>
      </c>
    </row>
    <row r="306" spans="1:7" hidden="1">
      <c r="A306" s="36" t="s">
        <v>188</v>
      </c>
      <c r="B306" s="36" t="s">
        <v>314</v>
      </c>
      <c r="C306" s="36" t="str">
        <f>_xlfn.CONCAT(Table4[[#This Row],[Ledger Name]],Table4[[#This Row],[Entity Name]])</f>
        <v>Group Health Insurance PolicyExpora</v>
      </c>
      <c r="D306" s="36" t="s">
        <v>936</v>
      </c>
      <c r="E306" s="49" t="s">
        <v>152</v>
      </c>
      <c r="F306" s="49" t="s">
        <v>5</v>
      </c>
      <c r="G306" s="101" t="s">
        <v>132</v>
      </c>
    </row>
    <row r="307" spans="1:7" hidden="1">
      <c r="A307" s="36" t="s">
        <v>111</v>
      </c>
      <c r="B307" s="36" t="s">
        <v>314</v>
      </c>
      <c r="C307" s="36" t="str">
        <f>_xlfn.CONCAT(Table4[[#This Row],[Ledger Name]],Table4[[#This Row],[Entity Name]])</f>
        <v>Housekeeping ExpensesExpora</v>
      </c>
      <c r="D307" s="36" t="s">
        <v>936</v>
      </c>
      <c r="E307" s="49" t="s">
        <v>152</v>
      </c>
      <c r="F307" s="49" t="s">
        <v>5</v>
      </c>
      <c r="G307" s="101" t="s">
        <v>113</v>
      </c>
    </row>
    <row r="308" spans="1:7" hidden="1">
      <c r="A308" s="36" t="s">
        <v>916</v>
      </c>
      <c r="B308" s="36" t="s">
        <v>314</v>
      </c>
      <c r="C308" s="36" t="str">
        <f>_xlfn.CONCAT(Table4[[#This Row],[Ledger Name]],Table4[[#This Row],[Entity Name]])</f>
        <v>Interest on warehouse financingExpora</v>
      </c>
      <c r="D308" s="36" t="s">
        <v>936</v>
      </c>
      <c r="E308" s="49" t="s">
        <v>152</v>
      </c>
      <c r="F308" s="49" t="s">
        <v>315</v>
      </c>
      <c r="G308" s="101" t="s">
        <v>849</v>
      </c>
    </row>
    <row r="309" spans="1:7" hidden="1">
      <c r="A309" s="36" t="s">
        <v>397</v>
      </c>
      <c r="B309" s="36" t="s">
        <v>314</v>
      </c>
      <c r="C309" s="36" t="str">
        <f>_xlfn.CONCAT(Table4[[#This Row],[Ledger Name]],Table4[[#This Row],[Entity Name]])</f>
        <v>IT and Internet ExpensesExpora</v>
      </c>
      <c r="D309" s="36" t="s">
        <v>936</v>
      </c>
      <c r="E309" s="49" t="s">
        <v>152</v>
      </c>
      <c r="F309" s="49" t="s">
        <v>5</v>
      </c>
      <c r="G309" s="101" t="s">
        <v>6</v>
      </c>
    </row>
    <row r="310" spans="1:7" hidden="1">
      <c r="A310" s="36" t="s">
        <v>206</v>
      </c>
      <c r="B310" s="36" t="s">
        <v>314</v>
      </c>
      <c r="C310" s="36" t="str">
        <f>_xlfn.CONCAT(Table4[[#This Row],[Ledger Name]],Table4[[#This Row],[Entity Name]])</f>
        <v>Legal ExpenseExpora</v>
      </c>
      <c r="D310" s="36" t="s">
        <v>936</v>
      </c>
      <c r="E310" s="49" t="s">
        <v>152</v>
      </c>
      <c r="F310" s="49" t="s">
        <v>9</v>
      </c>
      <c r="G310" s="101" t="s">
        <v>12</v>
      </c>
    </row>
    <row r="311" spans="1:7" hidden="1">
      <c r="A311" s="36" t="s">
        <v>820</v>
      </c>
      <c r="B311" s="36" t="s">
        <v>314</v>
      </c>
      <c r="C311" s="36" t="str">
        <f>_xlfn.CONCAT(Table4[[#This Row],[Ledger Name]],Table4[[#This Row],[Entity Name]])</f>
        <v>Loan Processing feesExpora</v>
      </c>
      <c r="D311" s="36" t="s">
        <v>936</v>
      </c>
      <c r="E311" s="49" t="s">
        <v>152</v>
      </c>
      <c r="F311" s="49" t="s">
        <v>315</v>
      </c>
      <c r="G311" s="101" t="s">
        <v>820</v>
      </c>
    </row>
    <row r="312" spans="1:7" hidden="1">
      <c r="A312" s="36" t="s">
        <v>917</v>
      </c>
      <c r="B312" s="36" t="s">
        <v>314</v>
      </c>
      <c r="C312" s="36" t="str">
        <f>_xlfn.CONCAT(Table4[[#This Row],[Ledger Name]],Table4[[#This Row],[Entity Name]])</f>
        <v>Market Information ServicesExpora</v>
      </c>
      <c r="D312" s="36" t="s">
        <v>936</v>
      </c>
      <c r="E312" s="49" t="s">
        <v>152</v>
      </c>
      <c r="F312" s="49" t="s">
        <v>153</v>
      </c>
      <c r="G312" s="101" t="s">
        <v>90</v>
      </c>
    </row>
    <row r="313" spans="1:7" hidden="1">
      <c r="A313" s="36" t="s">
        <v>5</v>
      </c>
      <c r="B313" s="36" t="s">
        <v>314</v>
      </c>
      <c r="C313" s="36" t="str">
        <f>_xlfn.CONCAT(Table4[[#This Row],[Ledger Name]],Table4[[#This Row],[Entity Name]])</f>
        <v>Office ExpensesExpora</v>
      </c>
      <c r="D313" s="36" t="s">
        <v>936</v>
      </c>
      <c r="E313" s="49" t="s">
        <v>152</v>
      </c>
      <c r="F313" s="49" t="s">
        <v>5</v>
      </c>
      <c r="G313" s="101" t="s">
        <v>35</v>
      </c>
    </row>
    <row r="314" spans="1:7" hidden="1">
      <c r="A314" s="36" t="s">
        <v>851</v>
      </c>
      <c r="B314" s="36" t="s">
        <v>314</v>
      </c>
      <c r="C314" s="36" t="str">
        <f>_xlfn.CONCAT(Table4[[#This Row],[Ledger Name]],Table4[[#This Row],[Entity Name]])</f>
        <v>Guntur Office ExpExpora</v>
      </c>
      <c r="D314" s="36" t="s">
        <v>936</v>
      </c>
      <c r="E314" s="49" t="s">
        <v>152</v>
      </c>
      <c r="F314" s="49" t="s">
        <v>5</v>
      </c>
      <c r="G314" s="101" t="s">
        <v>35</v>
      </c>
    </row>
    <row r="315" spans="1:7" hidden="1">
      <c r="A315" s="36" t="s">
        <v>964</v>
      </c>
      <c r="B315" s="36" t="s">
        <v>314</v>
      </c>
      <c r="C315" s="36" t="str">
        <f>_xlfn.CONCAT(Table4[[#This Row],[Ledger Name]],Table4[[#This Row],[Entity Name]])</f>
        <v>Total for Office ExpensesExpora</v>
      </c>
      <c r="D315" s="36" t="s">
        <v>952</v>
      </c>
      <c r="E315" s="49">
        <v>0</v>
      </c>
      <c r="F315" s="49">
        <v>0</v>
      </c>
      <c r="G315" s="101">
        <v>0</v>
      </c>
    </row>
    <row r="316" spans="1:7" hidden="1">
      <c r="A316" s="36" t="s">
        <v>13</v>
      </c>
      <c r="B316" s="36" t="s">
        <v>314</v>
      </c>
      <c r="C316" s="36" t="str">
        <f>_xlfn.CONCAT(Table4[[#This Row],[Ledger Name]],Table4[[#This Row],[Entity Name]])</f>
        <v>Other ExpensesExpora</v>
      </c>
      <c r="D316" s="36" t="s">
        <v>936</v>
      </c>
      <c r="E316" s="49" t="s">
        <v>152</v>
      </c>
      <c r="F316" s="49" t="s">
        <v>153</v>
      </c>
      <c r="G316" s="101" t="s">
        <v>13</v>
      </c>
    </row>
    <row r="317" spans="1:7" hidden="1">
      <c r="A317" s="36" t="s">
        <v>81</v>
      </c>
      <c r="B317" s="36" t="s">
        <v>314</v>
      </c>
      <c r="C317" s="36" t="str">
        <f>_xlfn.CONCAT(Table4[[#This Row],[Ledger Name]],Table4[[#This Row],[Entity Name]])</f>
        <v>Electricity ChargesExpora</v>
      </c>
      <c r="D317" s="36" t="s">
        <v>936</v>
      </c>
      <c r="E317" s="49" t="s">
        <v>152</v>
      </c>
      <c r="F317" s="49" t="s">
        <v>5</v>
      </c>
      <c r="G317" s="101" t="s">
        <v>81</v>
      </c>
    </row>
    <row r="318" spans="1:7" hidden="1">
      <c r="A318" s="36" t="s">
        <v>533</v>
      </c>
      <c r="B318" s="36" t="s">
        <v>314</v>
      </c>
      <c r="C318" s="36" t="str">
        <f>_xlfn.CONCAT(Table4[[#This Row],[Ledger Name]],Table4[[#This Row],[Entity Name]])</f>
        <v>Total for Other ExpensesExpora</v>
      </c>
      <c r="D318" s="36" t="s">
        <v>952</v>
      </c>
      <c r="E318" s="49">
        <v>0</v>
      </c>
      <c r="F318" s="49">
        <v>0</v>
      </c>
      <c r="G318" s="101">
        <v>0</v>
      </c>
    </row>
    <row r="319" spans="1:7" hidden="1">
      <c r="A319" s="36" t="s">
        <v>534</v>
      </c>
      <c r="B319" s="36" t="s">
        <v>314</v>
      </c>
      <c r="C319" s="36" t="str">
        <f>_xlfn.CONCAT(Table4[[#This Row],[Ledger Name]],Table4[[#This Row],[Entity Name]])</f>
        <v>PostageExpora</v>
      </c>
      <c r="D319" s="36" t="s">
        <v>952</v>
      </c>
      <c r="E319" s="49">
        <v>0</v>
      </c>
      <c r="F319" s="49">
        <v>0</v>
      </c>
      <c r="G319" s="101">
        <v>0</v>
      </c>
    </row>
    <row r="320" spans="1:7" hidden="1">
      <c r="A320" s="36" t="s">
        <v>535</v>
      </c>
      <c r="B320" s="36" t="s">
        <v>314</v>
      </c>
      <c r="C320" s="36" t="str">
        <f>_xlfn.CONCAT(Table4[[#This Row],[Ledger Name]],Table4[[#This Row],[Entity Name]])</f>
        <v>Postage and Courier ChargesExpora</v>
      </c>
      <c r="D320" s="36" t="s">
        <v>936</v>
      </c>
      <c r="E320" s="49" t="s">
        <v>152</v>
      </c>
      <c r="F320" s="49" t="s">
        <v>5</v>
      </c>
      <c r="G320" s="101" t="s">
        <v>33</v>
      </c>
    </row>
    <row r="321" spans="1:7" hidden="1">
      <c r="A321" s="36" t="s">
        <v>536</v>
      </c>
      <c r="B321" s="36" t="s">
        <v>314</v>
      </c>
      <c r="C321" s="36" t="str">
        <f>_xlfn.CONCAT(Table4[[#This Row],[Ledger Name]],Table4[[#This Row],[Entity Name]])</f>
        <v>Total for PostageExpora</v>
      </c>
      <c r="D321" s="36" t="s">
        <v>952</v>
      </c>
      <c r="E321" s="49">
        <v>0</v>
      </c>
      <c r="F321" s="49">
        <v>0</v>
      </c>
      <c r="G321" s="101">
        <v>0</v>
      </c>
    </row>
    <row r="322" spans="1:7" hidden="1">
      <c r="A322" s="36" t="s">
        <v>33</v>
      </c>
      <c r="B322" s="36" t="s">
        <v>314</v>
      </c>
      <c r="C322" s="36" t="str">
        <f>_xlfn.CONCAT(Table4[[#This Row],[Ledger Name]],Table4[[#This Row],[Entity Name]])</f>
        <v>Printing and StationeryExpora</v>
      </c>
      <c r="D322" s="36" t="s">
        <v>936</v>
      </c>
      <c r="E322" s="49" t="s">
        <v>152</v>
      </c>
      <c r="F322" s="49" t="s">
        <v>5</v>
      </c>
      <c r="G322" s="101" t="s">
        <v>33</v>
      </c>
    </row>
    <row r="323" spans="1:7" hidden="1">
      <c r="A323" s="36" t="s">
        <v>114</v>
      </c>
      <c r="B323" s="36" t="s">
        <v>314</v>
      </c>
      <c r="C323" s="36" t="str">
        <f>_xlfn.CONCAT(Table4[[#This Row],[Ledger Name]],Table4[[#This Row],[Entity Name]])</f>
        <v>Professional FeesExpora</v>
      </c>
      <c r="D323" s="36" t="s">
        <v>936</v>
      </c>
      <c r="E323" s="49" t="s">
        <v>152</v>
      </c>
      <c r="F323" s="49" t="s">
        <v>9</v>
      </c>
      <c r="G323" s="101" t="s">
        <v>114</v>
      </c>
    </row>
    <row r="324" spans="1:7" hidden="1">
      <c r="A324" s="36" t="s">
        <v>405</v>
      </c>
      <c r="B324" s="36" t="s">
        <v>314</v>
      </c>
      <c r="C324" s="36" t="str">
        <f>_xlfn.CONCAT(Table4[[#This Row],[Ledger Name]],Table4[[#This Row],[Entity Name]])</f>
        <v>Rent ExpenseExpora</v>
      </c>
      <c r="D324" s="36" t="s">
        <v>936</v>
      </c>
      <c r="E324" s="49" t="s">
        <v>152</v>
      </c>
      <c r="F324" s="49" t="s">
        <v>5</v>
      </c>
      <c r="G324" s="101" t="s">
        <v>77</v>
      </c>
    </row>
    <row r="325" spans="1:7" hidden="1">
      <c r="A325" s="36" t="s">
        <v>244</v>
      </c>
      <c r="B325" s="36" t="s">
        <v>314</v>
      </c>
      <c r="C325" s="36" t="str">
        <f>_xlfn.CONCAT(Table4[[#This Row],[Ledger Name]],Table4[[#This Row],[Entity Name]])</f>
        <v>Repair and MaintenanceExpora</v>
      </c>
      <c r="D325" s="36" t="s">
        <v>936</v>
      </c>
      <c r="E325" s="49" t="s">
        <v>152</v>
      </c>
      <c r="F325" s="49" t="s">
        <v>5</v>
      </c>
      <c r="G325" s="101" t="s">
        <v>65</v>
      </c>
    </row>
    <row r="326" spans="1:7" hidden="1">
      <c r="A326" s="36"/>
      <c r="B326" s="36" t="s">
        <v>314</v>
      </c>
      <c r="C326" s="36" t="str">
        <f>_xlfn.CONCAT(Table4[[#This Row],[Ledger Name]],Table4[[#This Row],[Entity Name]])</f>
        <v>Expora</v>
      </c>
      <c r="D326" s="36" t="s">
        <v>952</v>
      </c>
      <c r="E326" s="49">
        <v>0</v>
      </c>
      <c r="F326" s="49">
        <v>0</v>
      </c>
      <c r="G326" s="101">
        <v>0</v>
      </c>
    </row>
    <row r="327" spans="1:7" hidden="1">
      <c r="A327" s="36" t="s">
        <v>538</v>
      </c>
      <c r="B327" s="36" t="s">
        <v>314</v>
      </c>
      <c r="C327" s="36" t="str">
        <f>_xlfn.CONCAT(Table4[[#This Row],[Ledger Name]],Table4[[#This Row],[Entity Name]])</f>
        <v>Arrears SalaryExpora</v>
      </c>
      <c r="D327" s="36" t="s">
        <v>936</v>
      </c>
      <c r="E327" s="49" t="s">
        <v>152</v>
      </c>
      <c r="F327" s="49" t="s">
        <v>2</v>
      </c>
      <c r="G327" s="101" t="s">
        <v>73</v>
      </c>
    </row>
    <row r="328" spans="1:7" hidden="1">
      <c r="A328" s="36" t="s">
        <v>539</v>
      </c>
      <c r="B328" s="36" t="s">
        <v>314</v>
      </c>
      <c r="C328" s="36" t="str">
        <f>_xlfn.CONCAT(Table4[[#This Row],[Ledger Name]],Table4[[#This Row],[Entity Name]])</f>
        <v>Basic Salary.Expora</v>
      </c>
      <c r="D328" s="36" t="s">
        <v>936</v>
      </c>
      <c r="E328" s="49" t="s">
        <v>152</v>
      </c>
      <c r="F328" s="49" t="s">
        <v>2</v>
      </c>
      <c r="G328" s="101" t="s">
        <v>73</v>
      </c>
    </row>
    <row r="329" spans="1:7" hidden="1">
      <c r="A329" s="36" t="s">
        <v>540</v>
      </c>
      <c r="B329" s="36" t="s">
        <v>314</v>
      </c>
      <c r="C329" s="36" t="str">
        <f>_xlfn.CONCAT(Table4[[#This Row],[Ledger Name]],Table4[[#This Row],[Entity Name]])</f>
        <v>Conveyance Allowance.Expora</v>
      </c>
      <c r="D329" s="36" t="s">
        <v>936</v>
      </c>
      <c r="E329" s="49" t="s">
        <v>152</v>
      </c>
      <c r="F329" s="49" t="s">
        <v>2</v>
      </c>
      <c r="G329" s="101" t="s">
        <v>73</v>
      </c>
    </row>
    <row r="330" spans="1:7" hidden="1">
      <c r="A330" s="36" t="s">
        <v>186</v>
      </c>
      <c r="B330" s="36" t="s">
        <v>314</v>
      </c>
      <c r="C330" s="36" t="str">
        <f>_xlfn.CONCAT(Table4[[#This Row],[Ledger Name]],Table4[[#This Row],[Entity Name]])</f>
        <v>Employer Contribution PFExpora</v>
      </c>
      <c r="D330" s="36" t="s">
        <v>936</v>
      </c>
      <c r="E330" s="49" t="s">
        <v>152</v>
      </c>
      <c r="F330" s="49" t="s">
        <v>2</v>
      </c>
      <c r="G330" s="101" t="s">
        <v>73</v>
      </c>
    </row>
    <row r="331" spans="1:7" hidden="1">
      <c r="A331" s="36" t="s">
        <v>542</v>
      </c>
      <c r="B331" s="36" t="s">
        <v>314</v>
      </c>
      <c r="C331" s="36" t="str">
        <f>_xlfn.CONCAT(Table4[[#This Row],[Ledger Name]],Table4[[#This Row],[Entity Name]])</f>
        <v>Fuel/ Motor Car Allowance.Expora</v>
      </c>
      <c r="D331" s="36" t="s">
        <v>936</v>
      </c>
      <c r="E331" s="49" t="s">
        <v>152</v>
      </c>
      <c r="F331" s="49" t="s">
        <v>2</v>
      </c>
      <c r="G331" s="101" t="s">
        <v>73</v>
      </c>
    </row>
    <row r="332" spans="1:7" hidden="1">
      <c r="A332" s="36" t="s">
        <v>543</v>
      </c>
      <c r="B332" s="36" t="s">
        <v>314</v>
      </c>
      <c r="C332" s="36" t="str">
        <f>_xlfn.CONCAT(Table4[[#This Row],[Ledger Name]],Table4[[#This Row],[Entity Name]])</f>
        <v>House Rent Allowance.Expora</v>
      </c>
      <c r="D332" s="36" t="s">
        <v>936</v>
      </c>
      <c r="E332" s="49" t="s">
        <v>152</v>
      </c>
      <c r="F332" s="49" t="s">
        <v>2</v>
      </c>
      <c r="G332" s="101" t="s">
        <v>73</v>
      </c>
    </row>
    <row r="333" spans="1:7" hidden="1">
      <c r="A333" s="36" t="s">
        <v>544</v>
      </c>
      <c r="B333" s="36" t="s">
        <v>314</v>
      </c>
      <c r="C333" s="36" t="str">
        <f>_xlfn.CONCAT(Table4[[#This Row],[Ledger Name]],Table4[[#This Row],[Entity Name]])</f>
        <v>Insurance Charges PF.Expora</v>
      </c>
      <c r="D333" s="36" t="s">
        <v>936</v>
      </c>
      <c r="E333" s="49" t="s">
        <v>152</v>
      </c>
      <c r="F333" s="49" t="s">
        <v>2</v>
      </c>
      <c r="G333" s="101" t="s">
        <v>128</v>
      </c>
    </row>
    <row r="334" spans="1:7" hidden="1">
      <c r="A334" s="36" t="s">
        <v>545</v>
      </c>
      <c r="B334" s="36" t="s">
        <v>314</v>
      </c>
      <c r="C334" s="36" t="str">
        <f>_xlfn.CONCAT(Table4[[#This Row],[Ledger Name]],Table4[[#This Row],[Entity Name]])</f>
        <v>Leave Travel Allowance.Expora</v>
      </c>
      <c r="D334" s="36" t="s">
        <v>936</v>
      </c>
      <c r="E334" s="49" t="s">
        <v>152</v>
      </c>
      <c r="F334" s="49" t="s">
        <v>2</v>
      </c>
      <c r="G334" s="101" t="s">
        <v>73</v>
      </c>
    </row>
    <row r="335" spans="1:7" hidden="1">
      <c r="A335" s="36" t="s">
        <v>546</v>
      </c>
      <c r="B335" s="36" t="s">
        <v>314</v>
      </c>
      <c r="C335" s="36" t="str">
        <f>_xlfn.CONCAT(Table4[[#This Row],[Ledger Name]],Table4[[#This Row],[Entity Name]])</f>
        <v>Medical Allowance.Expora</v>
      </c>
      <c r="D335" s="36" t="s">
        <v>936</v>
      </c>
      <c r="E335" s="49" t="s">
        <v>152</v>
      </c>
      <c r="F335" s="49" t="s">
        <v>2</v>
      </c>
      <c r="G335" s="101" t="s">
        <v>73</v>
      </c>
    </row>
    <row r="336" spans="1:7" hidden="1">
      <c r="A336" s="36" t="s">
        <v>547</v>
      </c>
      <c r="B336" s="36" t="s">
        <v>314</v>
      </c>
      <c r="C336" s="36" t="str">
        <f>_xlfn.CONCAT(Table4[[#This Row],[Ledger Name]],Table4[[#This Row],[Entity Name]])</f>
        <v>Special Allowance.Expora</v>
      </c>
      <c r="D336" s="36" t="s">
        <v>936</v>
      </c>
      <c r="E336" s="49" t="s">
        <v>152</v>
      </c>
      <c r="F336" s="49" t="s">
        <v>2</v>
      </c>
      <c r="G336" s="101" t="s">
        <v>73</v>
      </c>
    </row>
    <row r="337" spans="1:7" hidden="1">
      <c r="A337" s="36" t="s">
        <v>548</v>
      </c>
      <c r="B337" s="36" t="s">
        <v>314</v>
      </c>
      <c r="C337" s="36" t="str">
        <f>_xlfn.CONCAT(Table4[[#This Row],[Ledger Name]],Table4[[#This Row],[Entity Name]])</f>
        <v>Total for Salary ExpensesExpora</v>
      </c>
      <c r="D337" s="36" t="s">
        <v>952</v>
      </c>
      <c r="E337" s="49">
        <v>0</v>
      </c>
      <c r="F337" s="49">
        <v>0</v>
      </c>
      <c r="G337" s="101">
        <v>0</v>
      </c>
    </row>
    <row r="338" spans="1:7" hidden="1">
      <c r="A338" s="36" t="s">
        <v>108</v>
      </c>
      <c r="B338" s="36" t="s">
        <v>314</v>
      </c>
      <c r="C338" s="36" t="str">
        <f>_xlfn.CONCAT(Table4[[#This Row],[Ledger Name]],Table4[[#This Row],[Entity Name]])</f>
        <v>Software Subscription ChargesExpora</v>
      </c>
      <c r="D338" s="36" t="s">
        <v>936</v>
      </c>
      <c r="E338" s="49" t="s">
        <v>152</v>
      </c>
      <c r="F338" s="49" t="s">
        <v>3</v>
      </c>
      <c r="G338" s="101" t="s">
        <v>4</v>
      </c>
    </row>
    <row r="339" spans="1:7" hidden="1">
      <c r="A339" s="36" t="s">
        <v>32</v>
      </c>
      <c r="B339" s="36" t="s">
        <v>314</v>
      </c>
      <c r="C339" s="36" t="str">
        <f>_xlfn.CONCAT(Table4[[#This Row],[Ledger Name]],Table4[[#This Row],[Entity Name]])</f>
        <v>Staff WelfareExpora</v>
      </c>
      <c r="D339" s="36" t="s">
        <v>936</v>
      </c>
      <c r="E339" s="49" t="s">
        <v>152</v>
      </c>
      <c r="F339" s="49" t="s">
        <v>2</v>
      </c>
      <c r="G339" s="101" t="s">
        <v>32</v>
      </c>
    </row>
    <row r="340" spans="1:7" hidden="1">
      <c r="A340" s="36" t="s">
        <v>738</v>
      </c>
      <c r="B340" s="36" t="s">
        <v>314</v>
      </c>
      <c r="C340" s="36" t="str">
        <f>_xlfn.CONCAT(Table4[[#This Row],[Ledger Name]],Table4[[#This Row],[Entity Name]])</f>
        <v>Subscription ChargesExpora</v>
      </c>
      <c r="D340" s="36" t="s">
        <v>936</v>
      </c>
      <c r="E340" s="49" t="s">
        <v>152</v>
      </c>
      <c r="F340" s="49" t="s">
        <v>3</v>
      </c>
      <c r="G340" s="101" t="s">
        <v>4</v>
      </c>
    </row>
    <row r="341" spans="1:7" hidden="1">
      <c r="A341" s="36" t="s">
        <v>450</v>
      </c>
      <c r="B341" s="36" t="s">
        <v>314</v>
      </c>
      <c r="C341" s="36" t="str">
        <f>_xlfn.CONCAT(Table4[[#This Row],[Ledger Name]],Table4[[#This Row],[Entity Name]])</f>
        <v>Telephone ExpenseExpora</v>
      </c>
      <c r="D341" s="36" t="s">
        <v>936</v>
      </c>
      <c r="E341" s="49" t="s">
        <v>152</v>
      </c>
      <c r="F341" s="49" t="s">
        <v>5</v>
      </c>
      <c r="G341" s="101" t="s">
        <v>7</v>
      </c>
    </row>
    <row r="342" spans="1:7" hidden="1">
      <c r="A342" s="36" t="s">
        <v>608</v>
      </c>
      <c r="B342" s="36" t="s">
        <v>314</v>
      </c>
      <c r="C342" s="36" t="str">
        <f>_xlfn.CONCAT(Table4[[#This Row],[Ledger Name]],Table4[[#This Row],[Entity Name]])</f>
        <v>Transportation ExpenseExpora</v>
      </c>
      <c r="D342" s="36" t="s">
        <v>936</v>
      </c>
      <c r="E342" s="49" t="s">
        <v>152</v>
      </c>
      <c r="F342" s="49" t="s">
        <v>93</v>
      </c>
      <c r="G342" s="109" t="s">
        <v>138</v>
      </c>
    </row>
    <row r="343" spans="1:7" hidden="1">
      <c r="A343" s="36" t="s">
        <v>609</v>
      </c>
      <c r="B343" s="36" t="s">
        <v>314</v>
      </c>
      <c r="C343" s="36" t="str">
        <f>_xlfn.CONCAT(Table4[[#This Row],[Ledger Name]],Table4[[#This Row],[Entity Name]])</f>
        <v>Travel &amp; Hotel ExpensesExpora</v>
      </c>
      <c r="D343" s="36" t="s">
        <v>936</v>
      </c>
      <c r="E343" s="49" t="s">
        <v>152</v>
      </c>
      <c r="F343" s="49" t="s">
        <v>8</v>
      </c>
      <c r="G343" s="101" t="s">
        <v>84</v>
      </c>
    </row>
    <row r="344" spans="1:7" hidden="1">
      <c r="A344" s="36" t="s">
        <v>412</v>
      </c>
      <c r="B344" s="36" t="s">
        <v>314</v>
      </c>
      <c r="C344" s="36" t="str">
        <f>_xlfn.CONCAT(Table4[[#This Row],[Ledger Name]],Table4[[#This Row],[Entity Name]])</f>
        <v>Travel ExpenseExpora</v>
      </c>
      <c r="D344" s="36" t="s">
        <v>936</v>
      </c>
      <c r="E344" s="49" t="s">
        <v>152</v>
      </c>
      <c r="F344" s="49" t="s">
        <v>8</v>
      </c>
      <c r="G344" s="101" t="s">
        <v>160</v>
      </c>
    </row>
    <row r="345" spans="1:7" hidden="1">
      <c r="A345" s="36" t="s">
        <v>854</v>
      </c>
      <c r="B345" s="36" t="s">
        <v>314</v>
      </c>
      <c r="C345" s="36" t="str">
        <f>_xlfn.CONCAT(Table4[[#This Row],[Ledger Name]],Table4[[#This Row],[Entity Name]])</f>
        <v>Total for Trial BalanceExpora</v>
      </c>
      <c r="D345" s="36" t="s">
        <v>952</v>
      </c>
      <c r="E345" s="49">
        <v>0</v>
      </c>
      <c r="F345" s="49">
        <v>0</v>
      </c>
      <c r="G345" s="101">
        <v>0</v>
      </c>
    </row>
    <row r="346" spans="1:7" hidden="1">
      <c r="A346" s="36" t="s">
        <v>485</v>
      </c>
      <c r="B346" s="36" t="s">
        <v>314</v>
      </c>
      <c r="C346" s="36" t="str">
        <f>_xlfn.CONCAT(Table4[[#This Row],[Ledger Name]],Table4[[#This Row],[Entity Name]])</f>
        <v>Security Deposit - CCDExpora</v>
      </c>
      <c r="D346" s="36" t="s">
        <v>936</v>
      </c>
      <c r="E346" s="49" t="s">
        <v>746</v>
      </c>
      <c r="F346" s="49" t="s">
        <v>52</v>
      </c>
      <c r="G346" s="24" t="s">
        <v>1602</v>
      </c>
    </row>
    <row r="347" spans="1:7" hidden="1">
      <c r="A347" s="36" t="s">
        <v>882</v>
      </c>
      <c r="B347" s="36" t="s">
        <v>314</v>
      </c>
      <c r="C347" s="36" t="str">
        <f>_xlfn.CONCAT(Table4[[#This Row],[Ledger Name]],Table4[[#This Row],[Entity Name]])</f>
        <v>Deepak Sharma ReimbursmentExpora</v>
      </c>
      <c r="D347" s="36" t="s">
        <v>936</v>
      </c>
      <c r="E347" s="49" t="s">
        <v>746</v>
      </c>
      <c r="F347" s="49" t="s">
        <v>52</v>
      </c>
      <c r="G347" s="6" t="s">
        <v>1625</v>
      </c>
    </row>
    <row r="348" spans="1:7" hidden="1">
      <c r="A348" s="36" t="s">
        <v>165</v>
      </c>
      <c r="B348" s="36" t="s">
        <v>314</v>
      </c>
      <c r="C348" s="36" t="str">
        <f>_xlfn.CONCAT(Table4[[#This Row],[Ledger Name]],Table4[[#This Row],[Entity Name]])</f>
        <v>Deepanshu ReimbursementExpora</v>
      </c>
      <c r="D348" s="36" t="s">
        <v>936</v>
      </c>
      <c r="E348" s="49" t="s">
        <v>746</v>
      </c>
      <c r="F348" s="49" t="s">
        <v>52</v>
      </c>
      <c r="G348" s="6" t="s">
        <v>1625</v>
      </c>
    </row>
    <row r="349" spans="1:7" hidden="1">
      <c r="A349" s="36" t="s">
        <v>883</v>
      </c>
      <c r="B349" s="36" t="s">
        <v>314</v>
      </c>
      <c r="C349" s="36" t="str">
        <f>_xlfn.CONCAT(Table4[[#This Row],[Ledger Name]],Table4[[#This Row],[Entity Name]])</f>
        <v>Ketan Pokar ReimbursementsExpora</v>
      </c>
      <c r="D349" s="36" t="s">
        <v>936</v>
      </c>
      <c r="E349" s="49" t="s">
        <v>746</v>
      </c>
      <c r="F349" s="49" t="s">
        <v>52</v>
      </c>
      <c r="G349" s="6" t="s">
        <v>1625</v>
      </c>
    </row>
    <row r="350" spans="1:7" hidden="1">
      <c r="A350" s="36" t="s">
        <v>208</v>
      </c>
      <c r="B350" s="36" t="s">
        <v>314</v>
      </c>
      <c r="C350" s="36" t="str">
        <f>_xlfn.CONCAT(Table4[[#This Row],[Ledger Name]],Table4[[#This Row],[Entity Name]])</f>
        <v>Pooja Mehra ReimbursementExpora</v>
      </c>
      <c r="D350" s="36" t="s">
        <v>936</v>
      </c>
      <c r="E350" s="49" t="s">
        <v>746</v>
      </c>
      <c r="F350" s="49" t="s">
        <v>195</v>
      </c>
      <c r="G350" s="6" t="s">
        <v>1625</v>
      </c>
    </row>
    <row r="351" spans="1:7" hidden="1">
      <c r="A351" s="36" t="s">
        <v>739</v>
      </c>
      <c r="B351" s="36" t="s">
        <v>314</v>
      </c>
      <c r="C351" s="36" t="str">
        <f>_xlfn.CONCAT(Table4[[#This Row],[Ledger Name]],Table4[[#This Row],[Entity Name]])</f>
        <v>Siddharth Shah ReimbursementExpora</v>
      </c>
      <c r="D351" s="36" t="s">
        <v>936</v>
      </c>
      <c r="E351" s="49" t="s">
        <v>746</v>
      </c>
      <c r="F351" s="49" t="s">
        <v>52</v>
      </c>
      <c r="G351" s="6" t="s">
        <v>1625</v>
      </c>
    </row>
    <row r="352" spans="1:7" hidden="1">
      <c r="A352" s="36" t="s">
        <v>884</v>
      </c>
      <c r="B352" s="36" t="s">
        <v>314</v>
      </c>
      <c r="C352" s="36" t="str">
        <f>_xlfn.CONCAT(Table4[[#This Row],[Ledger Name]],Table4[[#This Row],[Entity Name]])</f>
        <v>Sohelkumar ReimbursementExpora</v>
      </c>
      <c r="D352" s="36" t="s">
        <v>936</v>
      </c>
      <c r="E352" s="49" t="s">
        <v>746</v>
      </c>
      <c r="F352" s="49" t="s">
        <v>52</v>
      </c>
      <c r="G352" s="6" t="s">
        <v>1625</v>
      </c>
    </row>
    <row r="353" spans="1:7" hidden="1">
      <c r="A353" s="36" t="s">
        <v>816</v>
      </c>
      <c r="B353" s="36" t="s">
        <v>314</v>
      </c>
      <c r="C353" s="36" t="str">
        <f>_xlfn.CONCAT(Table4[[#This Row],[Ledger Name]],Table4[[#This Row],[Entity Name]])</f>
        <v>Harman ReimbursementExpora</v>
      </c>
      <c r="D353" s="36" t="s">
        <v>936</v>
      </c>
      <c r="E353" s="49" t="s">
        <v>746</v>
      </c>
      <c r="F353" s="49" t="s">
        <v>52</v>
      </c>
      <c r="G353" s="6" t="s">
        <v>1625</v>
      </c>
    </row>
    <row r="354" spans="1:7" hidden="1">
      <c r="A354" s="36" t="s">
        <v>830</v>
      </c>
      <c r="B354" s="36" t="s">
        <v>314</v>
      </c>
      <c r="C354" s="36" t="str">
        <f>_xlfn.CONCAT(Table4[[#This Row],[Ledger Name]],Table4[[#This Row],[Entity Name]])</f>
        <v>ASP/EXP/2324/071Expora</v>
      </c>
      <c r="D354" s="36" t="s">
        <v>936</v>
      </c>
      <c r="E354" s="49" t="s">
        <v>152</v>
      </c>
      <c r="F354" s="49" t="s">
        <v>93</v>
      </c>
      <c r="G354" s="101" t="s">
        <v>138</v>
      </c>
    </row>
    <row r="355" spans="1:7" hidden="1">
      <c r="A355" s="36" t="s">
        <v>831</v>
      </c>
      <c r="B355" s="36" t="s">
        <v>314</v>
      </c>
      <c r="C355" s="36" t="str">
        <f>_xlfn.CONCAT(Table4[[#This Row],[Ledger Name]],Table4[[#This Row],[Entity Name]])</f>
        <v>ASP/EXP/2324/072Expora</v>
      </c>
      <c r="D355" s="36" t="s">
        <v>936</v>
      </c>
      <c r="E355" s="49" t="s">
        <v>152</v>
      </c>
      <c r="F355" s="49" t="s">
        <v>93</v>
      </c>
      <c r="G355" s="101" t="s">
        <v>138</v>
      </c>
    </row>
    <row r="356" spans="1:7" hidden="1">
      <c r="A356" s="36" t="s">
        <v>748</v>
      </c>
      <c r="B356" s="36" t="s">
        <v>314</v>
      </c>
      <c r="C356" s="36" t="str">
        <f>_xlfn.CONCAT(Table4[[#This Row],[Ledger Name]],Table4[[#This Row],[Entity Name]])</f>
        <v>ASP/EXP/2324/073Expora</v>
      </c>
      <c r="D356" s="36" t="s">
        <v>936</v>
      </c>
      <c r="E356" s="49" t="s">
        <v>152</v>
      </c>
      <c r="F356" s="49" t="s">
        <v>93</v>
      </c>
      <c r="G356" s="101" t="s">
        <v>138</v>
      </c>
    </row>
    <row r="357" spans="1:7" hidden="1">
      <c r="A357" s="36" t="s">
        <v>749</v>
      </c>
      <c r="B357" s="36" t="s">
        <v>314</v>
      </c>
      <c r="C357" s="36" t="str">
        <f>_xlfn.CONCAT(Table4[[#This Row],[Ledger Name]],Table4[[#This Row],[Entity Name]])</f>
        <v>ASP/EXP/2324/074Expora</v>
      </c>
      <c r="D357" s="36" t="s">
        <v>936</v>
      </c>
      <c r="E357" s="49" t="s">
        <v>152</v>
      </c>
      <c r="F357" s="49" t="s">
        <v>93</v>
      </c>
      <c r="G357" s="101" t="s">
        <v>138</v>
      </c>
    </row>
    <row r="358" spans="1:7" hidden="1">
      <c r="A358" s="36" t="s">
        <v>835</v>
      </c>
      <c r="B358" s="36" t="s">
        <v>314</v>
      </c>
      <c r="C358" s="36" t="str">
        <f>_xlfn.CONCAT(Table4[[#This Row],[Ledger Name]],Table4[[#This Row],[Entity Name]])</f>
        <v>ASP/EXP/2324/075Expora</v>
      </c>
      <c r="D358" s="36" t="s">
        <v>936</v>
      </c>
      <c r="E358" s="49" t="s">
        <v>152</v>
      </c>
      <c r="F358" s="49" t="s">
        <v>93</v>
      </c>
      <c r="G358" s="101" t="s">
        <v>138</v>
      </c>
    </row>
    <row r="359" spans="1:7" hidden="1">
      <c r="A359" s="36" t="s">
        <v>832</v>
      </c>
      <c r="B359" s="36" t="s">
        <v>314</v>
      </c>
      <c r="C359" s="36" t="str">
        <f>_xlfn.CONCAT(Table4[[#This Row],[Ledger Name]],Table4[[#This Row],[Entity Name]])</f>
        <v>ASP/LOC/2324/139Expora</v>
      </c>
      <c r="D359" s="36" t="s">
        <v>936</v>
      </c>
      <c r="E359" s="49" t="s">
        <v>152</v>
      </c>
      <c r="F359" s="49" t="s">
        <v>93</v>
      </c>
      <c r="G359" s="101" t="s">
        <v>138</v>
      </c>
    </row>
    <row r="360" spans="1:7" hidden="1">
      <c r="A360" s="36" t="s">
        <v>833</v>
      </c>
      <c r="B360" s="36" t="s">
        <v>314</v>
      </c>
      <c r="C360" s="36" t="str">
        <f>_xlfn.CONCAT(Table4[[#This Row],[Ledger Name]],Table4[[#This Row],[Entity Name]])</f>
        <v>ASP/LOC/2324/140Expora</v>
      </c>
      <c r="D360" s="36" t="s">
        <v>936</v>
      </c>
      <c r="E360" s="49" t="s">
        <v>152</v>
      </c>
      <c r="F360" s="49" t="s">
        <v>93</v>
      </c>
      <c r="G360" s="101" t="s">
        <v>138</v>
      </c>
    </row>
    <row r="361" spans="1:7" hidden="1">
      <c r="A361" s="36" t="s">
        <v>864</v>
      </c>
      <c r="B361" s="36" t="s">
        <v>314</v>
      </c>
      <c r="C361" s="36" t="str">
        <f>_xlfn.CONCAT(Table4[[#This Row],[Ledger Name]],Table4[[#This Row],[Entity Name]])</f>
        <v>TAEXP2425003Expora</v>
      </c>
      <c r="D361" s="36" t="s">
        <v>936</v>
      </c>
      <c r="E361" s="49" t="s">
        <v>152</v>
      </c>
      <c r="F361" s="49" t="s">
        <v>93</v>
      </c>
      <c r="G361" s="101" t="s">
        <v>138</v>
      </c>
    </row>
    <row r="362" spans="1:7" hidden="1">
      <c r="A362" s="36" t="s">
        <v>865</v>
      </c>
      <c r="B362" s="36" t="s">
        <v>314</v>
      </c>
      <c r="C362" s="36" t="str">
        <f>_xlfn.CONCAT(Table4[[#This Row],[Ledger Name]],Table4[[#This Row],[Entity Name]])</f>
        <v>TAEXP2425005Expora</v>
      </c>
      <c r="D362" s="36" t="s">
        <v>936</v>
      </c>
      <c r="E362" s="49" t="s">
        <v>152</v>
      </c>
      <c r="F362" s="49" t="s">
        <v>93</v>
      </c>
      <c r="G362" s="101" t="s">
        <v>138</v>
      </c>
    </row>
    <row r="363" spans="1:7" hidden="1">
      <c r="A363" s="36" t="s">
        <v>204</v>
      </c>
      <c r="B363" s="36" t="s">
        <v>314</v>
      </c>
      <c r="C363" s="36" t="str">
        <f>_xlfn.CONCAT(Table4[[#This Row],[Ledger Name]],Table4[[#This Row],[Entity Name]])</f>
        <v>Credit Rating ExpensesExpora</v>
      </c>
      <c r="D363" s="36" t="s">
        <v>936</v>
      </c>
      <c r="E363" s="49" t="s">
        <v>965</v>
      </c>
      <c r="F363" s="49" t="s">
        <v>13</v>
      </c>
      <c r="G363" s="101" t="s">
        <v>422</v>
      </c>
    </row>
    <row r="364" spans="1:7" hidden="1">
      <c r="A364" s="36" t="s">
        <v>529</v>
      </c>
      <c r="B364" s="36" t="s">
        <v>314</v>
      </c>
      <c r="C364" s="36" t="str">
        <f>_xlfn.CONCAT(Table4[[#This Row],[Ledger Name]],Table4[[#This Row],[Entity Name]])</f>
        <v>Employee Hiring ChargesExpora</v>
      </c>
      <c r="D364" s="36" t="s">
        <v>936</v>
      </c>
      <c r="E364" s="49" t="s">
        <v>152</v>
      </c>
      <c r="F364" s="49" t="s">
        <v>9</v>
      </c>
      <c r="G364" s="101" t="s">
        <v>11</v>
      </c>
    </row>
    <row r="365" spans="1:7" hidden="1">
      <c r="A365" s="36" t="s">
        <v>421</v>
      </c>
      <c r="B365" s="36" t="s">
        <v>314</v>
      </c>
      <c r="C365" s="36" t="str">
        <f>_xlfn.CONCAT(Table4[[#This Row],[Ledger Name]],Table4[[#This Row],[Entity Name]])</f>
        <v>Export Bill Collection ChargesExpora</v>
      </c>
      <c r="D365" s="36" t="s">
        <v>936</v>
      </c>
      <c r="E365" s="49" t="s">
        <v>152</v>
      </c>
      <c r="F365" s="49" t="s">
        <v>315</v>
      </c>
      <c r="G365" s="101" t="s">
        <v>421</v>
      </c>
    </row>
    <row r="366" spans="1:7" hidden="1">
      <c r="A366" s="36" t="s">
        <v>766</v>
      </c>
      <c r="B366" s="36" t="s">
        <v>314</v>
      </c>
      <c r="C366" s="36" t="str">
        <f>_xlfn.CONCAT(Table4[[#This Row],[Ledger Name]],Table4[[#This Row],[Entity Name]])</f>
        <v>Local ConveyanceExpora</v>
      </c>
      <c r="D366" s="36" t="s">
        <v>936</v>
      </c>
      <c r="E366" s="49" t="s">
        <v>152</v>
      </c>
      <c r="F366" s="49" t="s">
        <v>8</v>
      </c>
      <c r="G366" s="101" t="s">
        <v>160</v>
      </c>
    </row>
    <row r="367" spans="1:7" hidden="1">
      <c r="A367" s="36" t="s">
        <v>850</v>
      </c>
      <c r="B367" s="36" t="s">
        <v>314</v>
      </c>
      <c r="C367" s="36" t="str">
        <f>_xlfn.CONCAT(Table4[[#This Row],[Ledger Name]],Table4[[#This Row],[Entity Name]])</f>
        <v>Lonavala Offsite ExpenseExpora</v>
      </c>
      <c r="D367" s="36" t="s">
        <v>936</v>
      </c>
      <c r="E367" s="49" t="s">
        <v>152</v>
      </c>
      <c r="F367" s="49" t="s">
        <v>2</v>
      </c>
      <c r="G367" s="101" t="s">
        <v>32</v>
      </c>
    </row>
    <row r="368" spans="1:7" hidden="1">
      <c r="A368" s="36" t="s">
        <v>124</v>
      </c>
      <c r="B368" s="36" t="s">
        <v>314</v>
      </c>
      <c r="C368" s="36" t="str">
        <f>_xlfn.CONCAT(Table4[[#This Row],[Ledger Name]],Table4[[#This Row],[Entity Name]])</f>
        <v>Membership FeesExpora</v>
      </c>
      <c r="D368" s="36" t="s">
        <v>936</v>
      </c>
      <c r="E368" s="49" t="s">
        <v>152</v>
      </c>
      <c r="F368" s="49" t="s">
        <v>13</v>
      </c>
      <c r="G368" s="101" t="s">
        <v>14</v>
      </c>
    </row>
    <row r="369" spans="1:7" hidden="1">
      <c r="A369" s="36" t="s">
        <v>886</v>
      </c>
      <c r="B369" s="36" t="s">
        <v>314</v>
      </c>
      <c r="C369" s="36" t="str">
        <f>_xlfn.CONCAT(Table4[[#This Row],[Ledger Name]],Table4[[#This Row],[Entity Name]])</f>
        <v>Other DeductionExpora</v>
      </c>
      <c r="D369" s="36" t="s">
        <v>936</v>
      </c>
      <c r="E369" s="49" t="s">
        <v>152</v>
      </c>
      <c r="F369" s="49" t="s">
        <v>24</v>
      </c>
      <c r="G369" s="101" t="s">
        <v>35</v>
      </c>
    </row>
    <row r="370" spans="1:7" hidden="1">
      <c r="A370" s="36" t="s">
        <v>37</v>
      </c>
      <c r="B370" s="36" t="s">
        <v>314</v>
      </c>
      <c r="C370" s="36" t="str">
        <f>_xlfn.CONCAT(Table4[[#This Row],[Ledger Name]],Table4[[#This Row],[Entity Name]])</f>
        <v>ROC ChargesExpora</v>
      </c>
      <c r="D370" s="36" t="s">
        <v>936</v>
      </c>
      <c r="E370" s="49" t="s">
        <v>152</v>
      </c>
      <c r="F370" s="49" t="s">
        <v>342</v>
      </c>
      <c r="G370" s="101" t="s">
        <v>37</v>
      </c>
    </row>
    <row r="371" spans="1:7" hidden="1">
      <c r="A371" s="36" t="s">
        <v>605</v>
      </c>
      <c r="B371" s="36" t="s">
        <v>314</v>
      </c>
      <c r="C371" s="36" t="str">
        <f>_xlfn.CONCAT(Table4[[#This Row],[Ledger Name]],Table4[[#This Row],[Entity Name]])</f>
        <v>Employer Contribution ESIC.Expora</v>
      </c>
      <c r="D371" s="36" t="s">
        <v>936</v>
      </c>
      <c r="E371" s="49" t="s">
        <v>152</v>
      </c>
      <c r="F371" s="49" t="s">
        <v>2</v>
      </c>
      <c r="G371" s="101" t="s">
        <v>73</v>
      </c>
    </row>
    <row r="372" spans="1:7" hidden="1">
      <c r="A372" s="36" t="s">
        <v>660</v>
      </c>
      <c r="B372" s="36" t="s">
        <v>314</v>
      </c>
      <c r="C372" s="36" t="str">
        <f>_xlfn.CONCAT(Table4[[#This Row],[Ledger Name]],Table4[[#This Row],[Entity Name]])</f>
        <v>Testing/Inspection chargesExpora</v>
      </c>
      <c r="D372" s="36" t="s">
        <v>936</v>
      </c>
      <c r="E372" s="49" t="s">
        <v>152</v>
      </c>
      <c r="F372" s="49" t="s">
        <v>93</v>
      </c>
      <c r="G372" s="101" t="s">
        <v>667</v>
      </c>
    </row>
    <row r="373" spans="1:7" hidden="1">
      <c r="A373" s="36" t="s">
        <v>935</v>
      </c>
      <c r="B373" s="36" t="s">
        <v>314</v>
      </c>
      <c r="C373" s="36" t="str">
        <f>_xlfn.CONCAT(Table4[[#This Row],[Ledger Name]],Table4[[#This Row],[Entity Name]])</f>
        <v>TAEXP24252017Expora</v>
      </c>
      <c r="D373" s="36" t="s">
        <v>936</v>
      </c>
      <c r="E373" s="49" t="s">
        <v>152</v>
      </c>
      <c r="F373" s="49" t="s">
        <v>93</v>
      </c>
      <c r="G373" s="101" t="s">
        <v>138</v>
      </c>
    </row>
    <row r="374" spans="1:7" hidden="1">
      <c r="A374" s="36" t="s">
        <v>416</v>
      </c>
      <c r="B374" s="36" t="s">
        <v>826</v>
      </c>
      <c r="C374" s="36" t="str">
        <f>_xlfn.CONCAT(Table4[[#This Row],[Ledger Name]],Table4[[#This Row],[Entity Name]])</f>
        <v>AssetsArha General Trading Co (AGT)</v>
      </c>
      <c r="D374" s="36" t="s">
        <v>952</v>
      </c>
      <c r="E374" s="49">
        <v>0</v>
      </c>
      <c r="F374" s="49">
        <v>0</v>
      </c>
      <c r="G374" s="101">
        <v>0</v>
      </c>
    </row>
    <row r="375" spans="1:7" hidden="1">
      <c r="A375" s="36" t="s">
        <v>451</v>
      </c>
      <c r="B375" s="36" t="s">
        <v>826</v>
      </c>
      <c r="C375" s="36" t="str">
        <f>_xlfn.CONCAT(Table4[[#This Row],[Ledger Name]],Table4[[#This Row],[Entity Name]])</f>
        <v>Accounts ReceivableArha General Trading Co (AGT)</v>
      </c>
      <c r="D375" s="36" t="s">
        <v>936</v>
      </c>
      <c r="E375" s="49" t="s">
        <v>746</v>
      </c>
      <c r="F375" s="49" t="s">
        <v>112</v>
      </c>
      <c r="G375" s="24" t="s">
        <v>112</v>
      </c>
    </row>
    <row r="376" spans="1:7" hidden="1">
      <c r="A376" s="36" t="s">
        <v>551</v>
      </c>
      <c r="B376" s="36" t="s">
        <v>826</v>
      </c>
      <c r="C376" s="36" t="str">
        <f>_xlfn.CONCAT(Table4[[#This Row],[Ledger Name]],Table4[[#This Row],[Entity Name]])</f>
        <v>ARHA PLATFORMS GENERAL TRADING L.L.C (AED)Arha General Trading Co (AGT)</v>
      </c>
      <c r="D376" s="36" t="s">
        <v>936</v>
      </c>
      <c r="E376" s="49" t="s">
        <v>746</v>
      </c>
      <c r="F376" s="49" t="s">
        <v>24</v>
      </c>
      <c r="G376" s="24" t="s">
        <v>1613</v>
      </c>
    </row>
    <row r="377" spans="1:7" hidden="1">
      <c r="A377" s="36" t="s">
        <v>552</v>
      </c>
      <c r="B377" s="36" t="s">
        <v>826</v>
      </c>
      <c r="C377" s="36" t="str">
        <f>_xlfn.CONCAT(Table4[[#This Row],[Ledger Name]],Table4[[#This Row],[Entity Name]])</f>
        <v>ARHA PLATFORMS GENERAL TRADING L.L.C (Mashreq)Arha General Trading Co (AGT)</v>
      </c>
      <c r="D377" s="36" t="s">
        <v>936</v>
      </c>
      <c r="E377" s="49" t="s">
        <v>746</v>
      </c>
      <c r="F377" s="49" t="s">
        <v>24</v>
      </c>
      <c r="G377" s="24" t="s">
        <v>1613</v>
      </c>
    </row>
    <row r="378" spans="1:7" hidden="1">
      <c r="A378" s="36" t="s">
        <v>453</v>
      </c>
      <c r="B378" s="36" t="s">
        <v>826</v>
      </c>
      <c r="C378" s="36" t="str">
        <f>_xlfn.CONCAT(Table4[[#This Row],[Ledger Name]],Table4[[#This Row],[Entity Name]])</f>
        <v>Clearing GLArha General Trading Co (AGT)</v>
      </c>
      <c r="D378" s="36" t="s">
        <v>936</v>
      </c>
      <c r="E378" s="49" t="s">
        <v>746</v>
      </c>
      <c r="F378" s="49" t="s">
        <v>195</v>
      </c>
      <c r="G378" s="24" t="s">
        <v>1624</v>
      </c>
    </row>
    <row r="379" spans="1:7" hidden="1">
      <c r="A379" s="36" t="s">
        <v>423</v>
      </c>
      <c r="B379" s="36" t="s">
        <v>826</v>
      </c>
      <c r="C379" s="36" t="str">
        <f>_xlfn.CONCAT(Table4[[#This Row],[Ledger Name]],Table4[[#This Row],[Entity Name]])</f>
        <v>Deposits (Asset)Arha General Trading Co (AGT)</v>
      </c>
      <c r="D379" s="36" t="s">
        <v>952</v>
      </c>
      <c r="E379" s="49">
        <v>0</v>
      </c>
      <c r="F379" s="49">
        <v>0</v>
      </c>
      <c r="G379" s="101">
        <v>0</v>
      </c>
    </row>
    <row r="380" spans="1:7" hidden="1">
      <c r="A380" s="36" t="s">
        <v>289</v>
      </c>
      <c r="B380" s="36" t="s">
        <v>826</v>
      </c>
      <c r="C380" s="36" t="str">
        <f>_xlfn.CONCAT(Table4[[#This Row],[Ledger Name]],Table4[[#This Row],[Entity Name]])</f>
        <v>Car DepositArha General Trading Co (AGT)</v>
      </c>
      <c r="D380" s="36" t="s">
        <v>936</v>
      </c>
      <c r="E380" s="49" t="s">
        <v>746</v>
      </c>
      <c r="F380" s="49" t="s">
        <v>52</v>
      </c>
      <c r="G380" s="101" t="s">
        <v>1602</v>
      </c>
    </row>
    <row r="381" spans="1:7" hidden="1">
      <c r="A381" s="36" t="s">
        <v>344</v>
      </c>
      <c r="B381" s="36" t="s">
        <v>826</v>
      </c>
      <c r="C381" s="36" t="str">
        <f>_xlfn.CONCAT(Table4[[#This Row],[Ledger Name]],Table4[[#This Row],[Entity Name]])</f>
        <v>Security Deposit - Xaviour Business CentreArha General Trading Co (AGT)</v>
      </c>
      <c r="D381" s="36" t="s">
        <v>936</v>
      </c>
      <c r="E381" s="49" t="s">
        <v>746</v>
      </c>
      <c r="F381" s="49" t="s">
        <v>52</v>
      </c>
      <c r="G381" s="101" t="s">
        <v>1602</v>
      </c>
    </row>
    <row r="382" spans="1:7" hidden="1">
      <c r="A382" s="36" t="s">
        <v>554</v>
      </c>
      <c r="B382" s="36" t="s">
        <v>826</v>
      </c>
      <c r="C382" s="36" t="str">
        <f>_xlfn.CONCAT(Table4[[#This Row],[Ledger Name]],Table4[[#This Row],[Entity Name]])</f>
        <v>Total for Deposits (Asset)Arha General Trading Co (AGT)</v>
      </c>
      <c r="D382" s="36" t="s">
        <v>952</v>
      </c>
      <c r="E382" s="49">
        <v>0</v>
      </c>
      <c r="F382" s="49">
        <v>0</v>
      </c>
      <c r="G382" s="101">
        <v>0</v>
      </c>
    </row>
    <row r="383" spans="1:7" hidden="1">
      <c r="A383" s="36" t="s">
        <v>555</v>
      </c>
      <c r="B383" s="36" t="s">
        <v>826</v>
      </c>
      <c r="C383" s="36" t="str">
        <f>_xlfn.CONCAT(Table4[[#This Row],[Ledger Name]],Table4[[#This Row],[Entity Name]])</f>
        <v>Input VATArha General Trading Co (AGT)</v>
      </c>
      <c r="D383" s="36" t="s">
        <v>936</v>
      </c>
      <c r="E383" s="49" t="s">
        <v>746</v>
      </c>
      <c r="F383" s="49" t="s">
        <v>63</v>
      </c>
      <c r="G383" s="101" t="s">
        <v>63</v>
      </c>
    </row>
    <row r="384" spans="1:7" hidden="1">
      <c r="A384" s="36" t="s">
        <v>476</v>
      </c>
      <c r="B384" s="36" t="s">
        <v>826</v>
      </c>
      <c r="C384" s="36" t="str">
        <f>_xlfn.CONCAT(Table4[[#This Row],[Ledger Name]],Table4[[#This Row],[Entity Name]])</f>
        <v>Inventory AssetArha General Trading Co (AGT)</v>
      </c>
      <c r="D384" s="36" t="s">
        <v>936</v>
      </c>
      <c r="E384" s="49" t="s">
        <v>746</v>
      </c>
      <c r="F384" s="49" t="s">
        <v>47</v>
      </c>
      <c r="G384" s="101" t="s">
        <v>47</v>
      </c>
    </row>
    <row r="385" spans="1:7" hidden="1">
      <c r="A385" s="36" t="s">
        <v>29</v>
      </c>
      <c r="B385" s="36" t="s">
        <v>826</v>
      </c>
      <c r="C385" s="36" t="str">
        <f>_xlfn.CONCAT(Table4[[#This Row],[Ledger Name]],Table4[[#This Row],[Entity Name]])</f>
        <v>Prepaid ExpensesArha General Trading Co (AGT)</v>
      </c>
      <c r="D385" s="36" t="s">
        <v>936</v>
      </c>
      <c r="E385" s="49" t="s">
        <v>746</v>
      </c>
      <c r="F385" s="49" t="s">
        <v>52</v>
      </c>
      <c r="G385" s="24" t="s">
        <v>1605</v>
      </c>
    </row>
    <row r="386" spans="1:7" hidden="1">
      <c r="A386" s="36" t="s">
        <v>556</v>
      </c>
      <c r="B386" s="36" t="s">
        <v>826</v>
      </c>
      <c r="C386" s="36" t="str">
        <f>_xlfn.CONCAT(Table4[[#This Row],[Ledger Name]],Table4[[#This Row],[Entity Name]])</f>
        <v>INDO BALTICE PTE LTD.Arha General Trading Co (AGT)</v>
      </c>
      <c r="D386" s="36" t="s">
        <v>936</v>
      </c>
      <c r="E386" s="49" t="s">
        <v>746</v>
      </c>
      <c r="F386" s="49" t="s">
        <v>52</v>
      </c>
      <c r="G386" s="101" t="s">
        <v>1602</v>
      </c>
    </row>
    <row r="387" spans="1:7" hidden="1">
      <c r="A387" s="36" t="s">
        <v>290</v>
      </c>
      <c r="B387" s="36" t="s">
        <v>826</v>
      </c>
      <c r="C387" s="36" t="str">
        <f>_xlfn.CONCAT(Table4[[#This Row],[Ledger Name]],Table4[[#This Row],[Entity Name]])</f>
        <v>ShahidArha General Trading Co (AGT)</v>
      </c>
      <c r="D387" s="36" t="s">
        <v>936</v>
      </c>
      <c r="E387" s="49" t="s">
        <v>746</v>
      </c>
      <c r="F387" s="49" t="s">
        <v>52</v>
      </c>
      <c r="G387" s="24" t="s">
        <v>1605</v>
      </c>
    </row>
    <row r="388" spans="1:7" hidden="1">
      <c r="A388" s="36" t="s">
        <v>557</v>
      </c>
      <c r="B388" s="36" t="s">
        <v>826</v>
      </c>
      <c r="C388" s="36" t="str">
        <f>_xlfn.CONCAT(Table4[[#This Row],[Ledger Name]],Table4[[#This Row],[Entity Name]])</f>
        <v>Total for Prepaid ExpensesArha General Trading Co (AGT)</v>
      </c>
      <c r="D388" s="36" t="s">
        <v>952</v>
      </c>
      <c r="E388" s="49">
        <v>0</v>
      </c>
      <c r="F388" s="49">
        <v>0</v>
      </c>
      <c r="G388" s="101">
        <v>0</v>
      </c>
    </row>
    <row r="389" spans="1:7" hidden="1">
      <c r="A389" s="36" t="s">
        <v>252</v>
      </c>
      <c r="B389" s="36" t="s">
        <v>826</v>
      </c>
      <c r="C389" s="36" t="str">
        <f>_xlfn.CONCAT(Table4[[#This Row],[Ledger Name]],Table4[[#This Row],[Entity Name]])</f>
        <v>Prepaid RentArha General Trading Co (AGT)</v>
      </c>
      <c r="D389" s="36" t="s">
        <v>936</v>
      </c>
      <c r="E389" s="49" t="s">
        <v>746</v>
      </c>
      <c r="F389" s="49" t="s">
        <v>52</v>
      </c>
      <c r="G389" s="24" t="s">
        <v>1605</v>
      </c>
    </row>
    <row r="390" spans="1:7" hidden="1">
      <c r="A390" s="36" t="s">
        <v>558</v>
      </c>
      <c r="B390" s="36" t="s">
        <v>826</v>
      </c>
      <c r="C390" s="36" t="str">
        <f>_xlfn.CONCAT(Table4[[#This Row],[Ledger Name]],Table4[[#This Row],[Entity Name]])</f>
        <v>Prepaid Telephone ChargesArha General Trading Co (AGT)</v>
      </c>
      <c r="D390" s="36" t="s">
        <v>936</v>
      </c>
      <c r="E390" s="49" t="s">
        <v>746</v>
      </c>
      <c r="F390" s="49" t="s">
        <v>52</v>
      </c>
      <c r="G390" s="24" t="s">
        <v>1605</v>
      </c>
    </row>
    <row r="391" spans="1:7" hidden="1">
      <c r="A391" s="36" t="s">
        <v>417</v>
      </c>
      <c r="B391" s="36" t="s">
        <v>826</v>
      </c>
      <c r="C391" s="36" t="str">
        <f>_xlfn.CONCAT(Table4[[#This Row],[Ledger Name]],Table4[[#This Row],[Entity Name]])</f>
        <v>LiabilitiesArha General Trading Co (AGT)</v>
      </c>
      <c r="D391" s="36" t="s">
        <v>952</v>
      </c>
      <c r="E391" s="49">
        <v>0</v>
      </c>
      <c r="F391" s="49">
        <v>0</v>
      </c>
      <c r="G391" s="101">
        <v>0</v>
      </c>
    </row>
    <row r="392" spans="1:7" hidden="1">
      <c r="A392" s="36" t="s">
        <v>488</v>
      </c>
      <c r="B392" s="36" t="s">
        <v>826</v>
      </c>
      <c r="C392" s="36" t="str">
        <f>_xlfn.CONCAT(Table4[[#This Row],[Ledger Name]],Table4[[#This Row],[Entity Name]])</f>
        <v>Accounts PayableArha General Trading Co (AGT)</v>
      </c>
      <c r="D392" s="36" t="s">
        <v>936</v>
      </c>
      <c r="E392" s="49" t="s">
        <v>746</v>
      </c>
      <c r="F392" s="49" t="s">
        <v>22</v>
      </c>
      <c r="G392" s="6" t="s">
        <v>22</v>
      </c>
    </row>
    <row r="393" spans="1:7" hidden="1">
      <c r="A393" s="36" t="s">
        <v>559</v>
      </c>
      <c r="B393" s="36" t="s">
        <v>826</v>
      </c>
      <c r="C393" s="36" t="str">
        <f>_xlfn.CONCAT(Table4[[#This Row],[Ledger Name]],Table4[[#This Row],[Entity Name]])</f>
        <v>Aspirach Market Platform Pvt LtdArha General Trading Co (AGT)</v>
      </c>
      <c r="D393" s="36" t="s">
        <v>936</v>
      </c>
      <c r="E393" s="49" t="s">
        <v>746</v>
      </c>
      <c r="F393" s="49" t="s">
        <v>23</v>
      </c>
      <c r="G393" s="101" t="s">
        <v>1619</v>
      </c>
    </row>
    <row r="394" spans="1:7" hidden="1">
      <c r="A394" s="36" t="s">
        <v>96</v>
      </c>
      <c r="B394" s="36" t="s">
        <v>826</v>
      </c>
      <c r="C394" s="36" t="str">
        <f>_xlfn.CONCAT(Table4[[#This Row],[Ledger Name]],Table4[[#This Row],[Entity Name]])</f>
        <v>Duties &amp; TaxesArha General Trading Co (AGT)</v>
      </c>
      <c r="D394" s="36" t="s">
        <v>952</v>
      </c>
      <c r="E394" s="49">
        <v>0</v>
      </c>
      <c r="F394" s="49">
        <v>0</v>
      </c>
      <c r="G394" s="101">
        <v>0</v>
      </c>
    </row>
    <row r="395" spans="1:7" hidden="1">
      <c r="A395" s="36" t="s">
        <v>253</v>
      </c>
      <c r="B395" s="36" t="s">
        <v>826</v>
      </c>
      <c r="C395" s="36" t="str">
        <f>_xlfn.CONCAT(Table4[[#This Row],[Ledger Name]],Table4[[#This Row],[Entity Name]])</f>
        <v>VAT 5%Arha General Trading Co (AGT)</v>
      </c>
      <c r="D395" s="36" t="s">
        <v>936</v>
      </c>
      <c r="E395" s="49" t="s">
        <v>746</v>
      </c>
      <c r="F395" s="49" t="s">
        <v>63</v>
      </c>
      <c r="G395" s="101" t="s">
        <v>63</v>
      </c>
    </row>
    <row r="396" spans="1:7" hidden="1">
      <c r="A396" s="36" t="s">
        <v>560</v>
      </c>
      <c r="B396" s="36" t="s">
        <v>826</v>
      </c>
      <c r="C396" s="36" t="str">
        <f>_xlfn.CONCAT(Table4[[#This Row],[Ledger Name]],Table4[[#This Row],[Entity Name]])</f>
        <v>Total for Duties &amp; TaxesArha General Trading Co (AGT)</v>
      </c>
      <c r="D396" s="36" t="s">
        <v>952</v>
      </c>
      <c r="E396" s="49">
        <v>0</v>
      </c>
      <c r="F396" s="49">
        <v>0</v>
      </c>
      <c r="G396" s="101">
        <v>0</v>
      </c>
    </row>
    <row r="397" spans="1:7" hidden="1">
      <c r="A397" s="36" t="s">
        <v>562</v>
      </c>
      <c r="B397" s="36" t="s">
        <v>826</v>
      </c>
      <c r="C397" s="36" t="str">
        <f>_xlfn.CONCAT(Table4[[#This Row],[Ledger Name]],Table4[[#This Row],[Entity Name]])</f>
        <v>Output VATArha General Trading Co (AGT)</v>
      </c>
      <c r="D397" s="36" t="s">
        <v>936</v>
      </c>
      <c r="E397" s="49" t="s">
        <v>746</v>
      </c>
      <c r="F397" s="49" t="s">
        <v>63</v>
      </c>
      <c r="G397" s="101" t="s">
        <v>63</v>
      </c>
    </row>
    <row r="398" spans="1:7" hidden="1">
      <c r="A398" s="36" t="s">
        <v>95</v>
      </c>
      <c r="B398" s="36" t="s">
        <v>826</v>
      </c>
      <c r="C398" s="36" t="str">
        <f>_xlfn.CONCAT(Table4[[#This Row],[Ledger Name]],Table4[[#This Row],[Entity Name]])</f>
        <v>Unsecured LoansArha General Trading Co (AGT)</v>
      </c>
      <c r="D398" s="36" t="s">
        <v>952</v>
      </c>
      <c r="E398" s="49">
        <v>0</v>
      </c>
      <c r="F398" s="49">
        <v>0</v>
      </c>
      <c r="G398" s="101">
        <v>0</v>
      </c>
    </row>
    <row r="399" spans="1:7" hidden="1">
      <c r="A399" s="36" t="s">
        <v>298</v>
      </c>
      <c r="B399" s="36" t="s">
        <v>826</v>
      </c>
      <c r="C399" s="36" t="str">
        <f>_xlfn.CONCAT(Table4[[#This Row],[Ledger Name]],Table4[[#This Row],[Entity Name]])</f>
        <v>ARHA PLATFORMS JEWELLERY TRADING L.L.CArha General Trading Co (AGT)</v>
      </c>
      <c r="D399" s="36" t="s">
        <v>936</v>
      </c>
      <c r="E399" s="49" t="s">
        <v>746</v>
      </c>
      <c r="F399" s="49" t="s">
        <v>23</v>
      </c>
      <c r="G399" s="101" t="s">
        <v>1619</v>
      </c>
    </row>
    <row r="400" spans="1:7" hidden="1">
      <c r="A400" s="36" t="s">
        <v>563</v>
      </c>
      <c r="B400" s="36" t="s">
        <v>826</v>
      </c>
      <c r="C400" s="36" t="str">
        <f>_xlfn.CONCAT(Table4[[#This Row],[Ledger Name]],Table4[[#This Row],[Entity Name]])</f>
        <v>Loans from Aspirach Platform Pvt LtdArha General Trading Co (AGT)</v>
      </c>
      <c r="D400" s="36" t="s">
        <v>936</v>
      </c>
      <c r="E400" s="49" t="s">
        <v>746</v>
      </c>
      <c r="F400" s="49" t="s">
        <v>23</v>
      </c>
      <c r="G400" s="101" t="s">
        <v>1619</v>
      </c>
    </row>
    <row r="401" spans="1:7" hidden="1">
      <c r="A401" s="36" t="s">
        <v>507</v>
      </c>
      <c r="B401" s="36" t="s">
        <v>826</v>
      </c>
      <c r="C401" s="36" t="str">
        <f>_xlfn.CONCAT(Table4[[#This Row],[Ledger Name]],Table4[[#This Row],[Entity Name]])</f>
        <v>Total for Unsecured LoansArha General Trading Co (AGT)</v>
      </c>
      <c r="D401" s="36" t="s">
        <v>952</v>
      </c>
      <c r="E401" s="49">
        <v>0</v>
      </c>
      <c r="F401" s="49">
        <v>0</v>
      </c>
      <c r="G401" s="101">
        <v>0</v>
      </c>
    </row>
    <row r="402" spans="1:7" hidden="1">
      <c r="A402" s="36" t="s">
        <v>418</v>
      </c>
      <c r="B402" s="36" t="s">
        <v>826</v>
      </c>
      <c r="C402" s="36" t="str">
        <f>_xlfn.CONCAT(Table4[[#This Row],[Ledger Name]],Table4[[#This Row],[Entity Name]])</f>
        <v>EquitiesArha General Trading Co (AGT)</v>
      </c>
      <c r="D402" s="36" t="s">
        <v>952</v>
      </c>
      <c r="E402" s="49">
        <v>0</v>
      </c>
      <c r="F402" s="49">
        <v>0</v>
      </c>
      <c r="G402" s="101">
        <v>0</v>
      </c>
    </row>
    <row r="403" spans="1:7" hidden="1">
      <c r="A403" s="36" t="s">
        <v>508</v>
      </c>
      <c r="B403" s="36" t="s">
        <v>826</v>
      </c>
      <c r="C403" s="36" t="str">
        <f>_xlfn.CONCAT(Table4[[#This Row],[Ledger Name]],Table4[[#This Row],[Entity Name]])</f>
        <v>Retained EarningsArha General Trading Co (AGT)</v>
      </c>
      <c r="D403" s="36" t="s">
        <v>936</v>
      </c>
      <c r="E403" s="49" t="s">
        <v>746</v>
      </c>
      <c r="F403" s="49" t="s">
        <v>27</v>
      </c>
      <c r="G403" s="56" t="s">
        <v>1616</v>
      </c>
    </row>
    <row r="404" spans="1:7" hidden="1">
      <c r="A404" s="36" t="s">
        <v>26</v>
      </c>
      <c r="B404" s="36" t="s">
        <v>826</v>
      </c>
      <c r="C404" s="36" t="str">
        <f>_xlfn.CONCAT(Table4[[#This Row],[Ledger Name]],Table4[[#This Row],[Entity Name]])</f>
        <v>Share CapitalArha General Trading Co (AGT)</v>
      </c>
      <c r="D404" s="36" t="s">
        <v>952</v>
      </c>
      <c r="E404" s="49">
        <v>0</v>
      </c>
      <c r="F404" s="49">
        <v>0</v>
      </c>
      <c r="G404" s="101">
        <v>0</v>
      </c>
    </row>
    <row r="405" spans="1:7" hidden="1">
      <c r="A405" s="36" t="s">
        <v>564</v>
      </c>
      <c r="B405" s="36" t="s">
        <v>826</v>
      </c>
      <c r="C405" s="36" t="str">
        <f>_xlfn.CONCAT(Table4[[#This Row],[Ledger Name]],Table4[[#This Row],[Entity Name]])</f>
        <v>Aspirach Market Platform Pvt Ltd (SC)Arha General Trading Co (AGT)</v>
      </c>
      <c r="D405" s="36" t="s">
        <v>936</v>
      </c>
      <c r="E405" s="49" t="s">
        <v>746</v>
      </c>
      <c r="F405" s="49" t="s">
        <v>26</v>
      </c>
      <c r="G405" s="24" t="s">
        <v>1614</v>
      </c>
    </row>
    <row r="406" spans="1:7" hidden="1">
      <c r="A406" s="36" t="s">
        <v>521</v>
      </c>
      <c r="B406" s="36" t="s">
        <v>826</v>
      </c>
      <c r="C406" s="36" t="str">
        <f>_xlfn.CONCAT(Table4[[#This Row],[Ledger Name]],Table4[[#This Row],[Entity Name]])</f>
        <v>Total for Share CapitalArha General Trading Co (AGT)</v>
      </c>
      <c r="D406" s="36" t="s">
        <v>952</v>
      </c>
      <c r="E406" s="49">
        <v>0</v>
      </c>
      <c r="F406" s="49">
        <v>0</v>
      </c>
      <c r="G406" s="101">
        <v>0</v>
      </c>
    </row>
    <row r="407" spans="1:7" hidden="1">
      <c r="A407" s="36" t="s">
        <v>419</v>
      </c>
      <c r="B407" s="36" t="s">
        <v>826</v>
      </c>
      <c r="C407" s="36" t="str">
        <f>_xlfn.CONCAT(Table4[[#This Row],[Ledger Name]],Table4[[#This Row],[Entity Name]])</f>
        <v>IncomeArha General Trading Co (AGT)</v>
      </c>
      <c r="D407" s="36" t="s">
        <v>952</v>
      </c>
      <c r="E407" s="49">
        <v>0</v>
      </c>
      <c r="F407" s="49">
        <v>0</v>
      </c>
      <c r="G407" s="101">
        <v>0</v>
      </c>
    </row>
    <row r="408" spans="1:7" hidden="1">
      <c r="A408" s="36" t="s">
        <v>91</v>
      </c>
      <c r="B408" s="36" t="s">
        <v>826</v>
      </c>
      <c r="C408" s="36" t="str">
        <f>_xlfn.CONCAT(Table4[[#This Row],[Ledger Name]],Table4[[#This Row],[Entity Name]])</f>
        <v>SalesArha General Trading Co (AGT)</v>
      </c>
      <c r="D408" s="36" t="s">
        <v>936</v>
      </c>
      <c r="E408" s="49" t="s">
        <v>152</v>
      </c>
      <c r="F408" s="49" t="s">
        <v>1</v>
      </c>
      <c r="G408" s="101" t="s">
        <v>91</v>
      </c>
    </row>
    <row r="409" spans="1:7" hidden="1">
      <c r="A409" s="36" t="s">
        <v>261</v>
      </c>
      <c r="B409" s="36" t="s">
        <v>826</v>
      </c>
      <c r="C409" s="36" t="str">
        <f>_xlfn.CONCAT(Table4[[#This Row],[Ledger Name]],Table4[[#This Row],[Entity Name]])</f>
        <v>ExpenseArha General Trading Co (AGT)</v>
      </c>
      <c r="D409" s="36" t="s">
        <v>952</v>
      </c>
      <c r="E409" s="49">
        <v>0</v>
      </c>
      <c r="F409" s="49">
        <v>0</v>
      </c>
      <c r="G409" s="101">
        <v>0</v>
      </c>
    </row>
    <row r="410" spans="1:7" hidden="1">
      <c r="A410" s="36" t="s">
        <v>386</v>
      </c>
      <c r="B410" s="36" t="s">
        <v>826</v>
      </c>
      <c r="C410" s="36" t="str">
        <f>_xlfn.CONCAT(Table4[[#This Row],[Ledger Name]],Table4[[#This Row],[Entity Name]])</f>
        <v>Bank Fees and ChargesArha General Trading Co (AGT)</v>
      </c>
      <c r="D410" s="36" t="s">
        <v>936</v>
      </c>
      <c r="E410" s="49" t="s">
        <v>152</v>
      </c>
      <c r="F410" s="49" t="s">
        <v>13</v>
      </c>
      <c r="G410" s="101" t="s">
        <v>422</v>
      </c>
    </row>
    <row r="411" spans="1:7" hidden="1">
      <c r="A411" s="36" t="s">
        <v>565</v>
      </c>
      <c r="B411" s="36" t="s">
        <v>826</v>
      </c>
      <c r="C411" s="36" t="str">
        <f>_xlfn.CONCAT(Table4[[#This Row],[Ledger Name]],Table4[[#This Row],[Entity Name]])</f>
        <v>Car Rental ChargesArha General Trading Co (AGT)</v>
      </c>
      <c r="D411" s="36" t="s">
        <v>936</v>
      </c>
      <c r="E411" s="49" t="s">
        <v>152</v>
      </c>
      <c r="F411" s="49" t="s">
        <v>2</v>
      </c>
      <c r="G411" s="101" t="s">
        <v>73</v>
      </c>
    </row>
    <row r="412" spans="1:7" hidden="1">
      <c r="A412" s="36" t="s">
        <v>523</v>
      </c>
      <c r="B412" s="36" t="s">
        <v>826</v>
      </c>
      <c r="C412" s="36" t="str">
        <f>_xlfn.CONCAT(Table4[[#This Row],[Ledger Name]],Table4[[#This Row],[Entity Name]])</f>
        <v>Cost of Goods SoldArha General Trading Co (AGT)</v>
      </c>
      <c r="D412" s="36" t="s">
        <v>936</v>
      </c>
      <c r="E412" s="49" t="s">
        <v>152</v>
      </c>
      <c r="F412" s="49" t="s">
        <v>50</v>
      </c>
      <c r="G412" s="101" t="s">
        <v>50</v>
      </c>
    </row>
    <row r="413" spans="1:7" hidden="1">
      <c r="A413" s="36" t="s">
        <v>414</v>
      </c>
      <c r="B413" s="36" t="s">
        <v>826</v>
      </c>
      <c r="C413" s="36" t="str">
        <f>_xlfn.CONCAT(Table4[[#This Row],[Ledger Name]],Table4[[#This Row],[Entity Name]])</f>
        <v>Exchange Gain or LossArha General Trading Co (AGT)</v>
      </c>
      <c r="D413" s="36" t="s">
        <v>936</v>
      </c>
      <c r="E413" s="49" t="s">
        <v>152</v>
      </c>
      <c r="F413" s="49" t="s">
        <v>315</v>
      </c>
      <c r="G413" s="101" t="s">
        <v>205</v>
      </c>
    </row>
    <row r="414" spans="1:7" hidden="1">
      <c r="A414" s="36" t="s">
        <v>623</v>
      </c>
      <c r="B414" s="36" t="s">
        <v>826</v>
      </c>
      <c r="C414" s="36" t="str">
        <f>_xlfn.CONCAT(Table4[[#This Row],[Ledger Name]],Table4[[#This Row],[Entity Name]])</f>
        <v>Foreign Travel ExpensesArha General Trading Co (AGT)</v>
      </c>
      <c r="D414" s="36" t="s">
        <v>936</v>
      </c>
      <c r="E414" s="49" t="s">
        <v>152</v>
      </c>
      <c r="F414" s="49" t="s">
        <v>8</v>
      </c>
      <c r="G414" s="101" t="s">
        <v>84</v>
      </c>
    </row>
    <row r="415" spans="1:7" hidden="1">
      <c r="A415" s="36" t="s">
        <v>77</v>
      </c>
      <c r="B415" s="36" t="s">
        <v>826</v>
      </c>
      <c r="C415" s="36" t="str">
        <f>_xlfn.CONCAT(Table4[[#This Row],[Ledger Name]],Table4[[#This Row],[Entity Name]])</f>
        <v>Office RentArha General Trading Co (AGT)</v>
      </c>
      <c r="D415" s="36" t="s">
        <v>936</v>
      </c>
      <c r="E415" s="49" t="s">
        <v>152</v>
      </c>
      <c r="F415" s="49" t="s">
        <v>5</v>
      </c>
      <c r="G415" s="101" t="s">
        <v>77</v>
      </c>
    </row>
    <row r="416" spans="1:7" hidden="1">
      <c r="A416" s="36" t="s">
        <v>566</v>
      </c>
      <c r="B416" s="36" t="s">
        <v>826</v>
      </c>
      <c r="C416" s="36" t="str">
        <f>_xlfn.CONCAT(Table4[[#This Row],[Ledger Name]],Table4[[#This Row],[Entity Name]])</f>
        <v>Petrol ExpensesArha General Trading Co (AGT)</v>
      </c>
      <c r="D416" s="36" t="s">
        <v>936</v>
      </c>
      <c r="E416" s="49" t="s">
        <v>152</v>
      </c>
      <c r="F416" s="49" t="s">
        <v>2</v>
      </c>
      <c r="G416" s="101" t="s">
        <v>64</v>
      </c>
    </row>
    <row r="417" spans="1:7" hidden="1">
      <c r="A417" s="36" t="s">
        <v>535</v>
      </c>
      <c r="B417" s="36" t="s">
        <v>826</v>
      </c>
      <c r="C417" s="36" t="str">
        <f>_xlfn.CONCAT(Table4[[#This Row],[Ledger Name]],Table4[[#This Row],[Entity Name]])</f>
        <v>Postage and Courier ChargesArha General Trading Co (AGT)</v>
      </c>
      <c r="D417" s="36" t="s">
        <v>936</v>
      </c>
      <c r="E417" s="49" t="s">
        <v>152</v>
      </c>
      <c r="F417" s="49" t="s">
        <v>24</v>
      </c>
      <c r="G417" s="101" t="s">
        <v>35</v>
      </c>
    </row>
    <row r="418" spans="1:7" hidden="1">
      <c r="A418" s="36" t="s">
        <v>114</v>
      </c>
      <c r="B418" s="36" t="s">
        <v>826</v>
      </c>
      <c r="C418" s="36" t="str">
        <f>_xlfn.CONCAT(Table4[[#This Row],[Ledger Name]],Table4[[#This Row],[Entity Name]])</f>
        <v>Professional FeesArha General Trading Co (AGT)</v>
      </c>
      <c r="D418" s="36" t="s">
        <v>936</v>
      </c>
      <c r="E418" s="49" t="s">
        <v>152</v>
      </c>
      <c r="F418" s="49" t="s">
        <v>9</v>
      </c>
      <c r="G418" s="101" t="s">
        <v>114</v>
      </c>
    </row>
    <row r="419" spans="1:7" hidden="1">
      <c r="A419" s="36" t="s">
        <v>966</v>
      </c>
      <c r="B419" s="36" t="s">
        <v>826</v>
      </c>
      <c r="C419" s="36" t="str">
        <f>_xlfn.CONCAT(Table4[[#This Row],[Ledger Name]],Table4[[#This Row],[Entity Name]])</f>
        <v>Zoho Books.Arha General Trading Co (AGT)</v>
      </c>
      <c r="D419" s="36" t="s">
        <v>936</v>
      </c>
      <c r="E419" s="49" t="s">
        <v>152</v>
      </c>
      <c r="F419" s="49" t="s">
        <v>14</v>
      </c>
      <c r="G419" s="101" t="s">
        <v>14</v>
      </c>
    </row>
    <row r="420" spans="1:7" hidden="1">
      <c r="A420" s="36" t="s">
        <v>854</v>
      </c>
      <c r="B420" s="36" t="s">
        <v>826</v>
      </c>
      <c r="C420" s="36" t="str">
        <f>_xlfn.CONCAT(Table4[[#This Row],[Ledger Name]],Table4[[#This Row],[Entity Name]])</f>
        <v>Total for Trial BalanceArha General Trading Co (AGT)</v>
      </c>
      <c r="D420" s="36" t="s">
        <v>952</v>
      </c>
      <c r="E420" s="49">
        <v>0</v>
      </c>
      <c r="F420" s="49">
        <v>0</v>
      </c>
      <c r="G420" s="101">
        <v>0</v>
      </c>
    </row>
    <row r="421" spans="1:7" hidden="1">
      <c r="A421" s="36" t="s">
        <v>550</v>
      </c>
      <c r="B421" s="36" t="s">
        <v>826</v>
      </c>
      <c r="C421" s="36" t="str">
        <f>_xlfn.CONCAT(Table4[[#This Row],[Ledger Name]],Table4[[#This Row],[Entity Name]])</f>
        <v>Current Year EarningsArha General Trading Co (AGT)</v>
      </c>
      <c r="D421" s="36" t="s">
        <v>936</v>
      </c>
      <c r="E421" s="49" t="s">
        <v>746</v>
      </c>
      <c r="F421" s="49" t="s">
        <v>27</v>
      </c>
      <c r="G421" s="56" t="s">
        <v>1617</v>
      </c>
    </row>
    <row r="422" spans="1:7" hidden="1">
      <c r="A422" s="36" t="s">
        <v>33</v>
      </c>
      <c r="B422" s="36" t="s">
        <v>826</v>
      </c>
      <c r="C422" s="36" t="str">
        <f>_xlfn.CONCAT(Table4[[#This Row],[Ledger Name]],Table4[[#This Row],[Entity Name]])</f>
        <v>Printing and StationeryArha General Trading Co (AGT)</v>
      </c>
      <c r="D422" s="36" t="s">
        <v>936</v>
      </c>
      <c r="E422" s="49" t="s">
        <v>152</v>
      </c>
      <c r="F422" s="49" t="s">
        <v>5</v>
      </c>
      <c r="G422" s="101" t="s">
        <v>33</v>
      </c>
    </row>
    <row r="423" spans="1:7" hidden="1">
      <c r="A423" s="36" t="s">
        <v>450</v>
      </c>
      <c r="B423" s="36" t="s">
        <v>826</v>
      </c>
      <c r="C423" s="36" t="str">
        <f>_xlfn.CONCAT(Table4[[#This Row],[Ledger Name]],Table4[[#This Row],[Entity Name]])</f>
        <v>Telephone ExpenseArha General Trading Co (AGT)</v>
      </c>
      <c r="D423" s="36" t="s">
        <v>936</v>
      </c>
      <c r="E423" s="49" t="s">
        <v>152</v>
      </c>
      <c r="F423" s="49" t="s">
        <v>5</v>
      </c>
      <c r="G423" s="101" t="s">
        <v>7</v>
      </c>
    </row>
    <row r="424" spans="1:7" hidden="1">
      <c r="A424" s="36" t="s">
        <v>416</v>
      </c>
      <c r="B424" s="36" t="s">
        <v>825</v>
      </c>
      <c r="C424" s="36" t="str">
        <f>_xlfn.CONCAT(Table4[[#This Row],[Ledger Name]],Table4[[#This Row],[Entity Name]])</f>
        <v>AssetsAspirach Lanka</v>
      </c>
      <c r="D424" s="36" t="s">
        <v>952</v>
      </c>
      <c r="E424" s="49">
        <v>0</v>
      </c>
      <c r="F424" s="49">
        <v>0</v>
      </c>
      <c r="G424" s="101">
        <v>0</v>
      </c>
    </row>
    <row r="425" spans="1:7" hidden="1">
      <c r="A425" s="36" t="s">
        <v>451</v>
      </c>
      <c r="B425" s="36" t="s">
        <v>825</v>
      </c>
      <c r="C425" s="36" t="str">
        <f>_xlfn.CONCAT(Table4[[#This Row],[Ledger Name]],Table4[[#This Row],[Entity Name]])</f>
        <v>Accounts ReceivableAspirach Lanka</v>
      </c>
      <c r="D425" s="36" t="s">
        <v>936</v>
      </c>
      <c r="E425" s="49" t="s">
        <v>746</v>
      </c>
      <c r="F425" s="49" t="s">
        <v>112</v>
      </c>
      <c r="G425" s="101" t="s">
        <v>112</v>
      </c>
    </row>
    <row r="426" spans="1:7" hidden="1">
      <c r="A426" s="36" t="s">
        <v>456</v>
      </c>
      <c r="B426" s="36" t="s">
        <v>825</v>
      </c>
      <c r="C426" s="36" t="str">
        <f>_xlfn.CONCAT(Table4[[#This Row],[Ledger Name]],Table4[[#This Row],[Entity Name]])</f>
        <v>Employee AdvanceAspirach Lanka</v>
      </c>
      <c r="D426" s="36" t="s">
        <v>936</v>
      </c>
      <c r="E426" s="49" t="s">
        <v>746</v>
      </c>
      <c r="F426" s="49" t="s">
        <v>52</v>
      </c>
      <c r="G426" s="101" t="s">
        <v>52</v>
      </c>
    </row>
    <row r="427" spans="1:7" hidden="1">
      <c r="A427" s="36" t="s">
        <v>476</v>
      </c>
      <c r="B427" s="36" t="s">
        <v>825</v>
      </c>
      <c r="C427" s="36" t="str">
        <f>_xlfn.CONCAT(Table4[[#This Row],[Ledger Name]],Table4[[#This Row],[Entity Name]])</f>
        <v>Inventory AssetAspirach Lanka</v>
      </c>
      <c r="D427" s="36" t="s">
        <v>936</v>
      </c>
      <c r="E427" s="49" t="s">
        <v>746</v>
      </c>
      <c r="F427" s="49" t="s">
        <v>47</v>
      </c>
      <c r="G427" s="101" t="s">
        <v>47</v>
      </c>
    </row>
    <row r="428" spans="1:7" hidden="1">
      <c r="A428" s="36" t="s">
        <v>403</v>
      </c>
      <c r="B428" s="36" t="s">
        <v>825</v>
      </c>
      <c r="C428" s="36" t="str">
        <f>_xlfn.CONCAT(Table4[[#This Row],[Ledger Name]],Table4[[#This Row],[Entity Name]])</f>
        <v>Petty CashAspirach Lanka</v>
      </c>
      <c r="D428" s="36" t="s">
        <v>936</v>
      </c>
      <c r="E428" s="49" t="s">
        <v>746</v>
      </c>
      <c r="F428" s="49" t="s">
        <v>24</v>
      </c>
      <c r="G428" s="24" t="s">
        <v>1613</v>
      </c>
    </row>
    <row r="429" spans="1:7" hidden="1">
      <c r="A429" s="36" t="s">
        <v>29</v>
      </c>
      <c r="B429" s="36" t="s">
        <v>825</v>
      </c>
      <c r="C429" s="36" t="str">
        <f>_xlfn.CONCAT(Table4[[#This Row],[Ledger Name]],Table4[[#This Row],[Entity Name]])</f>
        <v>Prepaid ExpensesAspirach Lanka</v>
      </c>
      <c r="D429" s="36" t="s">
        <v>936</v>
      </c>
      <c r="E429" s="49" t="s">
        <v>746</v>
      </c>
      <c r="F429" s="49" t="s">
        <v>52</v>
      </c>
      <c r="G429" s="24" t="s">
        <v>1605</v>
      </c>
    </row>
    <row r="430" spans="1:7" hidden="1">
      <c r="A430" s="36" t="s">
        <v>417</v>
      </c>
      <c r="B430" s="36" t="s">
        <v>825</v>
      </c>
      <c r="C430" s="36" t="str">
        <f>_xlfn.CONCAT(Table4[[#This Row],[Ledger Name]],Table4[[#This Row],[Entity Name]])</f>
        <v>LiabilitiesAspirach Lanka</v>
      </c>
      <c r="D430" s="36" t="s">
        <v>952</v>
      </c>
      <c r="E430" s="49">
        <v>0</v>
      </c>
      <c r="F430" s="49">
        <v>0</v>
      </c>
      <c r="G430" s="101">
        <v>0</v>
      </c>
    </row>
    <row r="431" spans="1:7" hidden="1">
      <c r="A431" s="36" t="s">
        <v>488</v>
      </c>
      <c r="B431" s="36" t="s">
        <v>825</v>
      </c>
      <c r="C431" s="36" t="str">
        <f>_xlfn.CONCAT(Table4[[#This Row],[Ledger Name]],Table4[[#This Row],[Entity Name]])</f>
        <v>Accounts PayableAspirach Lanka</v>
      </c>
      <c r="D431" s="36" t="s">
        <v>936</v>
      </c>
      <c r="E431" s="49" t="s">
        <v>746</v>
      </c>
      <c r="F431" s="49" t="s">
        <v>22</v>
      </c>
      <c r="G431" s="101" t="s">
        <v>22</v>
      </c>
    </row>
    <row r="432" spans="1:7" hidden="1">
      <c r="A432" s="36" t="s">
        <v>238</v>
      </c>
      <c r="B432" s="36" t="s">
        <v>825</v>
      </c>
      <c r="C432" s="36" t="str">
        <f>_xlfn.CONCAT(Table4[[#This Row],[Ledger Name]],Table4[[#This Row],[Entity Name]])</f>
        <v>Provision PayableAspirach Lanka</v>
      </c>
      <c r="D432" s="36" t="s">
        <v>936</v>
      </c>
      <c r="E432" s="49" t="s">
        <v>746</v>
      </c>
      <c r="F432" s="49" t="s">
        <v>195</v>
      </c>
      <c r="G432" s="24" t="s">
        <v>1624</v>
      </c>
    </row>
    <row r="433" spans="1:7" hidden="1">
      <c r="A433" s="36" t="s">
        <v>597</v>
      </c>
      <c r="B433" s="36" t="s">
        <v>825</v>
      </c>
      <c r="C433" s="36" t="str">
        <f>_xlfn.CONCAT(Table4[[#This Row],[Ledger Name]],Table4[[#This Row],[Entity Name]])</f>
        <v>Unearned RevenueAspirach Lanka</v>
      </c>
      <c r="D433" s="36" t="s">
        <v>936</v>
      </c>
      <c r="E433" s="49" t="s">
        <v>746</v>
      </c>
      <c r="F433" s="49" t="s">
        <v>287</v>
      </c>
      <c r="G433" s="101" t="s">
        <v>337</v>
      </c>
    </row>
    <row r="434" spans="1:7" hidden="1">
      <c r="A434" s="36" t="s">
        <v>95</v>
      </c>
      <c r="B434" s="36" t="s">
        <v>825</v>
      </c>
      <c r="C434" s="36" t="str">
        <f>_xlfn.CONCAT(Table4[[#This Row],[Ledger Name]],Table4[[#This Row],[Entity Name]])</f>
        <v>Unsecured LoansAspirach Lanka</v>
      </c>
      <c r="D434" s="36" t="s">
        <v>952</v>
      </c>
      <c r="E434" s="49">
        <v>0</v>
      </c>
      <c r="F434" s="49">
        <v>0</v>
      </c>
      <c r="G434" s="101">
        <v>0</v>
      </c>
    </row>
    <row r="435" spans="1:7" hidden="1">
      <c r="A435" s="36" t="s">
        <v>507</v>
      </c>
      <c r="B435" s="36" t="s">
        <v>825</v>
      </c>
      <c r="C435" s="36" t="str">
        <f>_xlfn.CONCAT(Table4[[#This Row],[Ledger Name]],Table4[[#This Row],[Entity Name]])</f>
        <v>Total for Unsecured LoansAspirach Lanka</v>
      </c>
      <c r="D435" s="36" t="s">
        <v>952</v>
      </c>
      <c r="E435" s="49">
        <v>0</v>
      </c>
      <c r="F435" s="49">
        <v>0</v>
      </c>
      <c r="G435" s="101">
        <v>0</v>
      </c>
    </row>
    <row r="436" spans="1:7" hidden="1">
      <c r="A436" s="36" t="s">
        <v>418</v>
      </c>
      <c r="B436" s="36" t="s">
        <v>825</v>
      </c>
      <c r="C436" s="36" t="str">
        <f>_xlfn.CONCAT(Table4[[#This Row],[Ledger Name]],Table4[[#This Row],[Entity Name]])</f>
        <v>EquitiesAspirach Lanka</v>
      </c>
      <c r="D436" s="36" t="s">
        <v>952</v>
      </c>
      <c r="E436" s="49">
        <v>0</v>
      </c>
      <c r="F436" s="49">
        <v>0</v>
      </c>
      <c r="G436" s="101">
        <v>0</v>
      </c>
    </row>
    <row r="437" spans="1:7" hidden="1">
      <c r="A437" s="36" t="s">
        <v>508</v>
      </c>
      <c r="B437" s="36" t="s">
        <v>825</v>
      </c>
      <c r="C437" s="36" t="str">
        <f>_xlfn.CONCAT(Table4[[#This Row],[Ledger Name]],Table4[[#This Row],[Entity Name]])</f>
        <v>Retained EarningsAspirach Lanka</v>
      </c>
      <c r="D437" s="36" t="s">
        <v>936</v>
      </c>
      <c r="E437" s="49" t="s">
        <v>746</v>
      </c>
      <c r="F437" s="49" t="s">
        <v>27</v>
      </c>
      <c r="G437" s="56" t="s">
        <v>1616</v>
      </c>
    </row>
    <row r="438" spans="1:7" hidden="1">
      <c r="A438" s="36" t="s">
        <v>419</v>
      </c>
      <c r="B438" s="36" t="s">
        <v>825</v>
      </c>
      <c r="C438" s="36" t="str">
        <f>_xlfn.CONCAT(Table4[[#This Row],[Ledger Name]],Table4[[#This Row],[Entity Name]])</f>
        <v>IncomeAspirach Lanka</v>
      </c>
      <c r="D438" s="36" t="s">
        <v>952</v>
      </c>
      <c r="E438" s="49">
        <v>0</v>
      </c>
      <c r="F438" s="49">
        <v>0</v>
      </c>
      <c r="G438" s="101">
        <v>0</v>
      </c>
    </row>
    <row r="439" spans="1:7" hidden="1">
      <c r="A439" s="36" t="s">
        <v>82</v>
      </c>
      <c r="B439" s="36" t="s">
        <v>825</v>
      </c>
      <c r="C439" s="36" t="str">
        <f>_xlfn.CONCAT(Table4[[#This Row],[Ledger Name]],Table4[[#This Row],[Entity Name]])</f>
        <v>Interest IncomeAspirach Lanka</v>
      </c>
      <c r="D439" s="36" t="s">
        <v>936</v>
      </c>
      <c r="E439" s="49" t="s">
        <v>152</v>
      </c>
      <c r="F439" s="49" t="s">
        <v>312</v>
      </c>
      <c r="G439" s="101" t="s">
        <v>599</v>
      </c>
    </row>
    <row r="440" spans="1:7" hidden="1">
      <c r="A440" s="36" t="s">
        <v>236</v>
      </c>
      <c r="B440" s="36" t="s">
        <v>825</v>
      </c>
      <c r="C440" s="36" t="str">
        <f>_xlfn.CONCAT(Table4[[#This Row],[Ledger Name]],Table4[[#This Row],[Entity Name]])</f>
        <v>Other ChargesAspirach Lanka</v>
      </c>
      <c r="D440" s="36" t="s">
        <v>936</v>
      </c>
      <c r="E440" s="49" t="s">
        <v>152</v>
      </c>
      <c r="F440" s="49" t="s">
        <v>312</v>
      </c>
      <c r="G440" s="101" t="s">
        <v>599</v>
      </c>
    </row>
    <row r="441" spans="1:7" hidden="1">
      <c r="A441" s="36" t="s">
        <v>91</v>
      </c>
      <c r="B441" s="36" t="s">
        <v>825</v>
      </c>
      <c r="C441" s="36" t="str">
        <f>_xlfn.CONCAT(Table4[[#This Row],[Ledger Name]],Table4[[#This Row],[Entity Name]])</f>
        <v>SalesAspirach Lanka</v>
      </c>
      <c r="D441" s="36" t="s">
        <v>936</v>
      </c>
      <c r="E441" s="49" t="s">
        <v>152</v>
      </c>
      <c r="F441" s="49" t="s">
        <v>1</v>
      </c>
      <c r="G441" s="101" t="s">
        <v>91</v>
      </c>
    </row>
    <row r="442" spans="1:7" hidden="1">
      <c r="A442" s="36" t="s">
        <v>261</v>
      </c>
      <c r="B442" s="36" t="s">
        <v>825</v>
      </c>
      <c r="C442" s="36" t="str">
        <f>_xlfn.CONCAT(Table4[[#This Row],[Ledger Name]],Table4[[#This Row],[Entity Name]])</f>
        <v>ExpenseAspirach Lanka</v>
      </c>
      <c r="D442" s="36" t="s">
        <v>952</v>
      </c>
      <c r="E442" s="49">
        <v>0</v>
      </c>
      <c r="F442" s="49">
        <v>0</v>
      </c>
      <c r="G442" s="101">
        <v>0</v>
      </c>
    </row>
    <row r="443" spans="1:7" hidden="1">
      <c r="A443" s="36" t="s">
        <v>441</v>
      </c>
      <c r="B443" s="36" t="s">
        <v>825</v>
      </c>
      <c r="C443" s="36" t="str">
        <f>_xlfn.CONCAT(Table4[[#This Row],[Ledger Name]],Table4[[#This Row],[Entity Name]])</f>
        <v>Bank Charges Against Import/MTT Transaction.Aspirach Lanka</v>
      </c>
      <c r="D443" s="36" t="s">
        <v>936</v>
      </c>
      <c r="E443" s="49" t="s">
        <v>152</v>
      </c>
      <c r="F443" s="49" t="s">
        <v>93</v>
      </c>
      <c r="G443" s="101" t="s">
        <v>212</v>
      </c>
    </row>
    <row r="444" spans="1:7" hidden="1">
      <c r="A444" s="36" t="s">
        <v>386</v>
      </c>
      <c r="B444" s="36" t="s">
        <v>825</v>
      </c>
      <c r="C444" s="36" t="str">
        <f>_xlfn.CONCAT(Table4[[#This Row],[Ledger Name]],Table4[[#This Row],[Entity Name]])</f>
        <v>Bank Fees and ChargesAspirach Lanka</v>
      </c>
      <c r="D444" s="36" t="s">
        <v>936</v>
      </c>
      <c r="E444" s="49" t="s">
        <v>152</v>
      </c>
      <c r="F444" s="49" t="s">
        <v>13</v>
      </c>
      <c r="G444" s="101" t="s">
        <v>422</v>
      </c>
    </row>
    <row r="445" spans="1:7" hidden="1">
      <c r="A445" s="36" t="s">
        <v>523</v>
      </c>
      <c r="B445" s="36" t="s">
        <v>825</v>
      </c>
      <c r="C445" s="36" t="str">
        <f>_xlfn.CONCAT(Table4[[#This Row],[Ledger Name]],Table4[[#This Row],[Entity Name]])</f>
        <v>Cost of Goods SoldAspirach Lanka</v>
      </c>
      <c r="D445" s="36" t="s">
        <v>936</v>
      </c>
      <c r="E445" s="49" t="s">
        <v>152</v>
      </c>
      <c r="F445" s="49" t="s">
        <v>50</v>
      </c>
      <c r="G445" s="101" t="s">
        <v>50</v>
      </c>
    </row>
    <row r="446" spans="1:7" hidden="1">
      <c r="A446" s="36" t="s">
        <v>17</v>
      </c>
      <c r="B446" s="36" t="s">
        <v>825</v>
      </c>
      <c r="C446" s="36" t="str">
        <f>_xlfn.CONCAT(Table4[[#This Row],[Ledger Name]],Table4[[#This Row],[Entity Name]])</f>
        <v>DepreciationAspirach Lanka</v>
      </c>
      <c r="D446" s="36" t="s">
        <v>936</v>
      </c>
      <c r="E446" s="49" t="s">
        <v>152</v>
      </c>
      <c r="F446" s="49" t="s">
        <v>17</v>
      </c>
      <c r="G446" s="101" t="s">
        <v>17</v>
      </c>
    </row>
    <row r="447" spans="1:7" hidden="1">
      <c r="A447" s="36" t="s">
        <v>414</v>
      </c>
      <c r="B447" s="36" t="s">
        <v>825</v>
      </c>
      <c r="C447" s="36" t="str">
        <f>_xlfn.CONCAT(Table4[[#This Row],[Ledger Name]],Table4[[#This Row],[Entity Name]])</f>
        <v>Exchange Gain or LossAspirach Lanka</v>
      </c>
      <c r="D447" s="36" t="s">
        <v>936</v>
      </c>
      <c r="E447" s="49" t="s">
        <v>152</v>
      </c>
      <c r="F447" s="49" t="s">
        <v>315</v>
      </c>
      <c r="G447" s="101" t="s">
        <v>205</v>
      </c>
    </row>
    <row r="448" spans="1:7" hidden="1">
      <c r="A448" s="36" t="s">
        <v>881</v>
      </c>
      <c r="B448" s="36" t="s">
        <v>825</v>
      </c>
      <c r="C448" s="36" t="str">
        <f>_xlfn.CONCAT(Table4[[#This Row],[Ledger Name]],Table4[[#This Row],[Entity Name]])</f>
        <v>Fixed AllowanceAspirach Lanka</v>
      </c>
      <c r="D448" s="36" t="s">
        <v>936</v>
      </c>
      <c r="E448" s="36" t="s">
        <v>152</v>
      </c>
      <c r="F448" s="49" t="s">
        <v>2</v>
      </c>
      <c r="G448" s="101" t="s">
        <v>73</v>
      </c>
    </row>
    <row r="449" spans="1:7" hidden="1">
      <c r="A449" s="36" t="s">
        <v>649</v>
      </c>
      <c r="B449" s="36" t="s">
        <v>825</v>
      </c>
      <c r="C449" s="36" t="str">
        <f>_xlfn.CONCAT(Table4[[#This Row],[Ledger Name]],Table4[[#This Row],[Entity Name]])</f>
        <v>House RentAspirach Lanka</v>
      </c>
      <c r="D449" s="36" t="s">
        <v>936</v>
      </c>
      <c r="E449" s="49" t="s">
        <v>152</v>
      </c>
      <c r="F449" s="49" t="s">
        <v>5</v>
      </c>
      <c r="G449" s="4" t="s">
        <v>649</v>
      </c>
    </row>
    <row r="450" spans="1:7" hidden="1">
      <c r="A450" s="36" t="s">
        <v>723</v>
      </c>
      <c r="B450" s="36" t="s">
        <v>825</v>
      </c>
      <c r="C450" s="36" t="str">
        <f>_xlfn.CONCAT(Table4[[#This Row],[Ledger Name]],Table4[[#This Row],[Entity Name]])</f>
        <v>Internet and Telephone ChgAspirach Lanka</v>
      </c>
      <c r="D450" s="36" t="s">
        <v>936</v>
      </c>
      <c r="E450" s="49" t="s">
        <v>152</v>
      </c>
      <c r="F450" s="49" t="s">
        <v>5</v>
      </c>
      <c r="G450" s="101" t="s">
        <v>7</v>
      </c>
    </row>
    <row r="451" spans="1:7" hidden="1">
      <c r="A451" s="36" t="s">
        <v>77</v>
      </c>
      <c r="B451" s="36" t="s">
        <v>825</v>
      </c>
      <c r="C451" s="36" t="str">
        <f>_xlfn.CONCAT(Table4[[#This Row],[Ledger Name]],Table4[[#This Row],[Entity Name]])</f>
        <v>Office RentAspirach Lanka</v>
      </c>
      <c r="D451" s="36" t="s">
        <v>936</v>
      </c>
      <c r="E451" s="49" t="s">
        <v>152</v>
      </c>
      <c r="F451" s="49" t="s">
        <v>5</v>
      </c>
      <c r="G451" s="101" t="s">
        <v>77</v>
      </c>
    </row>
    <row r="452" spans="1:7" hidden="1">
      <c r="A452" s="36" t="s">
        <v>13</v>
      </c>
      <c r="B452" s="36" t="s">
        <v>825</v>
      </c>
      <c r="C452" s="36" t="str">
        <f>_xlfn.CONCAT(Table4[[#This Row],[Ledger Name]],Table4[[#This Row],[Entity Name]])</f>
        <v>Other ExpensesAspirach Lanka</v>
      </c>
      <c r="D452" s="36" t="s">
        <v>936</v>
      </c>
      <c r="E452" s="49" t="s">
        <v>152</v>
      </c>
      <c r="F452" s="49" t="s">
        <v>5</v>
      </c>
      <c r="G452" s="101" t="s">
        <v>13</v>
      </c>
    </row>
    <row r="453" spans="1:7" hidden="1">
      <c r="A453" s="36" t="s">
        <v>534</v>
      </c>
      <c r="B453" s="36" t="s">
        <v>825</v>
      </c>
      <c r="C453" s="36" t="str">
        <f>_xlfn.CONCAT(Table4[[#This Row],[Ledger Name]],Table4[[#This Row],[Entity Name]])</f>
        <v>PostageAspirach Lanka</v>
      </c>
      <c r="D453" s="36" t="s">
        <v>936</v>
      </c>
      <c r="E453" s="49" t="s">
        <v>152</v>
      </c>
      <c r="F453" s="49" t="s">
        <v>5</v>
      </c>
      <c r="G453" s="101" t="s">
        <v>33</v>
      </c>
    </row>
    <row r="454" spans="1:7" hidden="1">
      <c r="A454" s="36" t="s">
        <v>33</v>
      </c>
      <c r="B454" s="36" t="s">
        <v>825</v>
      </c>
      <c r="C454" s="36" t="str">
        <f>_xlfn.CONCAT(Table4[[#This Row],[Ledger Name]],Table4[[#This Row],[Entity Name]])</f>
        <v>Printing and StationeryAspirach Lanka</v>
      </c>
      <c r="D454" s="36" t="s">
        <v>936</v>
      </c>
      <c r="E454" s="49" t="s">
        <v>152</v>
      </c>
      <c r="F454" s="49" t="s">
        <v>5</v>
      </c>
      <c r="G454" s="101" t="s">
        <v>33</v>
      </c>
    </row>
    <row r="455" spans="1:7" hidden="1">
      <c r="A455" s="36" t="s">
        <v>890</v>
      </c>
      <c r="B455" s="36" t="s">
        <v>825</v>
      </c>
      <c r="C455" s="36" t="str">
        <f>_xlfn.CONCAT(Table4[[#This Row],[Ledger Name]],Table4[[#This Row],[Entity Name]])</f>
        <v>Salary &amp; WagesAspirach Lanka</v>
      </c>
      <c r="D455" s="36" t="s">
        <v>936</v>
      </c>
      <c r="E455" s="49" t="s">
        <v>152</v>
      </c>
      <c r="F455" s="49" t="s">
        <v>2</v>
      </c>
      <c r="G455" s="101" t="s">
        <v>73</v>
      </c>
    </row>
    <row r="456" spans="1:7" hidden="1">
      <c r="A456" s="36" t="s">
        <v>32</v>
      </c>
      <c r="B456" s="36" t="s">
        <v>825</v>
      </c>
      <c r="C456" s="36" t="str">
        <f>_xlfn.CONCAT(Table4[[#This Row],[Ledger Name]],Table4[[#This Row],[Entity Name]])</f>
        <v>Staff WelfareAspirach Lanka</v>
      </c>
      <c r="D456" s="36" t="s">
        <v>936</v>
      </c>
      <c r="E456" s="49" t="s">
        <v>152</v>
      </c>
      <c r="F456" s="49" t="s">
        <v>2</v>
      </c>
      <c r="G456" s="101" t="s">
        <v>32</v>
      </c>
    </row>
    <row r="457" spans="1:7" hidden="1">
      <c r="A457" s="36" t="s">
        <v>724</v>
      </c>
      <c r="B457" s="36" t="s">
        <v>825</v>
      </c>
      <c r="C457" s="36" t="str">
        <f>_xlfn.CONCAT(Table4[[#This Row],[Ledger Name]],Table4[[#This Row],[Entity Name]])</f>
        <v>Water BillAspirach Lanka</v>
      </c>
      <c r="D457" s="36" t="s">
        <v>936</v>
      </c>
      <c r="E457" s="49" t="s">
        <v>152</v>
      </c>
      <c r="F457" s="49" t="s">
        <v>5</v>
      </c>
      <c r="G457" s="101" t="s">
        <v>35</v>
      </c>
    </row>
    <row r="458" spans="1:7" hidden="1">
      <c r="A458" s="36" t="s">
        <v>854</v>
      </c>
      <c r="B458" s="36" t="s">
        <v>825</v>
      </c>
      <c r="C458" s="36" t="str">
        <f>_xlfn.CONCAT(Table4[[#This Row],[Ledger Name]],Table4[[#This Row],[Entity Name]])</f>
        <v>Total for Trial BalanceAspirach Lanka</v>
      </c>
      <c r="D458" s="36" t="s">
        <v>952</v>
      </c>
      <c r="E458" s="49">
        <v>0</v>
      </c>
      <c r="F458" s="49">
        <v>0</v>
      </c>
      <c r="G458" s="101">
        <v>0</v>
      </c>
    </row>
    <row r="459" spans="1:7" hidden="1">
      <c r="A459" s="36" t="s">
        <v>550</v>
      </c>
      <c r="B459" s="36" t="s">
        <v>825</v>
      </c>
      <c r="C459" s="36" t="str">
        <f>_xlfn.CONCAT(Table4[[#This Row],[Ledger Name]],Table4[[#This Row],[Entity Name]])</f>
        <v>Current Year EarningsAspirach Lanka</v>
      </c>
      <c r="D459" s="36" t="s">
        <v>936</v>
      </c>
      <c r="E459" s="49" t="s">
        <v>746</v>
      </c>
      <c r="F459" s="49" t="s">
        <v>27</v>
      </c>
      <c r="G459" s="101" t="s">
        <v>27</v>
      </c>
    </row>
    <row r="460" spans="1:7" hidden="1">
      <c r="A460" s="36" t="s">
        <v>202</v>
      </c>
      <c r="B460" s="36" t="s">
        <v>825</v>
      </c>
      <c r="C460" s="36" t="str">
        <f>_xlfn.CONCAT(Table4[[#This Row],[Ledger Name]],Table4[[#This Row],[Entity Name]])</f>
        <v>Bank Charges Against Import/MTT TransactionAspirach Lanka</v>
      </c>
      <c r="D460" s="36" t="s">
        <v>936</v>
      </c>
      <c r="E460" s="49" t="s">
        <v>152</v>
      </c>
      <c r="F460" s="49" t="s">
        <v>93</v>
      </c>
      <c r="G460" s="101" t="s">
        <v>212</v>
      </c>
    </row>
    <row r="461" spans="1:7" hidden="1">
      <c r="A461" s="36" t="s">
        <v>81</v>
      </c>
      <c r="B461" s="36" t="s">
        <v>825</v>
      </c>
      <c r="C461" s="36" t="str">
        <f>_xlfn.CONCAT(Table4[[#This Row],[Ledger Name]],Table4[[#This Row],[Entity Name]])</f>
        <v>Electricity ChargesAspirach Lanka</v>
      </c>
      <c r="D461" s="36" t="s">
        <v>936</v>
      </c>
      <c r="E461" s="49" t="s">
        <v>152</v>
      </c>
      <c r="F461" s="49" t="s">
        <v>5</v>
      </c>
      <c r="G461" s="101" t="s">
        <v>81</v>
      </c>
    </row>
    <row r="462" spans="1:7" hidden="1">
      <c r="A462" s="36" t="s">
        <v>745</v>
      </c>
      <c r="B462" s="36" t="s">
        <v>825</v>
      </c>
      <c r="C462" s="36" t="str">
        <f>_xlfn.CONCAT(Table4[[#This Row],[Ledger Name]],Table4[[#This Row],[Entity Name]])</f>
        <v>Ofiice Misc expenseAspirach Lanka</v>
      </c>
      <c r="D462" s="36" t="s">
        <v>936</v>
      </c>
      <c r="E462" s="49" t="s">
        <v>152</v>
      </c>
      <c r="F462" s="49" t="s">
        <v>5</v>
      </c>
      <c r="G462" s="101" t="s">
        <v>35</v>
      </c>
    </row>
    <row r="463" spans="1:7" hidden="1">
      <c r="A463" s="36" t="s">
        <v>412</v>
      </c>
      <c r="B463" s="36" t="s">
        <v>825</v>
      </c>
      <c r="C463" s="36" t="str">
        <f>_xlfn.CONCAT(Table4[[#This Row],[Ledger Name]],Table4[[#This Row],[Entity Name]])</f>
        <v>Travel ExpenseAspirach Lanka</v>
      </c>
      <c r="D463" s="36" t="s">
        <v>936</v>
      </c>
      <c r="E463" s="49" t="s">
        <v>152</v>
      </c>
      <c r="F463" s="49" t="s">
        <v>8</v>
      </c>
      <c r="G463" s="248" t="s">
        <v>84</v>
      </c>
    </row>
    <row r="464" spans="1:7" hidden="1">
      <c r="A464" s="36" t="s">
        <v>698</v>
      </c>
      <c r="B464" s="36" t="s">
        <v>825</v>
      </c>
      <c r="C464" s="36" t="str">
        <f>_xlfn.CONCAT(Table4[[#This Row],[Ledger Name]],Table4[[#This Row],[Entity Name]])</f>
        <v>Visa and Other ExpensesAspirach Lanka</v>
      </c>
      <c r="D464" s="36" t="s">
        <v>936</v>
      </c>
      <c r="E464" s="49" t="s">
        <v>152</v>
      </c>
      <c r="F464" s="49" t="s">
        <v>8</v>
      </c>
      <c r="G464" s="101" t="s">
        <v>84</v>
      </c>
    </row>
    <row r="465" spans="1:7" hidden="1">
      <c r="A465" s="36" t="s">
        <v>92</v>
      </c>
      <c r="B465" s="36" t="s">
        <v>825</v>
      </c>
      <c r="C465" s="36" t="str">
        <f>_xlfn.CONCAT(Table4[[#This Row],[Ledger Name]],Table4[[#This Row],[Entity Name]])</f>
        <v>PurchaseAspirach Lanka</v>
      </c>
      <c r="D465" s="36" t="s">
        <v>936</v>
      </c>
      <c r="E465" s="49" t="s">
        <v>152</v>
      </c>
      <c r="F465" s="49" t="s">
        <v>92</v>
      </c>
      <c r="G465" s="101" t="s">
        <v>92</v>
      </c>
    </row>
    <row r="466" spans="1:7" hidden="1">
      <c r="A466" s="36" t="s">
        <v>450</v>
      </c>
      <c r="B466" s="36" t="s">
        <v>825</v>
      </c>
      <c r="C466" s="36" t="str">
        <f>_xlfn.CONCAT(Table4[[#This Row],[Ledger Name]],Table4[[#This Row],[Entity Name]])</f>
        <v>Telephone ExpenseAspirach Lanka</v>
      </c>
      <c r="D466" s="36" t="s">
        <v>936</v>
      </c>
      <c r="E466" s="49" t="s">
        <v>152</v>
      </c>
      <c r="F466" s="49" t="s">
        <v>5</v>
      </c>
      <c r="G466" s="101" t="s">
        <v>7</v>
      </c>
    </row>
    <row r="467" spans="1:7" hidden="1">
      <c r="A467" s="36" t="s">
        <v>213</v>
      </c>
      <c r="B467" s="36" t="s">
        <v>825</v>
      </c>
      <c r="C467" s="36" t="str">
        <f>_xlfn.CONCAT(Table4[[#This Row],[Ledger Name]],Table4[[#This Row],[Entity Name]])</f>
        <v>Provision for Direct expenseAspirach Lanka</v>
      </c>
      <c r="D467" s="36" t="s">
        <v>936</v>
      </c>
      <c r="E467" s="49" t="s">
        <v>152</v>
      </c>
      <c r="F467" s="49" t="s">
        <v>93</v>
      </c>
      <c r="G467" s="101" t="s">
        <v>688</v>
      </c>
    </row>
    <row r="468" spans="1:7" hidden="1">
      <c r="A468" s="36" t="s">
        <v>823</v>
      </c>
      <c r="B468" s="36" t="s">
        <v>825</v>
      </c>
      <c r="C468" s="36" t="str">
        <f>_xlfn.CONCAT(Table4[[#This Row],[Ledger Name]],Table4[[#This Row],[Entity Name]])</f>
        <v>Office SuppliesAspirach Lanka</v>
      </c>
      <c r="D468" s="36" t="s">
        <v>936</v>
      </c>
      <c r="E468" s="49" t="s">
        <v>152</v>
      </c>
      <c r="F468" s="49" t="s">
        <v>5</v>
      </c>
      <c r="G468" s="101" t="s">
        <v>33</v>
      </c>
    </row>
    <row r="469" spans="1:7" hidden="1">
      <c r="A469" s="36" t="s">
        <v>643</v>
      </c>
      <c r="B469" s="36" t="s">
        <v>825</v>
      </c>
      <c r="C469" s="36" t="str">
        <f>_xlfn.CONCAT(Table4[[#This Row],[Ledger Name]],Table4[[#This Row],[Entity Name]])</f>
        <v>Repairs and MaintenanceAspirach Lanka</v>
      </c>
      <c r="D469" s="36" t="s">
        <v>936</v>
      </c>
      <c r="E469" s="49" t="s">
        <v>152</v>
      </c>
      <c r="F469" s="49" t="s">
        <v>5</v>
      </c>
      <c r="G469" s="101" t="s">
        <v>65</v>
      </c>
    </row>
    <row r="470" spans="1:7" hidden="1">
      <c r="A470" s="156" t="s">
        <v>413</v>
      </c>
      <c r="B470" s="36" t="s">
        <v>825</v>
      </c>
      <c r="C470" s="36" t="str">
        <f>_xlfn.CONCAT(Table4[[#This Row],[Ledger Name]],Table4[[#This Row],[Entity Name]])</f>
        <v>Advertising And MarketingAspirach Lanka</v>
      </c>
      <c r="D470" s="36"/>
      <c r="E470" s="36" t="s">
        <v>152</v>
      </c>
      <c r="F470" s="49" t="s">
        <v>153</v>
      </c>
      <c r="G470" s="101" t="s">
        <v>66</v>
      </c>
    </row>
    <row r="471" spans="1:7" hidden="1">
      <c r="A471" s="156" t="s">
        <v>697</v>
      </c>
      <c r="B471" s="36" t="s">
        <v>825</v>
      </c>
      <c r="C471" s="36" t="str">
        <f>_xlfn.CONCAT(Table4[[#This Row],[Ledger Name]],Table4[[#This Row],[Entity Name]])</f>
        <v>Legal and Professional ChgAspirach Lanka</v>
      </c>
      <c r="D471" s="36" t="s">
        <v>936</v>
      </c>
      <c r="E471" s="49" t="s">
        <v>152</v>
      </c>
      <c r="F471" s="49" t="s">
        <v>9</v>
      </c>
      <c r="G471" s="101" t="s">
        <v>12</v>
      </c>
    </row>
    <row r="472" spans="1:7" hidden="1">
      <c r="A472" s="68" t="s">
        <v>399</v>
      </c>
      <c r="B472" s="36" t="s">
        <v>825</v>
      </c>
      <c r="C472" s="36" t="str">
        <f>_xlfn.CONCAT(Table4[[#This Row],[Ledger Name]],Table4[[#This Row],[Entity Name]])</f>
        <v>Meals and EntertainmentAspirach Lanka</v>
      </c>
      <c r="D472" s="36" t="s">
        <v>936</v>
      </c>
      <c r="E472" s="49" t="s">
        <v>152</v>
      </c>
      <c r="F472" s="49" t="s">
        <v>5</v>
      </c>
      <c r="G472" s="101" t="s">
        <v>35</v>
      </c>
    </row>
    <row r="473" spans="1:7" hidden="1">
      <c r="A473" s="193" t="s">
        <v>1710</v>
      </c>
      <c r="B473" s="36" t="s">
        <v>825</v>
      </c>
      <c r="C473" s="36" t="str">
        <f>_xlfn.CONCAT(Table4[[#This Row],[Ledger Name]],Table4[[#This Row],[Entity Name]])</f>
        <v>193/24-25Aspirach Lanka</v>
      </c>
      <c r="D473" s="36" t="s">
        <v>936</v>
      </c>
      <c r="E473" s="49" t="s">
        <v>152</v>
      </c>
      <c r="F473" s="49" t="s">
        <v>93</v>
      </c>
      <c r="G473" s="101" t="s">
        <v>1759</v>
      </c>
    </row>
    <row r="474" spans="1:7" hidden="1">
      <c r="A474" s="193" t="s">
        <v>1711</v>
      </c>
      <c r="B474" s="36" t="s">
        <v>825</v>
      </c>
      <c r="C474" s="36" t="str">
        <f>_xlfn.CONCAT(Table4[[#This Row],[Ledger Name]],Table4[[#This Row],[Entity Name]])</f>
        <v>Audit FeeAspirach Lanka</v>
      </c>
      <c r="D474" s="36" t="s">
        <v>936</v>
      </c>
      <c r="E474" s="49" t="s">
        <v>152</v>
      </c>
      <c r="F474" s="49" t="s">
        <v>9</v>
      </c>
      <c r="G474" s="101" t="s">
        <v>187</v>
      </c>
    </row>
    <row r="475" spans="1:7" hidden="1">
      <c r="A475" s="193" t="s">
        <v>1712</v>
      </c>
      <c r="B475" s="36" t="s">
        <v>825</v>
      </c>
      <c r="C475" s="36" t="str">
        <f>_xlfn.CONCAT(Table4[[#This Row],[Ledger Name]],Table4[[#This Row],[Entity Name]])</f>
        <v>0016/25-26Aspirach Lanka</v>
      </c>
      <c r="D475" s="36" t="s">
        <v>936</v>
      </c>
      <c r="E475" s="49" t="s">
        <v>152</v>
      </c>
      <c r="F475" s="49" t="s">
        <v>93</v>
      </c>
      <c r="G475" s="101" t="s">
        <v>138</v>
      </c>
    </row>
    <row r="476" spans="1:7" hidden="1">
      <c r="A476" s="188" t="s">
        <v>1713</v>
      </c>
      <c r="B476" s="36" t="s">
        <v>825</v>
      </c>
      <c r="C476" s="36" t="str">
        <f>_xlfn.CONCAT(Table4[[#This Row],[Ledger Name]],Table4[[#This Row],[Entity Name]])</f>
        <v>126/24-25Aspirach Lanka</v>
      </c>
      <c r="D476" s="36" t="s">
        <v>936</v>
      </c>
      <c r="E476" s="49" t="s">
        <v>152</v>
      </c>
      <c r="F476" s="49" t="s">
        <v>93</v>
      </c>
      <c r="G476" s="101" t="s">
        <v>138</v>
      </c>
    </row>
    <row r="477" spans="1:7" hidden="1">
      <c r="A477" s="188" t="s">
        <v>1714</v>
      </c>
      <c r="B477" s="36" t="s">
        <v>825</v>
      </c>
      <c r="C477" s="36" t="str">
        <f>_xlfn.CONCAT(Table4[[#This Row],[Ledger Name]],Table4[[#This Row],[Entity Name]])</f>
        <v>135/24-25Aspirach Lanka</v>
      </c>
      <c r="D477" s="36" t="s">
        <v>936</v>
      </c>
      <c r="E477" s="49" t="s">
        <v>152</v>
      </c>
      <c r="F477" s="49" t="s">
        <v>93</v>
      </c>
      <c r="G477" s="101" t="s">
        <v>138</v>
      </c>
    </row>
    <row r="478" spans="1:7" hidden="1">
      <c r="A478" s="188" t="s">
        <v>1715</v>
      </c>
      <c r="B478" s="36" t="s">
        <v>825</v>
      </c>
      <c r="C478" s="36" t="str">
        <f>_xlfn.CONCAT(Table4[[#This Row],[Ledger Name]],Table4[[#This Row],[Entity Name]])</f>
        <v>182/24-25Aspirach Lanka</v>
      </c>
      <c r="D478" s="36" t="s">
        <v>936</v>
      </c>
      <c r="E478" s="49" t="s">
        <v>152</v>
      </c>
      <c r="F478" s="49" t="s">
        <v>93</v>
      </c>
      <c r="G478" s="101" t="s">
        <v>1759</v>
      </c>
    </row>
    <row r="479" spans="1:7" hidden="1">
      <c r="A479" s="189" t="s">
        <v>1716</v>
      </c>
      <c r="B479" s="36" t="s">
        <v>825</v>
      </c>
      <c r="C479" s="36" t="str">
        <f>_xlfn.CONCAT(Table4[[#This Row],[Ledger Name]],Table4[[#This Row],[Entity Name]])</f>
        <v>190/24-25Aspirach Lanka</v>
      </c>
      <c r="D479" s="36" t="s">
        <v>936</v>
      </c>
      <c r="E479" s="49" t="s">
        <v>152</v>
      </c>
      <c r="F479" s="49" t="s">
        <v>93</v>
      </c>
      <c r="G479" s="101" t="s">
        <v>1759</v>
      </c>
    </row>
    <row r="480" spans="1:7" hidden="1">
      <c r="A480" s="189" t="s">
        <v>1717</v>
      </c>
      <c r="B480" s="36" t="s">
        <v>825</v>
      </c>
      <c r="C480" s="36" t="str">
        <f>_xlfn.CONCAT(Table4[[#This Row],[Ledger Name]],Table4[[#This Row],[Entity Name]])</f>
        <v>196/24-25Aspirach Lanka</v>
      </c>
      <c r="D480" s="36" t="s">
        <v>936</v>
      </c>
      <c r="E480" s="49" t="s">
        <v>152</v>
      </c>
      <c r="F480" s="49" t="s">
        <v>93</v>
      </c>
      <c r="G480" s="101" t="s">
        <v>138</v>
      </c>
    </row>
    <row r="481" spans="1:7" hidden="1">
      <c r="A481" s="188" t="s">
        <v>1718</v>
      </c>
      <c r="B481" s="36" t="s">
        <v>825</v>
      </c>
      <c r="C481" s="36" t="str">
        <f>_xlfn.CONCAT(Table4[[#This Row],[Ledger Name]],Table4[[#This Row],[Entity Name]])</f>
        <v>Guest Exps.Aspirach Lanka</v>
      </c>
      <c r="D481" s="36" t="s">
        <v>936</v>
      </c>
      <c r="E481" s="49" t="s">
        <v>152</v>
      </c>
      <c r="F481" s="49" t="s">
        <v>5</v>
      </c>
      <c r="G481" s="101" t="s">
        <v>35</v>
      </c>
    </row>
    <row r="482" spans="1:7" hidden="1">
      <c r="A482" s="188" t="s">
        <v>1202</v>
      </c>
      <c r="B482" s="36" t="s">
        <v>825</v>
      </c>
      <c r="C482" s="36" t="str">
        <f>_xlfn.CONCAT(Table4[[#This Row],[Ledger Name]],Table4[[#This Row],[Entity Name]])</f>
        <v>Manpower ServicesAspirach Lanka</v>
      </c>
      <c r="D482" s="36" t="s">
        <v>936</v>
      </c>
      <c r="E482" s="49" t="s">
        <v>152</v>
      </c>
      <c r="F482" s="49" t="s">
        <v>2</v>
      </c>
      <c r="G482" s="101" t="s">
        <v>73</v>
      </c>
    </row>
    <row r="483" spans="1:7" hidden="1">
      <c r="A483" s="243" t="s">
        <v>1339</v>
      </c>
      <c r="B483" s="36" t="s">
        <v>825</v>
      </c>
      <c r="C483" s="36" t="str">
        <f>_xlfn.CONCAT(Table4[[#This Row],[Ledger Name]],Table4[[#This Row],[Entity Name]])</f>
        <v>Expenses InventorisationAspirach Lanka</v>
      </c>
      <c r="D483" s="36" t="s">
        <v>936</v>
      </c>
      <c r="E483" s="49" t="s">
        <v>152</v>
      </c>
      <c r="F483" s="49" t="s">
        <v>93</v>
      </c>
      <c r="G483" s="101" t="s">
        <v>47</v>
      </c>
    </row>
    <row r="484" spans="1:7" hidden="1">
      <c r="A484" s="36" t="s">
        <v>1711</v>
      </c>
      <c r="B484" s="36" t="s">
        <v>825</v>
      </c>
      <c r="C484" s="36" t="str">
        <f>_xlfn.CONCAT(Table4[[#This Row],[Ledger Name]],Table4[[#This Row],[Entity Name]])</f>
        <v>Audit FeeAspirach Lanka</v>
      </c>
      <c r="D484" s="36" t="s">
        <v>936</v>
      </c>
      <c r="E484" s="36" t="s">
        <v>152</v>
      </c>
      <c r="F484" s="49" t="s">
        <v>93</v>
      </c>
      <c r="G484" s="101" t="s">
        <v>187</v>
      </c>
    </row>
    <row r="485" spans="1:7" hidden="1">
      <c r="A485" s="36" t="s">
        <v>202</v>
      </c>
      <c r="B485" s="36" t="s">
        <v>825</v>
      </c>
      <c r="C485" s="36" t="str">
        <f>_xlfn.CONCAT(Table4[[#This Row],[Ledger Name]],Table4[[#This Row],[Entity Name]])</f>
        <v>Bank Charges Against Import/MTT TransactionAspirach Lanka</v>
      </c>
      <c r="D485" s="36" t="s">
        <v>936</v>
      </c>
      <c r="E485" s="36" t="s">
        <v>152</v>
      </c>
      <c r="F485" s="49" t="s">
        <v>93</v>
      </c>
      <c r="G485" s="101" t="s">
        <v>212</v>
      </c>
    </row>
    <row r="486" spans="1:7" hidden="1">
      <c r="A486" s="36" t="s">
        <v>386</v>
      </c>
      <c r="B486" s="36" t="s">
        <v>825</v>
      </c>
      <c r="C486" s="36" t="str">
        <f>_xlfn.CONCAT(Table4[[#This Row],[Ledger Name]],Table4[[#This Row],[Entity Name]])</f>
        <v>Bank Fees and ChargesAspirach Lanka</v>
      </c>
      <c r="D486" s="36" t="s">
        <v>936</v>
      </c>
      <c r="E486" s="36" t="s">
        <v>152</v>
      </c>
      <c r="F486" s="49" t="s">
        <v>93</v>
      </c>
      <c r="G486" s="101" t="s">
        <v>422</v>
      </c>
    </row>
    <row r="487" spans="1:7" hidden="1">
      <c r="A487" s="36" t="s">
        <v>553</v>
      </c>
      <c r="B487" s="36" t="s">
        <v>826</v>
      </c>
      <c r="C487" s="36" t="str">
        <f>_xlfn.CONCAT(Table4[[#This Row],[Ledger Name]],Table4[[#This Row],[Entity Name]])</f>
        <v>ARHA PLATFORMS GENERAL TRADING L.L.C (USD A/c)Arha General Trading Co (AGT)</v>
      </c>
      <c r="D487" s="36" t="s">
        <v>936</v>
      </c>
      <c r="E487" s="49" t="s">
        <v>746</v>
      </c>
      <c r="F487" s="49" t="s">
        <v>24</v>
      </c>
      <c r="G487" s="24" t="s">
        <v>1613</v>
      </c>
    </row>
    <row r="488" spans="1:7" hidden="1">
      <c r="A488" s="36" t="s">
        <v>752</v>
      </c>
      <c r="B488" s="36" t="s">
        <v>826</v>
      </c>
      <c r="C488" s="36" t="str">
        <f>_xlfn.CONCAT(Table4[[#This Row],[Ledger Name]],Table4[[#This Row],[Entity Name]])</f>
        <v>ARHA PLATFORMS GENERAL TRADING LLC (USD A/c)Arha General Trading Co (AGT)</v>
      </c>
      <c r="D488" s="36" t="s">
        <v>936</v>
      </c>
      <c r="E488" s="49" t="s">
        <v>746</v>
      </c>
      <c r="F488" s="49" t="s">
        <v>24</v>
      </c>
      <c r="G488" s="24" t="s">
        <v>1613</v>
      </c>
    </row>
    <row r="489" spans="1:7" hidden="1">
      <c r="A489" s="36" t="s">
        <v>644</v>
      </c>
      <c r="B489" s="36" t="s">
        <v>826</v>
      </c>
      <c r="C489" s="36" t="str">
        <f>_xlfn.CONCAT(Table4[[#This Row],[Ledger Name]],Table4[[#This Row],[Entity Name]])</f>
        <v>Electricity and Water DepositArha General Trading Co (AGT)</v>
      </c>
      <c r="D489" s="36" t="s">
        <v>936</v>
      </c>
      <c r="E489" s="49" t="s">
        <v>746</v>
      </c>
      <c r="F489" s="49" t="s">
        <v>52</v>
      </c>
      <c r="G489" s="101" t="s">
        <v>1602</v>
      </c>
    </row>
    <row r="490" spans="1:7" hidden="1">
      <c r="A490" s="36" t="s">
        <v>645</v>
      </c>
      <c r="B490" s="36" t="s">
        <v>826</v>
      </c>
      <c r="C490" s="36" t="str">
        <f>_xlfn.CONCAT(Table4[[#This Row],[Ledger Name]],Table4[[#This Row],[Entity Name]])</f>
        <v>House Security DepositArha General Trading Co (AGT)</v>
      </c>
      <c r="D490" s="36" t="s">
        <v>936</v>
      </c>
      <c r="E490" s="49" t="s">
        <v>746</v>
      </c>
      <c r="F490" s="49" t="s">
        <v>52</v>
      </c>
      <c r="G490" s="101" t="s">
        <v>1602</v>
      </c>
    </row>
    <row r="491" spans="1:7" hidden="1">
      <c r="A491" s="36" t="s">
        <v>403</v>
      </c>
      <c r="B491" s="36" t="s">
        <v>826</v>
      </c>
      <c r="C491" s="36" t="str">
        <f>_xlfn.CONCAT(Table4[[#This Row],[Ledger Name]],Table4[[#This Row],[Entity Name]])</f>
        <v>Petty CashArha General Trading Co (AGT)</v>
      </c>
      <c r="D491" s="36" t="s">
        <v>936</v>
      </c>
      <c r="E491" s="49" t="s">
        <v>746</v>
      </c>
      <c r="F491" s="49" t="s">
        <v>24</v>
      </c>
      <c r="G491" s="24" t="s">
        <v>1612</v>
      </c>
    </row>
    <row r="492" spans="1:7" hidden="1">
      <c r="A492" s="36" t="s">
        <v>681</v>
      </c>
      <c r="B492" s="36" t="s">
        <v>826</v>
      </c>
      <c r="C492" s="36" t="str">
        <f>_xlfn.CONCAT(Table4[[#This Row],[Ledger Name]],Table4[[#This Row],[Entity Name]])</f>
        <v>Prepaid License FeesArha General Trading Co (AGT)</v>
      </c>
      <c r="D492" s="36" t="s">
        <v>936</v>
      </c>
      <c r="E492" s="49" t="s">
        <v>746</v>
      </c>
      <c r="F492" s="49" t="s">
        <v>52</v>
      </c>
      <c r="G492" s="24" t="s">
        <v>1605</v>
      </c>
    </row>
    <row r="493" spans="1:7" hidden="1">
      <c r="A493" s="36" t="s">
        <v>827</v>
      </c>
      <c r="B493" s="36" t="s">
        <v>826</v>
      </c>
      <c r="C493" s="36" t="str">
        <f>_xlfn.CONCAT(Table4[[#This Row],[Ledger Name]],Table4[[#This Row],[Entity Name]])</f>
        <v>Warehouse Security DepositArha General Trading Co (AGT)</v>
      </c>
      <c r="D493" s="36" t="s">
        <v>936</v>
      </c>
      <c r="E493" s="49" t="s">
        <v>746</v>
      </c>
      <c r="F493" s="49" t="s">
        <v>52</v>
      </c>
      <c r="G493" s="101" t="s">
        <v>1602</v>
      </c>
    </row>
    <row r="494" spans="1:7" hidden="1">
      <c r="A494" s="36" t="s">
        <v>717</v>
      </c>
      <c r="B494" s="36" t="s">
        <v>826</v>
      </c>
      <c r="C494" s="36" t="str">
        <f>_xlfn.CONCAT(Table4[[#This Row],[Ledger Name]],Table4[[#This Row],[Entity Name]])</f>
        <v>Employee Local AllowanceArha General Trading Co (AGT)</v>
      </c>
      <c r="D494" s="36" t="s">
        <v>936</v>
      </c>
      <c r="E494" s="49" t="s">
        <v>152</v>
      </c>
      <c r="F494" s="49" t="s">
        <v>8</v>
      </c>
      <c r="G494" s="101" t="s">
        <v>160</v>
      </c>
    </row>
    <row r="495" spans="1:7" hidden="1">
      <c r="A495" s="36" t="s">
        <v>54</v>
      </c>
      <c r="B495" s="36" t="s">
        <v>826</v>
      </c>
      <c r="C495" s="36" t="str">
        <f>_xlfn.CONCAT(Table4[[#This Row],[Ledger Name]],Table4[[#This Row],[Entity Name]])</f>
        <v>Manish KhiyaniArha General Trading Co (AGT)</v>
      </c>
      <c r="D495" s="36" t="s">
        <v>936</v>
      </c>
      <c r="E495" s="49" t="s">
        <v>746</v>
      </c>
      <c r="F495" s="49" t="s">
        <v>195</v>
      </c>
      <c r="G495" s="24" t="s">
        <v>1608</v>
      </c>
    </row>
    <row r="496" spans="1:7" hidden="1">
      <c r="A496" s="36" t="s">
        <v>741</v>
      </c>
      <c r="B496" s="36" t="s">
        <v>826</v>
      </c>
      <c r="C496" s="36" t="str">
        <f>_xlfn.CONCAT(Table4[[#This Row],[Ledger Name]],Table4[[#This Row],[Entity Name]])</f>
        <v>Shahid MArha General Trading Co (AGT)</v>
      </c>
      <c r="D496" s="36" t="s">
        <v>936</v>
      </c>
      <c r="E496" s="49" t="s">
        <v>746</v>
      </c>
      <c r="F496" s="49" t="s">
        <v>195</v>
      </c>
      <c r="G496" s="24" t="s">
        <v>1624</v>
      </c>
    </row>
    <row r="497" spans="1:7" hidden="1">
      <c r="A497" s="36" t="s">
        <v>920</v>
      </c>
      <c r="B497" s="36" t="s">
        <v>826</v>
      </c>
      <c r="C497" s="36" t="str">
        <f>_xlfn.CONCAT(Table4[[#This Row],[Ledger Name]],Table4[[#This Row],[Entity Name]])</f>
        <v>Total for Employee Local AllowanceArha General Trading Co (AGT)</v>
      </c>
      <c r="D497" s="36" t="s">
        <v>952</v>
      </c>
      <c r="E497" s="49">
        <v>0</v>
      </c>
      <c r="F497" s="49">
        <v>0</v>
      </c>
      <c r="G497" s="101">
        <v>0</v>
      </c>
    </row>
    <row r="498" spans="1:7" hidden="1">
      <c r="A498" s="36" t="s">
        <v>753</v>
      </c>
      <c r="B498" s="36" t="s">
        <v>826</v>
      </c>
      <c r="C498" s="36" t="str">
        <f>_xlfn.CONCAT(Table4[[#This Row],[Ledger Name]],Table4[[#This Row],[Entity Name]])</f>
        <v>GCC VAT PayableArha General Trading Co (AGT)</v>
      </c>
      <c r="D498" s="36" t="s">
        <v>936</v>
      </c>
      <c r="E498" s="49" t="s">
        <v>746</v>
      </c>
      <c r="F498" s="49" t="s">
        <v>63</v>
      </c>
      <c r="G498" s="101" t="s">
        <v>63</v>
      </c>
    </row>
    <row r="499" spans="1:7" hidden="1">
      <c r="A499" s="36" t="s">
        <v>207</v>
      </c>
      <c r="B499" s="36" t="s">
        <v>826</v>
      </c>
      <c r="C499" s="36" t="str">
        <f>_xlfn.CONCAT(Table4[[#This Row],[Ledger Name]],Table4[[#This Row],[Entity Name]])</f>
        <v>Salary PayableArha General Trading Co (AGT)</v>
      </c>
      <c r="D499" s="36" t="s">
        <v>936</v>
      </c>
      <c r="E499" s="49" t="s">
        <v>746</v>
      </c>
      <c r="F499" s="49" t="s">
        <v>195</v>
      </c>
      <c r="G499" s="6" t="s">
        <v>1623</v>
      </c>
    </row>
    <row r="500" spans="1:7" hidden="1">
      <c r="A500" s="36" t="s">
        <v>597</v>
      </c>
      <c r="B500" s="36" t="s">
        <v>826</v>
      </c>
      <c r="C500" s="36" t="str">
        <f>_xlfn.CONCAT(Table4[[#This Row],[Ledger Name]],Table4[[#This Row],[Entity Name]])</f>
        <v>Unearned RevenueArha General Trading Co (AGT)</v>
      </c>
      <c r="D500" s="36" t="s">
        <v>936</v>
      </c>
      <c r="E500" s="49" t="s">
        <v>746</v>
      </c>
      <c r="F500" s="49" t="s">
        <v>287</v>
      </c>
      <c r="G500" s="101" t="s">
        <v>287</v>
      </c>
    </row>
    <row r="501" spans="1:7" hidden="1">
      <c r="A501" s="36" t="s">
        <v>773</v>
      </c>
      <c r="B501" s="36" t="s">
        <v>826</v>
      </c>
      <c r="C501" s="36" t="str">
        <f>_xlfn.CONCAT(Table4[[#This Row],[Ledger Name]],Table4[[#This Row],[Entity Name]])</f>
        <v>HMW General Trading LLC ( Loan)Arha General Trading Co (AGT)</v>
      </c>
      <c r="D501" s="36" t="s">
        <v>936</v>
      </c>
      <c r="E501" s="49" t="s">
        <v>746</v>
      </c>
      <c r="F501" s="49" t="s">
        <v>345</v>
      </c>
      <c r="G501" s="186" t="s">
        <v>1631</v>
      </c>
    </row>
    <row r="502" spans="1:7" hidden="1">
      <c r="A502" s="36" t="s">
        <v>236</v>
      </c>
      <c r="B502" s="36" t="s">
        <v>826</v>
      </c>
      <c r="C502" s="36" t="str">
        <f>_xlfn.CONCAT(Table4[[#This Row],[Ledger Name]],Table4[[#This Row],[Entity Name]])</f>
        <v>Other ChargesArha General Trading Co (AGT)</v>
      </c>
      <c r="D502" s="36" t="s">
        <v>936</v>
      </c>
      <c r="E502" s="49" t="s">
        <v>152</v>
      </c>
      <c r="F502" s="49" t="s">
        <v>5</v>
      </c>
      <c r="G502" s="101" t="s">
        <v>13</v>
      </c>
    </row>
    <row r="503" spans="1:7" hidden="1">
      <c r="A503" s="36" t="s">
        <v>802</v>
      </c>
      <c r="B503" s="36" t="s">
        <v>826</v>
      </c>
      <c r="C503" s="36" t="str">
        <f>_xlfn.CONCAT(Table4[[#This Row],[Ledger Name]],Table4[[#This Row],[Entity Name]])</f>
        <v>Bad DebtArha General Trading Co (AGT)</v>
      </c>
      <c r="D503" s="36" t="s">
        <v>936</v>
      </c>
      <c r="E503" s="49" t="s">
        <v>152</v>
      </c>
      <c r="F503" s="49" t="s">
        <v>309</v>
      </c>
      <c r="G503" s="101" t="s">
        <v>311</v>
      </c>
    </row>
    <row r="504" spans="1:7" hidden="1">
      <c r="A504" s="36" t="s">
        <v>646</v>
      </c>
      <c r="B504" s="36" t="s">
        <v>826</v>
      </c>
      <c r="C504" s="36" t="str">
        <f>_xlfn.CONCAT(Table4[[#This Row],[Ledger Name]],Table4[[#This Row],[Entity Name]])</f>
        <v>Brokerage &amp; CommissionArha General Trading Co (AGT)</v>
      </c>
      <c r="D504" s="36" t="s">
        <v>936</v>
      </c>
      <c r="E504" s="49" t="s">
        <v>152</v>
      </c>
      <c r="F504" s="49" t="s">
        <v>93</v>
      </c>
      <c r="G504" s="101" t="s">
        <v>1823</v>
      </c>
    </row>
    <row r="505" spans="1:7" hidden="1">
      <c r="A505" s="36" t="s">
        <v>685</v>
      </c>
      <c r="B505" s="36" t="s">
        <v>826</v>
      </c>
      <c r="C505" s="36" t="str">
        <f>_xlfn.CONCAT(Table4[[#This Row],[Ledger Name]],Table4[[#This Row],[Entity Name]])</f>
        <v>Custom Clearance ChargesArha General Trading Co (AGT)</v>
      </c>
      <c r="D505" s="36" t="s">
        <v>936</v>
      </c>
      <c r="E505" s="49" t="s">
        <v>152</v>
      </c>
      <c r="F505" s="49" t="s">
        <v>93</v>
      </c>
      <c r="G505" s="101" t="s">
        <v>685</v>
      </c>
    </row>
    <row r="506" spans="1:7" hidden="1">
      <c r="A506" s="36" t="s">
        <v>742</v>
      </c>
      <c r="B506" s="36" t="s">
        <v>826</v>
      </c>
      <c r="C506" s="36" t="str">
        <f>_xlfn.CONCAT(Table4[[#This Row],[Ledger Name]],Table4[[#This Row],[Entity Name]])</f>
        <v>Employee InsuranceArha General Trading Co (AGT)</v>
      </c>
      <c r="D506" s="36" t="s">
        <v>936</v>
      </c>
      <c r="E506" s="49" t="s">
        <v>152</v>
      </c>
      <c r="F506" s="49" t="s">
        <v>2</v>
      </c>
      <c r="G506" s="101" t="s">
        <v>32</v>
      </c>
    </row>
    <row r="507" spans="1:7" hidden="1">
      <c r="A507" s="36" t="s">
        <v>718</v>
      </c>
      <c r="B507" s="36" t="s">
        <v>826</v>
      </c>
      <c r="C507" s="36" t="str">
        <f>_xlfn.CONCAT(Table4[[#This Row],[Ledger Name]],Table4[[#This Row],[Entity Name]])</f>
        <v>Employee Reimbursements ExpArha General Trading Co (AGT)</v>
      </c>
      <c r="D507" s="36" t="s">
        <v>936</v>
      </c>
      <c r="E507" s="49" t="s">
        <v>152</v>
      </c>
      <c r="F507" s="49" t="s">
        <v>2</v>
      </c>
      <c r="G507" s="101" t="s">
        <v>73</v>
      </c>
    </row>
    <row r="508" spans="1:7" hidden="1">
      <c r="A508" s="36" t="s">
        <v>649</v>
      </c>
      <c r="B508" s="36" t="s">
        <v>826</v>
      </c>
      <c r="C508" s="36" t="str">
        <f>_xlfn.CONCAT(Table4[[#This Row],[Ledger Name]],Table4[[#This Row],[Entity Name]])</f>
        <v>House RentArha General Trading Co (AGT)</v>
      </c>
      <c r="D508" s="36" t="s">
        <v>936</v>
      </c>
      <c r="E508" s="49" t="s">
        <v>152</v>
      </c>
      <c r="F508" s="49" t="s">
        <v>5</v>
      </c>
      <c r="G508" s="101" t="s">
        <v>77</v>
      </c>
    </row>
    <row r="509" spans="1:7" hidden="1">
      <c r="A509" s="36" t="s">
        <v>650</v>
      </c>
      <c r="B509" s="36" t="s">
        <v>826</v>
      </c>
      <c r="C509" s="36" t="str">
        <f>_xlfn.CONCAT(Table4[[#This Row],[Ledger Name]],Table4[[#This Row],[Entity Name]])</f>
        <v>License Renewal ExpensesArha General Trading Co (AGT)</v>
      </c>
      <c r="D509" s="36" t="s">
        <v>936</v>
      </c>
      <c r="E509" s="49" t="s">
        <v>152</v>
      </c>
      <c r="F509" s="49" t="s">
        <v>5</v>
      </c>
      <c r="G509" s="101" t="s">
        <v>193</v>
      </c>
    </row>
    <row r="510" spans="1:7" hidden="1">
      <c r="A510" s="36" t="s">
        <v>677</v>
      </c>
      <c r="B510" s="36" t="s">
        <v>826</v>
      </c>
      <c r="C510" s="36" t="str">
        <f>_xlfn.CONCAT(Table4[[#This Row],[Ledger Name]],Table4[[#This Row],[Entity Name]])</f>
        <v>Salaries and Employee WagesArha General Trading Co (AGT)</v>
      </c>
      <c r="D510" s="36" t="s">
        <v>936</v>
      </c>
      <c r="E510" s="49" t="s">
        <v>152</v>
      </c>
      <c r="F510" s="49" t="s">
        <v>2</v>
      </c>
      <c r="G510" s="101" t="s">
        <v>73</v>
      </c>
    </row>
    <row r="511" spans="1:7" hidden="1">
      <c r="A511" s="36" t="s">
        <v>880</v>
      </c>
      <c r="B511" s="36" t="s">
        <v>826</v>
      </c>
      <c r="C511" s="36" t="str">
        <f>_xlfn.CONCAT(Table4[[#This Row],[Ledger Name]],Table4[[#This Row],[Entity Name]])</f>
        <v>Service Charges on PurchaseArha General Trading Co (AGT)</v>
      </c>
      <c r="D511" s="36" t="s">
        <v>936</v>
      </c>
      <c r="E511" s="49" t="s">
        <v>152</v>
      </c>
      <c r="F511" s="49" t="s">
        <v>24</v>
      </c>
      <c r="G511" s="101" t="s">
        <v>35</v>
      </c>
    </row>
    <row r="512" spans="1:7" hidden="1">
      <c r="A512" s="36" t="s">
        <v>822</v>
      </c>
      <c r="B512" s="36" t="s">
        <v>826</v>
      </c>
      <c r="C512" s="36" t="str">
        <f>_xlfn.CONCAT(Table4[[#This Row],[Ledger Name]],Table4[[#This Row],[Entity Name]])</f>
        <v>Tea Food Refreshment ChgArha General Trading Co (AGT)</v>
      </c>
      <c r="D512" s="36" t="s">
        <v>936</v>
      </c>
      <c r="E512" s="49" t="s">
        <v>152</v>
      </c>
      <c r="F512" s="49" t="s">
        <v>5</v>
      </c>
      <c r="G512" s="101" t="s">
        <v>34</v>
      </c>
    </row>
    <row r="513" spans="1:7" hidden="1">
      <c r="A513" s="36" t="s">
        <v>757</v>
      </c>
      <c r="B513" s="36" t="s">
        <v>826</v>
      </c>
      <c r="C513" s="36" t="str">
        <f>_xlfn.CONCAT(Table4[[#This Row],[Ledger Name]],Table4[[#This Row],[Entity Name]])</f>
        <v>THC ( Shipping Company Chg)Arha General Trading Co (AGT)</v>
      </c>
      <c r="D513" s="36" t="s">
        <v>936</v>
      </c>
      <c r="E513" s="49" t="s">
        <v>152</v>
      </c>
      <c r="F513" s="49" t="s">
        <v>93</v>
      </c>
      <c r="G513" s="101" t="s">
        <v>184</v>
      </c>
    </row>
    <row r="514" spans="1:7" hidden="1">
      <c r="A514" s="36" t="s">
        <v>776</v>
      </c>
      <c r="B514" s="36" t="s">
        <v>826</v>
      </c>
      <c r="C514" s="36" t="str">
        <f>_xlfn.CONCAT(Table4[[#This Row],[Ledger Name]],Table4[[#This Row],[Entity Name]])</f>
        <v>Toll &amp; Parking ChargesArha General Trading Co (AGT)</v>
      </c>
      <c r="D514" s="36" t="s">
        <v>936</v>
      </c>
      <c r="E514" s="49" t="s">
        <v>152</v>
      </c>
      <c r="F514" s="49" t="s">
        <v>5</v>
      </c>
      <c r="G514" s="101" t="s">
        <v>35</v>
      </c>
    </row>
    <row r="515" spans="1:7" hidden="1">
      <c r="A515" s="36" t="s">
        <v>652</v>
      </c>
      <c r="B515" s="36" t="s">
        <v>826</v>
      </c>
      <c r="C515" s="36" t="str">
        <f>_xlfn.CONCAT(Table4[[#This Row],[Ledger Name]],Table4[[#This Row],[Entity Name]])</f>
        <v>TransportationArha General Trading Co (AGT)</v>
      </c>
      <c r="D515" s="36" t="s">
        <v>936</v>
      </c>
      <c r="E515" s="49" t="s">
        <v>152</v>
      </c>
      <c r="F515" s="49" t="s">
        <v>93</v>
      </c>
      <c r="G515" s="101" t="s">
        <v>183</v>
      </c>
    </row>
    <row r="516" spans="1:7" hidden="1">
      <c r="A516" s="36" t="s">
        <v>412</v>
      </c>
      <c r="B516" s="36" t="s">
        <v>826</v>
      </c>
      <c r="C516" s="36" t="str">
        <f>_xlfn.CONCAT(Table4[[#This Row],[Ledger Name]],Table4[[#This Row],[Entity Name]])</f>
        <v>Travel ExpenseArha General Trading Co (AGT)</v>
      </c>
      <c r="D516" s="36" t="s">
        <v>936</v>
      </c>
      <c r="E516" s="49" t="s">
        <v>152</v>
      </c>
      <c r="F516" s="49" t="s">
        <v>8</v>
      </c>
      <c r="G516" s="101" t="s">
        <v>84</v>
      </c>
    </row>
    <row r="517" spans="1:7" hidden="1">
      <c r="A517" s="36" t="s">
        <v>777</v>
      </c>
      <c r="B517" s="36" t="s">
        <v>826</v>
      </c>
      <c r="C517" s="36" t="str">
        <f>_xlfn.CONCAT(Table4[[#This Row],[Ledger Name]],Table4[[#This Row],[Entity Name]])</f>
        <v>Warehousing chargesArha General Trading Co (AGT)</v>
      </c>
      <c r="D517" s="36" t="s">
        <v>936</v>
      </c>
      <c r="E517" s="49" t="s">
        <v>152</v>
      </c>
      <c r="F517" s="49" t="s">
        <v>786</v>
      </c>
      <c r="G517" s="101" t="s">
        <v>786</v>
      </c>
    </row>
    <row r="518" spans="1:7" hidden="1">
      <c r="A518" s="36" t="s">
        <v>651</v>
      </c>
      <c r="B518" s="36" t="s">
        <v>826</v>
      </c>
      <c r="C518" s="36" t="str">
        <f>_xlfn.CONCAT(Table4[[#This Row],[Ledger Name]],Table4[[#This Row],[Entity Name]])</f>
        <v>Loading &amp; UnloadingArha General Trading Co (AGT)</v>
      </c>
      <c r="D518" s="36" t="s">
        <v>936</v>
      </c>
      <c r="E518" s="49" t="s">
        <v>152</v>
      </c>
      <c r="F518" s="49" t="s">
        <v>93</v>
      </c>
      <c r="G518" s="101" t="s">
        <v>102</v>
      </c>
    </row>
    <row r="519" spans="1:7" hidden="1">
      <c r="A519" s="36" t="s">
        <v>683</v>
      </c>
      <c r="B519" s="36" t="s">
        <v>826</v>
      </c>
      <c r="C519" s="36" t="str">
        <f>_xlfn.CONCAT(Table4[[#This Row],[Ledger Name]],Table4[[#This Row],[Entity Name]])</f>
        <v>MISCELLANEOUS EXPENSES FOR OFFICE PURPOSEArha General Trading Co (AGT)</v>
      </c>
      <c r="D519" s="36" t="s">
        <v>936</v>
      </c>
      <c r="E519" s="49" t="s">
        <v>152</v>
      </c>
      <c r="F519" s="49" t="s">
        <v>5</v>
      </c>
      <c r="G519" s="101" t="s">
        <v>35</v>
      </c>
    </row>
    <row r="520" spans="1:7" hidden="1">
      <c r="A520" s="36" t="s">
        <v>804</v>
      </c>
      <c r="B520" s="36" t="s">
        <v>826</v>
      </c>
      <c r="C520" s="36" t="str">
        <f>_xlfn.CONCAT(Table4[[#This Row],[Ledger Name]],Table4[[#This Row],[Entity Name]])</f>
        <v>PP Bags ExpensesArha General Trading Co (AGT)</v>
      </c>
      <c r="D520" s="36" t="s">
        <v>936</v>
      </c>
      <c r="E520" s="49" t="s">
        <v>152</v>
      </c>
      <c r="F520" s="49" t="s">
        <v>93</v>
      </c>
      <c r="G520" s="101" t="s">
        <v>647</v>
      </c>
    </row>
    <row r="521" spans="1:7" hidden="1">
      <c r="A521" s="36" t="s">
        <v>921</v>
      </c>
      <c r="B521" s="36" t="s">
        <v>826</v>
      </c>
      <c r="C521" s="36" t="str">
        <f>_xlfn.CONCAT(Table4[[#This Row],[Ledger Name]],Table4[[#This Row],[Entity Name]])</f>
        <v>Warehouse PalletsArha General Trading Co (AGT)</v>
      </c>
      <c r="D521" s="36" t="s">
        <v>936</v>
      </c>
      <c r="E521" s="49" t="s">
        <v>152</v>
      </c>
      <c r="F521" s="129" t="s">
        <v>93</v>
      </c>
      <c r="G521" s="101" t="s">
        <v>275</v>
      </c>
    </row>
    <row r="522" spans="1:7" hidden="1">
      <c r="A522" s="36" t="s">
        <v>891</v>
      </c>
      <c r="B522" s="36" t="s">
        <v>314</v>
      </c>
      <c r="C522" s="36" t="str">
        <f>_xlfn.CONCAT(Table4[[#This Row],[Ledger Name]],Table4[[#This Row],[Entity Name]])</f>
        <v>ECGC Premium PayableExpora</v>
      </c>
      <c r="D522" s="36" t="s">
        <v>936</v>
      </c>
      <c r="E522" s="49" t="s">
        <v>746</v>
      </c>
      <c r="F522" s="49" t="s">
        <v>63</v>
      </c>
      <c r="G522" s="24" t="s">
        <v>1607</v>
      </c>
    </row>
    <row r="523" spans="1:7" hidden="1">
      <c r="A523" s="36" t="s">
        <v>205</v>
      </c>
      <c r="B523" s="36" t="s">
        <v>314</v>
      </c>
      <c r="C523" s="36" t="str">
        <f>_xlfn.CONCAT(Table4[[#This Row],[Ledger Name]],Table4[[#This Row],[Entity Name]])</f>
        <v>Foreign Exchange Gain/(Loss)Expora</v>
      </c>
      <c r="D523" s="36" t="s">
        <v>936</v>
      </c>
      <c r="E523" s="49" t="s">
        <v>152</v>
      </c>
      <c r="F523" s="49" t="s">
        <v>315</v>
      </c>
      <c r="G523" s="101" t="s">
        <v>205</v>
      </c>
    </row>
    <row r="524" spans="1:7" hidden="1">
      <c r="A524" s="36" t="s">
        <v>92</v>
      </c>
      <c r="B524" s="36" t="s">
        <v>314</v>
      </c>
      <c r="C524" s="36" t="str">
        <f>_xlfn.CONCAT(Table4[[#This Row],[Ledger Name]],Table4[[#This Row],[Entity Name]])</f>
        <v>PurchaseExpora</v>
      </c>
      <c r="D524" s="36" t="s">
        <v>936</v>
      </c>
      <c r="E524" s="49" t="s">
        <v>152</v>
      </c>
      <c r="F524" s="49" t="s">
        <v>92</v>
      </c>
      <c r="G524" s="101" t="s">
        <v>92</v>
      </c>
    </row>
    <row r="525" spans="1:7" hidden="1">
      <c r="A525" s="36" t="s">
        <v>92</v>
      </c>
      <c r="B525" s="36" t="s">
        <v>826</v>
      </c>
      <c r="C525" s="36" t="s">
        <v>967</v>
      </c>
      <c r="D525" s="36" t="s">
        <v>936</v>
      </c>
      <c r="E525" s="49" t="s">
        <v>152</v>
      </c>
      <c r="F525" s="49" t="s">
        <v>92</v>
      </c>
      <c r="G525" s="101" t="s">
        <v>92</v>
      </c>
    </row>
    <row r="526" spans="1:7" hidden="1">
      <c r="A526" s="36" t="s">
        <v>198</v>
      </c>
      <c r="B526" s="36" t="s">
        <v>825</v>
      </c>
      <c r="C526" s="36" t="str">
        <f>_xlfn.CONCAT(Table4[[#This Row],[Ledger Name]],Table4[[#This Row],[Entity Name]])</f>
        <v>BonusAspirach Lanka</v>
      </c>
      <c r="D526" s="36" t="s">
        <v>936</v>
      </c>
      <c r="E526" s="36" t="s">
        <v>152</v>
      </c>
      <c r="F526" s="49" t="s">
        <v>2</v>
      </c>
      <c r="G526" s="101" t="s">
        <v>73</v>
      </c>
    </row>
    <row r="527" spans="1:7" hidden="1">
      <c r="A527" s="36" t="s">
        <v>937</v>
      </c>
      <c r="B527" s="36" t="s">
        <v>314</v>
      </c>
      <c r="C527" s="36" t="str">
        <f>_xlfn.CONCAT(Table4[[#This Row],[Ledger Name]],Table4[[#This Row],[Entity Name]])</f>
        <v>Share Issuer DematExpora</v>
      </c>
      <c r="D527" s="36" t="s">
        <v>936</v>
      </c>
      <c r="E527" s="49" t="s">
        <v>152</v>
      </c>
      <c r="F527" s="49" t="s">
        <v>342</v>
      </c>
      <c r="G527" s="101" t="s">
        <v>40</v>
      </c>
    </row>
    <row r="528" spans="1:7" hidden="1">
      <c r="A528" s="36" t="s">
        <v>1712</v>
      </c>
      <c r="B528" s="36" t="s">
        <v>825</v>
      </c>
      <c r="C528" s="36" t="str">
        <f>_xlfn.CONCAT(Table4[[#This Row],[Ledger Name]],Table4[[#This Row],[Entity Name]])</f>
        <v>0016/25-26Aspirach Lanka</v>
      </c>
      <c r="D528" s="36" t="s">
        <v>936</v>
      </c>
      <c r="E528" s="36" t="s">
        <v>152</v>
      </c>
      <c r="F528" s="49" t="s">
        <v>93</v>
      </c>
      <c r="G528" s="101" t="s">
        <v>138</v>
      </c>
    </row>
    <row r="529" spans="1:7" hidden="1">
      <c r="A529" s="36" t="s">
        <v>934</v>
      </c>
      <c r="B529" s="36" t="s">
        <v>314</v>
      </c>
      <c r="C529" s="36" t="str">
        <f>_xlfn.CONCAT(Table4[[#This Row],[Ledger Name]],Table4[[#This Row],[Entity Name]])</f>
        <v>ECL GSTExpora</v>
      </c>
      <c r="D529" s="36" t="s">
        <v>936</v>
      </c>
      <c r="E529" s="49" t="s">
        <v>746</v>
      </c>
      <c r="F529" s="49" t="s">
        <v>52</v>
      </c>
      <c r="G529" s="24" t="s">
        <v>1604</v>
      </c>
    </row>
    <row r="530" spans="1:7" hidden="1">
      <c r="A530" s="36" t="s">
        <v>297</v>
      </c>
      <c r="B530" s="36" t="s">
        <v>314</v>
      </c>
      <c r="C530" s="36" t="str">
        <f>_xlfn.CONCAT(Table4[[#This Row],[Ledger Name]],Table4[[#This Row],[Entity Name]])</f>
        <v>PCFC Interest ChargesExpora</v>
      </c>
      <c r="D530" s="36" t="s">
        <v>936</v>
      </c>
      <c r="E530" s="49" t="s">
        <v>152</v>
      </c>
      <c r="F530" s="49" t="s">
        <v>315</v>
      </c>
      <c r="G530" s="101" t="s">
        <v>282</v>
      </c>
    </row>
    <row r="531" spans="1:7" hidden="1">
      <c r="A531" s="36" t="s">
        <v>710</v>
      </c>
      <c r="B531" s="36" t="s">
        <v>314</v>
      </c>
      <c r="C531" s="36" t="str">
        <f>_xlfn.CONCAT(Table4[[#This Row],[Ledger Name]],Table4[[#This Row],[Entity Name]])</f>
        <v>Abhishek Todkari ReimbursementExpora</v>
      </c>
      <c r="D531" s="36" t="s">
        <v>936</v>
      </c>
      <c r="E531" s="49" t="s">
        <v>746</v>
      </c>
      <c r="F531" s="49" t="s">
        <v>52</v>
      </c>
      <c r="G531" s="6" t="s">
        <v>1625</v>
      </c>
    </row>
    <row r="532" spans="1:7" hidden="1">
      <c r="A532" s="36" t="s">
        <v>987</v>
      </c>
      <c r="B532" s="36" t="s">
        <v>314</v>
      </c>
      <c r="C532" s="36" t="str">
        <f>_xlfn.CONCAT(Table4[[#This Row],[Ledger Name]],Table4[[#This Row],[Entity Name]])</f>
        <v>Ashay Shah ReimbursementExpora</v>
      </c>
      <c r="D532" s="36" t="s">
        <v>936</v>
      </c>
      <c r="E532" s="49" t="s">
        <v>746</v>
      </c>
      <c r="F532" s="49" t="s">
        <v>52</v>
      </c>
      <c r="G532" s="6" t="s">
        <v>1625</v>
      </c>
    </row>
    <row r="533" spans="1:7" hidden="1">
      <c r="A533" s="36" t="s">
        <v>233</v>
      </c>
      <c r="B533" s="36" t="s">
        <v>314</v>
      </c>
      <c r="C533" s="36" t="str">
        <f>_xlfn.CONCAT(Table4[[#This Row],[Ledger Name]],Table4[[#This Row],[Entity Name]])</f>
        <v>Karambir ReimbursementExpora</v>
      </c>
      <c r="D533" s="36" t="s">
        <v>936</v>
      </c>
      <c r="E533" s="49" t="s">
        <v>746</v>
      </c>
      <c r="F533" s="49" t="s">
        <v>52</v>
      </c>
      <c r="G533" s="6" t="s">
        <v>1625</v>
      </c>
    </row>
    <row r="534" spans="1:7" hidden="1">
      <c r="A534" s="36" t="s">
        <v>988</v>
      </c>
      <c r="B534" s="36" t="s">
        <v>314</v>
      </c>
      <c r="C534" s="36" t="str">
        <f>_xlfn.CONCAT(Table4[[#This Row],[Ledger Name]],Table4[[#This Row],[Entity Name]])</f>
        <v>Pravin Arora reimbursementExpora</v>
      </c>
      <c r="D534" s="36" t="s">
        <v>936</v>
      </c>
      <c r="E534" s="49" t="s">
        <v>746</v>
      </c>
      <c r="F534" s="49" t="s">
        <v>52</v>
      </c>
      <c r="G534" s="6" t="s">
        <v>1625</v>
      </c>
    </row>
    <row r="535" spans="1:7" hidden="1">
      <c r="A535" s="36" t="s">
        <v>989</v>
      </c>
      <c r="B535" s="36" t="s">
        <v>314</v>
      </c>
      <c r="C535" s="36" t="str">
        <f>_xlfn.CONCAT(Table4[[#This Row],[Ledger Name]],Table4[[#This Row],[Entity Name]])</f>
        <v>Ramcharan ReimbursementExpora</v>
      </c>
      <c r="D535" s="36" t="s">
        <v>936</v>
      </c>
      <c r="E535" s="49" t="s">
        <v>746</v>
      </c>
      <c r="F535" s="49" t="s">
        <v>52</v>
      </c>
      <c r="G535" s="6" t="s">
        <v>1625</v>
      </c>
    </row>
    <row r="536" spans="1:7" hidden="1">
      <c r="A536" s="36" t="s">
        <v>72</v>
      </c>
      <c r="B536" s="36" t="s">
        <v>314</v>
      </c>
      <c r="C536" s="36" t="str">
        <f>_xlfn.CONCAT(Table4[[#This Row],[Ledger Name]],Table4[[#This Row],[Entity Name]])</f>
        <v>Vaibhavi ReimbursementExpora</v>
      </c>
      <c r="D536" s="36" t="s">
        <v>936</v>
      </c>
      <c r="E536" s="49" t="s">
        <v>746</v>
      </c>
      <c r="F536" s="49" t="s">
        <v>52</v>
      </c>
      <c r="G536" s="6" t="s">
        <v>1625</v>
      </c>
    </row>
    <row r="537" spans="1:7" hidden="1">
      <c r="A537" s="36" t="s">
        <v>862</v>
      </c>
      <c r="B537" s="36" t="s">
        <v>314</v>
      </c>
      <c r="C537" s="36" t="str">
        <f>_xlfn.CONCAT(Table4[[#This Row],[Ledger Name]],Table4[[#This Row],[Entity Name]])</f>
        <v>TAEXP2425002Expora</v>
      </c>
      <c r="D537" s="36" t="s">
        <v>936</v>
      </c>
      <c r="E537" s="49" t="s">
        <v>152</v>
      </c>
      <c r="F537" s="49" t="s">
        <v>93</v>
      </c>
      <c r="G537" s="101" t="s">
        <v>138</v>
      </c>
    </row>
    <row r="538" spans="1:7" hidden="1">
      <c r="A538" s="36" t="s">
        <v>929</v>
      </c>
      <c r="B538" s="36" t="s">
        <v>314</v>
      </c>
      <c r="C538" s="36" t="str">
        <f>_xlfn.CONCAT(Table4[[#This Row],[Ledger Name]],Table4[[#This Row],[Entity Name]])</f>
        <v>TAEXP2425017Expora</v>
      </c>
      <c r="D538" s="36" t="s">
        <v>936</v>
      </c>
      <c r="E538" s="49" t="s">
        <v>152</v>
      </c>
      <c r="F538" s="49" t="s">
        <v>93</v>
      </c>
      <c r="G538" s="101" t="s">
        <v>138</v>
      </c>
    </row>
    <row r="539" spans="1:7" hidden="1">
      <c r="A539" s="36" t="s">
        <v>979</v>
      </c>
      <c r="B539" s="36" t="s">
        <v>314</v>
      </c>
      <c r="C539" s="36" t="str">
        <f>_xlfn.CONCAT(Table4[[#This Row],[Ledger Name]],Table4[[#This Row],[Entity Name]])</f>
        <v>TAEXP2425018Expora</v>
      </c>
      <c r="D539" s="36" t="s">
        <v>936</v>
      </c>
      <c r="E539" s="49" t="s">
        <v>152</v>
      </c>
      <c r="F539" s="49" t="s">
        <v>93</v>
      </c>
      <c r="G539" s="101" t="s">
        <v>138</v>
      </c>
    </row>
    <row r="540" spans="1:7" hidden="1">
      <c r="A540" s="36" t="s">
        <v>980</v>
      </c>
      <c r="B540" s="36" t="s">
        <v>314</v>
      </c>
      <c r="C540" s="36" t="str">
        <f>_xlfn.CONCAT(Table4[[#This Row],[Ledger Name]],Table4[[#This Row],[Entity Name]])</f>
        <v>TAEXP2425019Expora</v>
      </c>
      <c r="D540" s="36" t="s">
        <v>936</v>
      </c>
      <c r="E540" s="49" t="s">
        <v>152</v>
      </c>
      <c r="F540" s="49" t="s">
        <v>93</v>
      </c>
      <c r="G540" s="101" t="s">
        <v>138</v>
      </c>
    </row>
    <row r="541" spans="1:7" hidden="1">
      <c r="A541" s="36" t="s">
        <v>990</v>
      </c>
      <c r="B541" s="36" t="s">
        <v>314</v>
      </c>
      <c r="C541" s="36" t="str">
        <f>_xlfn.CONCAT(Table4[[#This Row],[Ledger Name]],Table4[[#This Row],[Entity Name]])</f>
        <v>TALOC2425060 to TALOC2425065Expora</v>
      </c>
      <c r="D541" s="36" t="s">
        <v>936</v>
      </c>
      <c r="E541" s="49" t="s">
        <v>152</v>
      </c>
      <c r="F541" s="49" t="s">
        <v>93</v>
      </c>
      <c r="G541" s="101" t="s">
        <v>138</v>
      </c>
    </row>
    <row r="542" spans="1:7" hidden="1">
      <c r="A542" s="36" t="s">
        <v>975</v>
      </c>
      <c r="B542" s="36" t="s">
        <v>314</v>
      </c>
      <c r="C542" s="36" t="str">
        <f>_xlfn.CONCAT(Table4[[#This Row],[Ledger Name]],Table4[[#This Row],[Entity Name]])</f>
        <v>TALOC2425061Expora</v>
      </c>
      <c r="D542" s="36" t="s">
        <v>936</v>
      </c>
      <c r="E542" s="49" t="s">
        <v>152</v>
      </c>
      <c r="F542" s="49" t="s">
        <v>93</v>
      </c>
      <c r="G542" s="101" t="s">
        <v>138</v>
      </c>
    </row>
    <row r="543" spans="1:7" hidden="1">
      <c r="A543" s="36" t="s">
        <v>976</v>
      </c>
      <c r="B543" s="36" t="s">
        <v>314</v>
      </c>
      <c r="C543" s="36" t="str">
        <f>_xlfn.CONCAT(Table4[[#This Row],[Ledger Name]],Table4[[#This Row],[Entity Name]])</f>
        <v>TALOC2425062Expora</v>
      </c>
      <c r="D543" s="36" t="s">
        <v>936</v>
      </c>
      <c r="E543" s="49" t="s">
        <v>152</v>
      </c>
      <c r="F543" s="49" t="s">
        <v>93</v>
      </c>
      <c r="G543" s="101" t="s">
        <v>138</v>
      </c>
    </row>
    <row r="544" spans="1:7" hidden="1">
      <c r="A544" s="36" t="s">
        <v>977</v>
      </c>
      <c r="B544" s="36" t="s">
        <v>314</v>
      </c>
      <c r="C544" s="36" t="str">
        <f>_xlfn.CONCAT(Table4[[#This Row],[Ledger Name]],Table4[[#This Row],[Entity Name]])</f>
        <v>TALOC2425063Expora</v>
      </c>
      <c r="D544" s="36" t="s">
        <v>936</v>
      </c>
      <c r="E544" s="49" t="s">
        <v>152</v>
      </c>
      <c r="F544" s="49" t="s">
        <v>93</v>
      </c>
      <c r="G544" s="101" t="s">
        <v>138</v>
      </c>
    </row>
    <row r="545" spans="1:7" hidden="1">
      <c r="A545" s="36" t="s">
        <v>978</v>
      </c>
      <c r="B545" s="36" t="s">
        <v>314</v>
      </c>
      <c r="C545" s="36" t="str">
        <f>_xlfn.CONCAT(Table4[[#This Row],[Ledger Name]],Table4[[#This Row],[Entity Name]])</f>
        <v>TALOC2425064Expora</v>
      </c>
      <c r="D545" s="36" t="s">
        <v>936</v>
      </c>
      <c r="E545" s="49" t="s">
        <v>152</v>
      </c>
      <c r="F545" s="49" t="s">
        <v>93</v>
      </c>
      <c r="G545" s="101" t="s">
        <v>138</v>
      </c>
    </row>
    <row r="546" spans="1:7" hidden="1">
      <c r="A546" s="36" t="s">
        <v>972</v>
      </c>
      <c r="B546" s="36" t="s">
        <v>314</v>
      </c>
      <c r="C546" s="36" t="str">
        <f>_xlfn.CONCAT(Table4[[#This Row],[Ledger Name]],Table4[[#This Row],[Entity Name]])</f>
        <v>TALOC2425060Expora</v>
      </c>
      <c r="D546" s="36" t="s">
        <v>936</v>
      </c>
      <c r="E546" s="49" t="s">
        <v>152</v>
      </c>
      <c r="F546" s="49" t="s">
        <v>93</v>
      </c>
      <c r="G546" s="101" t="s">
        <v>138</v>
      </c>
    </row>
    <row r="547" spans="1:7" hidden="1">
      <c r="A547" s="36" t="s">
        <v>991</v>
      </c>
      <c r="B547" s="36" t="s">
        <v>314</v>
      </c>
      <c r="C547" s="36" t="str">
        <f>_xlfn.CONCAT(Table4[[#This Row],[Ledger Name]],Table4[[#This Row],[Entity Name]])</f>
        <v>Advance Salary Gyanu YadavExpora</v>
      </c>
      <c r="D547" s="36" t="s">
        <v>936</v>
      </c>
      <c r="E547" s="49" t="s">
        <v>746</v>
      </c>
      <c r="F547" s="49" t="s">
        <v>52</v>
      </c>
      <c r="G547" s="24" t="s">
        <v>1608</v>
      </c>
    </row>
    <row r="548" spans="1:7" hidden="1">
      <c r="A548" s="36" t="s">
        <v>992</v>
      </c>
      <c r="B548" s="36" t="s">
        <v>314</v>
      </c>
      <c r="C548" s="36" t="str">
        <f>_xlfn.CONCAT(Table4[[#This Row],[Ledger Name]],Table4[[#This Row],[Entity Name]])</f>
        <v>Interest Receivable From Arha Platforms General Trading LLCExpora</v>
      </c>
      <c r="D548" s="36" t="s">
        <v>936</v>
      </c>
      <c r="E548" s="49" t="s">
        <v>746</v>
      </c>
      <c r="F548" s="49" t="s">
        <v>52</v>
      </c>
      <c r="G548" s="24" t="s">
        <v>1606</v>
      </c>
    </row>
    <row r="549" spans="1:7" hidden="1">
      <c r="A549" s="36" t="s">
        <v>236</v>
      </c>
      <c r="B549" s="36" t="s">
        <v>314</v>
      </c>
      <c r="C549" s="36" t="str">
        <f>_xlfn.CONCAT(Table4[[#This Row],[Ledger Name]],Table4[[#This Row],[Entity Name]])</f>
        <v>Other ChargesExpora</v>
      </c>
      <c r="D549" s="36" t="s">
        <v>936</v>
      </c>
      <c r="E549" s="49" t="s">
        <v>152</v>
      </c>
      <c r="F549" s="49" t="s">
        <v>93</v>
      </c>
      <c r="G549" s="101" t="s">
        <v>138</v>
      </c>
    </row>
    <row r="550" spans="1:7" hidden="1">
      <c r="A550" s="36" t="s">
        <v>394</v>
      </c>
      <c r="B550" s="36" t="s">
        <v>314</v>
      </c>
      <c r="C550" s="36" t="str">
        <f>_xlfn.CONCAT(Table4[[#This Row],[Ledger Name]],Table4[[#This Row],[Entity Name]])</f>
        <v>ECGC PremiumExpora</v>
      </c>
      <c r="D550" s="36" t="s">
        <v>936</v>
      </c>
      <c r="E550" s="49" t="s">
        <v>152</v>
      </c>
      <c r="F550" s="49" t="s">
        <v>315</v>
      </c>
      <c r="G550" s="101" t="s">
        <v>420</v>
      </c>
    </row>
    <row r="551" spans="1:7" hidden="1">
      <c r="A551" s="36" t="s">
        <v>993</v>
      </c>
      <c r="B551" s="36" t="s">
        <v>314</v>
      </c>
      <c r="C551" s="36" t="str">
        <f>_xlfn.CONCAT(Table4[[#This Row],[Ledger Name]],Table4[[#This Row],[Entity Name]])</f>
        <v>Guntur ElectricityExpora</v>
      </c>
      <c r="D551" s="36" t="s">
        <v>936</v>
      </c>
      <c r="E551" s="49" t="s">
        <v>152</v>
      </c>
      <c r="F551" s="49" t="s">
        <v>5</v>
      </c>
      <c r="G551" s="101" t="s">
        <v>81</v>
      </c>
    </row>
    <row r="552" spans="1:7" hidden="1">
      <c r="A552" s="36" t="s">
        <v>104</v>
      </c>
      <c r="B552" s="36" t="s">
        <v>314</v>
      </c>
      <c r="C552" s="36" t="str">
        <f>_xlfn.CONCAT(Table4[[#This Row],[Ledger Name]],Table4[[#This Row],[Entity Name]])</f>
        <v>Interest on TDSExpora</v>
      </c>
      <c r="D552" s="36" t="s">
        <v>936</v>
      </c>
      <c r="E552" s="49" t="s">
        <v>152</v>
      </c>
      <c r="F552" s="49" t="s">
        <v>5</v>
      </c>
      <c r="G552" s="101" t="s">
        <v>283</v>
      </c>
    </row>
    <row r="553" spans="1:7" hidden="1">
      <c r="A553" s="36" t="s">
        <v>849</v>
      </c>
      <c r="B553" s="36" t="s">
        <v>314</v>
      </c>
      <c r="C553" s="36" t="str">
        <f>_xlfn.CONCAT(Table4[[#This Row],[Ledger Name]],Table4[[#This Row],[Entity Name]])</f>
        <v>Interest on warehousing FinanceExpora</v>
      </c>
      <c r="D553" s="36" t="s">
        <v>936</v>
      </c>
      <c r="E553" s="49" t="s">
        <v>152</v>
      </c>
      <c r="F553" s="49" t="s">
        <v>315</v>
      </c>
      <c r="G553" s="101" t="s">
        <v>849</v>
      </c>
    </row>
    <row r="554" spans="1:7" hidden="1">
      <c r="A554" s="36" t="s">
        <v>274</v>
      </c>
      <c r="B554" s="36" t="s">
        <v>314</v>
      </c>
      <c r="C554" s="36" t="str">
        <f>_xlfn.CONCAT(Table4[[#This Row],[Ledger Name]],Table4[[#This Row],[Entity Name]])</f>
        <v>PCFC Bank ChargesExpora</v>
      </c>
      <c r="D554" s="36" t="s">
        <v>936</v>
      </c>
      <c r="E554" s="49" t="s">
        <v>152</v>
      </c>
      <c r="F554" s="49" t="s">
        <v>13</v>
      </c>
      <c r="G554" s="101" t="s">
        <v>308</v>
      </c>
    </row>
    <row r="555" spans="1:7" hidden="1">
      <c r="A555" s="36" t="s">
        <v>994</v>
      </c>
      <c r="B555" s="36" t="s">
        <v>314</v>
      </c>
      <c r="C555" s="36" t="str">
        <f>_xlfn.CONCAT(Table4[[#This Row],[Ledger Name]],Table4[[#This Row],[Entity Name]])</f>
        <v>Quality DiscountExpora</v>
      </c>
      <c r="D555" s="36" t="s">
        <v>936</v>
      </c>
      <c r="E555" s="49" t="s">
        <v>152</v>
      </c>
      <c r="F555" s="49" t="s">
        <v>1</v>
      </c>
      <c r="G555" s="75" t="s">
        <v>599</v>
      </c>
    </row>
    <row r="556" spans="1:7" hidden="1">
      <c r="A556" s="36" t="s">
        <v>643</v>
      </c>
      <c r="B556" s="36" t="s">
        <v>314</v>
      </c>
      <c r="C556" s="36" t="str">
        <f>_xlfn.CONCAT(Table4[[#This Row],[Ledger Name]],Table4[[#This Row],[Entity Name]])</f>
        <v>Repairs and MaintenanceExpora</v>
      </c>
      <c r="D556" s="36" t="s">
        <v>936</v>
      </c>
      <c r="E556" s="49" t="s">
        <v>152</v>
      </c>
      <c r="F556" s="49" t="s">
        <v>5</v>
      </c>
      <c r="G556" s="101" t="s">
        <v>65</v>
      </c>
    </row>
    <row r="557" spans="1:7" hidden="1">
      <c r="A557" s="36" t="s">
        <v>783</v>
      </c>
      <c r="B557" s="36" t="s">
        <v>314</v>
      </c>
      <c r="C557" s="36" t="str">
        <f>_xlfn.CONCAT(Table4[[#This Row],[Ledger Name]],Table4[[#This Row],[Entity Name]])</f>
        <v>Warehousing fund processing chargesExpora</v>
      </c>
      <c r="D557" s="36" t="s">
        <v>936</v>
      </c>
      <c r="E557" s="49" t="s">
        <v>152</v>
      </c>
      <c r="F557" s="49" t="s">
        <v>315</v>
      </c>
      <c r="G557" s="101" t="s">
        <v>783</v>
      </c>
    </row>
    <row r="558" spans="1:7" hidden="1">
      <c r="A558" s="36" t="s">
        <v>995</v>
      </c>
      <c r="B558" s="36" t="s">
        <v>314</v>
      </c>
      <c r="C558" s="36" t="str">
        <f>_xlfn.CONCAT(Table4[[#This Row],[Ledger Name]],Table4[[#This Row],[Entity Name]])</f>
        <v>Lap - C02F4ACUMD6MExpora</v>
      </c>
      <c r="D558" s="36" t="s">
        <v>936</v>
      </c>
      <c r="E558" s="49" t="s">
        <v>746</v>
      </c>
      <c r="F558" s="49" t="s">
        <v>31</v>
      </c>
      <c r="G558" s="182" t="s">
        <v>346</v>
      </c>
    </row>
    <row r="559" spans="1:7" hidden="1">
      <c r="A559" s="36" t="s">
        <v>996</v>
      </c>
      <c r="B559" s="36" t="s">
        <v>314</v>
      </c>
      <c r="C559" s="36" t="str">
        <f>_xlfn.CONCAT(Table4[[#This Row],[Ledger Name]],Table4[[#This Row],[Entity Name]])</f>
        <v>Lap - SC02F2RZJMD6MExpora</v>
      </c>
      <c r="D559" s="36" t="s">
        <v>936</v>
      </c>
      <c r="E559" s="49" t="s">
        <v>746</v>
      </c>
      <c r="F559" s="49" t="s">
        <v>31</v>
      </c>
      <c r="G559" s="182" t="s">
        <v>346</v>
      </c>
    </row>
    <row r="560" spans="1:7" hidden="1">
      <c r="A560" s="36" t="s">
        <v>927</v>
      </c>
      <c r="B560" s="36" t="s">
        <v>314</v>
      </c>
      <c r="C560" s="36" t="str">
        <f>_xlfn.CONCAT(Table4[[#This Row],[Ledger Name]],Table4[[#This Row],[Entity Name]])</f>
        <v>TALOC2425037Expora</v>
      </c>
      <c r="D560" s="36" t="s">
        <v>936</v>
      </c>
      <c r="E560" s="49" t="s">
        <v>152</v>
      </c>
      <c r="F560" s="49" t="s">
        <v>93</v>
      </c>
      <c r="G560" s="101" t="s">
        <v>138</v>
      </c>
    </row>
    <row r="561" spans="1:8" hidden="1">
      <c r="A561" s="36" t="s">
        <v>928</v>
      </c>
      <c r="B561" s="36" t="s">
        <v>314</v>
      </c>
      <c r="C561" s="36" t="str">
        <f>_xlfn.CONCAT(Table4[[#This Row],[Ledger Name]],Table4[[#This Row],[Entity Name]])</f>
        <v>TALOC2425038Expora</v>
      </c>
      <c r="D561" s="36" t="s">
        <v>936</v>
      </c>
      <c r="E561" s="49" t="s">
        <v>152</v>
      </c>
      <c r="F561" s="49" t="s">
        <v>93</v>
      </c>
      <c r="G561" s="101" t="s">
        <v>138</v>
      </c>
    </row>
    <row r="562" spans="1:8" hidden="1">
      <c r="A562" s="36" t="s">
        <v>997</v>
      </c>
      <c r="B562" s="36" t="s">
        <v>826</v>
      </c>
      <c r="C562" s="36" t="str">
        <f>_xlfn.CONCAT(Table4[[#This Row],[Ledger Name]],Table4[[#This Row],[Entity Name]])</f>
        <v>Abhinav Petty CashArha General Trading Co (AGT)</v>
      </c>
      <c r="D562" s="36" t="s">
        <v>936</v>
      </c>
      <c r="E562" s="49" t="s">
        <v>746</v>
      </c>
      <c r="F562" s="49" t="s">
        <v>24</v>
      </c>
      <c r="G562" s="24" t="s">
        <v>1612</v>
      </c>
    </row>
    <row r="563" spans="1:8" hidden="1">
      <c r="A563" s="36" t="s">
        <v>998</v>
      </c>
      <c r="B563" s="36" t="s">
        <v>826</v>
      </c>
      <c r="C563" s="36" t="str">
        <f>_xlfn.CONCAT(Table4[[#This Row],[Ledger Name]],Table4[[#This Row],[Entity Name]])</f>
        <v>Interest Payable To Tradearch Market PlatformsArha General Trading Co (AGT)</v>
      </c>
      <c r="D563" s="36" t="s">
        <v>936</v>
      </c>
      <c r="E563" s="49" t="s">
        <v>746</v>
      </c>
      <c r="F563" s="49" t="s">
        <v>195</v>
      </c>
      <c r="G563" s="101" t="s">
        <v>1619</v>
      </c>
    </row>
    <row r="564" spans="1:8" hidden="1">
      <c r="A564" s="36" t="s">
        <v>756</v>
      </c>
      <c r="B564" s="36" t="s">
        <v>826</v>
      </c>
      <c r="C564" s="36" t="str">
        <f>_xlfn.CONCAT(Table4[[#This Row],[Ledger Name]],Table4[[#This Row],[Entity Name]])</f>
        <v>Port Charges ( CFS )Arha General Trading Co (AGT)</v>
      </c>
      <c r="D564" s="36" t="s">
        <v>936</v>
      </c>
      <c r="E564" s="49" t="s">
        <v>152</v>
      </c>
      <c r="F564" s="49" t="s">
        <v>93</v>
      </c>
      <c r="G564" s="101" t="s">
        <v>179</v>
      </c>
    </row>
    <row r="565" spans="1:8" hidden="1">
      <c r="A565" s="36" t="s">
        <v>643</v>
      </c>
      <c r="B565" s="36" t="s">
        <v>826</v>
      </c>
      <c r="C565" s="36" t="str">
        <f>_xlfn.CONCAT(Table4[[#This Row],[Ledger Name]],Table4[[#This Row],[Entity Name]])</f>
        <v>Repairs and MaintenanceArha General Trading Co (AGT)</v>
      </c>
      <c r="D565" s="36" t="s">
        <v>936</v>
      </c>
      <c r="E565" s="49" t="s">
        <v>152</v>
      </c>
      <c r="F565" s="49" t="s">
        <v>5</v>
      </c>
      <c r="G565" s="101" t="s">
        <v>65</v>
      </c>
    </row>
    <row r="566" spans="1:8" hidden="1">
      <c r="A566" s="36" t="s">
        <v>999</v>
      </c>
      <c r="B566" s="36" t="s">
        <v>826</v>
      </c>
      <c r="C566" s="36" t="str">
        <f>_xlfn.CONCAT(Table4[[#This Row],[Ledger Name]],Table4[[#This Row],[Entity Name]])</f>
        <v>Warehouse ExpensesArha General Trading Co (AGT)</v>
      </c>
      <c r="D566" s="36" t="s">
        <v>936</v>
      </c>
      <c r="E566" s="49" t="s">
        <v>152</v>
      </c>
      <c r="F566" s="129" t="s">
        <v>93</v>
      </c>
      <c r="G566" s="101" t="s">
        <v>275</v>
      </c>
    </row>
    <row r="567" spans="1:8" hidden="1">
      <c r="A567" s="36" t="s">
        <v>1002</v>
      </c>
      <c r="B567" s="36" t="s">
        <v>314</v>
      </c>
      <c r="C567" s="36" t="str">
        <f>_xlfn.CONCAT(Table4[[#This Row],[Ledger Name]],Table4[[#This Row],[Entity Name]])</f>
        <v>Nikhil Jitendra Shah (CCPS)Expora</v>
      </c>
      <c r="D567" s="36" t="s">
        <v>936</v>
      </c>
      <c r="E567" s="49" t="s">
        <v>746</v>
      </c>
      <c r="F567" s="49" t="s">
        <v>26</v>
      </c>
      <c r="G567" s="24" t="s">
        <v>1615</v>
      </c>
    </row>
    <row r="568" spans="1:8" hidden="1">
      <c r="A568" s="36" t="s">
        <v>1003</v>
      </c>
      <c r="B568" s="36" t="s">
        <v>314</v>
      </c>
      <c r="C568" s="36" t="str">
        <f>_xlfn.CONCAT(Table4[[#This Row],[Ledger Name]],Table4[[#This Row],[Entity Name]])</f>
        <v>Paresh Kantilal Shah (CCPS)Expora</v>
      </c>
      <c r="D568" s="36" t="s">
        <v>936</v>
      </c>
      <c r="E568" s="49" t="s">
        <v>746</v>
      </c>
      <c r="F568" s="49" t="s">
        <v>26</v>
      </c>
      <c r="G568" s="24" t="s">
        <v>1615</v>
      </c>
    </row>
    <row r="569" spans="1:8" hidden="1">
      <c r="A569" s="36" t="s">
        <v>1004</v>
      </c>
      <c r="B569" s="36" t="s">
        <v>314</v>
      </c>
      <c r="C569" s="36" t="str">
        <f>_xlfn.CONCAT(Table4[[#This Row],[Ledger Name]],Table4[[#This Row],[Entity Name]])</f>
        <v>Riten Mukund Sejpal (CCPS)Expora</v>
      </c>
      <c r="D569" s="36" t="s">
        <v>936</v>
      </c>
      <c r="E569" s="49" t="s">
        <v>746</v>
      </c>
      <c r="F569" s="49" t="s">
        <v>26</v>
      </c>
      <c r="G569" s="24" t="s">
        <v>1615</v>
      </c>
    </row>
    <row r="570" spans="1:8" hidden="1">
      <c r="A570" s="36" t="s">
        <v>1005</v>
      </c>
      <c r="B570" s="36" t="s">
        <v>314</v>
      </c>
      <c r="C570" s="36" t="str">
        <f>_xlfn.CONCAT(Table4[[#This Row],[Ledger Name]],Table4[[#This Row],[Entity Name]])</f>
        <v>Siddharth Shah (CCPS)Expora</v>
      </c>
      <c r="D570" s="36" t="s">
        <v>936</v>
      </c>
      <c r="E570" s="49" t="s">
        <v>746</v>
      </c>
      <c r="F570" s="49" t="s">
        <v>26</v>
      </c>
      <c r="G570" s="24" t="s">
        <v>1615</v>
      </c>
    </row>
    <row r="571" spans="1:8" hidden="1">
      <c r="A571" s="36" t="s">
        <v>772</v>
      </c>
      <c r="B571" s="36" t="s">
        <v>314</v>
      </c>
      <c r="C571" s="36" t="str">
        <f>_xlfn.CONCAT(Table4[[#This Row],[Ledger Name]],Table4[[#This Row],[Entity Name]])</f>
        <v>RICE BASMATI 1121 STEEMExpora</v>
      </c>
      <c r="D571" s="36" t="s">
        <v>936</v>
      </c>
      <c r="E571" s="49" t="s">
        <v>746</v>
      </c>
      <c r="F571" s="49" t="s">
        <v>345</v>
      </c>
      <c r="G571" s="179" t="s">
        <v>278</v>
      </c>
      <c r="H571" s="53" t="s">
        <v>1006</v>
      </c>
    </row>
    <row r="572" spans="1:8" hidden="1">
      <c r="A572" s="36" t="s">
        <v>829</v>
      </c>
      <c r="B572" s="36" t="s">
        <v>314</v>
      </c>
      <c r="C572" s="36" t="str">
        <f>_xlfn.CONCAT(Table4[[#This Row],[Ledger Name]],Table4[[#This Row],[Entity Name]])</f>
        <v>Kamlesh SolankiExpora</v>
      </c>
      <c r="D572" s="36" t="s">
        <v>936</v>
      </c>
      <c r="E572" s="49" t="s">
        <v>746</v>
      </c>
      <c r="F572" s="49" t="s">
        <v>52</v>
      </c>
      <c r="G572" s="6" t="s">
        <v>1625</v>
      </c>
      <c r="H572" s="53" t="s">
        <v>1006</v>
      </c>
    </row>
    <row r="573" spans="1:8" hidden="1">
      <c r="A573" s="36" t="s">
        <v>1008</v>
      </c>
      <c r="B573" s="36" t="s">
        <v>314</v>
      </c>
      <c r="C573" s="36" t="str">
        <f>_xlfn.CONCAT(Table4[[#This Row],[Ledger Name]],Table4[[#This Row],[Entity Name]])</f>
        <v>Abhinav Boria Flexi ReimbursementExpora</v>
      </c>
      <c r="D573" s="36" t="s">
        <v>936</v>
      </c>
      <c r="E573" s="49" t="s">
        <v>746</v>
      </c>
      <c r="F573" s="49" t="s">
        <v>195</v>
      </c>
      <c r="G573" s="6" t="s">
        <v>1626</v>
      </c>
    </row>
    <row r="574" spans="1:8" hidden="1">
      <c r="A574" s="36" t="s">
        <v>1009</v>
      </c>
      <c r="B574" s="36" t="s">
        <v>314</v>
      </c>
      <c r="C574" s="36" t="str">
        <f>_xlfn.CONCAT(Table4[[#This Row],[Ledger Name]],Table4[[#This Row],[Entity Name]])</f>
        <v>ADITYA KAUSHAL Flexi Pay ReimbursementExpora</v>
      </c>
      <c r="D574" s="36" t="s">
        <v>936</v>
      </c>
      <c r="E574" s="49" t="s">
        <v>746</v>
      </c>
      <c r="F574" s="49" t="s">
        <v>195</v>
      </c>
      <c r="G574" s="6" t="s">
        <v>1626</v>
      </c>
    </row>
    <row r="575" spans="1:8" hidden="1">
      <c r="A575" s="36" t="s">
        <v>1010</v>
      </c>
      <c r="B575" s="36" t="s">
        <v>314</v>
      </c>
      <c r="C575" s="36" t="str">
        <f>_xlfn.CONCAT(Table4[[#This Row],[Ledger Name]],Table4[[#This Row],[Entity Name]])</f>
        <v>Ashay Shah Flexi ReimbursementExpora</v>
      </c>
      <c r="D575" s="36" t="s">
        <v>936</v>
      </c>
      <c r="E575" s="49" t="s">
        <v>746</v>
      </c>
      <c r="F575" s="49" t="s">
        <v>195</v>
      </c>
      <c r="G575" s="6" t="s">
        <v>1626</v>
      </c>
    </row>
    <row r="576" spans="1:8" hidden="1">
      <c r="A576" s="36" t="s">
        <v>1011</v>
      </c>
      <c r="B576" s="36" t="s">
        <v>314</v>
      </c>
      <c r="C576" s="36" t="str">
        <f>_xlfn.CONCAT(Table4[[#This Row],[Ledger Name]],Table4[[#This Row],[Entity Name]])</f>
        <v>Devanshu Flexi Pay ReimbusementExpora</v>
      </c>
      <c r="D576" s="36" t="s">
        <v>936</v>
      </c>
      <c r="E576" s="49" t="s">
        <v>746</v>
      </c>
      <c r="F576" s="49" t="s">
        <v>195</v>
      </c>
      <c r="G576" s="6" t="s">
        <v>1626</v>
      </c>
    </row>
    <row r="577" spans="1:7" hidden="1">
      <c r="A577" s="36" t="s">
        <v>1012</v>
      </c>
      <c r="B577" s="36" t="s">
        <v>314</v>
      </c>
      <c r="C577" s="36" t="str">
        <f>_xlfn.CONCAT(Table4[[#This Row],[Ledger Name]],Table4[[#This Row],[Entity Name]])</f>
        <v>Ved Flexi ReimbursementExpora</v>
      </c>
      <c r="D577" s="36" t="s">
        <v>936</v>
      </c>
      <c r="E577" s="49" t="s">
        <v>746</v>
      </c>
      <c r="F577" s="49" t="s">
        <v>195</v>
      </c>
      <c r="G577" s="6" t="s">
        <v>1626</v>
      </c>
    </row>
    <row r="578" spans="1:7" hidden="1">
      <c r="A578" s="36" t="s">
        <v>49</v>
      </c>
      <c r="B578" s="36" t="s">
        <v>314</v>
      </c>
      <c r="C578" s="36" t="str">
        <f>_xlfn.CONCAT(Table4[[#This Row],[Ledger Name]],Table4[[#This Row],[Entity Name]])</f>
        <v>Opening StockExpora</v>
      </c>
      <c r="D578" s="36" t="s">
        <v>936</v>
      </c>
      <c r="E578" s="49">
        <v>0</v>
      </c>
      <c r="F578" s="49">
        <v>0</v>
      </c>
      <c r="G578" s="49">
        <v>0</v>
      </c>
    </row>
    <row r="579" spans="1:7" hidden="1">
      <c r="A579" s="36" t="s">
        <v>47</v>
      </c>
      <c r="B579" s="36" t="s">
        <v>314</v>
      </c>
      <c r="C579" s="36" t="str">
        <f>_xlfn.CONCAT(Table4[[#This Row],[Ledger Name]],Table4[[#This Row],[Entity Name]])</f>
        <v>Closing StockExpora</v>
      </c>
      <c r="D579" s="36" t="s">
        <v>936</v>
      </c>
      <c r="E579" s="49">
        <v>0</v>
      </c>
      <c r="F579" s="49">
        <v>0</v>
      </c>
      <c r="G579" s="101">
        <v>0</v>
      </c>
    </row>
    <row r="580" spans="1:7" hidden="1">
      <c r="A580" s="36" t="s">
        <v>1013</v>
      </c>
      <c r="B580" s="36" t="s">
        <v>314</v>
      </c>
      <c r="C580" s="36" t="str">
        <f>_xlfn.CONCAT(Table4[[#This Row],[Ledger Name]],Table4[[#This Row],[Entity Name]])</f>
        <v>Flexi Food ExpExpora</v>
      </c>
      <c r="D580" s="36" t="s">
        <v>936</v>
      </c>
      <c r="E580" s="49" t="s">
        <v>152</v>
      </c>
      <c r="F580" s="49" t="s">
        <v>2</v>
      </c>
      <c r="G580" s="101" t="s">
        <v>73</v>
      </c>
    </row>
    <row r="581" spans="1:7" hidden="1">
      <c r="A581" s="36" t="s">
        <v>1014</v>
      </c>
      <c r="B581" s="36" t="s">
        <v>314</v>
      </c>
      <c r="C581" s="36" t="str">
        <f>_xlfn.CONCAT(Table4[[#This Row],[Ledger Name]],Table4[[#This Row],[Entity Name]])</f>
        <v>Internet AllowanceExpora</v>
      </c>
      <c r="D581" s="36" t="s">
        <v>936</v>
      </c>
      <c r="E581" s="49" t="s">
        <v>152</v>
      </c>
      <c r="F581" s="49" t="s">
        <v>2</v>
      </c>
      <c r="G581" s="101" t="s">
        <v>73</v>
      </c>
    </row>
    <row r="582" spans="1:7" hidden="1">
      <c r="A582" s="36" t="s">
        <v>1015</v>
      </c>
      <c r="B582" s="36" t="s">
        <v>314</v>
      </c>
      <c r="C582" s="36" t="str">
        <f>_xlfn.CONCAT(Table4[[#This Row],[Ledger Name]],Table4[[#This Row],[Entity Name]])</f>
        <v>Petrol AllowanceExpora</v>
      </c>
      <c r="D582" s="36" t="s">
        <v>936</v>
      </c>
      <c r="E582" s="49" t="s">
        <v>152</v>
      </c>
      <c r="F582" s="49" t="s">
        <v>2</v>
      </c>
      <c r="G582" s="101" t="s">
        <v>73</v>
      </c>
    </row>
    <row r="583" spans="1:7" hidden="1">
      <c r="A583" s="36" t="s">
        <v>1016</v>
      </c>
      <c r="B583" s="36" t="s">
        <v>314</v>
      </c>
      <c r="C583" s="36" t="str">
        <f>_xlfn.CONCAT(Table4[[#This Row],[Ledger Name]],Table4[[#This Row],[Entity Name]])</f>
        <v>Uniform AllowanceExpora</v>
      </c>
      <c r="D583" s="36" t="s">
        <v>936</v>
      </c>
      <c r="E583" s="49" t="s">
        <v>152</v>
      </c>
      <c r="F583" s="49" t="s">
        <v>2</v>
      </c>
      <c r="G583" s="101" t="s">
        <v>73</v>
      </c>
    </row>
    <row r="584" spans="1:7" hidden="1">
      <c r="A584" s="36" t="s">
        <v>1019</v>
      </c>
      <c r="B584" s="36" t="s">
        <v>314</v>
      </c>
      <c r="C584" s="36" t="str">
        <f>_xlfn.CONCAT(Table4[[#This Row],[Ledger Name]],Table4[[#This Row],[Entity Name]])</f>
        <v>2312015963Expora</v>
      </c>
      <c r="D584" s="36" t="s">
        <v>936</v>
      </c>
      <c r="E584" s="49" t="s">
        <v>746</v>
      </c>
      <c r="F584" s="49" t="s">
        <v>52</v>
      </c>
      <c r="G584" s="24" t="s">
        <v>1603</v>
      </c>
    </row>
    <row r="585" spans="1:7" hidden="1">
      <c r="A585" s="36" t="s">
        <v>1020</v>
      </c>
      <c r="B585" s="36" t="s">
        <v>314</v>
      </c>
      <c r="C585" s="36" t="str">
        <f>_xlfn.CONCAT(Table4[[#This Row],[Ledger Name]],Table4[[#This Row],[Entity Name]])</f>
        <v>2405011114Expora</v>
      </c>
      <c r="D585" s="36" t="s">
        <v>936</v>
      </c>
      <c r="E585" s="49" t="s">
        <v>746</v>
      </c>
      <c r="F585" s="49" t="s">
        <v>52</v>
      </c>
      <c r="G585" s="24" t="s">
        <v>1603</v>
      </c>
    </row>
    <row r="586" spans="1:7" hidden="1">
      <c r="A586" s="36" t="s">
        <v>1021</v>
      </c>
      <c r="B586" s="36" t="s">
        <v>314</v>
      </c>
      <c r="C586" s="36" t="str">
        <f>_xlfn.CONCAT(Table4[[#This Row],[Ledger Name]],Table4[[#This Row],[Entity Name]])</f>
        <v>2407002378Expora</v>
      </c>
      <c r="D586" s="36" t="s">
        <v>936</v>
      </c>
      <c r="E586" s="49" t="s">
        <v>746</v>
      </c>
      <c r="F586" s="49" t="s">
        <v>52</v>
      </c>
      <c r="G586" s="24" t="s">
        <v>1603</v>
      </c>
    </row>
    <row r="587" spans="1:7" hidden="1">
      <c r="A587" s="36" t="s">
        <v>1022</v>
      </c>
      <c r="B587" s="36" t="s">
        <v>314</v>
      </c>
      <c r="C587" s="36" t="str">
        <f>_xlfn.CONCAT(Table4[[#This Row],[Ledger Name]],Table4[[#This Row],[Entity Name]])</f>
        <v>2407006674Expora</v>
      </c>
      <c r="D587" s="36" t="s">
        <v>936</v>
      </c>
      <c r="E587" s="49" t="s">
        <v>746</v>
      </c>
      <c r="F587" s="49" t="s">
        <v>52</v>
      </c>
      <c r="G587" s="24" t="s">
        <v>1603</v>
      </c>
    </row>
    <row r="588" spans="1:7" hidden="1">
      <c r="A588" s="36" t="s">
        <v>1023</v>
      </c>
      <c r="B588" s="36" t="s">
        <v>314</v>
      </c>
      <c r="C588" s="36" t="str">
        <f>_xlfn.CONCAT(Table4[[#This Row],[Ledger Name]],Table4[[#This Row],[Entity Name]])</f>
        <v>2407007162Expora</v>
      </c>
      <c r="D588" s="36" t="s">
        <v>936</v>
      </c>
      <c r="E588" s="49" t="s">
        <v>746</v>
      </c>
      <c r="F588" s="49" t="s">
        <v>52</v>
      </c>
      <c r="G588" s="24" t="s">
        <v>1603</v>
      </c>
    </row>
    <row r="589" spans="1:7" hidden="1">
      <c r="A589" s="36" t="s">
        <v>1024</v>
      </c>
      <c r="B589" s="36" t="s">
        <v>314</v>
      </c>
      <c r="C589" s="36" t="str">
        <f>_xlfn.CONCAT(Table4[[#This Row],[Ledger Name]],Table4[[#This Row],[Entity Name]])</f>
        <v>2407012664Expora</v>
      </c>
      <c r="D589" s="36" t="s">
        <v>936</v>
      </c>
      <c r="E589" s="49" t="s">
        <v>746</v>
      </c>
      <c r="F589" s="49" t="s">
        <v>52</v>
      </c>
      <c r="G589" s="24" t="s">
        <v>1603</v>
      </c>
    </row>
    <row r="590" spans="1:7" hidden="1">
      <c r="A590" s="36" t="s">
        <v>1025</v>
      </c>
      <c r="B590" s="36" t="s">
        <v>314</v>
      </c>
      <c r="C590" s="36" t="str">
        <f>_xlfn.CONCAT(Table4[[#This Row],[Ledger Name]],Table4[[#This Row],[Entity Name]])</f>
        <v>2407014908Expora</v>
      </c>
      <c r="D590" s="36" t="s">
        <v>936</v>
      </c>
      <c r="E590" s="49" t="s">
        <v>746</v>
      </c>
      <c r="F590" s="49" t="s">
        <v>52</v>
      </c>
      <c r="G590" s="24" t="s">
        <v>1603</v>
      </c>
    </row>
    <row r="591" spans="1:7" hidden="1">
      <c r="A591" s="36" t="s">
        <v>1026</v>
      </c>
      <c r="B591" s="36" t="s">
        <v>314</v>
      </c>
      <c r="C591" s="36" t="str">
        <f>_xlfn.CONCAT(Table4[[#This Row],[Ledger Name]],Table4[[#This Row],[Entity Name]])</f>
        <v>2407016027Expora</v>
      </c>
      <c r="D591" s="36" t="s">
        <v>936</v>
      </c>
      <c r="E591" s="49" t="s">
        <v>746</v>
      </c>
      <c r="F591" s="49" t="s">
        <v>52</v>
      </c>
      <c r="G591" s="24" t="s">
        <v>1603</v>
      </c>
    </row>
    <row r="592" spans="1:7" hidden="1">
      <c r="A592" s="36" t="s">
        <v>1027</v>
      </c>
      <c r="B592" s="36" t="s">
        <v>314</v>
      </c>
      <c r="C592" s="36" t="str">
        <f>_xlfn.CONCAT(Table4[[#This Row],[Ledger Name]],Table4[[#This Row],[Entity Name]])</f>
        <v>2407016180Expora</v>
      </c>
      <c r="D592" s="36" t="s">
        <v>936</v>
      </c>
      <c r="E592" s="49" t="s">
        <v>746</v>
      </c>
      <c r="F592" s="49" t="s">
        <v>52</v>
      </c>
      <c r="G592" s="24" t="s">
        <v>1603</v>
      </c>
    </row>
    <row r="593" spans="1:7" hidden="1">
      <c r="A593" s="36" t="s">
        <v>1028</v>
      </c>
      <c r="B593" s="36" t="s">
        <v>314</v>
      </c>
      <c r="C593" s="36" t="str">
        <f>_xlfn.CONCAT(Table4[[#This Row],[Ledger Name]],Table4[[#This Row],[Entity Name]])</f>
        <v>2407016185Expora</v>
      </c>
      <c r="D593" s="36" t="s">
        <v>936</v>
      </c>
      <c r="E593" s="49" t="s">
        <v>746</v>
      </c>
      <c r="F593" s="49" t="s">
        <v>52</v>
      </c>
      <c r="G593" s="24" t="s">
        <v>1603</v>
      </c>
    </row>
    <row r="594" spans="1:7" hidden="1">
      <c r="A594" s="36" t="s">
        <v>1029</v>
      </c>
      <c r="B594" s="36" t="s">
        <v>314</v>
      </c>
      <c r="C594" s="36" t="str">
        <f>_xlfn.CONCAT(Table4[[#This Row],[Ledger Name]],Table4[[#This Row],[Entity Name]])</f>
        <v>2407016191Expora</v>
      </c>
      <c r="D594" s="36" t="s">
        <v>936</v>
      </c>
      <c r="E594" s="49" t="s">
        <v>746</v>
      </c>
      <c r="F594" s="49" t="s">
        <v>52</v>
      </c>
      <c r="G594" s="24" t="s">
        <v>1603</v>
      </c>
    </row>
    <row r="595" spans="1:7" hidden="1">
      <c r="A595" s="36" t="s">
        <v>1030</v>
      </c>
      <c r="B595" s="36" t="s">
        <v>314</v>
      </c>
      <c r="C595" s="36" t="str">
        <f>_xlfn.CONCAT(Table4[[#This Row],[Ledger Name]],Table4[[#This Row],[Entity Name]])</f>
        <v>2407016204Expora</v>
      </c>
      <c r="D595" s="36" t="s">
        <v>936</v>
      </c>
      <c r="E595" s="49" t="s">
        <v>746</v>
      </c>
      <c r="F595" s="49" t="s">
        <v>52</v>
      </c>
      <c r="G595" s="24" t="s">
        <v>1603</v>
      </c>
    </row>
    <row r="596" spans="1:7" hidden="1">
      <c r="A596" s="36" t="s">
        <v>1031</v>
      </c>
      <c r="B596" s="36" t="s">
        <v>314</v>
      </c>
      <c r="C596" s="36" t="str">
        <f>_xlfn.CONCAT(Table4[[#This Row],[Ledger Name]],Table4[[#This Row],[Entity Name]])</f>
        <v>2407016205Expora</v>
      </c>
      <c r="D596" s="36" t="s">
        <v>936</v>
      </c>
      <c r="E596" s="49" t="s">
        <v>746</v>
      </c>
      <c r="F596" s="49" t="s">
        <v>52</v>
      </c>
      <c r="G596" s="24" t="s">
        <v>1603</v>
      </c>
    </row>
    <row r="597" spans="1:7" hidden="1">
      <c r="A597" s="36" t="s">
        <v>1032</v>
      </c>
      <c r="B597" s="36" t="s">
        <v>314</v>
      </c>
      <c r="C597" s="36" t="str">
        <f>_xlfn.CONCAT(Table4[[#This Row],[Ledger Name]],Table4[[#This Row],[Entity Name]])</f>
        <v>2407016206Expora</v>
      </c>
      <c r="D597" s="36" t="s">
        <v>936</v>
      </c>
      <c r="E597" s="49" t="s">
        <v>746</v>
      </c>
      <c r="F597" s="49" t="s">
        <v>52</v>
      </c>
      <c r="G597" s="24" t="s">
        <v>1603</v>
      </c>
    </row>
    <row r="598" spans="1:7" hidden="1">
      <c r="A598" s="36" t="s">
        <v>1033</v>
      </c>
      <c r="B598" s="36" t="s">
        <v>314</v>
      </c>
      <c r="C598" s="36" t="str">
        <f>_xlfn.CONCAT(Table4[[#This Row],[Ledger Name]],Table4[[#This Row],[Entity Name]])</f>
        <v>2407018029Expora</v>
      </c>
      <c r="D598" s="36" t="s">
        <v>936</v>
      </c>
      <c r="E598" s="49" t="s">
        <v>746</v>
      </c>
      <c r="F598" s="49" t="s">
        <v>52</v>
      </c>
      <c r="G598" s="24" t="s">
        <v>1603</v>
      </c>
    </row>
    <row r="599" spans="1:7" hidden="1">
      <c r="A599" s="36" t="s">
        <v>1034</v>
      </c>
      <c r="B599" s="36" t="s">
        <v>314</v>
      </c>
      <c r="C599" s="36" t="str">
        <f>_xlfn.CONCAT(Table4[[#This Row],[Ledger Name]],Table4[[#This Row],[Entity Name]])</f>
        <v>2407018256Expora</v>
      </c>
      <c r="D599" s="36" t="s">
        <v>936</v>
      </c>
      <c r="E599" s="49" t="s">
        <v>746</v>
      </c>
      <c r="F599" s="49" t="s">
        <v>52</v>
      </c>
      <c r="G599" s="24" t="s">
        <v>1603</v>
      </c>
    </row>
    <row r="600" spans="1:7" hidden="1">
      <c r="A600" s="36" t="s">
        <v>1035</v>
      </c>
      <c r="B600" s="36" t="s">
        <v>314</v>
      </c>
      <c r="C600" s="36" t="str">
        <f>_xlfn.CONCAT(Table4[[#This Row],[Ledger Name]],Table4[[#This Row],[Entity Name]])</f>
        <v>2407018257Expora</v>
      </c>
      <c r="D600" s="36" t="s">
        <v>936</v>
      </c>
      <c r="E600" s="49" t="s">
        <v>746</v>
      </c>
      <c r="F600" s="49" t="s">
        <v>52</v>
      </c>
      <c r="G600" s="24" t="s">
        <v>1603</v>
      </c>
    </row>
    <row r="601" spans="1:7" hidden="1">
      <c r="A601" s="36" t="s">
        <v>1036</v>
      </c>
      <c r="B601" s="36" t="s">
        <v>314</v>
      </c>
      <c r="C601" s="36" t="str">
        <f>_xlfn.CONCAT(Table4[[#This Row],[Ledger Name]],Table4[[#This Row],[Entity Name]])</f>
        <v>2407018529Expora</v>
      </c>
      <c r="D601" s="36" t="s">
        <v>936</v>
      </c>
      <c r="E601" s="49" t="s">
        <v>746</v>
      </c>
      <c r="F601" s="49" t="s">
        <v>52</v>
      </c>
      <c r="G601" s="24" t="s">
        <v>1603</v>
      </c>
    </row>
    <row r="602" spans="1:7" hidden="1">
      <c r="A602" s="36" t="s">
        <v>1037</v>
      </c>
      <c r="B602" s="36" t="s">
        <v>314</v>
      </c>
      <c r="C602" s="36" t="str">
        <f>_xlfn.CONCAT(Table4[[#This Row],[Ledger Name]],Table4[[#This Row],[Entity Name]])</f>
        <v>2407018532Expora</v>
      </c>
      <c r="D602" s="36" t="s">
        <v>936</v>
      </c>
      <c r="E602" s="49" t="s">
        <v>746</v>
      </c>
      <c r="F602" s="49" t="s">
        <v>52</v>
      </c>
      <c r="G602" s="24" t="s">
        <v>1603</v>
      </c>
    </row>
    <row r="603" spans="1:7" hidden="1">
      <c r="A603" s="36" t="s">
        <v>1017</v>
      </c>
      <c r="B603" s="36" t="s">
        <v>314</v>
      </c>
      <c r="C603" s="36" t="str">
        <f>_xlfn.CONCAT(Table4[[#This Row],[Ledger Name]],Table4[[#This Row],[Entity Name]])</f>
        <v>Lap-C02FWC6FMDMExpora</v>
      </c>
      <c r="D603" s="36" t="s">
        <v>936</v>
      </c>
      <c r="E603" s="49" t="s">
        <v>746</v>
      </c>
      <c r="F603" s="49" t="s">
        <v>31</v>
      </c>
      <c r="G603" s="182" t="s">
        <v>346</v>
      </c>
    </row>
    <row r="604" spans="1:7" hidden="1">
      <c r="A604" s="36" t="s">
        <v>348</v>
      </c>
      <c r="B604" s="36" t="s">
        <v>314</v>
      </c>
      <c r="C604" s="36" t="str">
        <f>_xlfn.CONCAT(Table4[[#This Row],[Ledger Name]],Table4[[#This Row],[Entity Name]])</f>
        <v>ASP/LOC/2324/001Expora</v>
      </c>
      <c r="D604" s="36" t="s">
        <v>936</v>
      </c>
      <c r="E604" s="49" t="s">
        <v>152</v>
      </c>
      <c r="F604" s="49" t="s">
        <v>93</v>
      </c>
      <c r="G604" s="101" t="s">
        <v>138</v>
      </c>
    </row>
    <row r="605" spans="1:7" hidden="1">
      <c r="A605" s="36" t="s">
        <v>350</v>
      </c>
      <c r="B605" s="36" t="s">
        <v>314</v>
      </c>
      <c r="C605" s="36" t="str">
        <f>_xlfn.CONCAT(Table4[[#This Row],[Ledger Name]],Table4[[#This Row],[Entity Name]])</f>
        <v>ASP/LOC/2324/002Expora</v>
      </c>
      <c r="D605" s="36" t="s">
        <v>936</v>
      </c>
      <c r="E605" s="49" t="s">
        <v>152</v>
      </c>
      <c r="F605" s="49" t="s">
        <v>93</v>
      </c>
      <c r="G605" s="101" t="s">
        <v>138</v>
      </c>
    </row>
    <row r="606" spans="1:7" hidden="1">
      <c r="A606" s="36" t="s">
        <v>351</v>
      </c>
      <c r="B606" s="36" t="s">
        <v>314</v>
      </c>
      <c r="C606" s="36" t="str">
        <f>_xlfn.CONCAT(Table4[[#This Row],[Ledger Name]],Table4[[#This Row],[Entity Name]])</f>
        <v>ASP/LOC/2324/003Expora</v>
      </c>
      <c r="D606" s="36" t="s">
        <v>936</v>
      </c>
      <c r="E606" s="49" t="s">
        <v>152</v>
      </c>
      <c r="F606" s="49" t="s">
        <v>93</v>
      </c>
      <c r="G606" s="101" t="s">
        <v>138</v>
      </c>
    </row>
    <row r="607" spans="1:7" hidden="1">
      <c r="A607" s="36" t="s">
        <v>353</v>
      </c>
      <c r="B607" s="36" t="s">
        <v>314</v>
      </c>
      <c r="C607" s="36" t="str">
        <f>_xlfn.CONCAT(Table4[[#This Row],[Ledger Name]],Table4[[#This Row],[Entity Name]])</f>
        <v>ASP/LOC/2324/004Expora</v>
      </c>
      <c r="D607" s="36" t="s">
        <v>936</v>
      </c>
      <c r="E607" s="49" t="s">
        <v>152</v>
      </c>
      <c r="F607" s="49" t="s">
        <v>93</v>
      </c>
      <c r="G607" s="101" t="s">
        <v>138</v>
      </c>
    </row>
    <row r="608" spans="1:7" hidden="1">
      <c r="A608" s="36" t="s">
        <v>354</v>
      </c>
      <c r="B608" s="36" t="s">
        <v>314</v>
      </c>
      <c r="C608" s="36" t="str">
        <f>_xlfn.CONCAT(Table4[[#This Row],[Ledger Name]],Table4[[#This Row],[Entity Name]])</f>
        <v>ASP/LOC/2324/005Expora</v>
      </c>
      <c r="D608" s="36" t="s">
        <v>936</v>
      </c>
      <c r="E608" s="49" t="s">
        <v>152</v>
      </c>
      <c r="F608" s="49" t="s">
        <v>93</v>
      </c>
      <c r="G608" s="101" t="s">
        <v>138</v>
      </c>
    </row>
    <row r="609" spans="1:7" hidden="1">
      <c r="A609" s="36" t="s">
        <v>357</v>
      </c>
      <c r="B609" s="36" t="s">
        <v>314</v>
      </c>
      <c r="C609" s="36" t="str">
        <f>_xlfn.CONCAT(Table4[[#This Row],[Ledger Name]],Table4[[#This Row],[Entity Name]])</f>
        <v>ASP/LOC/2324/006Expora</v>
      </c>
      <c r="D609" s="36" t="s">
        <v>936</v>
      </c>
      <c r="E609" s="49" t="s">
        <v>152</v>
      </c>
      <c r="F609" s="49" t="s">
        <v>93</v>
      </c>
      <c r="G609" s="101" t="s">
        <v>138</v>
      </c>
    </row>
    <row r="610" spans="1:7" hidden="1">
      <c r="A610" s="36" t="s">
        <v>375</v>
      </c>
      <c r="B610" s="36" t="s">
        <v>314</v>
      </c>
      <c r="C610" s="36" t="str">
        <f>_xlfn.CONCAT(Table4[[#This Row],[Ledger Name]],Table4[[#This Row],[Entity Name]])</f>
        <v>ASP/LOC/2324/012Expora</v>
      </c>
      <c r="D610" s="36" t="s">
        <v>936</v>
      </c>
      <c r="E610" s="49" t="s">
        <v>152</v>
      </c>
      <c r="F610" s="49" t="s">
        <v>93</v>
      </c>
      <c r="G610" s="101" t="s">
        <v>138</v>
      </c>
    </row>
    <row r="611" spans="1:7" hidden="1">
      <c r="A611" s="36" t="s">
        <v>376</v>
      </c>
      <c r="B611" s="36" t="s">
        <v>314</v>
      </c>
      <c r="C611" s="36" t="str">
        <f>_xlfn.CONCAT(Table4[[#This Row],[Ledger Name]],Table4[[#This Row],[Entity Name]])</f>
        <v>ASP/LOC/2324/013Expora</v>
      </c>
      <c r="D611" s="36" t="s">
        <v>936</v>
      </c>
      <c r="E611" s="49" t="s">
        <v>152</v>
      </c>
      <c r="F611" s="49" t="s">
        <v>93</v>
      </c>
      <c r="G611" s="101" t="s">
        <v>138</v>
      </c>
    </row>
    <row r="612" spans="1:7" hidden="1">
      <c r="A612" s="36" t="s">
        <v>379</v>
      </c>
      <c r="B612" s="36" t="s">
        <v>314</v>
      </c>
      <c r="C612" s="36" t="str">
        <f>_xlfn.CONCAT(Table4[[#This Row],[Ledger Name]],Table4[[#This Row],[Entity Name]])</f>
        <v>ASP/LOC/2324/014Expora</v>
      </c>
      <c r="D612" s="36" t="s">
        <v>936</v>
      </c>
      <c r="E612" s="49" t="s">
        <v>152</v>
      </c>
      <c r="F612" s="49" t="s">
        <v>93</v>
      </c>
      <c r="G612" s="101" t="s">
        <v>138</v>
      </c>
    </row>
    <row r="613" spans="1:7" hidden="1">
      <c r="A613" s="36" t="s">
        <v>427</v>
      </c>
      <c r="B613" s="36" t="s">
        <v>314</v>
      </c>
      <c r="C613" s="36" t="str">
        <f>_xlfn.CONCAT(Table4[[#This Row],[Ledger Name]],Table4[[#This Row],[Entity Name]])</f>
        <v>ASP/LOC/2324/016Expora</v>
      </c>
      <c r="D613" s="36" t="s">
        <v>936</v>
      </c>
      <c r="E613" s="49" t="s">
        <v>152</v>
      </c>
      <c r="F613" s="49" t="s">
        <v>93</v>
      </c>
      <c r="G613" s="101" t="s">
        <v>138</v>
      </c>
    </row>
    <row r="614" spans="1:7" hidden="1">
      <c r="A614" s="36" t="s">
        <v>428</v>
      </c>
      <c r="B614" s="36" t="s">
        <v>314</v>
      </c>
      <c r="C614" s="36" t="str">
        <f>_xlfn.CONCAT(Table4[[#This Row],[Ledger Name]],Table4[[#This Row],[Entity Name]])</f>
        <v>ASP/LOC/2324/017Expora</v>
      </c>
      <c r="D614" s="36" t="s">
        <v>936</v>
      </c>
      <c r="E614" s="49" t="s">
        <v>152</v>
      </c>
      <c r="F614" s="49" t="s">
        <v>93</v>
      </c>
      <c r="G614" s="101" t="s">
        <v>138</v>
      </c>
    </row>
    <row r="615" spans="1:7" hidden="1">
      <c r="A615" s="36" t="s">
        <v>576</v>
      </c>
      <c r="B615" s="36" t="s">
        <v>314</v>
      </c>
      <c r="C615" s="36" t="str">
        <f>_xlfn.CONCAT(Table4[[#This Row],[Ledger Name]],Table4[[#This Row],[Entity Name]])</f>
        <v>ASP/LOC/2324/020Expora</v>
      </c>
      <c r="D615" s="36" t="s">
        <v>936</v>
      </c>
      <c r="E615" s="49" t="s">
        <v>152</v>
      </c>
      <c r="F615" s="49" t="s">
        <v>93</v>
      </c>
      <c r="G615" s="101" t="s">
        <v>138</v>
      </c>
    </row>
    <row r="616" spans="1:7" hidden="1">
      <c r="A616" s="36" t="s">
        <v>580</v>
      </c>
      <c r="B616" s="36" t="s">
        <v>314</v>
      </c>
      <c r="C616" s="36" t="str">
        <f>_xlfn.CONCAT(Table4[[#This Row],[Ledger Name]],Table4[[#This Row],[Entity Name]])</f>
        <v>ASP/LOC/2324/023Expora</v>
      </c>
      <c r="D616" s="36" t="s">
        <v>936</v>
      </c>
      <c r="E616" s="49" t="s">
        <v>152</v>
      </c>
      <c r="F616" s="49" t="s">
        <v>93</v>
      </c>
      <c r="G616" s="101" t="s">
        <v>138</v>
      </c>
    </row>
    <row r="617" spans="1:7" hidden="1">
      <c r="A617" s="36" t="s">
        <v>603</v>
      </c>
      <c r="B617" s="36" t="s">
        <v>314</v>
      </c>
      <c r="C617" s="36" t="str">
        <f>_xlfn.CONCAT(Table4[[#This Row],[Ledger Name]],Table4[[#This Row],[Entity Name]])</f>
        <v>ASP/LOC/2324/026Expora</v>
      </c>
      <c r="D617" s="36" t="s">
        <v>936</v>
      </c>
      <c r="E617" s="49" t="s">
        <v>152</v>
      </c>
      <c r="F617" s="49" t="s">
        <v>93</v>
      </c>
      <c r="G617" s="101" t="s">
        <v>138</v>
      </c>
    </row>
    <row r="618" spans="1:7" hidden="1">
      <c r="A618" s="36" t="s">
        <v>1050</v>
      </c>
      <c r="B618" s="36" t="s">
        <v>314</v>
      </c>
      <c r="C618" s="36" t="str">
        <f>_xlfn.CONCAT(Table4[[#This Row],[Ledger Name]],Table4[[#This Row],[Entity Name]])</f>
        <v>2024HF280Expora</v>
      </c>
      <c r="D618" s="36" t="s">
        <v>936</v>
      </c>
      <c r="E618" s="49" t="s">
        <v>152</v>
      </c>
      <c r="F618" s="49" t="s">
        <v>93</v>
      </c>
      <c r="G618" s="101" t="s">
        <v>138</v>
      </c>
    </row>
    <row r="619" spans="1:7" hidden="1">
      <c r="A619" s="36" t="s">
        <v>522</v>
      </c>
      <c r="B619" s="36" t="s">
        <v>314</v>
      </c>
      <c r="C619" s="36" t="str">
        <f>_xlfn.CONCAT(Table4[[#This Row],[Ledger Name]],Table4[[#This Row],[Entity Name]])</f>
        <v>Consultant ExpenseExpora</v>
      </c>
      <c r="D619" s="36" t="s">
        <v>936</v>
      </c>
      <c r="E619" s="49" t="s">
        <v>152</v>
      </c>
      <c r="F619" s="49" t="s">
        <v>9</v>
      </c>
      <c r="G619" s="101" t="s">
        <v>114</v>
      </c>
    </row>
    <row r="620" spans="1:7" hidden="1">
      <c r="A620" s="36" t="s">
        <v>202</v>
      </c>
      <c r="B620" s="36" t="s">
        <v>314</v>
      </c>
      <c r="C620" s="36" t="str">
        <f>_xlfn.CONCAT(Table4[[#This Row],[Ledger Name]],Table4[[#This Row],[Entity Name]])</f>
        <v>Bank Charges Against Import/MTT TransactionExpora</v>
      </c>
      <c r="D620" s="36" t="s">
        <v>936</v>
      </c>
      <c r="E620" s="49" t="s">
        <v>152</v>
      </c>
      <c r="F620" s="49" t="s">
        <v>93</v>
      </c>
      <c r="G620" s="101" t="s">
        <v>212</v>
      </c>
    </row>
    <row r="621" spans="1:7" hidden="1">
      <c r="A621" s="36" t="s">
        <v>1051</v>
      </c>
      <c r="B621" s="36" t="s">
        <v>314</v>
      </c>
      <c r="C621" s="36" t="str">
        <f>_xlfn.CONCAT(Table4[[#This Row],[Ledger Name]],Table4[[#This Row],[Entity Name]])</f>
        <v>FG24002AKMExpora</v>
      </c>
      <c r="D621" s="36" t="s">
        <v>936</v>
      </c>
      <c r="E621" s="49" t="s">
        <v>152</v>
      </c>
      <c r="F621" s="49" t="s">
        <v>93</v>
      </c>
      <c r="G621" s="101" t="s">
        <v>138</v>
      </c>
    </row>
    <row r="622" spans="1:7" hidden="1">
      <c r="A622" s="36" t="s">
        <v>1052</v>
      </c>
      <c r="B622" s="36" t="s">
        <v>314</v>
      </c>
      <c r="C622" s="36" t="str">
        <f>_xlfn.CONCAT(Table4[[#This Row],[Ledger Name]],Table4[[#This Row],[Entity Name]])</f>
        <v>FG24003AKMExpora</v>
      </c>
      <c r="D622" s="36" t="s">
        <v>936</v>
      </c>
      <c r="E622" s="49" t="s">
        <v>152</v>
      </c>
      <c r="F622" s="49" t="s">
        <v>93</v>
      </c>
      <c r="G622" s="101" t="s">
        <v>138</v>
      </c>
    </row>
    <row r="623" spans="1:7" hidden="1">
      <c r="A623" s="36" t="s">
        <v>985</v>
      </c>
      <c r="B623" s="36" t="s">
        <v>314</v>
      </c>
      <c r="C623" s="36" t="str">
        <f>_xlfn.CONCAT(Table4[[#This Row],[Ledger Name]],Table4[[#This Row],[Entity Name]])</f>
        <v>SE/2080/4470Expora</v>
      </c>
      <c r="D623" s="36" t="s">
        <v>936</v>
      </c>
      <c r="E623" s="49" t="s">
        <v>152</v>
      </c>
      <c r="F623" s="49" t="s">
        <v>93</v>
      </c>
      <c r="G623" s="101" t="s">
        <v>138</v>
      </c>
    </row>
    <row r="624" spans="1:7" hidden="1">
      <c r="A624" s="36" t="s">
        <v>1053</v>
      </c>
      <c r="B624" s="36" t="s">
        <v>314</v>
      </c>
      <c r="C624" s="36" t="str">
        <f>_xlfn.CONCAT(Table4[[#This Row],[Ledger Name]],Table4[[#This Row],[Entity Name]])</f>
        <v>SE/2080/4504Expora</v>
      </c>
      <c r="D624" s="36" t="s">
        <v>936</v>
      </c>
      <c r="E624" s="49" t="s">
        <v>152</v>
      </c>
      <c r="F624" s="49" t="s">
        <v>93</v>
      </c>
      <c r="G624" s="101" t="s">
        <v>138</v>
      </c>
    </row>
    <row r="625" spans="1:7" hidden="1">
      <c r="A625" s="36" t="s">
        <v>1054</v>
      </c>
      <c r="B625" s="36" t="s">
        <v>314</v>
      </c>
      <c r="C625" s="36" t="str">
        <f>_xlfn.CONCAT(Table4[[#This Row],[Ledger Name]],Table4[[#This Row],[Entity Name]])</f>
        <v>TAEXP2324020Expora</v>
      </c>
      <c r="D625" s="36" t="s">
        <v>936</v>
      </c>
      <c r="E625" s="49" t="s">
        <v>152</v>
      </c>
      <c r="F625" s="49" t="s">
        <v>93</v>
      </c>
      <c r="G625" s="101" t="s">
        <v>138</v>
      </c>
    </row>
    <row r="626" spans="1:7" hidden="1">
      <c r="A626" s="36" t="s">
        <v>1055</v>
      </c>
      <c r="B626" s="36" t="s">
        <v>314</v>
      </c>
      <c r="C626" s="36" t="str">
        <f>_xlfn.CONCAT(Table4[[#This Row],[Ledger Name]],Table4[[#This Row],[Entity Name]])</f>
        <v>TAEXP2425020Expora</v>
      </c>
      <c r="D626" s="36" t="s">
        <v>936</v>
      </c>
      <c r="E626" s="49" t="s">
        <v>152</v>
      </c>
      <c r="F626" s="49" t="s">
        <v>93</v>
      </c>
      <c r="G626" s="101" t="s">
        <v>138</v>
      </c>
    </row>
    <row r="627" spans="1:7" hidden="1">
      <c r="A627" s="36" t="s">
        <v>1056</v>
      </c>
      <c r="B627" s="36" t="s">
        <v>314</v>
      </c>
      <c r="C627" s="36" t="str">
        <f>_xlfn.CONCAT(Table4[[#This Row],[Ledger Name]],Table4[[#This Row],[Entity Name]])</f>
        <v>TAEXP2425021Expora</v>
      </c>
      <c r="D627" s="36" t="s">
        <v>936</v>
      </c>
      <c r="E627" s="49" t="s">
        <v>152</v>
      </c>
      <c r="F627" s="49" t="s">
        <v>93</v>
      </c>
      <c r="G627" s="101" t="s">
        <v>138</v>
      </c>
    </row>
    <row r="628" spans="1:7" hidden="1">
      <c r="A628" s="36" t="s">
        <v>1057</v>
      </c>
      <c r="B628" s="36" t="s">
        <v>314</v>
      </c>
      <c r="C628" s="36" t="str">
        <f>_xlfn.CONCAT(Table4[[#This Row],[Ledger Name]],Table4[[#This Row],[Entity Name]])</f>
        <v>TAEXP2425022Expora</v>
      </c>
      <c r="D628" s="36" t="s">
        <v>936</v>
      </c>
      <c r="E628" s="49" t="s">
        <v>152</v>
      </c>
      <c r="F628" s="49" t="s">
        <v>93</v>
      </c>
      <c r="G628" s="101" t="s">
        <v>138</v>
      </c>
    </row>
    <row r="629" spans="1:7" hidden="1">
      <c r="A629" s="36" t="s">
        <v>1058</v>
      </c>
      <c r="B629" s="36" t="s">
        <v>314</v>
      </c>
      <c r="C629" s="36" t="str">
        <f>_xlfn.CONCAT(Table4[[#This Row],[Ledger Name]],Table4[[#This Row],[Entity Name]])</f>
        <v>TALOC2425096Expora</v>
      </c>
      <c r="D629" s="36" t="s">
        <v>936</v>
      </c>
      <c r="E629" s="49" t="s">
        <v>152</v>
      </c>
      <c r="F629" s="49" t="s">
        <v>93</v>
      </c>
      <c r="G629" s="101" t="s">
        <v>138</v>
      </c>
    </row>
    <row r="630" spans="1:7" hidden="1">
      <c r="A630" s="36" t="s">
        <v>1059</v>
      </c>
      <c r="B630" s="36" t="s">
        <v>314</v>
      </c>
      <c r="C630" s="36" t="str">
        <f>_xlfn.CONCAT(Table4[[#This Row],[Ledger Name]],Table4[[#This Row],[Entity Name]])</f>
        <v>Interest On ICDExpora</v>
      </c>
      <c r="D630" s="36" t="s">
        <v>936</v>
      </c>
      <c r="E630" s="49" t="s">
        <v>152</v>
      </c>
      <c r="F630" s="49" t="s">
        <v>315</v>
      </c>
      <c r="G630" s="101" t="s">
        <v>1062</v>
      </c>
    </row>
    <row r="631" spans="1:7" hidden="1">
      <c r="A631" s="36" t="s">
        <v>1049</v>
      </c>
      <c r="B631" s="36" t="s">
        <v>314</v>
      </c>
      <c r="C631" s="36" t="str">
        <f>_xlfn.CONCAT(Table4[[#This Row],[Ledger Name]],Table4[[#This Row],[Entity Name]])</f>
        <v>PC D13319029Expora</v>
      </c>
      <c r="D631" s="36" t="s">
        <v>936</v>
      </c>
      <c r="E631" s="49" t="s">
        <v>746</v>
      </c>
      <c r="F631" s="49" t="s">
        <v>345</v>
      </c>
      <c r="G631" s="101" t="s">
        <v>278</v>
      </c>
    </row>
    <row r="632" spans="1:7" hidden="1">
      <c r="A632" s="36" t="s">
        <v>1046</v>
      </c>
      <c r="B632" s="36" t="s">
        <v>314</v>
      </c>
      <c r="C632" s="36" t="str">
        <f>_xlfn.CONCAT(Table4[[#This Row],[Ledger Name]],Table4[[#This Row],[Entity Name]])</f>
        <v>JGT/2024/12022Expora</v>
      </c>
      <c r="D632" s="36" t="s">
        <v>936</v>
      </c>
      <c r="E632" s="49" t="s">
        <v>746</v>
      </c>
      <c r="F632" s="49" t="s">
        <v>345</v>
      </c>
      <c r="G632" s="101" t="s">
        <v>278</v>
      </c>
    </row>
    <row r="633" spans="1:7" hidden="1">
      <c r="A633" s="36" t="s">
        <v>1048</v>
      </c>
      <c r="B633" s="36" t="s">
        <v>314</v>
      </c>
      <c r="C633" s="36" t="str">
        <f>_xlfn.CONCAT(Table4[[#This Row],[Ledger Name]],Table4[[#This Row],[Entity Name]])</f>
        <v>JGT/2024/12019Expora</v>
      </c>
      <c r="D633" s="36" t="s">
        <v>936</v>
      </c>
      <c r="E633" s="49" t="s">
        <v>746</v>
      </c>
      <c r="F633" s="49" t="s">
        <v>345</v>
      </c>
      <c r="G633" s="101" t="s">
        <v>278</v>
      </c>
    </row>
    <row r="634" spans="1:7" hidden="1">
      <c r="A634" s="36" t="s">
        <v>1038</v>
      </c>
      <c r="B634" s="36" t="s">
        <v>314</v>
      </c>
      <c r="C634" s="36" t="str">
        <f>_xlfn.CONCAT(Table4[[#This Row],[Ledger Name]],Table4[[#This Row],[Entity Name]])</f>
        <v>Total for Rodtep ReceivableExpora</v>
      </c>
      <c r="D634" s="36" t="s">
        <v>936</v>
      </c>
      <c r="E634" s="49" t="s">
        <v>152</v>
      </c>
      <c r="F634" s="49" t="s">
        <v>189</v>
      </c>
      <c r="G634" s="101" t="s">
        <v>313</v>
      </c>
    </row>
    <row r="635" spans="1:7" hidden="1">
      <c r="A635" s="36" t="s">
        <v>1039</v>
      </c>
      <c r="B635" s="36" t="s">
        <v>314</v>
      </c>
      <c r="C635" s="36" t="str">
        <f>_xlfn.CONCAT(Table4[[#This Row],[Ledger Name]],Table4[[#This Row],[Entity Name]])</f>
        <v>Total for Employee Flexi Pay ReimbursementExpora</v>
      </c>
      <c r="D635" s="36" t="s">
        <v>952</v>
      </c>
      <c r="E635" s="49">
        <v>0</v>
      </c>
      <c r="F635" s="49">
        <v>0</v>
      </c>
      <c r="G635" s="101">
        <v>0</v>
      </c>
    </row>
    <row r="636" spans="1:7" hidden="1">
      <c r="A636" s="36" t="s">
        <v>1044</v>
      </c>
      <c r="B636" s="36" t="s">
        <v>314</v>
      </c>
      <c r="C636" s="36" t="str">
        <f>_xlfn.CONCAT(Table4[[#This Row],[Ledger Name]],Table4[[#This Row],[Entity Name]])</f>
        <v>Total for F02EBOU241845001Expora</v>
      </c>
      <c r="D636" s="36" t="s">
        <v>952</v>
      </c>
      <c r="E636" s="49">
        <v>0</v>
      </c>
      <c r="F636" s="49">
        <v>0</v>
      </c>
      <c r="G636" s="101">
        <v>0</v>
      </c>
    </row>
    <row r="637" spans="1:7" hidden="1">
      <c r="A637" s="36" t="s">
        <v>1047</v>
      </c>
      <c r="B637" s="36" t="s">
        <v>314</v>
      </c>
      <c r="C637" s="36" t="str">
        <f>_xlfn.CONCAT(Table4[[#This Row],[Ledger Name]],Table4[[#This Row],[Entity Name]])</f>
        <v>Total for F02PCFC242125002Expora</v>
      </c>
      <c r="D637" s="36" t="s">
        <v>952</v>
      </c>
      <c r="E637" s="49">
        <v>0</v>
      </c>
      <c r="F637" s="49">
        <v>0</v>
      </c>
      <c r="G637" s="101">
        <v>0</v>
      </c>
    </row>
    <row r="638" spans="1:7" hidden="1">
      <c r="A638" s="36" t="s">
        <v>1018</v>
      </c>
      <c r="B638" s="36" t="s">
        <v>314</v>
      </c>
      <c r="C638" s="36" t="str">
        <f>_xlfn.CONCAT(Table4[[#This Row],[Ledger Name]],Table4[[#This Row],[Entity Name]])</f>
        <v>Import IGSTExpora</v>
      </c>
      <c r="D638" s="36" t="s">
        <v>936</v>
      </c>
      <c r="E638" s="49" t="s">
        <v>746</v>
      </c>
      <c r="F638" s="49" t="s">
        <v>52</v>
      </c>
      <c r="G638" s="24" t="s">
        <v>1604</v>
      </c>
    </row>
    <row r="639" spans="1:7" hidden="1">
      <c r="A639" s="36" t="s">
        <v>1007</v>
      </c>
      <c r="B639" s="36" t="s">
        <v>314</v>
      </c>
      <c r="C639" s="36" t="str">
        <f>_xlfn.CONCAT(Table4[[#This Row],[Ledger Name]],Table4[[#This Row],[Entity Name]])</f>
        <v>Employee Flexi Pay ReimbursementExpora</v>
      </c>
      <c r="D639" s="36" t="s">
        <v>936</v>
      </c>
      <c r="E639" s="49" t="s">
        <v>746</v>
      </c>
      <c r="F639" s="49" t="s">
        <v>195</v>
      </c>
      <c r="G639" s="6" t="s">
        <v>1626</v>
      </c>
    </row>
    <row r="640" spans="1:7" hidden="1">
      <c r="A640" s="36" t="s">
        <v>1040</v>
      </c>
      <c r="B640" s="36" t="s">
        <v>314</v>
      </c>
      <c r="C640" s="36" t="str">
        <f>_xlfn.CONCAT(Table4[[#This Row],[Ledger Name]],Table4[[#This Row],[Entity Name]])</f>
        <v>Import Duty PayableExpora</v>
      </c>
      <c r="D640" s="36" t="s">
        <v>936</v>
      </c>
      <c r="E640" s="49" t="s">
        <v>746</v>
      </c>
      <c r="F640" s="49" t="s">
        <v>63</v>
      </c>
      <c r="G640" s="6" t="s">
        <v>63</v>
      </c>
    </row>
    <row r="641" spans="1:7" hidden="1">
      <c r="A641" s="36" t="s">
        <v>1041</v>
      </c>
      <c r="B641" s="36" t="s">
        <v>314</v>
      </c>
      <c r="C641" s="36" t="str">
        <f>_xlfn.CONCAT(Table4[[#This Row],[Ledger Name]],Table4[[#This Row],[Entity Name]])</f>
        <v>Interest on ICD paybleExpora</v>
      </c>
      <c r="D641" s="36" t="s">
        <v>936</v>
      </c>
      <c r="E641" s="49" t="s">
        <v>746</v>
      </c>
      <c r="F641" s="49" t="s">
        <v>1063</v>
      </c>
      <c r="G641" s="6" t="s">
        <v>1063</v>
      </c>
    </row>
    <row r="642" spans="1:7" hidden="1">
      <c r="A642" s="36" t="s">
        <v>1042</v>
      </c>
      <c r="B642" s="36" t="s">
        <v>314</v>
      </c>
      <c r="C642" s="36" t="str">
        <f>_xlfn.CONCAT(Table4[[#This Row],[Ledger Name]],Table4[[#This Row],[Entity Name]])</f>
        <v>F02EBOU241845001Expora</v>
      </c>
      <c r="D642" s="36" t="s">
        <v>936</v>
      </c>
      <c r="E642" s="49" t="s">
        <v>746</v>
      </c>
      <c r="F642" s="49" t="s">
        <v>345</v>
      </c>
      <c r="G642" s="101" t="s">
        <v>278</v>
      </c>
    </row>
    <row r="643" spans="1:7" hidden="1">
      <c r="A643" s="36" t="s">
        <v>1043</v>
      </c>
      <c r="B643" s="36" t="s">
        <v>314</v>
      </c>
      <c r="C643" s="36" t="str">
        <f>_xlfn.CONCAT(Table4[[#This Row],[Ledger Name]],Table4[[#This Row],[Entity Name]])</f>
        <v>Loan TAEXP2425017 BDExpora</v>
      </c>
      <c r="D643" s="36" t="s">
        <v>936</v>
      </c>
      <c r="E643" s="49" t="s">
        <v>746</v>
      </c>
      <c r="F643" s="49" t="s">
        <v>23</v>
      </c>
      <c r="G643" s="24" t="s">
        <v>968</v>
      </c>
    </row>
    <row r="644" spans="1:7" hidden="1">
      <c r="A644" s="36" t="s">
        <v>1045</v>
      </c>
      <c r="B644" s="36" t="s">
        <v>314</v>
      </c>
      <c r="C644" s="36" t="str">
        <f>_xlfn.CONCAT(Table4[[#This Row],[Ledger Name]],Table4[[#This Row],[Entity Name]])</f>
        <v>F02PCFC242125002Expora</v>
      </c>
      <c r="D644" s="36" t="s">
        <v>936</v>
      </c>
      <c r="E644" s="49" t="s">
        <v>746</v>
      </c>
      <c r="F644" s="49" t="s">
        <v>345</v>
      </c>
      <c r="G644" s="101" t="s">
        <v>278</v>
      </c>
    </row>
    <row r="645" spans="1:7" hidden="1">
      <c r="A645" s="36" t="s">
        <v>760</v>
      </c>
      <c r="B645" s="36" t="s">
        <v>314</v>
      </c>
      <c r="C645" s="36" t="str">
        <f>_xlfn.CONCAT(Table4[[#This Row],[Ledger Name]],Table4[[#This Row],[Entity Name]])</f>
        <v>Cash DiscountExpora</v>
      </c>
      <c r="D645" s="36" t="s">
        <v>936</v>
      </c>
      <c r="E645" s="49" t="s">
        <v>152</v>
      </c>
      <c r="F645" s="49" t="s">
        <v>1</v>
      </c>
      <c r="G645" s="75" t="s">
        <v>599</v>
      </c>
    </row>
    <row r="646" spans="1:7" hidden="1">
      <c r="A646" s="36" t="s">
        <v>1060</v>
      </c>
      <c r="B646" s="36" t="s">
        <v>314</v>
      </c>
      <c r="C646" s="36" t="str">
        <f>_xlfn.CONCAT(Table4[[#This Row],[Ledger Name]],Table4[[#This Row],[Entity Name]])</f>
        <v>Purchase DiscountsExpora</v>
      </c>
      <c r="D646" s="36" t="s">
        <v>936</v>
      </c>
      <c r="E646" s="49" t="s">
        <v>152</v>
      </c>
      <c r="F646" s="49" t="s">
        <v>1</v>
      </c>
      <c r="G646" s="75" t="s">
        <v>599</v>
      </c>
    </row>
    <row r="647" spans="1:7" hidden="1">
      <c r="A647" s="36" t="s">
        <v>1061</v>
      </c>
      <c r="B647" s="36" t="s">
        <v>314</v>
      </c>
      <c r="C647" s="36" t="str">
        <f>_xlfn.CONCAT(Table4[[#This Row],[Ledger Name]],Table4[[#This Row],[Entity Name]])</f>
        <v>RATE DIFFRANCEExpora</v>
      </c>
      <c r="D647" s="36" t="s">
        <v>936</v>
      </c>
      <c r="E647" s="49" t="s">
        <v>152</v>
      </c>
      <c r="F647" s="49" t="s">
        <v>93</v>
      </c>
      <c r="G647" s="101" t="s">
        <v>184</v>
      </c>
    </row>
    <row r="648" spans="1:7" hidden="1">
      <c r="A648" s="36" t="s">
        <v>604</v>
      </c>
      <c r="B648" s="36" t="s">
        <v>314</v>
      </c>
      <c r="C648" s="36" t="str">
        <f>_xlfn.CONCAT(Table4[[#This Row],[Ledger Name]],Table4[[#This Row],[Entity Name]])</f>
        <v>Round offExpora</v>
      </c>
      <c r="D648" s="36" t="s">
        <v>936</v>
      </c>
      <c r="E648" s="49" t="s">
        <v>152</v>
      </c>
      <c r="F648" s="49" t="s">
        <v>153</v>
      </c>
      <c r="G648" s="101" t="s">
        <v>13</v>
      </c>
    </row>
    <row r="649" spans="1:7" hidden="1">
      <c r="A649" s="36" t="s">
        <v>986</v>
      </c>
      <c r="B649" s="36" t="s">
        <v>314</v>
      </c>
      <c r="C649" s="36" t="str">
        <f>_xlfn.CONCAT(Table4[[#This Row],[Ledger Name]],Table4[[#This Row],[Entity Name]])</f>
        <v>SE/2080/4500Expora</v>
      </c>
      <c r="D649" s="36" t="s">
        <v>936</v>
      </c>
      <c r="E649" s="49" t="s">
        <v>152</v>
      </c>
      <c r="F649" s="49" t="s">
        <v>93</v>
      </c>
      <c r="G649" s="101" t="s">
        <v>138</v>
      </c>
    </row>
    <row r="650" spans="1:7" hidden="1">
      <c r="A650" s="36" t="s">
        <v>1076</v>
      </c>
      <c r="B650" s="36" t="s">
        <v>826</v>
      </c>
      <c r="C650" s="36" t="str">
        <f>_xlfn.CONCAT(Table4[[#This Row],[Ledger Name]],Table4[[#This Row],[Entity Name]])</f>
        <v>Sewerage DepositArha General Trading Co (AGT)</v>
      </c>
      <c r="D650" s="36" t="s">
        <v>936</v>
      </c>
      <c r="E650" s="49" t="s">
        <v>746</v>
      </c>
      <c r="F650" s="49" t="s">
        <v>52</v>
      </c>
      <c r="G650" s="101" t="s">
        <v>1602</v>
      </c>
    </row>
    <row r="651" spans="1:7" hidden="1">
      <c r="A651" s="36" t="s">
        <v>1078</v>
      </c>
      <c r="B651" s="36" t="s">
        <v>826</v>
      </c>
      <c r="C651" s="36" t="str">
        <f>_xlfn.CONCAT(Table4[[#This Row],[Ledger Name]],Table4[[#This Row],[Entity Name]])</f>
        <v>Prepaid Manish House RentArha General Trading Co (AGT)</v>
      </c>
      <c r="D651" s="36" t="s">
        <v>936</v>
      </c>
      <c r="E651" s="49" t="s">
        <v>746</v>
      </c>
      <c r="F651" s="49" t="s">
        <v>52</v>
      </c>
      <c r="G651" s="101" t="s">
        <v>1602</v>
      </c>
    </row>
    <row r="652" spans="1:7" hidden="1">
      <c r="A652" s="36" t="s">
        <v>1079</v>
      </c>
      <c r="B652" s="36" t="s">
        <v>826</v>
      </c>
      <c r="C652" s="36" t="str">
        <f>_xlfn.CONCAT(Table4[[#This Row],[Ledger Name]],Table4[[#This Row],[Entity Name]])</f>
        <v>Total for Prepaid RentArha General Trading Co (AGT)</v>
      </c>
      <c r="D652" s="36" t="s">
        <v>952</v>
      </c>
      <c r="E652" s="49">
        <v>0</v>
      </c>
      <c r="F652" s="49">
        <v>0</v>
      </c>
      <c r="G652" s="101">
        <v>0</v>
      </c>
    </row>
    <row r="653" spans="1:7" hidden="1">
      <c r="A653" s="36" t="s">
        <v>136</v>
      </c>
      <c r="B653" s="36" t="s">
        <v>826</v>
      </c>
      <c r="C653" s="36" t="str">
        <f>_xlfn.CONCAT(Table4[[#This Row],[Ledger Name]],Table4[[#This Row],[Entity Name]])</f>
        <v>Provision for ExpensesArha General Trading Co (AGT)</v>
      </c>
      <c r="D653" s="36" t="s">
        <v>936</v>
      </c>
      <c r="E653" s="49" t="s">
        <v>746</v>
      </c>
      <c r="F653" s="49" t="s">
        <v>195</v>
      </c>
      <c r="G653" s="24" t="s">
        <v>1624</v>
      </c>
    </row>
    <row r="654" spans="1:7" hidden="1">
      <c r="A654" s="36" t="s">
        <v>1080</v>
      </c>
      <c r="B654" s="36" t="s">
        <v>826</v>
      </c>
      <c r="C654" s="36" t="str">
        <f>_xlfn.CONCAT(Table4[[#This Row],[Ledger Name]],Table4[[#This Row],[Entity Name]])</f>
        <v>Detention and Demurrage ChgArha General Trading Co (AGT)</v>
      </c>
      <c r="D654" s="36" t="s">
        <v>936</v>
      </c>
      <c r="E654" s="49" t="s">
        <v>152</v>
      </c>
      <c r="F654" s="49" t="s">
        <v>93</v>
      </c>
      <c r="G654" s="101" t="s">
        <v>184</v>
      </c>
    </row>
    <row r="655" spans="1:7" hidden="1">
      <c r="A655" s="36" t="s">
        <v>12</v>
      </c>
      <c r="B655" s="36" t="s">
        <v>826</v>
      </c>
      <c r="C655" s="36" t="str">
        <f>_xlfn.CONCAT(Table4[[#This Row],[Ledger Name]],Table4[[#This Row],[Entity Name]])</f>
        <v>Legal ExpensesArha General Trading Co (AGT)</v>
      </c>
      <c r="D655" s="36" t="s">
        <v>936</v>
      </c>
      <c r="E655" s="49" t="s">
        <v>152</v>
      </c>
      <c r="F655" s="49" t="s">
        <v>9</v>
      </c>
      <c r="G655" s="101" t="s">
        <v>12</v>
      </c>
    </row>
    <row r="656" spans="1:7" hidden="1">
      <c r="A656" s="36" t="s">
        <v>1081</v>
      </c>
      <c r="B656" s="36" t="s">
        <v>314</v>
      </c>
      <c r="C656" s="36" t="str">
        <f>_xlfn.CONCAT(Table4[[#This Row],[Ledger Name]],Table4[[#This Row],[Entity Name]])</f>
        <v>PP bag chargesExpora</v>
      </c>
      <c r="D656" s="36" t="s">
        <v>936</v>
      </c>
      <c r="E656" s="49" t="s">
        <v>152</v>
      </c>
      <c r="F656" s="49" t="s">
        <v>93</v>
      </c>
      <c r="G656" s="101" t="s">
        <v>184</v>
      </c>
    </row>
    <row r="657" spans="1:7" hidden="1">
      <c r="A657" s="36" t="s">
        <v>970</v>
      </c>
      <c r="B657" s="36" t="s">
        <v>314</v>
      </c>
      <c r="C657" s="36" t="str">
        <f>_xlfn.CONCAT(Table4[[#This Row],[Ledger Name]],Table4[[#This Row],[Entity Name]])</f>
        <v>TALOC2425055Expora</v>
      </c>
      <c r="D657" s="36" t="s">
        <v>936</v>
      </c>
      <c r="E657" s="49" t="s">
        <v>152</v>
      </c>
      <c r="F657" s="49" t="s">
        <v>93</v>
      </c>
      <c r="G657" s="101" t="s">
        <v>138</v>
      </c>
    </row>
    <row r="658" spans="1:7" hidden="1">
      <c r="A658" s="36" t="s">
        <v>981</v>
      </c>
      <c r="B658" s="36" t="s">
        <v>314</v>
      </c>
      <c r="C658" s="36" t="str">
        <f>_xlfn.CONCAT(Table4[[#This Row],[Ledger Name]],Table4[[#This Row],[Entity Name]])</f>
        <v>TALOC2425076Expora</v>
      </c>
      <c r="D658" s="36" t="s">
        <v>936</v>
      </c>
      <c r="E658" s="49" t="s">
        <v>152</v>
      </c>
      <c r="F658" s="49" t="s">
        <v>93</v>
      </c>
      <c r="G658" s="101" t="s">
        <v>138</v>
      </c>
    </row>
    <row r="659" spans="1:7" hidden="1">
      <c r="A659" s="36" t="s">
        <v>982</v>
      </c>
      <c r="B659" s="36" t="s">
        <v>314</v>
      </c>
      <c r="C659" s="36" t="str">
        <f>_xlfn.CONCAT(Table4[[#This Row],[Ledger Name]],Table4[[#This Row],[Entity Name]])</f>
        <v>TALOC2425077Expora</v>
      </c>
      <c r="D659" s="36" t="s">
        <v>936</v>
      </c>
      <c r="E659" s="49" t="s">
        <v>152</v>
      </c>
      <c r="F659" s="49" t="s">
        <v>93</v>
      </c>
      <c r="G659" s="101" t="s">
        <v>138</v>
      </c>
    </row>
    <row r="660" spans="1:7" hidden="1">
      <c r="A660" s="36" t="s">
        <v>983</v>
      </c>
      <c r="B660" s="36" t="s">
        <v>314</v>
      </c>
      <c r="C660" s="36" t="str">
        <f>_xlfn.CONCAT(Table4[[#This Row],[Ledger Name]],Table4[[#This Row],[Entity Name]])</f>
        <v>TALOC2425078Expora</v>
      </c>
      <c r="D660" s="36" t="s">
        <v>936</v>
      </c>
      <c r="E660" s="49" t="s">
        <v>152</v>
      </c>
      <c r="F660" s="49" t="s">
        <v>93</v>
      </c>
      <c r="G660" s="101" t="s">
        <v>138</v>
      </c>
    </row>
    <row r="661" spans="1:7" hidden="1">
      <c r="A661" s="36" t="s">
        <v>984</v>
      </c>
      <c r="B661" s="36" t="s">
        <v>314</v>
      </c>
      <c r="C661" s="36" t="str">
        <f>_xlfn.CONCAT(Table4[[#This Row],[Ledger Name]],Table4[[#This Row],[Entity Name]])</f>
        <v>TALOC2425081Expora</v>
      </c>
      <c r="D661" s="36" t="s">
        <v>936</v>
      </c>
      <c r="E661" s="49" t="s">
        <v>152</v>
      </c>
      <c r="F661" s="49" t="s">
        <v>93</v>
      </c>
      <c r="G661" s="101" t="s">
        <v>138</v>
      </c>
    </row>
    <row r="662" spans="1:7" hidden="1">
      <c r="A662" s="36" t="s">
        <v>1075</v>
      </c>
      <c r="B662" s="36" t="s">
        <v>314</v>
      </c>
      <c r="C662" s="36" t="str">
        <f>_xlfn.CONCAT(Table4[[#This Row],[Ledger Name]],Table4[[#This Row],[Entity Name]])</f>
        <v>TALOCJA2425098Expora</v>
      </c>
      <c r="D662" s="36" t="s">
        <v>936</v>
      </c>
      <c r="E662" s="49" t="s">
        <v>152</v>
      </c>
      <c r="F662" s="49" t="s">
        <v>93</v>
      </c>
      <c r="G662" s="101" t="s">
        <v>138</v>
      </c>
    </row>
    <row r="663" spans="1:7" hidden="1">
      <c r="A663" s="36" t="s">
        <v>1064</v>
      </c>
      <c r="B663" s="36" t="s">
        <v>314</v>
      </c>
      <c r="C663" s="36" t="str">
        <f>_xlfn.CONCAT(Table4[[#This Row],[Ledger Name]],Table4[[#This Row],[Entity Name]])</f>
        <v>TALOC2425082Expora</v>
      </c>
      <c r="D663" s="36" t="s">
        <v>936</v>
      </c>
      <c r="E663" s="49" t="s">
        <v>152</v>
      </c>
      <c r="F663" s="49" t="s">
        <v>93</v>
      </c>
      <c r="G663" s="101" t="s">
        <v>138</v>
      </c>
    </row>
    <row r="664" spans="1:7" hidden="1">
      <c r="A664" s="36" t="s">
        <v>1713</v>
      </c>
      <c r="B664" s="36" t="s">
        <v>825</v>
      </c>
      <c r="C664" s="36" t="str">
        <f>_xlfn.CONCAT(Table4[[#This Row],[Ledger Name]],Table4[[#This Row],[Entity Name]])</f>
        <v>126/24-25Aspirach Lanka</v>
      </c>
      <c r="D664" s="36" t="s">
        <v>936</v>
      </c>
      <c r="E664" s="36" t="s">
        <v>152</v>
      </c>
      <c r="F664" s="49" t="s">
        <v>93</v>
      </c>
      <c r="G664" s="101" t="s">
        <v>138</v>
      </c>
    </row>
    <row r="665" spans="1:7" hidden="1">
      <c r="A665" s="36" t="s">
        <v>1714</v>
      </c>
      <c r="B665" s="36" t="s">
        <v>825</v>
      </c>
      <c r="C665" s="36" t="str">
        <f>_xlfn.CONCAT(Table4[[#This Row],[Ledger Name]],Table4[[#This Row],[Entity Name]])</f>
        <v>135/24-25Aspirach Lanka</v>
      </c>
      <c r="D665" s="36" t="s">
        <v>936</v>
      </c>
      <c r="E665" s="36" t="s">
        <v>152</v>
      </c>
      <c r="F665" s="49" t="s">
        <v>93</v>
      </c>
      <c r="G665" s="101" t="s">
        <v>138</v>
      </c>
    </row>
    <row r="666" spans="1:7" hidden="1">
      <c r="A666" s="36" t="s">
        <v>1717</v>
      </c>
      <c r="B666" s="36" t="s">
        <v>825</v>
      </c>
      <c r="C666" s="36" t="str">
        <f>_xlfn.CONCAT(Table4[[#This Row],[Ledger Name]],Table4[[#This Row],[Entity Name]])</f>
        <v>196/24-25Aspirach Lanka</v>
      </c>
      <c r="D666" s="36" t="s">
        <v>936</v>
      </c>
      <c r="E666" s="36" t="s">
        <v>152</v>
      </c>
      <c r="F666" s="49" t="s">
        <v>93</v>
      </c>
      <c r="G666" s="101" t="s">
        <v>138</v>
      </c>
    </row>
    <row r="667" spans="1:7" hidden="1">
      <c r="A667" s="36" t="s">
        <v>523</v>
      </c>
      <c r="B667" s="36" t="s">
        <v>825</v>
      </c>
      <c r="C667" s="36" t="str">
        <f>_xlfn.CONCAT(Table4[[#This Row],[Ledger Name]],Table4[[#This Row],[Entity Name]])</f>
        <v>Cost of Goods SoldAspirach Lanka</v>
      </c>
      <c r="D667" s="36" t="s">
        <v>936</v>
      </c>
      <c r="E667" s="36" t="s">
        <v>152</v>
      </c>
      <c r="F667" s="49" t="s">
        <v>93</v>
      </c>
      <c r="G667" s="101" t="s">
        <v>50</v>
      </c>
    </row>
    <row r="668" spans="1:7" hidden="1">
      <c r="A668" s="36" t="s">
        <v>17</v>
      </c>
      <c r="B668" s="36" t="s">
        <v>825</v>
      </c>
      <c r="C668" s="36" t="str">
        <f>_xlfn.CONCAT(Table4[[#This Row],[Ledger Name]],Table4[[#This Row],[Entity Name]])</f>
        <v>DepreciationAspirach Lanka</v>
      </c>
      <c r="D668" s="36" t="s">
        <v>936</v>
      </c>
      <c r="E668" s="36" t="s">
        <v>152</v>
      </c>
      <c r="F668" s="49" t="s">
        <v>17</v>
      </c>
      <c r="G668" s="101" t="s">
        <v>17</v>
      </c>
    </row>
    <row r="669" spans="1:7" hidden="1">
      <c r="A669" s="36" t="s">
        <v>81</v>
      </c>
      <c r="B669" s="36" t="s">
        <v>825</v>
      </c>
      <c r="C669" s="36" t="str">
        <f>_xlfn.CONCAT(Table4[[#This Row],[Ledger Name]],Table4[[#This Row],[Entity Name]])</f>
        <v>Electricity ChargesAspirach Lanka</v>
      </c>
      <c r="D669" s="36" t="s">
        <v>936</v>
      </c>
      <c r="E669" s="36" t="s">
        <v>152</v>
      </c>
      <c r="F669" s="49" t="s">
        <v>5</v>
      </c>
      <c r="G669" s="101" t="s">
        <v>81</v>
      </c>
    </row>
    <row r="670" spans="1:7" hidden="1">
      <c r="A670" s="36" t="s">
        <v>414</v>
      </c>
      <c r="B670" s="36" t="s">
        <v>825</v>
      </c>
      <c r="C670" s="36" t="str">
        <f>_xlfn.CONCAT(Table4[[#This Row],[Ledger Name]],Table4[[#This Row],[Entity Name]])</f>
        <v>Exchange Gain or LossAspirach Lanka</v>
      </c>
      <c r="D670" s="36" t="s">
        <v>936</v>
      </c>
      <c r="E670" s="36" t="s">
        <v>152</v>
      </c>
      <c r="F670" s="49" t="s">
        <v>315</v>
      </c>
      <c r="G670" s="101" t="s">
        <v>205</v>
      </c>
    </row>
    <row r="671" spans="1:7" hidden="1">
      <c r="A671" s="36" t="s">
        <v>881</v>
      </c>
      <c r="B671" s="36" t="s">
        <v>825</v>
      </c>
      <c r="C671" s="36" t="str">
        <f>_xlfn.CONCAT(Table4[[#This Row],[Ledger Name]],Table4[[#This Row],[Entity Name]])</f>
        <v>Fixed AllowanceAspirach Lanka</v>
      </c>
      <c r="D671" s="36" t="s">
        <v>936</v>
      </c>
      <c r="E671" s="36" t="s">
        <v>152</v>
      </c>
      <c r="F671" s="49" t="s">
        <v>2</v>
      </c>
      <c r="G671" s="101" t="s">
        <v>73</v>
      </c>
    </row>
    <row r="672" spans="1:7" hidden="1">
      <c r="A672" s="36" t="s">
        <v>1718</v>
      </c>
      <c r="B672" s="36" t="s">
        <v>825</v>
      </c>
      <c r="C672" s="36" t="str">
        <f>_xlfn.CONCAT(Table4[[#This Row],[Ledger Name]],Table4[[#This Row],[Entity Name]])</f>
        <v>Guest Exps.Aspirach Lanka</v>
      </c>
      <c r="D672" s="36" t="s">
        <v>936</v>
      </c>
      <c r="E672" s="36" t="s">
        <v>152</v>
      </c>
      <c r="F672" s="49" t="s">
        <v>5</v>
      </c>
      <c r="G672" s="36" t="s">
        <v>35</v>
      </c>
    </row>
    <row r="673" spans="1:7" hidden="1">
      <c r="A673" s="36" t="s">
        <v>723</v>
      </c>
      <c r="B673" s="36" t="s">
        <v>825</v>
      </c>
      <c r="C673" s="36" t="str">
        <f>_xlfn.CONCAT(Table4[[#This Row],[Ledger Name]],Table4[[#This Row],[Entity Name]])</f>
        <v>Internet and Telephone ChgAspirach Lanka</v>
      </c>
      <c r="D673" s="36" t="s">
        <v>936</v>
      </c>
      <c r="E673" s="36" t="s">
        <v>152</v>
      </c>
      <c r="F673" s="49" t="s">
        <v>5</v>
      </c>
      <c r="G673" s="101" t="s">
        <v>7</v>
      </c>
    </row>
    <row r="674" spans="1:7" hidden="1">
      <c r="A674" s="36" t="s">
        <v>697</v>
      </c>
      <c r="B674" s="36" t="s">
        <v>825</v>
      </c>
      <c r="C674" s="36" t="str">
        <f>_xlfn.CONCAT(Table4[[#This Row],[Ledger Name]],Table4[[#This Row],[Entity Name]])</f>
        <v>Legal and Professional ChgAspirach Lanka</v>
      </c>
      <c r="D674" s="36" t="s">
        <v>936</v>
      </c>
      <c r="E674" s="36" t="s">
        <v>152</v>
      </c>
      <c r="F674" s="49" t="s">
        <v>9</v>
      </c>
      <c r="G674" s="101" t="s">
        <v>12</v>
      </c>
    </row>
    <row r="675" spans="1:7" hidden="1">
      <c r="A675" s="36" t="s">
        <v>1202</v>
      </c>
      <c r="B675" s="36" t="s">
        <v>825</v>
      </c>
      <c r="C675" s="36" t="str">
        <f>_xlfn.CONCAT(Table4[[#This Row],[Ledger Name]],Table4[[#This Row],[Entity Name]])</f>
        <v>Manpower ServicesAspirach Lanka</v>
      </c>
      <c r="D675" s="36" t="s">
        <v>936</v>
      </c>
      <c r="E675" s="36" t="s">
        <v>152</v>
      </c>
      <c r="F675" s="49" t="s">
        <v>2</v>
      </c>
      <c r="G675" s="101" t="s">
        <v>73</v>
      </c>
    </row>
    <row r="676" spans="1:7" hidden="1">
      <c r="A676" s="36" t="s">
        <v>13</v>
      </c>
      <c r="B676" s="36" t="s">
        <v>826</v>
      </c>
      <c r="C676" s="36" t="str">
        <f>_xlfn.CONCAT(Table4[[#This Row],[Ledger Name]],Table4[[#This Row],[Entity Name]])</f>
        <v>Other ExpensesArha General Trading Co (AGT)</v>
      </c>
      <c r="D676" s="36" t="s">
        <v>936</v>
      </c>
      <c r="E676" s="49" t="s">
        <v>152</v>
      </c>
      <c r="F676" s="49" t="s">
        <v>5</v>
      </c>
      <c r="G676" s="101" t="s">
        <v>13</v>
      </c>
    </row>
    <row r="677" spans="1:7" hidden="1">
      <c r="A677" s="36" t="s">
        <v>342</v>
      </c>
      <c r="B677" s="36" t="s">
        <v>826</v>
      </c>
      <c r="C677" s="36" t="str">
        <f>_xlfn.CONCAT(Table4[[#This Row],[Ledger Name]],Table4[[#This Row],[Entity Name]])</f>
        <v>Rates and TaxesArha General Trading Co (AGT)</v>
      </c>
      <c r="D677" s="36" t="s">
        <v>936</v>
      </c>
      <c r="E677" s="49" t="s">
        <v>152</v>
      </c>
      <c r="F677" s="49" t="s">
        <v>5</v>
      </c>
      <c r="G677" s="101" t="s">
        <v>342</v>
      </c>
    </row>
    <row r="678" spans="1:7" hidden="1">
      <c r="A678" s="36" t="s">
        <v>1114</v>
      </c>
      <c r="B678" s="36" t="s">
        <v>826</v>
      </c>
      <c r="C678" s="36" t="str">
        <f>_xlfn.CONCAT(Table4[[#This Row],[Ledger Name]],Table4[[#This Row],[Entity Name]])</f>
        <v>Sample Testing ChgArha General Trading Co (AGT)</v>
      </c>
      <c r="D678" s="36" t="s">
        <v>936</v>
      </c>
      <c r="E678" s="49" t="s">
        <v>152</v>
      </c>
      <c r="F678" s="49" t="s">
        <v>93</v>
      </c>
      <c r="G678" s="101" t="s">
        <v>606</v>
      </c>
    </row>
    <row r="679" spans="1:7" hidden="1">
      <c r="A679" s="36" t="s">
        <v>77</v>
      </c>
      <c r="B679" s="36" t="s">
        <v>825</v>
      </c>
      <c r="C679" s="36" t="str">
        <f>_xlfn.CONCAT(Table4[[#This Row],[Ledger Name]],Table4[[#This Row],[Entity Name]])</f>
        <v>Office RentAspirach Lanka</v>
      </c>
      <c r="D679" s="36" t="s">
        <v>936</v>
      </c>
      <c r="E679" s="36" t="s">
        <v>152</v>
      </c>
      <c r="F679" s="49" t="s">
        <v>5</v>
      </c>
      <c r="G679" s="101" t="s">
        <v>77</v>
      </c>
    </row>
    <row r="680" spans="1:7" hidden="1">
      <c r="A680" s="36" t="s">
        <v>1139</v>
      </c>
      <c r="B680" s="36" t="s">
        <v>314</v>
      </c>
      <c r="C680" s="36" t="str">
        <f>_xlfn.CONCAT(Table4[[#This Row],[Ledger Name]],Table4[[#This Row],[Entity Name]])</f>
        <v>Krushang Boria ReimbursementExpora</v>
      </c>
      <c r="D680" s="36" t="s">
        <v>936</v>
      </c>
      <c r="E680" s="49" t="s">
        <v>746</v>
      </c>
      <c r="F680" s="49" t="s">
        <v>195</v>
      </c>
      <c r="G680" s="6" t="s">
        <v>1625</v>
      </c>
    </row>
    <row r="681" spans="1:7" hidden="1">
      <c r="A681" s="36" t="s">
        <v>1142</v>
      </c>
      <c r="B681" s="36" t="s">
        <v>314</v>
      </c>
      <c r="C681" s="36" t="str">
        <f>_xlfn.CONCAT(Table4[[#This Row],[Ledger Name]],Table4[[#This Row],[Entity Name]])</f>
        <v>JGT/2024/12036Expora</v>
      </c>
      <c r="D681" s="36" t="s">
        <v>936</v>
      </c>
      <c r="E681" s="49" t="s">
        <v>746</v>
      </c>
      <c r="F681" s="49" t="s">
        <v>345</v>
      </c>
      <c r="G681" s="101" t="s">
        <v>278</v>
      </c>
    </row>
    <row r="682" spans="1:7" hidden="1">
      <c r="A682" s="36" t="s">
        <v>1140</v>
      </c>
      <c r="B682" s="36" t="s">
        <v>314</v>
      </c>
      <c r="C682" s="36" t="str">
        <f>_xlfn.CONCAT(Table4[[#This Row],[Ledger Name]],Table4[[#This Row],[Entity Name]])</f>
        <v>D13390532Expora</v>
      </c>
      <c r="D682" s="36" t="s">
        <v>936</v>
      </c>
      <c r="E682" s="49" t="s">
        <v>746</v>
      </c>
      <c r="F682" s="49" t="s">
        <v>345</v>
      </c>
      <c r="G682" s="101" t="s">
        <v>278</v>
      </c>
    </row>
    <row r="683" spans="1:7" hidden="1">
      <c r="A683" s="36" t="s">
        <v>1141</v>
      </c>
      <c r="B683" s="36" t="s">
        <v>314</v>
      </c>
      <c r="C683" s="36" t="str">
        <f>_xlfn.CONCAT(Table4[[#This Row],[Ledger Name]],Table4[[#This Row],[Entity Name]])</f>
        <v>D13390574Expora</v>
      </c>
      <c r="D683" s="36" t="s">
        <v>936</v>
      </c>
      <c r="E683" s="49" t="s">
        <v>746</v>
      </c>
      <c r="F683" s="49" t="s">
        <v>345</v>
      </c>
      <c r="G683" s="101" t="s">
        <v>278</v>
      </c>
    </row>
    <row r="684" spans="1:7" hidden="1">
      <c r="A684" s="36" t="s">
        <v>1143</v>
      </c>
      <c r="B684" s="36" t="s">
        <v>314</v>
      </c>
      <c r="C684" s="36" t="str">
        <f>_xlfn.CONCAT(Table4[[#This Row],[Ledger Name]],Table4[[#This Row],[Entity Name]])</f>
        <v>D13390495Expora</v>
      </c>
      <c r="D684" s="36" t="s">
        <v>936</v>
      </c>
      <c r="E684" s="49" t="s">
        <v>746</v>
      </c>
      <c r="F684" s="49" t="s">
        <v>345</v>
      </c>
      <c r="G684" s="101" t="s">
        <v>278</v>
      </c>
    </row>
    <row r="685" spans="1:7" hidden="1">
      <c r="A685" s="36" t="s">
        <v>1145</v>
      </c>
      <c r="B685" s="36" t="s">
        <v>314</v>
      </c>
      <c r="C685" s="36" t="str">
        <f>_xlfn.CONCAT(Table4[[#This Row],[Ledger Name]],Table4[[#This Row],[Entity Name]])</f>
        <v>PC D 13409027Expora</v>
      </c>
      <c r="D685" s="36" t="s">
        <v>936</v>
      </c>
      <c r="E685" s="49" t="s">
        <v>746</v>
      </c>
      <c r="F685" s="49" t="s">
        <v>345</v>
      </c>
      <c r="G685" s="101" t="s">
        <v>278</v>
      </c>
    </row>
    <row r="686" spans="1:7" hidden="1">
      <c r="A686" s="36" t="s">
        <v>1144</v>
      </c>
      <c r="B686" s="36" t="s">
        <v>314</v>
      </c>
      <c r="C686" s="36" t="str">
        <f>_xlfn.CONCAT(Table4[[#This Row],[Ledger Name]],Table4[[#This Row],[Entity Name]])</f>
        <v>Total for JGT/2024/12036Expora</v>
      </c>
      <c r="D686" s="36" t="s">
        <v>952</v>
      </c>
      <c r="E686" s="49">
        <v>0</v>
      </c>
      <c r="F686" s="49">
        <v>0</v>
      </c>
      <c r="G686" s="101">
        <v>0</v>
      </c>
    </row>
    <row r="687" spans="1:7" hidden="1">
      <c r="A687" s="36" t="s">
        <v>531</v>
      </c>
      <c r="B687" s="36" t="s">
        <v>314</v>
      </c>
      <c r="C687" s="36" t="str">
        <f>_xlfn.CONCAT(Table4[[#This Row],[Ledger Name]],Table4[[#This Row],[Entity Name]])</f>
        <v>Forex Service ChargesExpora</v>
      </c>
      <c r="D687" s="36" t="s">
        <v>936</v>
      </c>
      <c r="E687" s="49" t="s">
        <v>152</v>
      </c>
      <c r="F687" s="49" t="s">
        <v>13</v>
      </c>
      <c r="G687" s="101" t="s">
        <v>422</v>
      </c>
    </row>
    <row r="688" spans="1:7" hidden="1">
      <c r="A688" s="36" t="s">
        <v>782</v>
      </c>
      <c r="B688" s="36" t="s">
        <v>314</v>
      </c>
      <c r="C688" s="36" t="str">
        <f>_xlfn.CONCAT(Table4[[#This Row],[Ledger Name]],Table4[[#This Row],[Entity Name]])</f>
        <v>Interest On Import DutyExpora</v>
      </c>
      <c r="D688" s="36" t="s">
        <v>936</v>
      </c>
      <c r="E688" s="49" t="s">
        <v>152</v>
      </c>
      <c r="F688" s="49" t="s">
        <v>93</v>
      </c>
      <c r="G688" s="101" t="s">
        <v>686</v>
      </c>
    </row>
    <row r="689" spans="1:7" hidden="1">
      <c r="A689" s="36" t="s">
        <v>1150</v>
      </c>
      <c r="B689" s="36" t="s">
        <v>314</v>
      </c>
      <c r="C689" s="36" t="str">
        <f>_xlfn.CONCAT(Table4[[#This Row],[Ledger Name]],Table4[[#This Row],[Entity Name]])</f>
        <v>Penalty On Late Payment Of Bill Of EntriesExpora</v>
      </c>
      <c r="D689" s="36" t="s">
        <v>936</v>
      </c>
      <c r="E689" s="49" t="s">
        <v>152</v>
      </c>
      <c r="F689" s="49" t="s">
        <v>93</v>
      </c>
      <c r="G689" s="101" t="s">
        <v>686</v>
      </c>
    </row>
    <row r="690" spans="1:7" hidden="1">
      <c r="A690" s="36" t="s">
        <v>1380</v>
      </c>
      <c r="B690" s="36" t="s">
        <v>314</v>
      </c>
      <c r="C690" s="36" t="str">
        <f>_xlfn.CONCAT(Table4[[#This Row],[Ledger Name]],Table4[[#This Row],[Entity Name]])</f>
        <v>Spice Board Refund.Expora</v>
      </c>
      <c r="D690" s="36" t="s">
        <v>936</v>
      </c>
      <c r="E690" s="49" t="s">
        <v>152</v>
      </c>
      <c r="F690" s="49" t="s">
        <v>93</v>
      </c>
      <c r="G690" s="101" t="s">
        <v>667</v>
      </c>
    </row>
    <row r="691" spans="1:7" hidden="1">
      <c r="A691" s="36" t="s">
        <v>606</v>
      </c>
      <c r="B691" s="36" t="s">
        <v>314</v>
      </c>
      <c r="C691" s="36" t="str">
        <f>_xlfn.CONCAT(Table4[[#This Row],[Ledger Name]],Table4[[#This Row],[Entity Name]])</f>
        <v>Sample ChargesExpora</v>
      </c>
      <c r="D691" s="36" t="s">
        <v>936</v>
      </c>
      <c r="E691" s="49" t="s">
        <v>152</v>
      </c>
      <c r="F691" s="49" t="s">
        <v>93</v>
      </c>
      <c r="G691" s="101" t="s">
        <v>606</v>
      </c>
    </row>
    <row r="692" spans="1:7" hidden="1">
      <c r="A692" s="36" t="s">
        <v>1146</v>
      </c>
      <c r="B692" s="36" t="s">
        <v>314</v>
      </c>
      <c r="C692" s="36" t="str">
        <f>_xlfn.CONCAT(Table4[[#This Row],[Ledger Name]],Table4[[#This Row],[Entity Name]])</f>
        <v>TDS on InterestExpora</v>
      </c>
      <c r="D692" s="36" t="s">
        <v>936</v>
      </c>
      <c r="E692" s="49" t="s">
        <v>746</v>
      </c>
      <c r="F692" s="49" t="s">
        <v>63</v>
      </c>
      <c r="G692" s="24" t="s">
        <v>63</v>
      </c>
    </row>
    <row r="693" spans="1:7" hidden="1">
      <c r="A693" s="36" t="s">
        <v>1125</v>
      </c>
      <c r="B693" s="36" t="s">
        <v>314</v>
      </c>
      <c r="C693" s="36" t="str">
        <f>_xlfn.CONCAT(Table4[[#This Row],[Ledger Name]],Table4[[#This Row],[Entity Name]])</f>
        <v>2401005217Expora</v>
      </c>
      <c r="D693" s="36" t="s">
        <v>936</v>
      </c>
      <c r="E693" s="49" t="s">
        <v>746</v>
      </c>
      <c r="F693" s="49" t="s">
        <v>52</v>
      </c>
      <c r="G693" s="24" t="s">
        <v>1603</v>
      </c>
    </row>
    <row r="694" spans="1:7" hidden="1">
      <c r="A694" s="36" t="s">
        <v>1126</v>
      </c>
      <c r="B694" s="36" t="s">
        <v>314</v>
      </c>
      <c r="C694" s="36" t="str">
        <f>_xlfn.CONCAT(Table4[[#This Row],[Ledger Name]],Table4[[#This Row],[Entity Name]])</f>
        <v>2405021509Expora</v>
      </c>
      <c r="D694" s="36" t="s">
        <v>936</v>
      </c>
      <c r="E694" s="49" t="s">
        <v>746</v>
      </c>
      <c r="F694" s="49" t="s">
        <v>52</v>
      </c>
      <c r="G694" s="24" t="s">
        <v>1603</v>
      </c>
    </row>
    <row r="695" spans="1:7" hidden="1">
      <c r="A695" s="36" t="s">
        <v>1127</v>
      </c>
      <c r="B695" s="36" t="s">
        <v>314</v>
      </c>
      <c r="C695" s="36" t="str">
        <f>_xlfn.CONCAT(Table4[[#This Row],[Ledger Name]],Table4[[#This Row],[Entity Name]])</f>
        <v>2406001779Expora</v>
      </c>
      <c r="D695" s="36" t="s">
        <v>936</v>
      </c>
      <c r="E695" s="49" t="s">
        <v>746</v>
      </c>
      <c r="F695" s="49" t="s">
        <v>52</v>
      </c>
      <c r="G695" s="24" t="s">
        <v>1603</v>
      </c>
    </row>
    <row r="696" spans="1:7" hidden="1">
      <c r="A696" s="36" t="s">
        <v>1128</v>
      </c>
      <c r="B696" s="36" t="s">
        <v>314</v>
      </c>
      <c r="C696" s="36" t="str">
        <f>_xlfn.CONCAT(Table4[[#This Row],[Ledger Name]],Table4[[#This Row],[Entity Name]])</f>
        <v>2407003730Expora</v>
      </c>
      <c r="D696" s="36" t="s">
        <v>936</v>
      </c>
      <c r="E696" s="49" t="s">
        <v>746</v>
      </c>
      <c r="F696" s="49" t="s">
        <v>52</v>
      </c>
      <c r="G696" s="24" t="s">
        <v>1603</v>
      </c>
    </row>
    <row r="697" spans="1:7" hidden="1">
      <c r="A697" s="36" t="s">
        <v>1129</v>
      </c>
      <c r="B697" s="36" t="s">
        <v>314</v>
      </c>
      <c r="C697" s="36" t="str">
        <f>_xlfn.CONCAT(Table4[[#This Row],[Ledger Name]],Table4[[#This Row],[Entity Name]])</f>
        <v>2407004363Expora</v>
      </c>
      <c r="D697" s="36" t="s">
        <v>936</v>
      </c>
      <c r="E697" s="49" t="s">
        <v>746</v>
      </c>
      <c r="F697" s="49" t="s">
        <v>52</v>
      </c>
      <c r="G697" s="24" t="s">
        <v>1603</v>
      </c>
    </row>
    <row r="698" spans="1:7" hidden="1">
      <c r="A698" s="36" t="s">
        <v>1130</v>
      </c>
      <c r="B698" s="36" t="s">
        <v>314</v>
      </c>
      <c r="C698" s="36" t="str">
        <f>_xlfn.CONCAT(Table4[[#This Row],[Ledger Name]],Table4[[#This Row],[Entity Name]])</f>
        <v>2407022967Expora</v>
      </c>
      <c r="D698" s="36" t="s">
        <v>936</v>
      </c>
      <c r="E698" s="49" t="s">
        <v>746</v>
      </c>
      <c r="F698" s="49" t="s">
        <v>52</v>
      </c>
      <c r="G698" s="24" t="s">
        <v>1603</v>
      </c>
    </row>
    <row r="699" spans="1:7" hidden="1">
      <c r="A699" s="36" t="s">
        <v>1131</v>
      </c>
      <c r="B699" s="36" t="s">
        <v>314</v>
      </c>
      <c r="C699" s="36" t="str">
        <f>_xlfn.CONCAT(Table4[[#This Row],[Ledger Name]],Table4[[#This Row],[Entity Name]])</f>
        <v>2408000466Expora</v>
      </c>
      <c r="D699" s="36" t="s">
        <v>936</v>
      </c>
      <c r="E699" s="49" t="s">
        <v>746</v>
      </c>
      <c r="F699" s="49" t="s">
        <v>52</v>
      </c>
      <c r="G699" s="24" t="s">
        <v>1603</v>
      </c>
    </row>
    <row r="700" spans="1:7" hidden="1">
      <c r="A700" s="36" t="s">
        <v>1132</v>
      </c>
      <c r="B700" s="36" t="s">
        <v>314</v>
      </c>
      <c r="C700" s="36" t="str">
        <f>_xlfn.CONCAT(Table4[[#This Row],[Ledger Name]],Table4[[#This Row],[Entity Name]])</f>
        <v>2408004242Expora</v>
      </c>
      <c r="D700" s="36" t="s">
        <v>936</v>
      </c>
      <c r="E700" s="49" t="s">
        <v>746</v>
      </c>
      <c r="F700" s="49" t="s">
        <v>52</v>
      </c>
      <c r="G700" s="24" t="s">
        <v>1603</v>
      </c>
    </row>
    <row r="701" spans="1:7" hidden="1">
      <c r="A701" s="36" t="s">
        <v>1133</v>
      </c>
      <c r="B701" s="36" t="s">
        <v>314</v>
      </c>
      <c r="C701" s="36" t="str">
        <f>_xlfn.CONCAT(Table4[[#This Row],[Ledger Name]],Table4[[#This Row],[Entity Name]])</f>
        <v>2408004437Expora</v>
      </c>
      <c r="D701" s="36" t="s">
        <v>936</v>
      </c>
      <c r="E701" s="49" t="s">
        <v>746</v>
      </c>
      <c r="F701" s="49" t="s">
        <v>52</v>
      </c>
      <c r="G701" s="24" t="s">
        <v>1603</v>
      </c>
    </row>
    <row r="702" spans="1:7" hidden="1">
      <c r="A702" s="36" t="s">
        <v>1134</v>
      </c>
      <c r="B702" s="36" t="s">
        <v>314</v>
      </c>
      <c r="C702" s="36" t="str">
        <f>_xlfn.CONCAT(Table4[[#This Row],[Ledger Name]],Table4[[#This Row],[Entity Name]])</f>
        <v>2408008810Expora</v>
      </c>
      <c r="D702" s="36" t="s">
        <v>936</v>
      </c>
      <c r="E702" s="49" t="s">
        <v>746</v>
      </c>
      <c r="F702" s="49" t="s">
        <v>52</v>
      </c>
      <c r="G702" s="24" t="s">
        <v>1603</v>
      </c>
    </row>
    <row r="703" spans="1:7" hidden="1">
      <c r="A703" s="36" t="s">
        <v>1135</v>
      </c>
      <c r="B703" s="36" t="s">
        <v>314</v>
      </c>
      <c r="C703" s="36" t="str">
        <f>_xlfn.CONCAT(Table4[[#This Row],[Ledger Name]],Table4[[#This Row],[Entity Name]])</f>
        <v>2408008952Expora</v>
      </c>
      <c r="D703" s="36" t="s">
        <v>936</v>
      </c>
      <c r="E703" s="49" t="s">
        <v>746</v>
      </c>
      <c r="F703" s="49" t="s">
        <v>52</v>
      </c>
      <c r="G703" s="24" t="s">
        <v>1603</v>
      </c>
    </row>
    <row r="704" spans="1:7" hidden="1">
      <c r="A704" s="36" t="s">
        <v>1136</v>
      </c>
      <c r="B704" s="36" t="s">
        <v>314</v>
      </c>
      <c r="C704" s="36" t="str">
        <f>_xlfn.CONCAT(Table4[[#This Row],[Ledger Name]],Table4[[#This Row],[Entity Name]])</f>
        <v>2408009535Expora</v>
      </c>
      <c r="D704" s="36" t="s">
        <v>936</v>
      </c>
      <c r="E704" s="49" t="s">
        <v>746</v>
      </c>
      <c r="F704" s="49" t="s">
        <v>52</v>
      </c>
      <c r="G704" s="24" t="s">
        <v>1603</v>
      </c>
    </row>
    <row r="705" spans="1:7" hidden="1">
      <c r="A705" s="36" t="s">
        <v>1137</v>
      </c>
      <c r="B705" s="36" t="s">
        <v>314</v>
      </c>
      <c r="C705" s="36" t="str">
        <f>_xlfn.CONCAT(Table4[[#This Row],[Ledger Name]],Table4[[#This Row],[Entity Name]])</f>
        <v>2408009886Expora</v>
      </c>
      <c r="D705" s="36" t="s">
        <v>936</v>
      </c>
      <c r="E705" s="49" t="s">
        <v>746</v>
      </c>
      <c r="F705" s="49" t="s">
        <v>52</v>
      </c>
      <c r="G705" s="24" t="s">
        <v>1603</v>
      </c>
    </row>
    <row r="706" spans="1:7" hidden="1">
      <c r="A706" s="36" t="s">
        <v>1138</v>
      </c>
      <c r="B706" s="36" t="s">
        <v>314</v>
      </c>
      <c r="C706" s="36" t="str">
        <f>_xlfn.CONCAT(Table4[[#This Row],[Ledger Name]],Table4[[#This Row],[Entity Name]])</f>
        <v>2408011102Expora</v>
      </c>
      <c r="D706" s="36" t="s">
        <v>936</v>
      </c>
      <c r="E706" s="49" t="s">
        <v>746</v>
      </c>
      <c r="F706" s="49" t="s">
        <v>52</v>
      </c>
      <c r="G706" s="24" t="s">
        <v>1603</v>
      </c>
    </row>
    <row r="707" spans="1:7" hidden="1">
      <c r="A707" s="36" t="s">
        <v>794</v>
      </c>
      <c r="B707" s="36" t="s">
        <v>314</v>
      </c>
      <c r="C707" s="36" t="str">
        <f>_xlfn.CONCAT(Table4[[#This Row],[Ledger Name]],Table4[[#This Row],[Entity Name]])</f>
        <v>ASP/LOC/2324/095Expora</v>
      </c>
      <c r="D707" s="36" t="s">
        <v>936</v>
      </c>
      <c r="E707" s="49" t="s">
        <v>152</v>
      </c>
      <c r="F707" s="49" t="s">
        <v>93</v>
      </c>
      <c r="G707" s="101" t="s">
        <v>138</v>
      </c>
    </row>
    <row r="708" spans="1:7" hidden="1">
      <c r="A708" s="36" t="s">
        <v>795</v>
      </c>
      <c r="B708" s="36" t="s">
        <v>314</v>
      </c>
      <c r="C708" s="36" t="str">
        <f>_xlfn.CONCAT(Table4[[#This Row],[Ledger Name]],Table4[[#This Row],[Entity Name]])</f>
        <v>ASP/LOC/2324/096Expora</v>
      </c>
      <c r="D708" s="36" t="s">
        <v>936</v>
      </c>
      <c r="E708" s="49" t="s">
        <v>152</v>
      </c>
      <c r="F708" s="49" t="s">
        <v>93</v>
      </c>
      <c r="G708" s="101" t="s">
        <v>138</v>
      </c>
    </row>
    <row r="709" spans="1:7" hidden="1">
      <c r="A709" s="36" t="s">
        <v>796</v>
      </c>
      <c r="B709" s="36" t="s">
        <v>314</v>
      </c>
      <c r="C709" s="36" t="str">
        <f>_xlfn.CONCAT(Table4[[#This Row],[Ledger Name]],Table4[[#This Row],[Entity Name]])</f>
        <v>ASP/LOC/2324/097Expora</v>
      </c>
      <c r="D709" s="36" t="s">
        <v>936</v>
      </c>
      <c r="E709" s="49" t="s">
        <v>152</v>
      </c>
      <c r="F709" s="49" t="s">
        <v>93</v>
      </c>
      <c r="G709" s="101" t="s">
        <v>138</v>
      </c>
    </row>
    <row r="710" spans="1:7" hidden="1">
      <c r="A710" s="36" t="s">
        <v>806</v>
      </c>
      <c r="B710" s="36" t="s">
        <v>314</v>
      </c>
      <c r="C710" s="36" t="str">
        <f>_xlfn.CONCAT(Table4[[#This Row],[Ledger Name]],Table4[[#This Row],[Entity Name]])</f>
        <v>ASP/LOC/2324/108Expora</v>
      </c>
      <c r="D710" s="36" t="s">
        <v>936</v>
      </c>
      <c r="E710" s="49" t="s">
        <v>152</v>
      </c>
      <c r="F710" s="49" t="s">
        <v>93</v>
      </c>
      <c r="G710" s="101" t="s">
        <v>138</v>
      </c>
    </row>
    <row r="711" spans="1:7" hidden="1">
      <c r="A711" s="36" t="s">
        <v>1110</v>
      </c>
      <c r="B711" s="36" t="s">
        <v>314</v>
      </c>
      <c r="C711" s="36" t="str">
        <f>_xlfn.CONCAT(Table4[[#This Row],[Ledger Name]],Table4[[#This Row],[Entity Name]])</f>
        <v>TAEXP2425023Expora</v>
      </c>
      <c r="D711" s="36" t="s">
        <v>936</v>
      </c>
      <c r="E711" s="49" t="s">
        <v>152</v>
      </c>
      <c r="F711" s="49" t="s">
        <v>93</v>
      </c>
      <c r="G711" s="101" t="s">
        <v>138</v>
      </c>
    </row>
    <row r="712" spans="1:7" hidden="1">
      <c r="A712" s="36" t="s">
        <v>1148</v>
      </c>
      <c r="B712" s="36" t="s">
        <v>314</v>
      </c>
      <c r="C712" s="36" t="str">
        <f>_xlfn.CONCAT(Table4[[#This Row],[Ledger Name]],Table4[[#This Row],[Entity Name]])</f>
        <v>TALOC24250103Expora</v>
      </c>
      <c r="D712" s="36" t="s">
        <v>936</v>
      </c>
      <c r="E712" s="49" t="s">
        <v>152</v>
      </c>
      <c r="F712" s="49" t="s">
        <v>93</v>
      </c>
      <c r="G712" s="101" t="s">
        <v>138</v>
      </c>
    </row>
    <row r="713" spans="1:7" hidden="1">
      <c r="A713" s="36" t="s">
        <v>1149</v>
      </c>
      <c r="B713" s="36" t="s">
        <v>314</v>
      </c>
      <c r="C713" s="36" t="str">
        <f>_xlfn.CONCAT(Table4[[#This Row],[Ledger Name]],Table4[[#This Row],[Entity Name]])</f>
        <v>TALOC24250104Expora</v>
      </c>
      <c r="D713" s="36" t="s">
        <v>936</v>
      </c>
      <c r="E713" s="49" t="s">
        <v>152</v>
      </c>
      <c r="F713" s="49" t="s">
        <v>93</v>
      </c>
      <c r="G713" s="101" t="s">
        <v>138</v>
      </c>
    </row>
    <row r="714" spans="1:7" hidden="1">
      <c r="A714" s="36" t="s">
        <v>971</v>
      </c>
      <c r="B714" s="36" t="s">
        <v>314</v>
      </c>
      <c r="C714" s="36" t="str">
        <f>_xlfn.CONCAT(Table4[[#This Row],[Ledger Name]],Table4[[#This Row],[Entity Name]])</f>
        <v>TALOC2425058Expora</v>
      </c>
      <c r="D714" s="36" t="s">
        <v>936</v>
      </c>
      <c r="E714" s="49" t="s">
        <v>152</v>
      </c>
      <c r="F714" s="49" t="s">
        <v>93</v>
      </c>
      <c r="G714" s="101" t="s">
        <v>138</v>
      </c>
    </row>
    <row r="715" spans="1:7" hidden="1">
      <c r="A715" s="36" t="s">
        <v>1065</v>
      </c>
      <c r="B715" s="36" t="s">
        <v>314</v>
      </c>
      <c r="C715" s="36" t="str">
        <f>_xlfn.CONCAT(Table4[[#This Row],[Ledger Name]],Table4[[#This Row],[Entity Name]])</f>
        <v>TALOC2425084Expora</v>
      </c>
      <c r="D715" s="36" t="s">
        <v>936</v>
      </c>
      <c r="E715" s="49" t="s">
        <v>152</v>
      </c>
      <c r="F715" s="49" t="s">
        <v>93</v>
      </c>
      <c r="G715" s="101" t="s">
        <v>138</v>
      </c>
    </row>
    <row r="716" spans="1:7" hidden="1">
      <c r="A716" s="36" t="s">
        <v>1066</v>
      </c>
      <c r="B716" s="36" t="s">
        <v>314</v>
      </c>
      <c r="C716" s="36" t="str">
        <f>_xlfn.CONCAT(Table4[[#This Row],[Ledger Name]],Table4[[#This Row],[Entity Name]])</f>
        <v>TALOC2425085Expora</v>
      </c>
      <c r="D716" s="36" t="s">
        <v>936</v>
      </c>
      <c r="E716" s="49" t="s">
        <v>152</v>
      </c>
      <c r="F716" s="49" t="s">
        <v>93</v>
      </c>
      <c r="G716" s="101" t="s">
        <v>138</v>
      </c>
    </row>
    <row r="717" spans="1:7" hidden="1">
      <c r="A717" s="36" t="s">
        <v>1067</v>
      </c>
      <c r="B717" s="36" t="s">
        <v>314</v>
      </c>
      <c r="C717" s="36" t="str">
        <f>_xlfn.CONCAT(Table4[[#This Row],[Ledger Name]],Table4[[#This Row],[Entity Name]])</f>
        <v>TALOC2425086Expora</v>
      </c>
      <c r="D717" s="36" t="s">
        <v>936</v>
      </c>
      <c r="E717" s="49" t="s">
        <v>152</v>
      </c>
      <c r="F717" s="49" t="s">
        <v>93</v>
      </c>
      <c r="G717" s="101" t="s">
        <v>138</v>
      </c>
    </row>
    <row r="718" spans="1:7" hidden="1">
      <c r="A718" s="36" t="s">
        <v>1068</v>
      </c>
      <c r="B718" s="36" t="s">
        <v>314</v>
      </c>
      <c r="C718" s="36" t="str">
        <f>_xlfn.CONCAT(Table4[[#This Row],[Ledger Name]],Table4[[#This Row],[Entity Name]])</f>
        <v>TALOC2425087Expora</v>
      </c>
      <c r="D718" s="36" t="s">
        <v>936</v>
      </c>
      <c r="E718" s="49" t="s">
        <v>152</v>
      </c>
      <c r="F718" s="49" t="s">
        <v>93</v>
      </c>
      <c r="G718" s="101" t="s">
        <v>138</v>
      </c>
    </row>
    <row r="719" spans="1:7" hidden="1">
      <c r="A719" s="36" t="s">
        <v>1069</v>
      </c>
      <c r="B719" s="36" t="s">
        <v>314</v>
      </c>
      <c r="C719" s="36" t="str">
        <f>_xlfn.CONCAT(Table4[[#This Row],[Ledger Name]],Table4[[#This Row],[Entity Name]])</f>
        <v>TALOC2425088Expora</v>
      </c>
      <c r="D719" s="36" t="s">
        <v>936</v>
      </c>
      <c r="E719" s="49" t="s">
        <v>152</v>
      </c>
      <c r="F719" s="49" t="s">
        <v>93</v>
      </c>
      <c r="G719" s="101" t="s">
        <v>138</v>
      </c>
    </row>
    <row r="720" spans="1:7" hidden="1">
      <c r="A720" s="36" t="s">
        <v>1070</v>
      </c>
      <c r="B720" s="36" t="s">
        <v>314</v>
      </c>
      <c r="C720" s="36" t="str">
        <f>_xlfn.CONCAT(Table4[[#This Row],[Ledger Name]],Table4[[#This Row],[Entity Name]])</f>
        <v>TALOC2425089Expora</v>
      </c>
      <c r="D720" s="36" t="s">
        <v>936</v>
      </c>
      <c r="E720" s="49" t="s">
        <v>152</v>
      </c>
      <c r="F720" s="49" t="s">
        <v>93</v>
      </c>
      <c r="G720" s="101" t="s">
        <v>138</v>
      </c>
    </row>
    <row r="721" spans="1:7" hidden="1">
      <c r="A721" s="36" t="s">
        <v>1071</v>
      </c>
      <c r="B721" s="36" t="s">
        <v>314</v>
      </c>
      <c r="C721" s="36" t="str">
        <f>_xlfn.CONCAT(Table4[[#This Row],[Ledger Name]],Table4[[#This Row],[Entity Name]])</f>
        <v>TALOC2425090Expora</v>
      </c>
      <c r="D721" s="36" t="s">
        <v>936</v>
      </c>
      <c r="E721" s="49" t="s">
        <v>152</v>
      </c>
      <c r="F721" s="49" t="s">
        <v>93</v>
      </c>
      <c r="G721" s="101" t="s">
        <v>138</v>
      </c>
    </row>
    <row r="722" spans="1:7" hidden="1">
      <c r="A722" s="36" t="s">
        <v>1072</v>
      </c>
      <c r="B722" s="36" t="s">
        <v>314</v>
      </c>
      <c r="C722" s="36" t="str">
        <f>_xlfn.CONCAT(Table4[[#This Row],[Ledger Name]],Table4[[#This Row],[Entity Name]])</f>
        <v>TALOC2425091Expora</v>
      </c>
      <c r="D722" s="36" t="s">
        <v>936</v>
      </c>
      <c r="E722" s="49" t="s">
        <v>152</v>
      </c>
      <c r="F722" s="49" t="s">
        <v>93</v>
      </c>
      <c r="G722" s="101" t="s">
        <v>138</v>
      </c>
    </row>
    <row r="723" spans="1:7" hidden="1">
      <c r="A723" s="36" t="s">
        <v>1073</v>
      </c>
      <c r="B723" s="36" t="s">
        <v>314</v>
      </c>
      <c r="C723" s="36" t="str">
        <f>_xlfn.CONCAT(Table4[[#This Row],[Ledger Name]],Table4[[#This Row],[Entity Name]])</f>
        <v>TALOC2425092Expora</v>
      </c>
      <c r="D723" s="36" t="s">
        <v>936</v>
      </c>
      <c r="E723" s="49" t="s">
        <v>152</v>
      </c>
      <c r="F723" s="49" t="s">
        <v>93</v>
      </c>
      <c r="G723" s="101" t="s">
        <v>138</v>
      </c>
    </row>
    <row r="724" spans="1:7" hidden="1">
      <c r="A724" s="36" t="s">
        <v>180</v>
      </c>
      <c r="B724" s="36" t="s">
        <v>314</v>
      </c>
      <c r="C724" s="36" t="str">
        <f>_xlfn.CONCAT(Table4[[#This Row],[Ledger Name]],Table4[[#This Row],[Entity Name]])</f>
        <v>COO ChargesExpora</v>
      </c>
      <c r="D724" s="36" t="s">
        <v>936</v>
      </c>
      <c r="E724" s="49" t="s">
        <v>152</v>
      </c>
      <c r="F724" s="49" t="s">
        <v>93</v>
      </c>
      <c r="G724" s="101" t="s">
        <v>686</v>
      </c>
    </row>
    <row r="725" spans="1:7" hidden="1">
      <c r="A725" s="36" t="s">
        <v>203</v>
      </c>
      <c r="B725" s="36" t="s">
        <v>314</v>
      </c>
      <c r="C725" s="36" t="str">
        <f>_xlfn.CONCAT(Table4[[#This Row],[Ledger Name]],Table4[[#This Row],[Entity Name]])</f>
        <v>Packing ChargesExpora</v>
      </c>
      <c r="D725" s="36" t="s">
        <v>936</v>
      </c>
      <c r="E725" s="49" t="s">
        <v>152</v>
      </c>
      <c r="F725" s="49" t="s">
        <v>93</v>
      </c>
      <c r="G725" s="101" t="s">
        <v>647</v>
      </c>
    </row>
    <row r="726" spans="1:7" hidden="1">
      <c r="A726" s="36" t="s">
        <v>1147</v>
      </c>
      <c r="B726" s="36" t="s">
        <v>314</v>
      </c>
      <c r="C726" s="36" t="str">
        <f>_xlfn.CONCAT(Table4[[#This Row],[Ledger Name]],Table4[[#This Row],[Entity Name]])</f>
        <v>RCN - 8Expora</v>
      </c>
      <c r="D726" s="36" t="s">
        <v>936</v>
      </c>
      <c r="E726" s="49" t="s">
        <v>152</v>
      </c>
      <c r="F726" s="49" t="s">
        <v>93</v>
      </c>
      <c r="G726" s="101" t="s">
        <v>184</v>
      </c>
    </row>
    <row r="727" spans="1:7" hidden="1">
      <c r="A727" s="36" t="s">
        <v>1152</v>
      </c>
      <c r="B727" s="36" t="s">
        <v>314</v>
      </c>
      <c r="C727" s="36" t="str">
        <f>_xlfn.CONCAT(Table4[[#This Row],[Ledger Name]],Table4[[#This Row],[Entity Name]])</f>
        <v>Export Agency ChargesExpora</v>
      </c>
      <c r="D727" s="36" t="s">
        <v>936</v>
      </c>
      <c r="E727" s="49" t="s">
        <v>152</v>
      </c>
      <c r="F727" s="49" t="s">
        <v>93</v>
      </c>
      <c r="G727" s="101" t="s">
        <v>184</v>
      </c>
    </row>
    <row r="728" spans="1:7" hidden="1">
      <c r="A728" s="36" t="s">
        <v>123</v>
      </c>
      <c r="B728" s="36" t="s">
        <v>314</v>
      </c>
      <c r="C728" s="36" t="str">
        <f>_xlfn.CONCAT(Table4[[#This Row],[Ledger Name]],Table4[[#This Row],[Entity Name]])</f>
        <v>Export Insurance Policy ChargesExpora</v>
      </c>
      <c r="D728" s="36" t="s">
        <v>936</v>
      </c>
      <c r="E728" s="49" t="s">
        <v>152</v>
      </c>
      <c r="F728" s="49" t="s">
        <v>153</v>
      </c>
      <c r="G728" s="101" t="s">
        <v>13</v>
      </c>
    </row>
    <row r="729" spans="1:7" hidden="1">
      <c r="A729" s="36" t="s">
        <v>1153</v>
      </c>
      <c r="B729" s="36" t="s">
        <v>314</v>
      </c>
      <c r="C729" s="36" t="str">
        <f>_xlfn.CONCAT(Table4[[#This Row],[Ledger Name]],Table4[[#This Row],[Entity Name]])</f>
        <v>FREIGHT &amp; FORWARDINGExpora</v>
      </c>
      <c r="D729" s="36" t="s">
        <v>936</v>
      </c>
      <c r="E729" s="49" t="s">
        <v>152</v>
      </c>
      <c r="F729" s="49" t="s">
        <v>93</v>
      </c>
      <c r="G729" s="109" t="s">
        <v>13</v>
      </c>
    </row>
    <row r="730" spans="1:7" hidden="1">
      <c r="A730" s="36" t="s">
        <v>745</v>
      </c>
      <c r="B730" s="36" t="s">
        <v>825</v>
      </c>
      <c r="C730" s="36" t="str">
        <f>_xlfn.CONCAT(Table4[[#This Row],[Ledger Name]],Table4[[#This Row],[Entity Name]])</f>
        <v>Ofiice Misc expenseAspirach Lanka</v>
      </c>
      <c r="D730" s="36" t="s">
        <v>936</v>
      </c>
      <c r="E730" s="36" t="s">
        <v>152</v>
      </c>
      <c r="F730" s="49" t="s">
        <v>5</v>
      </c>
      <c r="G730" s="101" t="s">
        <v>35</v>
      </c>
    </row>
    <row r="731" spans="1:7" hidden="1">
      <c r="A731" s="36" t="s">
        <v>13</v>
      </c>
      <c r="B731" s="36" t="s">
        <v>825</v>
      </c>
      <c r="C731" s="36" t="str">
        <f>_xlfn.CONCAT(Table4[[#This Row],[Ledger Name]],Table4[[#This Row],[Entity Name]])</f>
        <v>Other ExpensesAspirach Lanka</v>
      </c>
      <c r="D731" s="36" t="s">
        <v>936</v>
      </c>
      <c r="E731" s="36" t="s">
        <v>152</v>
      </c>
      <c r="F731" s="49" t="s">
        <v>5</v>
      </c>
      <c r="G731" s="101" t="s">
        <v>13</v>
      </c>
    </row>
    <row r="732" spans="1:7" hidden="1">
      <c r="A732" s="36" t="s">
        <v>33</v>
      </c>
      <c r="B732" s="36" t="s">
        <v>825</v>
      </c>
      <c r="C732" s="36" t="str">
        <f>_xlfn.CONCAT(Table4[[#This Row],[Ledger Name]],Table4[[#This Row],[Entity Name]])</f>
        <v>Printing and StationeryAspirach Lanka</v>
      </c>
      <c r="D732" s="36" t="s">
        <v>936</v>
      </c>
      <c r="E732" s="36" t="s">
        <v>152</v>
      </c>
      <c r="F732" s="49" t="s">
        <v>5</v>
      </c>
      <c r="G732" s="101" t="s">
        <v>33</v>
      </c>
    </row>
    <row r="733" spans="1:7" hidden="1">
      <c r="A733" s="36" t="s">
        <v>643</v>
      </c>
      <c r="B733" s="36" t="s">
        <v>825</v>
      </c>
      <c r="C733" s="36" t="str">
        <f>_xlfn.CONCAT(Table4[[#This Row],[Ledger Name]],Table4[[#This Row],[Entity Name]])</f>
        <v>Repairs and MaintenanceAspirach Lanka</v>
      </c>
      <c r="D733" s="36" t="s">
        <v>936</v>
      </c>
      <c r="E733" s="36" t="s">
        <v>152</v>
      </c>
      <c r="F733" s="49" t="s">
        <v>5</v>
      </c>
      <c r="G733" s="101" t="s">
        <v>65</v>
      </c>
    </row>
    <row r="734" spans="1:7" hidden="1">
      <c r="A734" s="36" t="s">
        <v>890</v>
      </c>
      <c r="B734" s="36" t="s">
        <v>825</v>
      </c>
      <c r="C734" s="36" t="str">
        <f>_xlfn.CONCAT(Table4[[#This Row],[Ledger Name]],Table4[[#This Row],[Entity Name]])</f>
        <v>Salary &amp; WagesAspirach Lanka</v>
      </c>
      <c r="D734" s="36" t="s">
        <v>936</v>
      </c>
      <c r="E734" s="36" t="s">
        <v>152</v>
      </c>
      <c r="F734" s="49" t="s">
        <v>2</v>
      </c>
      <c r="G734" s="101" t="s">
        <v>73</v>
      </c>
    </row>
    <row r="735" spans="1:7" hidden="1">
      <c r="A735" s="36" t="s">
        <v>32</v>
      </c>
      <c r="B735" s="36" t="s">
        <v>825</v>
      </c>
      <c r="C735" s="36" t="str">
        <f>_xlfn.CONCAT(Table4[[#This Row],[Ledger Name]],Table4[[#This Row],[Entity Name]])</f>
        <v>Staff WelfareAspirach Lanka</v>
      </c>
      <c r="D735" s="36" t="s">
        <v>936</v>
      </c>
      <c r="E735" s="36" t="s">
        <v>152</v>
      </c>
      <c r="F735" s="49" t="s">
        <v>2</v>
      </c>
      <c r="G735" s="101" t="s">
        <v>32</v>
      </c>
    </row>
    <row r="736" spans="1:7" hidden="1">
      <c r="A736" s="36" t="s">
        <v>450</v>
      </c>
      <c r="B736" s="36" t="s">
        <v>825</v>
      </c>
      <c r="C736" s="36" t="str">
        <f>_xlfn.CONCAT(Table4[[#This Row],[Ledger Name]],Table4[[#This Row],[Entity Name]])</f>
        <v>Telephone ExpenseAspirach Lanka</v>
      </c>
      <c r="D736" s="36" t="s">
        <v>936</v>
      </c>
      <c r="E736" s="36" t="s">
        <v>152</v>
      </c>
      <c r="F736" s="49" t="s">
        <v>5</v>
      </c>
      <c r="G736" s="101" t="s">
        <v>7</v>
      </c>
    </row>
    <row r="737" spans="1:7" hidden="1">
      <c r="A737" s="36" t="s">
        <v>412</v>
      </c>
      <c r="B737" s="36" t="s">
        <v>825</v>
      </c>
      <c r="C737" s="36" t="str">
        <f>_xlfn.CONCAT(Table4[[#This Row],[Ledger Name]],Table4[[#This Row],[Entity Name]])</f>
        <v>Travel ExpenseAspirach Lanka</v>
      </c>
      <c r="D737" s="36" t="s">
        <v>936</v>
      </c>
      <c r="E737" s="36" t="s">
        <v>152</v>
      </c>
      <c r="F737" s="49" t="s">
        <v>93</v>
      </c>
      <c r="G737" s="36" t="s">
        <v>84</v>
      </c>
    </row>
    <row r="738" spans="1:7" hidden="1">
      <c r="A738" s="36" t="s">
        <v>698</v>
      </c>
      <c r="B738" s="36" t="s">
        <v>825</v>
      </c>
      <c r="C738" s="36" t="str">
        <f>_xlfn.CONCAT(Table4[[#This Row],[Ledger Name]],Table4[[#This Row],[Entity Name]])</f>
        <v>Visa and Other ExpensesAspirach Lanka</v>
      </c>
      <c r="D738" s="36" t="s">
        <v>936</v>
      </c>
      <c r="E738" s="36" t="s">
        <v>152</v>
      </c>
      <c r="F738" s="49" t="s">
        <v>8</v>
      </c>
      <c r="G738" s="101" t="s">
        <v>84</v>
      </c>
    </row>
    <row r="739" spans="1:7" hidden="1">
      <c r="A739" s="36" t="s">
        <v>724</v>
      </c>
      <c r="B739" s="36" t="s">
        <v>825</v>
      </c>
      <c r="C739" s="36" t="str">
        <f>_xlfn.CONCAT(Table4[[#This Row],[Ledger Name]],Table4[[#This Row],[Entity Name]])</f>
        <v>Water BillAspirach Lanka</v>
      </c>
      <c r="D739" s="36" t="s">
        <v>936</v>
      </c>
      <c r="E739" s="36" t="s">
        <v>152</v>
      </c>
      <c r="F739" s="49" t="s">
        <v>5</v>
      </c>
      <c r="G739" s="101" t="s">
        <v>35</v>
      </c>
    </row>
    <row r="740" spans="1:7" hidden="1">
      <c r="A740" s="36" t="s">
        <v>721</v>
      </c>
      <c r="B740" s="36" t="s">
        <v>825</v>
      </c>
      <c r="C740" s="36" t="str">
        <f>_xlfn.CONCAT(Table4[[#This Row],[Ledger Name]],Table4[[#This Row],[Entity Name]])</f>
        <v>Aditya Petty CashAspirach Lanka</v>
      </c>
      <c r="D740" s="36" t="s">
        <v>936</v>
      </c>
      <c r="E740" s="49" t="s">
        <v>746</v>
      </c>
      <c r="F740" s="49" t="s">
        <v>24</v>
      </c>
      <c r="G740" s="101" t="s">
        <v>1613</v>
      </c>
    </row>
    <row r="741" spans="1:7" hidden="1">
      <c r="A741" s="36" t="s">
        <v>1154</v>
      </c>
      <c r="B741" s="36" t="s">
        <v>314</v>
      </c>
      <c r="C741" s="36" t="str">
        <f>_xlfn.CONCAT(Table4[[#This Row],[Ledger Name]],Table4[[#This Row],[Entity Name]])</f>
        <v>LOAN TO SUBSIDIARIES(INTEREST)Expora</v>
      </c>
      <c r="D741" s="36" t="s">
        <v>936</v>
      </c>
      <c r="E741" s="49" t="s">
        <v>746</v>
      </c>
      <c r="F741" s="49" t="s">
        <v>52</v>
      </c>
      <c r="G741" s="24" t="s">
        <v>1606</v>
      </c>
    </row>
    <row r="742" spans="1:7" hidden="1">
      <c r="A742" s="36" t="s">
        <v>1155</v>
      </c>
      <c r="B742" s="36" t="s">
        <v>314</v>
      </c>
      <c r="C742" s="36" t="str">
        <f>_xlfn.CONCAT(Table4[[#This Row],[Ledger Name]],Table4[[#This Row],[Entity Name]])</f>
        <v>LOAN TO SUBSIDIARIES (OTHERS)Expora</v>
      </c>
      <c r="D742" s="36" t="s">
        <v>936</v>
      </c>
      <c r="E742" s="49" t="s">
        <v>746</v>
      </c>
      <c r="F742" s="49" t="s">
        <v>52</v>
      </c>
      <c r="G742" s="24" t="s">
        <v>1606</v>
      </c>
    </row>
    <row r="743" spans="1:7" hidden="1">
      <c r="A743" s="36" t="s">
        <v>1156</v>
      </c>
      <c r="B743" s="36" t="s">
        <v>314</v>
      </c>
      <c r="C743" s="36" t="str">
        <f>_xlfn.CONCAT(Table4[[#This Row],[Ledger Name]],Table4[[#This Row],[Entity Name]])</f>
        <v>LOAN TO SUBSIDIARIES(REGD.)Expora</v>
      </c>
      <c r="D743" s="36" t="s">
        <v>936</v>
      </c>
      <c r="E743" s="49" t="s">
        <v>746</v>
      </c>
      <c r="F743" s="49" t="s">
        <v>52</v>
      </c>
      <c r="G743" s="24" t="s">
        <v>1606</v>
      </c>
    </row>
    <row r="744" spans="1:7" hidden="1">
      <c r="A744" s="36" t="s">
        <v>1157</v>
      </c>
      <c r="B744" s="36" t="s">
        <v>314</v>
      </c>
      <c r="C744" s="36" t="str">
        <f>_xlfn.CONCAT(Table4[[#This Row],[Ledger Name]],Table4[[#This Row],[Entity Name]])</f>
        <v>Loan to SHREE MKS EXPORA PVT. LTD.Expora</v>
      </c>
      <c r="D744" s="36" t="s">
        <v>936</v>
      </c>
      <c r="E744" s="49" t="s">
        <v>746</v>
      </c>
      <c r="F744" s="49" t="s">
        <v>52</v>
      </c>
      <c r="G744" s="24" t="s">
        <v>1606</v>
      </c>
    </row>
    <row r="745" spans="1:7" hidden="1">
      <c r="A745" s="36" t="s">
        <v>1158</v>
      </c>
      <c r="B745" s="36" t="s">
        <v>314</v>
      </c>
      <c r="C745" s="36" t="str">
        <f>_xlfn.CONCAT(Table4[[#This Row],[Ledger Name]],Table4[[#This Row],[Entity Name]])</f>
        <v>Apple IPad 10.9 Wifi 256gb SLV - MPQ83HN/AExpora</v>
      </c>
      <c r="D745" s="36" t="s">
        <v>936</v>
      </c>
      <c r="E745" s="49" t="s">
        <v>746</v>
      </c>
      <c r="F745" s="49" t="s">
        <v>346</v>
      </c>
      <c r="G745" s="182" t="s">
        <v>346</v>
      </c>
    </row>
    <row r="746" spans="1:7" hidden="1">
      <c r="A746" s="36" t="s">
        <v>1159</v>
      </c>
      <c r="B746" s="36" t="s">
        <v>314</v>
      </c>
      <c r="C746" s="36" t="str">
        <f>_xlfn.CONCAT(Table4[[#This Row],[Ledger Name]],Table4[[#This Row],[Entity Name]])</f>
        <v>Apple Magic Keyboard Folio- MQDP3HN/AExpora</v>
      </c>
      <c r="D746" s="36" t="s">
        <v>936</v>
      </c>
      <c r="E746" s="49" t="s">
        <v>746</v>
      </c>
      <c r="F746" s="49" t="s">
        <v>346</v>
      </c>
      <c r="G746" s="182" t="s">
        <v>346</v>
      </c>
    </row>
    <row r="747" spans="1:7" hidden="1">
      <c r="A747" s="36" t="s">
        <v>1160</v>
      </c>
      <c r="B747" s="36" t="s">
        <v>314</v>
      </c>
      <c r="C747" s="36" t="str">
        <f>_xlfn.CONCAT(Table4[[#This Row],[Ledger Name]],Table4[[#This Row],[Entity Name]])</f>
        <v>Interest Receivable From LankaExpora</v>
      </c>
      <c r="D747" s="36" t="s">
        <v>936</v>
      </c>
      <c r="E747" s="49" t="s">
        <v>746</v>
      </c>
      <c r="F747" s="49" t="s">
        <v>52</v>
      </c>
      <c r="G747" s="24" t="s">
        <v>1606</v>
      </c>
    </row>
    <row r="748" spans="1:7" hidden="1">
      <c r="A748" s="36" t="s">
        <v>175</v>
      </c>
      <c r="B748" s="36" t="s">
        <v>314</v>
      </c>
      <c r="C748" s="36" t="str">
        <f>_xlfn.CONCAT(Table4[[#This Row],[Ledger Name]],Table4[[#This Row],[Entity Name]])</f>
        <v>Audit Fees PayableExpora</v>
      </c>
      <c r="D748" s="36" t="s">
        <v>936</v>
      </c>
      <c r="E748" s="49" t="s">
        <v>746</v>
      </c>
      <c r="F748" s="49" t="s">
        <v>195</v>
      </c>
      <c r="G748" s="24" t="s">
        <v>161</v>
      </c>
    </row>
    <row r="749" spans="1:7" hidden="1">
      <c r="A749" s="36" t="s">
        <v>1161</v>
      </c>
      <c r="B749" s="36" t="s">
        <v>314</v>
      </c>
      <c r="C749" s="36" t="str">
        <f>_xlfn.CONCAT(Table4[[#This Row],[Ledger Name]],Table4[[#This Row],[Entity Name]])</f>
        <v>Provision for doubtful debtsExpora</v>
      </c>
      <c r="D749" s="36" t="s">
        <v>936</v>
      </c>
      <c r="E749" s="49" t="s">
        <v>746</v>
      </c>
      <c r="F749" s="49" t="s">
        <v>195</v>
      </c>
      <c r="G749" s="24" t="s">
        <v>1618</v>
      </c>
    </row>
    <row r="750" spans="1:7" hidden="1">
      <c r="A750" s="36" t="s">
        <v>1162</v>
      </c>
      <c r="B750" s="36" t="s">
        <v>314</v>
      </c>
      <c r="C750" s="36" t="str">
        <f>_xlfn.CONCAT(Table4[[#This Row],[Ledger Name]],Table4[[#This Row],[Entity Name]])</f>
        <v>F02EBOU242495001Expora</v>
      </c>
      <c r="D750" s="36" t="s">
        <v>936</v>
      </c>
      <c r="E750" s="49" t="s">
        <v>746</v>
      </c>
      <c r="F750" s="49" t="s">
        <v>345</v>
      </c>
      <c r="G750" s="101" t="s">
        <v>278</v>
      </c>
    </row>
    <row r="751" spans="1:7" hidden="1">
      <c r="A751" s="36" t="s">
        <v>1112</v>
      </c>
      <c r="B751" s="36" t="s">
        <v>314</v>
      </c>
      <c r="C751" s="36" t="str">
        <f>_xlfn.CONCAT(Table4[[#This Row],[Ledger Name]],Table4[[#This Row],[Entity Name]])</f>
        <v>TAEXP2425025Expora</v>
      </c>
      <c r="D751" s="36" t="s">
        <v>936</v>
      </c>
      <c r="E751" s="49" t="s">
        <v>746</v>
      </c>
      <c r="F751" s="49" t="s">
        <v>23</v>
      </c>
      <c r="G751" s="24" t="s">
        <v>968</v>
      </c>
    </row>
    <row r="752" spans="1:7" hidden="1">
      <c r="A752" s="36" t="s">
        <v>1163</v>
      </c>
      <c r="B752" s="36" t="s">
        <v>314</v>
      </c>
      <c r="C752" s="36" t="str">
        <f>_xlfn.CONCAT(Table4[[#This Row],[Ledger Name]],Table4[[#This Row],[Entity Name]])</f>
        <v>D13456538Expora</v>
      </c>
      <c r="D752" s="36" t="s">
        <v>936</v>
      </c>
      <c r="E752" s="49" t="s">
        <v>746</v>
      </c>
      <c r="F752" s="49" t="s">
        <v>345</v>
      </c>
      <c r="G752" s="101" t="s">
        <v>278</v>
      </c>
    </row>
    <row r="753" spans="1:7" hidden="1">
      <c r="A753" s="36" t="s">
        <v>1164</v>
      </c>
      <c r="B753" s="36" t="s">
        <v>314</v>
      </c>
      <c r="C753" s="36" t="str">
        <f>_xlfn.CONCAT(Table4[[#This Row],[Ledger Name]],Table4[[#This Row],[Entity Name]])</f>
        <v>F02PCFC242505001Expora</v>
      </c>
      <c r="D753" s="36" t="s">
        <v>936</v>
      </c>
      <c r="E753" s="49" t="s">
        <v>746</v>
      </c>
      <c r="F753" s="49" t="s">
        <v>345</v>
      </c>
      <c r="G753" s="101" t="s">
        <v>278</v>
      </c>
    </row>
    <row r="754" spans="1:7" hidden="1">
      <c r="A754" s="36" t="s">
        <v>1165</v>
      </c>
      <c r="B754" s="36" t="s">
        <v>314</v>
      </c>
      <c r="C754" s="36" t="str">
        <f>_xlfn.CONCAT(Table4[[#This Row],[Ledger Name]],Table4[[#This Row],[Entity Name]])</f>
        <v>F02PCFC242505005Expora</v>
      </c>
      <c r="D754" s="36" t="s">
        <v>936</v>
      </c>
      <c r="E754" s="49" t="s">
        <v>746</v>
      </c>
      <c r="F754" s="49" t="s">
        <v>345</v>
      </c>
      <c r="G754" s="101" t="s">
        <v>278</v>
      </c>
    </row>
    <row r="755" spans="1:7" hidden="1">
      <c r="A755" s="36" t="s">
        <v>1166</v>
      </c>
      <c r="B755" s="36" t="s">
        <v>314</v>
      </c>
      <c r="C755" s="36" t="str">
        <f>_xlfn.CONCAT(Table4[[#This Row],[Ledger Name]],Table4[[#This Row],[Entity Name]])</f>
        <v>ESOP ReserveExpora</v>
      </c>
      <c r="D755" s="36" t="s">
        <v>936</v>
      </c>
      <c r="E755" s="49" t="s">
        <v>746</v>
      </c>
      <c r="F755" s="49" t="s">
        <v>1166</v>
      </c>
      <c r="G755" s="101" t="s">
        <v>1166</v>
      </c>
    </row>
    <row r="756" spans="1:7" hidden="1">
      <c r="A756" s="36" t="s">
        <v>331</v>
      </c>
      <c r="B756" s="36" t="s">
        <v>314</v>
      </c>
      <c r="C756" s="36" t="str">
        <f>_xlfn.CONCAT(Table4[[#This Row],[Ledger Name]],Table4[[#This Row],[Entity Name]])</f>
        <v>ASP/EXP/2223/105Expora</v>
      </c>
      <c r="D756" s="36" t="s">
        <v>936</v>
      </c>
      <c r="E756" s="49" t="s">
        <v>152</v>
      </c>
      <c r="F756" s="49" t="s">
        <v>93</v>
      </c>
      <c r="G756" s="101" t="s">
        <v>138</v>
      </c>
    </row>
    <row r="757" spans="1:7" hidden="1">
      <c r="A757" s="36" t="s">
        <v>335</v>
      </c>
      <c r="B757" s="36" t="s">
        <v>314</v>
      </c>
      <c r="C757" s="36" t="str">
        <f>_xlfn.CONCAT(Table4[[#This Row],[Ledger Name]],Table4[[#This Row],[Entity Name]])</f>
        <v>ASP/EXP/2223/108Expora</v>
      </c>
      <c r="D757" s="36" t="s">
        <v>936</v>
      </c>
      <c r="E757" s="49" t="s">
        <v>152</v>
      </c>
      <c r="F757" s="49" t="s">
        <v>93</v>
      </c>
      <c r="G757" s="101" t="s">
        <v>138</v>
      </c>
    </row>
    <row r="758" spans="1:7" hidden="1">
      <c r="A758" s="36" t="s">
        <v>637</v>
      </c>
      <c r="B758" s="36" t="s">
        <v>314</v>
      </c>
      <c r="C758" s="36" t="str">
        <f>_xlfn.CONCAT(Table4[[#This Row],[Ledger Name]],Table4[[#This Row],[Entity Name]])</f>
        <v>ASP/EXP/2324/051Expora</v>
      </c>
      <c r="D758" s="36" t="s">
        <v>936</v>
      </c>
      <c r="E758" s="49" t="s">
        <v>152</v>
      </c>
      <c r="F758" s="49" t="s">
        <v>93</v>
      </c>
      <c r="G758" s="101" t="s">
        <v>138</v>
      </c>
    </row>
    <row r="759" spans="1:7" hidden="1">
      <c r="A759" s="36" t="s">
        <v>789</v>
      </c>
      <c r="B759" s="36" t="s">
        <v>314</v>
      </c>
      <c r="C759" s="36" t="str">
        <f>_xlfn.CONCAT(Table4[[#This Row],[Ledger Name]],Table4[[#This Row],[Entity Name]])</f>
        <v>ASP/EXP/2324/063Expora</v>
      </c>
      <c r="D759" s="36" t="s">
        <v>936</v>
      </c>
      <c r="E759" s="49" t="s">
        <v>152</v>
      </c>
      <c r="F759" s="49" t="s">
        <v>93</v>
      </c>
      <c r="G759" s="101" t="s">
        <v>138</v>
      </c>
    </row>
    <row r="760" spans="1:7" hidden="1">
      <c r="A760" s="36" t="s">
        <v>1167</v>
      </c>
      <c r="B760" s="36" t="s">
        <v>314</v>
      </c>
      <c r="C760" s="36" t="str">
        <f>_xlfn.CONCAT(Table4[[#This Row],[Ledger Name]],Table4[[#This Row],[Entity Name]])</f>
        <v>TAEXP2425026Expora</v>
      </c>
      <c r="D760" s="36" t="s">
        <v>936</v>
      </c>
      <c r="E760" s="49" t="s">
        <v>152</v>
      </c>
      <c r="F760" s="49" t="s">
        <v>93</v>
      </c>
      <c r="G760" s="101" t="s">
        <v>138</v>
      </c>
    </row>
    <row r="761" spans="1:7" hidden="1">
      <c r="A761" s="36" t="s">
        <v>1169</v>
      </c>
      <c r="B761" s="36" t="s">
        <v>826</v>
      </c>
      <c r="C761" s="36" t="str">
        <f>_xlfn.CONCAT(Table4[[#This Row],[Ledger Name]],Table4[[#This Row],[Entity Name]])</f>
        <v>Zoho BooksArha General Trading Co (AGT)</v>
      </c>
      <c r="D761" s="36" t="s">
        <v>936</v>
      </c>
      <c r="E761" s="49" t="s">
        <v>746</v>
      </c>
      <c r="F761" s="49" t="s">
        <v>52</v>
      </c>
      <c r="G761" s="101" t="s">
        <v>1602</v>
      </c>
    </row>
    <row r="762" spans="1:7" hidden="1">
      <c r="A762" s="36" t="s">
        <v>1168</v>
      </c>
      <c r="B762" s="36" t="s">
        <v>826</v>
      </c>
      <c r="C762" s="36" t="str">
        <f>_xlfn.CONCAT(Table4[[#This Row],[Ledger Name]],Table4[[#This Row],[Entity Name]])</f>
        <v>write offArha General Trading Co (AGT)</v>
      </c>
      <c r="D762" s="36" t="s">
        <v>936</v>
      </c>
      <c r="E762" s="49" t="s">
        <v>152</v>
      </c>
      <c r="F762" s="49" t="s">
        <v>13</v>
      </c>
      <c r="G762" s="101" t="s">
        <v>14</v>
      </c>
    </row>
    <row r="763" spans="1:7" hidden="1">
      <c r="A763" s="36" t="s">
        <v>754</v>
      </c>
      <c r="B763" s="36" t="s">
        <v>826</v>
      </c>
      <c r="C763" s="36" t="str">
        <f>_xlfn.CONCAT(Table4[[#This Row],[Ledger Name]],Table4[[#This Row],[Entity Name]])</f>
        <v>Agency Charges ( CHA )Arha General Trading Co (AGT)</v>
      </c>
      <c r="D763" s="36" t="s">
        <v>936</v>
      </c>
      <c r="E763" s="49" t="s">
        <v>152</v>
      </c>
      <c r="F763" s="49" t="s">
        <v>93</v>
      </c>
      <c r="G763" s="101" t="s">
        <v>685</v>
      </c>
    </row>
    <row r="764" spans="1:7" hidden="1">
      <c r="A764" s="36" t="s">
        <v>648</v>
      </c>
      <c r="B764" s="36" t="s">
        <v>826</v>
      </c>
      <c r="C764" s="36" t="str">
        <f>_xlfn.CONCAT(Table4[[#This Row],[Ledger Name]],Table4[[#This Row],[Entity Name]])</f>
        <v>Ejari ChargesArha General Trading Co (AGT)</v>
      </c>
      <c r="D764" s="36" t="s">
        <v>936</v>
      </c>
      <c r="E764" s="49" t="s">
        <v>152</v>
      </c>
      <c r="F764" s="49" t="s">
        <v>342</v>
      </c>
      <c r="G764" s="101" t="s">
        <v>1191</v>
      </c>
    </row>
    <row r="765" spans="1:7" hidden="1">
      <c r="A765" s="36" t="s">
        <v>668</v>
      </c>
      <c r="B765" s="36" t="s">
        <v>825</v>
      </c>
      <c r="C765" s="36" t="str">
        <f>_xlfn.CONCAT(Table4[[#This Row],[Ledger Name]],Table4[[#This Row],[Entity Name]])</f>
        <v>Air ConditionerAspirach Lanka</v>
      </c>
      <c r="D765" s="36" t="s">
        <v>936</v>
      </c>
      <c r="E765" s="49" t="s">
        <v>746</v>
      </c>
      <c r="F765" s="49" t="s">
        <v>346</v>
      </c>
      <c r="G765" s="101" t="s">
        <v>346</v>
      </c>
    </row>
    <row r="766" spans="1:7" hidden="1">
      <c r="A766" s="36" t="s">
        <v>743</v>
      </c>
      <c r="B766" s="36" t="s">
        <v>825</v>
      </c>
      <c r="C766" s="36" t="str">
        <f>_xlfn.CONCAT(Table4[[#This Row],[Ledger Name]],Table4[[#This Row],[Entity Name]])</f>
        <v>Ajit Ji Petty CashAspirach Lanka</v>
      </c>
      <c r="D766" s="36" t="s">
        <v>936</v>
      </c>
      <c r="E766" s="49" t="s">
        <v>746</v>
      </c>
      <c r="F766" s="49" t="s">
        <v>52</v>
      </c>
      <c r="G766" s="101" t="s">
        <v>52</v>
      </c>
    </row>
    <row r="767" spans="1:7" hidden="1">
      <c r="A767" s="36" t="s">
        <v>669</v>
      </c>
      <c r="B767" s="36" t="s">
        <v>825</v>
      </c>
      <c r="C767" s="36" t="str">
        <f>_xlfn.CONCAT(Table4[[#This Row],[Ledger Name]],Table4[[#This Row],[Entity Name]])</f>
        <v>ASPIRARCH LANKA (PVT) LTD (CB)Aspirach Lanka</v>
      </c>
      <c r="D767" s="36" t="s">
        <v>936</v>
      </c>
      <c r="E767" s="49" t="s">
        <v>746</v>
      </c>
      <c r="F767" s="49" t="s">
        <v>24</v>
      </c>
      <c r="G767" s="24" t="s">
        <v>1613</v>
      </c>
    </row>
    <row r="768" spans="1:7" hidden="1">
      <c r="A768" s="36" t="s">
        <v>670</v>
      </c>
      <c r="B768" s="36" t="s">
        <v>825</v>
      </c>
      <c r="C768" s="36" t="str">
        <f>_xlfn.CONCAT(Table4[[#This Row],[Ledger Name]],Table4[[#This Row],[Entity Name]])</f>
        <v>ASPIRARCH PVT LTD (NDB)Aspirach Lanka</v>
      </c>
      <c r="D768" s="36" t="s">
        <v>936</v>
      </c>
      <c r="E768" s="49" t="s">
        <v>746</v>
      </c>
      <c r="F768" s="49" t="s">
        <v>24</v>
      </c>
      <c r="G768" s="24" t="s">
        <v>1613</v>
      </c>
    </row>
    <row r="769" spans="1:7" hidden="1">
      <c r="A769" s="36" t="s">
        <v>744</v>
      </c>
      <c r="B769" s="36" t="s">
        <v>825</v>
      </c>
      <c r="C769" s="36" t="str">
        <f>_xlfn.CONCAT(Table4[[#This Row],[Ledger Name]],Table4[[#This Row],[Entity Name]])</f>
        <v>RRR FOR NEW SHOPAspirach Lanka</v>
      </c>
      <c r="D769" s="36" t="s">
        <v>936</v>
      </c>
      <c r="E769" s="49" t="s">
        <v>746</v>
      </c>
      <c r="F769" s="49" t="s">
        <v>52</v>
      </c>
      <c r="G769" s="101" t="s">
        <v>52</v>
      </c>
    </row>
    <row r="770" spans="1:7" hidden="1">
      <c r="A770" s="36" t="s">
        <v>689</v>
      </c>
      <c r="B770" s="36" t="s">
        <v>825</v>
      </c>
      <c r="C770" s="36" t="str">
        <f>_xlfn.CONCAT(Table4[[#This Row],[Ledger Name]],Table4[[#This Row],[Entity Name]])</f>
        <v>Saving Account ( New )Aspirach Lanka</v>
      </c>
      <c r="D770" s="36" t="s">
        <v>936</v>
      </c>
      <c r="E770" s="49" t="s">
        <v>746</v>
      </c>
      <c r="F770" s="49" t="s">
        <v>24</v>
      </c>
      <c r="G770" s="24" t="s">
        <v>1613</v>
      </c>
    </row>
    <row r="771" spans="1:7" hidden="1">
      <c r="A771" s="36" t="s">
        <v>858</v>
      </c>
      <c r="B771" s="36" t="s">
        <v>825</v>
      </c>
      <c r="C771" s="36" t="str">
        <f>_xlfn.CONCAT(Table4[[#This Row],[Ledger Name]],Table4[[#This Row],[Entity Name]])</f>
        <v>Security Deposit- New Apartment DahiwalaAspirach Lanka</v>
      </c>
      <c r="D771" s="36" t="s">
        <v>936</v>
      </c>
      <c r="E771" s="49" t="s">
        <v>746</v>
      </c>
      <c r="F771" s="49" t="s">
        <v>52</v>
      </c>
      <c r="G771" s="24" t="s">
        <v>1602</v>
      </c>
    </row>
    <row r="772" spans="1:7" hidden="1">
      <c r="A772" s="36" t="s">
        <v>722</v>
      </c>
      <c r="B772" s="36" t="s">
        <v>825</v>
      </c>
      <c r="C772" s="36" t="str">
        <f>_xlfn.CONCAT(Table4[[#This Row],[Ledger Name]],Table4[[#This Row],[Entity Name]])</f>
        <v>Office Rent PayableAspirach Lanka</v>
      </c>
      <c r="D772" s="36" t="s">
        <v>936</v>
      </c>
      <c r="E772" s="49" t="s">
        <v>746</v>
      </c>
      <c r="F772" s="49" t="s">
        <v>195</v>
      </c>
      <c r="G772" s="101" t="s">
        <v>195</v>
      </c>
    </row>
    <row r="773" spans="1:7" hidden="1">
      <c r="A773" s="36" t="s">
        <v>671</v>
      </c>
      <c r="B773" s="36" t="s">
        <v>825</v>
      </c>
      <c r="C773" s="36" t="str">
        <f>_xlfn.CONCAT(Table4[[#This Row],[Ledger Name]],Table4[[#This Row],[Entity Name]])</f>
        <v>Loan From Aspirarch Market Platforms LimitedAspirach Lanka</v>
      </c>
      <c r="D773" s="36" t="s">
        <v>936</v>
      </c>
      <c r="E773" s="49" t="s">
        <v>746</v>
      </c>
      <c r="F773" s="49" t="s">
        <v>23</v>
      </c>
      <c r="G773" s="24" t="s">
        <v>1619</v>
      </c>
    </row>
    <row r="774" spans="1:7" hidden="1">
      <c r="A774" s="36" t="s">
        <v>673</v>
      </c>
      <c r="B774" s="36" t="s">
        <v>825</v>
      </c>
      <c r="C774" s="36" t="str">
        <f>_xlfn.CONCAT(Table4[[#This Row],[Ledger Name]],Table4[[#This Row],[Entity Name]])</f>
        <v>Custom Clearance ChgAspirach Lanka</v>
      </c>
      <c r="D774" s="36" t="s">
        <v>936</v>
      </c>
      <c r="E774" s="49" t="s">
        <v>152</v>
      </c>
      <c r="F774" s="49" t="s">
        <v>93</v>
      </c>
      <c r="G774" s="101" t="s">
        <v>685</v>
      </c>
    </row>
    <row r="775" spans="1:7" hidden="1">
      <c r="A775" s="36" t="s">
        <v>674</v>
      </c>
      <c r="B775" s="36" t="s">
        <v>825</v>
      </c>
      <c r="C775" s="36" t="str">
        <f>_xlfn.CONCAT(Table4[[#This Row],[Ledger Name]],Table4[[#This Row],[Entity Name]])</f>
        <v>CUSTOMS DUTYAspirach Lanka</v>
      </c>
      <c r="D775" s="36" t="s">
        <v>936</v>
      </c>
      <c r="E775" s="49" t="s">
        <v>152</v>
      </c>
      <c r="F775" s="49" t="s">
        <v>93</v>
      </c>
      <c r="G775" s="101" t="s">
        <v>686</v>
      </c>
    </row>
    <row r="776" spans="1:7" hidden="1">
      <c r="A776" s="36" t="s">
        <v>693</v>
      </c>
      <c r="B776" s="36" t="s">
        <v>825</v>
      </c>
      <c r="C776" s="36" t="str">
        <f>_xlfn.CONCAT(Table4[[#This Row],[Ledger Name]],Table4[[#This Row],[Entity Name]])</f>
        <v>Excess Weight ChargesAspirach Lanka</v>
      </c>
      <c r="D776" s="36" t="s">
        <v>936</v>
      </c>
      <c r="E776" s="49" t="s">
        <v>152</v>
      </c>
      <c r="F776" s="49" t="s">
        <v>93</v>
      </c>
      <c r="G776" s="101" t="s">
        <v>693</v>
      </c>
    </row>
    <row r="777" spans="1:7" hidden="1">
      <c r="A777" s="36" t="s">
        <v>181</v>
      </c>
      <c r="B777" s="36" t="s">
        <v>825</v>
      </c>
      <c r="C777" s="36" t="str">
        <f>_xlfn.CONCAT(Table4[[#This Row],[Ledger Name]],Table4[[#This Row],[Entity Name]])</f>
        <v>Health CertificateAspirach Lanka</v>
      </c>
      <c r="D777" s="36" t="s">
        <v>936</v>
      </c>
      <c r="E777" s="49" t="s">
        <v>152</v>
      </c>
      <c r="F777" s="49" t="s">
        <v>93</v>
      </c>
      <c r="G777" s="101" t="s">
        <v>184</v>
      </c>
    </row>
    <row r="778" spans="1:7" hidden="1">
      <c r="A778" s="36" t="s">
        <v>675</v>
      </c>
      <c r="B778" s="36" t="s">
        <v>825</v>
      </c>
      <c r="C778" s="36" t="str">
        <f>_xlfn.CONCAT(Table4[[#This Row],[Ledger Name]],Table4[[#This Row],[Entity Name]])</f>
        <v>LOADING UNLOAIDNG &amp; OTHER EXPAspirach Lanka</v>
      </c>
      <c r="D778" s="36" t="s">
        <v>936</v>
      </c>
      <c r="E778" s="49" t="s">
        <v>152</v>
      </c>
      <c r="F778" s="49" t="s">
        <v>93</v>
      </c>
      <c r="G778" s="101" t="s">
        <v>184</v>
      </c>
    </row>
    <row r="779" spans="1:7" hidden="1">
      <c r="A779" s="36" t="s">
        <v>676</v>
      </c>
      <c r="B779" s="36" t="s">
        <v>825</v>
      </c>
      <c r="C779" s="36" t="str">
        <f>_xlfn.CONCAT(Table4[[#This Row],[Ledger Name]],Table4[[#This Row],[Entity Name]])</f>
        <v>RCT ChargesAspirach Lanka</v>
      </c>
      <c r="D779" s="36" t="s">
        <v>936</v>
      </c>
      <c r="E779" s="49" t="s">
        <v>152</v>
      </c>
      <c r="F779" s="49" t="s">
        <v>93</v>
      </c>
      <c r="G779" s="101" t="s">
        <v>184</v>
      </c>
    </row>
    <row r="780" spans="1:7" hidden="1">
      <c r="A780" s="36" t="s">
        <v>678</v>
      </c>
      <c r="B780" s="36" t="s">
        <v>825</v>
      </c>
      <c r="C780" s="36" t="str">
        <f>_xlfn.CONCAT(Table4[[#This Row],[Ledger Name]],Table4[[#This Row],[Entity Name]])</f>
        <v>THC AND SHIPPING LINE CHGAspirach Lanka</v>
      </c>
      <c r="D780" s="36" t="s">
        <v>936</v>
      </c>
      <c r="E780" s="49" t="s">
        <v>152</v>
      </c>
      <c r="F780" s="49" t="s">
        <v>93</v>
      </c>
      <c r="G780" s="101" t="s">
        <v>184</v>
      </c>
    </row>
    <row r="781" spans="1:7" hidden="1">
      <c r="A781" s="36" t="s">
        <v>679</v>
      </c>
      <c r="B781" s="36" t="s">
        <v>825</v>
      </c>
      <c r="C781" s="36" t="str">
        <f>_xlfn.CONCAT(Table4[[#This Row],[Ledger Name]],Table4[[#This Row],[Entity Name]])</f>
        <v>TRANSPORTATION CHGAspirach Lanka</v>
      </c>
      <c r="D781" s="36" t="s">
        <v>936</v>
      </c>
      <c r="E781" s="49" t="s">
        <v>152</v>
      </c>
      <c r="F781" s="49" t="s">
        <v>93</v>
      </c>
      <c r="G781" s="101" t="s">
        <v>184</v>
      </c>
    </row>
    <row r="782" spans="1:7" hidden="1">
      <c r="A782" s="36" t="s">
        <v>680</v>
      </c>
      <c r="B782" s="36" t="s">
        <v>825</v>
      </c>
      <c r="C782" s="36" t="str">
        <f>_xlfn.CONCAT(Table4[[#This Row],[Ledger Name]],Table4[[#This Row],[Entity Name]])</f>
        <v>Weighment ChgAspirach Lanka</v>
      </c>
      <c r="D782" s="36" t="s">
        <v>936</v>
      </c>
      <c r="E782" s="49" t="s">
        <v>152</v>
      </c>
      <c r="F782" s="49" t="s">
        <v>93</v>
      </c>
      <c r="G782" s="101" t="s">
        <v>184</v>
      </c>
    </row>
    <row r="783" spans="1:7" hidden="1">
      <c r="A783" s="36" t="s">
        <v>196</v>
      </c>
      <c r="B783" s="36" t="s">
        <v>314</v>
      </c>
      <c r="C783" s="36" t="str">
        <f>_xlfn.CONCAT(Table4[[#This Row],[Ledger Name]],Table4[[#This Row],[Entity Name]])</f>
        <v>ASP/EXP/22-23/24Expora</v>
      </c>
      <c r="D783" s="36" t="s">
        <v>936</v>
      </c>
      <c r="E783" s="49" t="s">
        <v>152</v>
      </c>
      <c r="F783" s="49" t="s">
        <v>93</v>
      </c>
      <c r="G783" s="101" t="s">
        <v>138</v>
      </c>
    </row>
    <row r="784" spans="1:7" hidden="1">
      <c r="A784" s="36" t="s">
        <v>601</v>
      </c>
      <c r="B784" s="36" t="s">
        <v>314</v>
      </c>
      <c r="C784" s="36" t="str">
        <f>_xlfn.CONCAT(Table4[[#This Row],[Ledger Name]],Table4[[#This Row],[Entity Name]])</f>
        <v>ASP/EXP/22-23/107Expora</v>
      </c>
      <c r="D784" s="36" t="s">
        <v>936</v>
      </c>
      <c r="E784" s="49" t="s">
        <v>152</v>
      </c>
      <c r="F784" s="49" t="s">
        <v>93</v>
      </c>
      <c r="G784" s="101" t="s">
        <v>138</v>
      </c>
    </row>
    <row r="785" spans="1:7" hidden="1">
      <c r="A785" s="36" t="s">
        <v>191</v>
      </c>
      <c r="B785" s="36" t="s">
        <v>314</v>
      </c>
      <c r="C785" s="36" t="str">
        <f>_xlfn.CONCAT(Table4[[#This Row],[Ledger Name]],Table4[[#This Row],[Entity Name]])</f>
        <v>ASP/EXP/22-23/12Expora</v>
      </c>
      <c r="D785" s="36" t="s">
        <v>936</v>
      </c>
      <c r="E785" s="49" t="s">
        <v>152</v>
      </c>
      <c r="F785" s="49" t="s">
        <v>93</v>
      </c>
      <c r="G785" s="101" t="s">
        <v>138</v>
      </c>
    </row>
    <row r="786" spans="1:7" hidden="1">
      <c r="A786" s="36" t="s">
        <v>197</v>
      </c>
      <c r="B786" s="36" t="s">
        <v>314</v>
      </c>
      <c r="C786" s="36" t="str">
        <f>_xlfn.CONCAT(Table4[[#This Row],[Ledger Name]],Table4[[#This Row],[Entity Name]])</f>
        <v>ASP/EXP/22-23/32Expora</v>
      </c>
      <c r="D786" s="36" t="s">
        <v>936</v>
      </c>
      <c r="E786" s="49" t="s">
        <v>152</v>
      </c>
      <c r="F786" s="49" t="s">
        <v>93</v>
      </c>
      <c r="G786" s="101" t="s">
        <v>138</v>
      </c>
    </row>
    <row r="787" spans="1:7" hidden="1">
      <c r="A787" s="36" t="s">
        <v>241</v>
      </c>
      <c r="B787" s="36" t="s">
        <v>314</v>
      </c>
      <c r="C787" s="36" t="str">
        <f>_xlfn.CONCAT(Table4[[#This Row],[Ledger Name]],Table4[[#This Row],[Entity Name]])</f>
        <v>ASP/EXP/22-23/60Expora</v>
      </c>
      <c r="D787" s="36" t="s">
        <v>936</v>
      </c>
      <c r="E787" s="49" t="s">
        <v>152</v>
      </c>
      <c r="F787" s="49" t="s">
        <v>93</v>
      </c>
      <c r="G787" s="101" t="s">
        <v>138</v>
      </c>
    </row>
    <row r="788" spans="1:7" hidden="1">
      <c r="A788" s="36" t="s">
        <v>329</v>
      </c>
      <c r="B788" s="36" t="s">
        <v>314</v>
      </c>
      <c r="C788" s="36" t="str">
        <f>_xlfn.CONCAT(Table4[[#This Row],[Ledger Name]],Table4[[#This Row],[Entity Name]])</f>
        <v>ASP/EXP/2223/104Expora</v>
      </c>
      <c r="D788" s="36" t="s">
        <v>936</v>
      </c>
      <c r="E788" s="49" t="s">
        <v>152</v>
      </c>
      <c r="F788" s="49" t="s">
        <v>93</v>
      </c>
      <c r="G788" s="101" t="s">
        <v>138</v>
      </c>
    </row>
    <row r="789" spans="1:7" hidden="1">
      <c r="A789" s="36" t="s">
        <v>330</v>
      </c>
      <c r="B789" s="36" t="s">
        <v>314</v>
      </c>
      <c r="C789" s="36" t="str">
        <f>_xlfn.CONCAT(Table4[[#This Row],[Ledger Name]],Table4[[#This Row],[Entity Name]])</f>
        <v>ASP/EXP/2223/106Expora</v>
      </c>
      <c r="D789" s="36" t="s">
        <v>936</v>
      </c>
      <c r="E789" s="49" t="s">
        <v>152</v>
      </c>
      <c r="F789" s="49" t="s">
        <v>93</v>
      </c>
      <c r="G789" s="101" t="s">
        <v>138</v>
      </c>
    </row>
    <row r="790" spans="1:7" hidden="1">
      <c r="A790" s="36" t="s">
        <v>336</v>
      </c>
      <c r="B790" s="36" t="s">
        <v>314</v>
      </c>
      <c r="C790" s="36" t="str">
        <f>_xlfn.CONCAT(Table4[[#This Row],[Ledger Name]],Table4[[#This Row],[Entity Name]])</f>
        <v>ASP/EXP/2223/110Expora</v>
      </c>
      <c r="D790" s="36" t="s">
        <v>936</v>
      </c>
      <c r="E790" s="49" t="s">
        <v>152</v>
      </c>
      <c r="F790" s="49" t="s">
        <v>93</v>
      </c>
      <c r="G790" s="101" t="s">
        <v>138</v>
      </c>
    </row>
    <row r="791" spans="1:7" hidden="1">
      <c r="A791" s="36" t="s">
        <v>333</v>
      </c>
      <c r="B791" s="36" t="s">
        <v>314</v>
      </c>
      <c r="C791" s="36" t="str">
        <f>_xlfn.CONCAT(Table4[[#This Row],[Ledger Name]],Table4[[#This Row],[Entity Name]])</f>
        <v>ASP/EXP/2223/111Expora</v>
      </c>
      <c r="D791" s="36" t="s">
        <v>936</v>
      </c>
      <c r="E791" s="49" t="s">
        <v>152</v>
      </c>
      <c r="F791" s="49" t="s">
        <v>93</v>
      </c>
      <c r="G791" s="101" t="s">
        <v>138</v>
      </c>
    </row>
    <row r="792" spans="1:7" hidden="1">
      <c r="A792" s="36" t="s">
        <v>332</v>
      </c>
      <c r="B792" s="36" t="s">
        <v>314</v>
      </c>
      <c r="C792" s="36" t="str">
        <f>_xlfn.CONCAT(Table4[[#This Row],[Ledger Name]],Table4[[#This Row],[Entity Name]])</f>
        <v>ASP/EXP/2223/112Expora</v>
      </c>
      <c r="D792" s="36" t="s">
        <v>936</v>
      </c>
      <c r="E792" s="49" t="s">
        <v>152</v>
      </c>
      <c r="F792" s="49" t="s">
        <v>93</v>
      </c>
      <c r="G792" s="101" t="s">
        <v>138</v>
      </c>
    </row>
    <row r="793" spans="1:7" hidden="1">
      <c r="A793" s="36" t="s">
        <v>334</v>
      </c>
      <c r="B793" s="36" t="s">
        <v>314</v>
      </c>
      <c r="C793" s="36" t="str">
        <f>_xlfn.CONCAT(Table4[[#This Row],[Ledger Name]],Table4[[#This Row],[Entity Name]])</f>
        <v>ASP/EXP/2223/113Expora</v>
      </c>
      <c r="D793" s="36" t="s">
        <v>936</v>
      </c>
      <c r="E793" s="49" t="s">
        <v>152</v>
      </c>
      <c r="F793" s="49" t="s">
        <v>93</v>
      </c>
      <c r="G793" s="101" t="s">
        <v>138</v>
      </c>
    </row>
    <row r="794" spans="1:7" hidden="1">
      <c r="A794" s="36" t="s">
        <v>798</v>
      </c>
      <c r="B794" s="36" t="s">
        <v>314</v>
      </c>
      <c r="C794" s="36" t="str">
        <f>_xlfn.CONCAT(Table4[[#This Row],[Ledger Name]],Table4[[#This Row],[Entity Name]])</f>
        <v>ASP/EXP/23-24/00012Expora</v>
      </c>
      <c r="D794" s="36" t="s">
        <v>936</v>
      </c>
      <c r="E794" s="49" t="s">
        <v>152</v>
      </c>
      <c r="F794" s="49" t="s">
        <v>93</v>
      </c>
      <c r="G794" s="101" t="s">
        <v>138</v>
      </c>
    </row>
    <row r="795" spans="1:7" hidden="1">
      <c r="A795" s="36" t="s">
        <v>762</v>
      </c>
      <c r="B795" s="36" t="s">
        <v>314</v>
      </c>
      <c r="C795" s="36" t="str">
        <f>_xlfn.CONCAT(Table4[[#This Row],[Ledger Name]],Table4[[#This Row],[Entity Name]])</f>
        <v>ASP/EXP/23-24/061Expora</v>
      </c>
      <c r="D795" s="36" t="s">
        <v>936</v>
      </c>
      <c r="E795" s="49" t="s">
        <v>152</v>
      </c>
      <c r="F795" s="49" t="s">
        <v>93</v>
      </c>
      <c r="G795" s="101" t="s">
        <v>138</v>
      </c>
    </row>
    <row r="796" spans="1:7" hidden="1">
      <c r="A796" s="36" t="s">
        <v>799</v>
      </c>
      <c r="B796" s="36" t="s">
        <v>314</v>
      </c>
      <c r="C796" s="36" t="str">
        <f>_xlfn.CONCAT(Table4[[#This Row],[Ledger Name]],Table4[[#This Row],[Entity Name]])</f>
        <v>ASP/EXP/23-24/067Expora</v>
      </c>
      <c r="D796" s="36" t="s">
        <v>936</v>
      </c>
      <c r="E796" s="49" t="s">
        <v>152</v>
      </c>
      <c r="F796" s="49" t="s">
        <v>93</v>
      </c>
      <c r="G796" s="101" t="s">
        <v>138</v>
      </c>
    </row>
    <row r="797" spans="1:7" hidden="1">
      <c r="A797" s="36" t="s">
        <v>349</v>
      </c>
      <c r="B797" s="36" t="s">
        <v>314</v>
      </c>
      <c r="C797" s="36" t="str">
        <f>_xlfn.CONCAT(Table4[[#This Row],[Ledger Name]],Table4[[#This Row],[Entity Name]])</f>
        <v>ASP/EXP/2324/001Expora</v>
      </c>
      <c r="D797" s="36" t="s">
        <v>936</v>
      </c>
      <c r="E797" s="49" t="s">
        <v>152</v>
      </c>
      <c r="F797" s="49" t="s">
        <v>93</v>
      </c>
      <c r="G797" s="101" t="s">
        <v>138</v>
      </c>
    </row>
    <row r="798" spans="1:7" hidden="1">
      <c r="A798" s="36" t="s">
        <v>352</v>
      </c>
      <c r="B798" s="36" t="s">
        <v>314</v>
      </c>
      <c r="C798" s="36" t="str">
        <f>_xlfn.CONCAT(Table4[[#This Row],[Ledger Name]],Table4[[#This Row],[Entity Name]])</f>
        <v>ASP/EXP/2324/002Expora</v>
      </c>
      <c r="D798" s="36" t="s">
        <v>936</v>
      </c>
      <c r="E798" s="49" t="s">
        <v>152</v>
      </c>
      <c r="F798" s="49" t="s">
        <v>93</v>
      </c>
      <c r="G798" s="101" t="s">
        <v>138</v>
      </c>
    </row>
    <row r="799" spans="1:7" hidden="1">
      <c r="A799" s="36" t="s">
        <v>385</v>
      </c>
      <c r="B799" s="36" t="s">
        <v>314</v>
      </c>
      <c r="C799" s="36" t="str">
        <f>_xlfn.CONCAT(Table4[[#This Row],[Ledger Name]],Table4[[#This Row],[Entity Name]])</f>
        <v>ASP/EXP/2324/003Expora</v>
      </c>
      <c r="D799" s="36" t="s">
        <v>936</v>
      </c>
      <c r="E799" s="49" t="s">
        <v>152</v>
      </c>
      <c r="F799" s="49" t="s">
        <v>93</v>
      </c>
      <c r="G799" s="101" t="s">
        <v>138</v>
      </c>
    </row>
    <row r="800" spans="1:7" hidden="1">
      <c r="A800" s="36" t="s">
        <v>355</v>
      </c>
      <c r="B800" s="36" t="s">
        <v>314</v>
      </c>
      <c r="C800" s="36" t="str">
        <f>_xlfn.CONCAT(Table4[[#This Row],[Ledger Name]],Table4[[#This Row],[Entity Name]])</f>
        <v>ASP/EXP/2324/004Expora</v>
      </c>
      <c r="D800" s="36" t="s">
        <v>936</v>
      </c>
      <c r="E800" s="49" t="s">
        <v>152</v>
      </c>
      <c r="F800" s="49" t="s">
        <v>93</v>
      </c>
      <c r="G800" s="101" t="s">
        <v>138</v>
      </c>
    </row>
    <row r="801" spans="1:7" hidden="1">
      <c r="A801" s="36" t="s">
        <v>358</v>
      </c>
      <c r="B801" s="36" t="s">
        <v>314</v>
      </c>
      <c r="C801" s="36" t="str">
        <f>_xlfn.CONCAT(Table4[[#This Row],[Ledger Name]],Table4[[#This Row],[Entity Name]])</f>
        <v>ASP/EXP/2324/005Expora</v>
      </c>
      <c r="D801" s="36" t="s">
        <v>936</v>
      </c>
      <c r="E801" s="49" t="s">
        <v>152</v>
      </c>
      <c r="F801" s="49" t="s">
        <v>93</v>
      </c>
      <c r="G801" s="101" t="s">
        <v>138</v>
      </c>
    </row>
    <row r="802" spans="1:7" hidden="1">
      <c r="A802" s="36" t="s">
        <v>360</v>
      </c>
      <c r="B802" s="36" t="s">
        <v>314</v>
      </c>
      <c r="C802" s="36" t="str">
        <f>_xlfn.CONCAT(Table4[[#This Row],[Ledger Name]],Table4[[#This Row],[Entity Name]])</f>
        <v>ASP/EXP/2324/006Expora</v>
      </c>
      <c r="D802" s="36" t="s">
        <v>936</v>
      </c>
      <c r="E802" s="49" t="s">
        <v>152</v>
      </c>
      <c r="F802" s="49" t="s">
        <v>93</v>
      </c>
      <c r="G802" s="101" t="s">
        <v>138</v>
      </c>
    </row>
    <row r="803" spans="1:7" hidden="1">
      <c r="A803" s="36" t="s">
        <v>361</v>
      </c>
      <c r="B803" s="36" t="s">
        <v>314</v>
      </c>
      <c r="C803" s="36" t="str">
        <f>_xlfn.CONCAT(Table4[[#This Row],[Ledger Name]],Table4[[#This Row],[Entity Name]])</f>
        <v>ASP/EXP/2324/007Expora</v>
      </c>
      <c r="D803" s="36" t="s">
        <v>936</v>
      </c>
      <c r="E803" s="49" t="s">
        <v>152</v>
      </c>
      <c r="F803" s="49" t="s">
        <v>93</v>
      </c>
      <c r="G803" s="101" t="s">
        <v>138</v>
      </c>
    </row>
    <row r="804" spans="1:7" hidden="1">
      <c r="A804" s="36" t="s">
        <v>380</v>
      </c>
      <c r="B804" s="36" t="s">
        <v>314</v>
      </c>
      <c r="C804" s="36" t="str">
        <f>_xlfn.CONCAT(Table4[[#This Row],[Ledger Name]],Table4[[#This Row],[Entity Name]])</f>
        <v>ASP/EXP/2324/008Expora</v>
      </c>
      <c r="D804" s="36" t="s">
        <v>936</v>
      </c>
      <c r="E804" s="49" t="s">
        <v>152</v>
      </c>
      <c r="F804" s="49" t="s">
        <v>93</v>
      </c>
      <c r="G804" s="101" t="s">
        <v>138</v>
      </c>
    </row>
    <row r="805" spans="1:7" hidden="1">
      <c r="A805" s="36" t="s">
        <v>381</v>
      </c>
      <c r="B805" s="36" t="s">
        <v>314</v>
      </c>
      <c r="C805" s="36" t="str">
        <f>_xlfn.CONCAT(Table4[[#This Row],[Ledger Name]],Table4[[#This Row],[Entity Name]])</f>
        <v>ASP/EXP/2324/009Expora</v>
      </c>
      <c r="D805" s="36" t="s">
        <v>936</v>
      </c>
      <c r="E805" s="49" t="s">
        <v>152</v>
      </c>
      <c r="F805" s="49" t="s">
        <v>93</v>
      </c>
      <c r="G805" s="101" t="s">
        <v>138</v>
      </c>
    </row>
    <row r="806" spans="1:7" hidden="1">
      <c r="A806" s="36" t="s">
        <v>382</v>
      </c>
      <c r="B806" s="36" t="s">
        <v>314</v>
      </c>
      <c r="C806" s="36" t="str">
        <f>_xlfn.CONCAT(Table4[[#This Row],[Ledger Name]],Table4[[#This Row],[Entity Name]])</f>
        <v>ASP/EXP/2324/010Expora</v>
      </c>
      <c r="D806" s="36" t="s">
        <v>936</v>
      </c>
      <c r="E806" s="49" t="s">
        <v>152</v>
      </c>
      <c r="F806" s="49" t="s">
        <v>93</v>
      </c>
      <c r="G806" s="101" t="s">
        <v>138</v>
      </c>
    </row>
    <row r="807" spans="1:7" hidden="1">
      <c r="A807" s="36" t="s">
        <v>383</v>
      </c>
      <c r="B807" s="36" t="s">
        <v>314</v>
      </c>
      <c r="C807" s="36" t="str">
        <f>_xlfn.CONCAT(Table4[[#This Row],[Ledger Name]],Table4[[#This Row],[Entity Name]])</f>
        <v>ASP/EXP/2324/011Expora</v>
      </c>
      <c r="D807" s="36" t="s">
        <v>936</v>
      </c>
      <c r="E807" s="49" t="s">
        <v>152</v>
      </c>
      <c r="F807" s="49" t="s">
        <v>93</v>
      </c>
      <c r="G807" s="101" t="s">
        <v>138</v>
      </c>
    </row>
    <row r="808" spans="1:7" hidden="1">
      <c r="A808" s="36" t="s">
        <v>426</v>
      </c>
      <c r="B808" s="36" t="s">
        <v>314</v>
      </c>
      <c r="C808" s="36" t="str">
        <f>_xlfn.CONCAT(Table4[[#This Row],[Ledger Name]],Table4[[#This Row],[Entity Name]])</f>
        <v>ASP/EXP/2324/012Expora</v>
      </c>
      <c r="D808" s="36" t="s">
        <v>936</v>
      </c>
      <c r="E808" s="49" t="s">
        <v>152</v>
      </c>
      <c r="F808" s="49" t="s">
        <v>93</v>
      </c>
      <c r="G808" s="101" t="s">
        <v>138</v>
      </c>
    </row>
    <row r="809" spans="1:7" hidden="1">
      <c r="A809" s="36" t="s">
        <v>424</v>
      </c>
      <c r="B809" s="36" t="s">
        <v>314</v>
      </c>
      <c r="C809" s="36" t="str">
        <f>_xlfn.CONCAT(Table4[[#This Row],[Ledger Name]],Table4[[#This Row],[Entity Name]])</f>
        <v>ASP/EXP/2324/015Expora</v>
      </c>
      <c r="D809" s="36" t="s">
        <v>936</v>
      </c>
      <c r="E809" s="49" t="s">
        <v>152</v>
      </c>
      <c r="F809" s="49" t="s">
        <v>93</v>
      </c>
      <c r="G809" s="101" t="s">
        <v>138</v>
      </c>
    </row>
    <row r="810" spans="1:7" hidden="1">
      <c r="A810" s="36" t="s">
        <v>425</v>
      </c>
      <c r="B810" s="36" t="s">
        <v>314</v>
      </c>
      <c r="C810" s="36" t="str">
        <f>_xlfn.CONCAT(Table4[[#This Row],[Ledger Name]],Table4[[#This Row],[Entity Name]])</f>
        <v>ASP/EXP/2324/016Expora</v>
      </c>
      <c r="D810" s="36" t="s">
        <v>936</v>
      </c>
      <c r="E810" s="49" t="s">
        <v>152</v>
      </c>
      <c r="F810" s="49" t="s">
        <v>93</v>
      </c>
      <c r="G810" s="101" t="s">
        <v>138</v>
      </c>
    </row>
    <row r="811" spans="1:7" hidden="1">
      <c r="A811" s="36" t="s">
        <v>430</v>
      </c>
      <c r="B811" s="36" t="s">
        <v>314</v>
      </c>
      <c r="C811" s="36" t="str">
        <f>_xlfn.CONCAT(Table4[[#This Row],[Ledger Name]],Table4[[#This Row],[Entity Name]])</f>
        <v>ASP/EXP/2324/017Expora</v>
      </c>
      <c r="D811" s="36" t="s">
        <v>936</v>
      </c>
      <c r="E811" s="49" t="s">
        <v>152</v>
      </c>
      <c r="F811" s="49" t="s">
        <v>93</v>
      </c>
      <c r="G811" s="101" t="s">
        <v>138</v>
      </c>
    </row>
    <row r="812" spans="1:7" hidden="1">
      <c r="A812" s="36" t="s">
        <v>429</v>
      </c>
      <c r="B812" s="36" t="s">
        <v>314</v>
      </c>
      <c r="C812" s="36" t="str">
        <f>_xlfn.CONCAT(Table4[[#This Row],[Ledger Name]],Table4[[#This Row],[Entity Name]])</f>
        <v>ASP/EXP/2324/018Expora</v>
      </c>
      <c r="D812" s="36" t="s">
        <v>936</v>
      </c>
      <c r="E812" s="49" t="s">
        <v>152</v>
      </c>
      <c r="F812" s="49" t="s">
        <v>93</v>
      </c>
      <c r="G812" s="101" t="s">
        <v>138</v>
      </c>
    </row>
    <row r="813" spans="1:7" hidden="1">
      <c r="A813" s="36" t="s">
        <v>431</v>
      </c>
      <c r="B813" s="36" t="s">
        <v>314</v>
      </c>
      <c r="C813" s="36" t="str">
        <f>_xlfn.CONCAT(Table4[[#This Row],[Ledger Name]],Table4[[#This Row],[Entity Name]])</f>
        <v>ASP/EXP/2324/019Expora</v>
      </c>
      <c r="D813" s="36" t="s">
        <v>936</v>
      </c>
      <c r="E813" s="49" t="s">
        <v>152</v>
      </c>
      <c r="F813" s="49" t="s">
        <v>93</v>
      </c>
      <c r="G813" s="101" t="s">
        <v>138</v>
      </c>
    </row>
    <row r="814" spans="1:7" hidden="1">
      <c r="A814" s="36" t="s">
        <v>432</v>
      </c>
      <c r="B814" s="36" t="s">
        <v>314</v>
      </c>
      <c r="C814" s="36" t="str">
        <f>_xlfn.CONCAT(Table4[[#This Row],[Ledger Name]],Table4[[#This Row],[Entity Name]])</f>
        <v>ASP/EXP/2324/021Expora</v>
      </c>
      <c r="D814" s="36" t="s">
        <v>936</v>
      </c>
      <c r="E814" s="49" t="s">
        <v>152</v>
      </c>
      <c r="F814" s="49" t="s">
        <v>93</v>
      </c>
      <c r="G814" s="101" t="s">
        <v>138</v>
      </c>
    </row>
    <row r="815" spans="1:7" hidden="1">
      <c r="A815" s="36" t="s">
        <v>433</v>
      </c>
      <c r="B815" s="36" t="s">
        <v>314</v>
      </c>
      <c r="C815" s="36" t="str">
        <f>_xlfn.CONCAT(Table4[[#This Row],[Ledger Name]],Table4[[#This Row],[Entity Name]])</f>
        <v>ASP/EXP/2324/022Expora</v>
      </c>
      <c r="D815" s="36" t="s">
        <v>936</v>
      </c>
      <c r="E815" s="49" t="s">
        <v>152</v>
      </c>
      <c r="F815" s="49" t="s">
        <v>93</v>
      </c>
      <c r="G815" s="101" t="s">
        <v>138</v>
      </c>
    </row>
    <row r="816" spans="1:7" hidden="1">
      <c r="A816" s="36" t="s">
        <v>435</v>
      </c>
      <c r="B816" s="36" t="s">
        <v>314</v>
      </c>
      <c r="C816" s="36" t="str">
        <f>_xlfn.CONCAT(Table4[[#This Row],[Ledger Name]],Table4[[#This Row],[Entity Name]])</f>
        <v>ASP/EXP/2324/023Expora</v>
      </c>
      <c r="D816" s="36" t="s">
        <v>936</v>
      </c>
      <c r="E816" s="49" t="s">
        <v>152</v>
      </c>
      <c r="F816" s="49" t="s">
        <v>93</v>
      </c>
      <c r="G816" s="101" t="s">
        <v>138</v>
      </c>
    </row>
    <row r="817" spans="1:7" hidden="1">
      <c r="A817" s="36" t="s">
        <v>434</v>
      </c>
      <c r="B817" s="36" t="s">
        <v>314</v>
      </c>
      <c r="C817" s="36" t="str">
        <f>_xlfn.CONCAT(Table4[[#This Row],[Ledger Name]],Table4[[#This Row],[Entity Name]])</f>
        <v>ASP/EXP/2324/024Expora</v>
      </c>
      <c r="D817" s="36" t="s">
        <v>936</v>
      </c>
      <c r="E817" s="49" t="s">
        <v>152</v>
      </c>
      <c r="F817" s="49" t="s">
        <v>93</v>
      </c>
      <c r="G817" s="101" t="s">
        <v>138</v>
      </c>
    </row>
    <row r="818" spans="1:7" hidden="1">
      <c r="A818" s="36" t="s">
        <v>436</v>
      </c>
      <c r="B818" s="36" t="s">
        <v>314</v>
      </c>
      <c r="C818" s="36" t="str">
        <f>_xlfn.CONCAT(Table4[[#This Row],[Ledger Name]],Table4[[#This Row],[Entity Name]])</f>
        <v>ASP/EXP/2324/025Expora</v>
      </c>
      <c r="D818" s="36" t="s">
        <v>936</v>
      </c>
      <c r="E818" s="49" t="s">
        <v>152</v>
      </c>
      <c r="F818" s="49" t="s">
        <v>93</v>
      </c>
      <c r="G818" s="101" t="s">
        <v>138</v>
      </c>
    </row>
    <row r="819" spans="1:7" hidden="1">
      <c r="A819" s="36" t="s">
        <v>437</v>
      </c>
      <c r="B819" s="36" t="s">
        <v>314</v>
      </c>
      <c r="C819" s="36" t="str">
        <f>_xlfn.CONCAT(Table4[[#This Row],[Ledger Name]],Table4[[#This Row],[Entity Name]])</f>
        <v>ASP/EXP/2324/026Expora</v>
      </c>
      <c r="D819" s="36" t="s">
        <v>936</v>
      </c>
      <c r="E819" s="49" t="s">
        <v>152</v>
      </c>
      <c r="F819" s="49" t="s">
        <v>93</v>
      </c>
      <c r="G819" s="101" t="s">
        <v>138</v>
      </c>
    </row>
    <row r="820" spans="1:7" hidden="1">
      <c r="A820" s="36" t="s">
        <v>438</v>
      </c>
      <c r="B820" s="36" t="s">
        <v>314</v>
      </c>
      <c r="C820" s="36" t="str">
        <f>_xlfn.CONCAT(Table4[[#This Row],[Ledger Name]],Table4[[#This Row],[Entity Name]])</f>
        <v>ASP/EXP/2324/027Expora</v>
      </c>
      <c r="D820" s="36" t="s">
        <v>936</v>
      </c>
      <c r="E820" s="49" t="s">
        <v>152</v>
      </c>
      <c r="F820" s="49" t="s">
        <v>93</v>
      </c>
      <c r="G820" s="101" t="s">
        <v>138</v>
      </c>
    </row>
    <row r="821" spans="1:7" hidden="1">
      <c r="A821" s="36" t="s">
        <v>439</v>
      </c>
      <c r="B821" s="36" t="s">
        <v>314</v>
      </c>
      <c r="C821" s="36" t="str">
        <f>_xlfn.CONCAT(Table4[[#This Row],[Ledger Name]],Table4[[#This Row],[Entity Name]])</f>
        <v>ASP/EXP/2324/028Expora</v>
      </c>
      <c r="D821" s="36" t="s">
        <v>936</v>
      </c>
      <c r="E821" s="49" t="s">
        <v>152</v>
      </c>
      <c r="F821" s="49" t="s">
        <v>93</v>
      </c>
      <c r="G821" s="101" t="s">
        <v>138</v>
      </c>
    </row>
    <row r="822" spans="1:7" hidden="1">
      <c r="A822" s="36" t="s">
        <v>440</v>
      </c>
      <c r="B822" s="36" t="s">
        <v>314</v>
      </c>
      <c r="C822" s="36" t="str">
        <f>_xlfn.CONCAT(Table4[[#This Row],[Ledger Name]],Table4[[#This Row],[Entity Name]])</f>
        <v>ASP/EXP/2324/029Expora</v>
      </c>
      <c r="D822" s="36" t="s">
        <v>936</v>
      </c>
      <c r="E822" s="49" t="s">
        <v>152</v>
      </c>
      <c r="F822" s="49" t="s">
        <v>93</v>
      </c>
      <c r="G822" s="101" t="s">
        <v>138</v>
      </c>
    </row>
    <row r="823" spans="1:7" hidden="1">
      <c r="A823" s="36" t="s">
        <v>578</v>
      </c>
      <c r="B823" s="36" t="s">
        <v>314</v>
      </c>
      <c r="C823" s="36" t="str">
        <f>_xlfn.CONCAT(Table4[[#This Row],[Ledger Name]],Table4[[#This Row],[Entity Name]])</f>
        <v>ASP/EXP/2324/030Expora</v>
      </c>
      <c r="D823" s="36" t="s">
        <v>936</v>
      </c>
      <c r="E823" s="49" t="s">
        <v>152</v>
      </c>
      <c r="F823" s="49" t="s">
        <v>93</v>
      </c>
      <c r="G823" s="101" t="s">
        <v>138</v>
      </c>
    </row>
    <row r="824" spans="1:7" hidden="1">
      <c r="A824" s="36" t="s">
        <v>579</v>
      </c>
      <c r="B824" s="36" t="s">
        <v>314</v>
      </c>
      <c r="C824" s="36" t="str">
        <f>_xlfn.CONCAT(Table4[[#This Row],[Ledger Name]],Table4[[#This Row],[Entity Name]])</f>
        <v>ASP/EXP/2324/031Expora</v>
      </c>
      <c r="D824" s="36" t="s">
        <v>936</v>
      </c>
      <c r="E824" s="49" t="s">
        <v>152</v>
      </c>
      <c r="F824" s="49" t="s">
        <v>93</v>
      </c>
      <c r="G824" s="101" t="s">
        <v>138</v>
      </c>
    </row>
    <row r="825" spans="1:7" hidden="1">
      <c r="A825" s="36" t="s">
        <v>575</v>
      </c>
      <c r="B825" s="36" t="s">
        <v>314</v>
      </c>
      <c r="C825" s="36" t="str">
        <f>_xlfn.CONCAT(Table4[[#This Row],[Ledger Name]],Table4[[#This Row],[Entity Name]])</f>
        <v>ASP/EXP/2324/032Expora</v>
      </c>
      <c r="D825" s="36" t="s">
        <v>936</v>
      </c>
      <c r="E825" s="49" t="s">
        <v>152</v>
      </c>
      <c r="F825" s="49" t="s">
        <v>93</v>
      </c>
      <c r="G825" s="101" t="s">
        <v>138</v>
      </c>
    </row>
    <row r="826" spans="1:7" hidden="1">
      <c r="A826" s="36" t="s">
        <v>581</v>
      </c>
      <c r="B826" s="36" t="s">
        <v>314</v>
      </c>
      <c r="C826" s="36" t="str">
        <f>_xlfn.CONCAT(Table4[[#This Row],[Ledger Name]],Table4[[#This Row],[Entity Name]])</f>
        <v>ASP/EXP/2324/033Expora</v>
      </c>
      <c r="D826" s="36" t="s">
        <v>936</v>
      </c>
      <c r="E826" s="49" t="s">
        <v>152</v>
      </c>
      <c r="F826" s="49" t="s">
        <v>93</v>
      </c>
      <c r="G826" s="101" t="s">
        <v>138</v>
      </c>
    </row>
    <row r="827" spans="1:7" hidden="1">
      <c r="A827" s="36" t="s">
        <v>582</v>
      </c>
      <c r="B827" s="36" t="s">
        <v>314</v>
      </c>
      <c r="C827" s="36" t="str">
        <f>_xlfn.CONCAT(Table4[[#This Row],[Ledger Name]],Table4[[#This Row],[Entity Name]])</f>
        <v>ASP/EXP/2324/034Expora</v>
      </c>
      <c r="D827" s="36" t="s">
        <v>936</v>
      </c>
      <c r="E827" s="49" t="s">
        <v>152</v>
      </c>
      <c r="F827" s="49" t="s">
        <v>93</v>
      </c>
      <c r="G827" s="101" t="s">
        <v>138</v>
      </c>
    </row>
    <row r="828" spans="1:7" hidden="1">
      <c r="A828" s="36" t="s">
        <v>583</v>
      </c>
      <c r="B828" s="36" t="s">
        <v>314</v>
      </c>
      <c r="C828" s="36" t="str">
        <f>_xlfn.CONCAT(Table4[[#This Row],[Ledger Name]],Table4[[#This Row],[Entity Name]])</f>
        <v>ASP/EXP/2324/035Expora</v>
      </c>
      <c r="D828" s="36" t="s">
        <v>936</v>
      </c>
      <c r="E828" s="49" t="s">
        <v>152</v>
      </c>
      <c r="F828" s="49" t="s">
        <v>93</v>
      </c>
      <c r="G828" s="101" t="s">
        <v>138</v>
      </c>
    </row>
    <row r="829" spans="1:7" hidden="1">
      <c r="A829" s="36" t="s">
        <v>584</v>
      </c>
      <c r="B829" s="36" t="s">
        <v>314</v>
      </c>
      <c r="C829" s="36" t="str">
        <f>_xlfn.CONCAT(Table4[[#This Row],[Ledger Name]],Table4[[#This Row],[Entity Name]])</f>
        <v>ASP/EXP/2324/036Expora</v>
      </c>
      <c r="D829" s="36" t="s">
        <v>936</v>
      </c>
      <c r="E829" s="49" t="s">
        <v>152</v>
      </c>
      <c r="F829" s="49" t="s">
        <v>93</v>
      </c>
      <c r="G829" s="101" t="s">
        <v>138</v>
      </c>
    </row>
    <row r="830" spans="1:7" hidden="1">
      <c r="A830" s="36" t="s">
        <v>585</v>
      </c>
      <c r="B830" s="36" t="s">
        <v>314</v>
      </c>
      <c r="C830" s="36" t="str">
        <f>_xlfn.CONCAT(Table4[[#This Row],[Ledger Name]],Table4[[#This Row],[Entity Name]])</f>
        <v>ASP/EXP/2324/037Expora</v>
      </c>
      <c r="D830" s="36" t="s">
        <v>936</v>
      </c>
      <c r="E830" s="49" t="s">
        <v>152</v>
      </c>
      <c r="F830" s="49" t="s">
        <v>93</v>
      </c>
      <c r="G830" s="101" t="s">
        <v>138</v>
      </c>
    </row>
    <row r="831" spans="1:7" hidden="1">
      <c r="A831" s="36" t="s">
        <v>590</v>
      </c>
      <c r="B831" s="36" t="s">
        <v>314</v>
      </c>
      <c r="C831" s="36" t="str">
        <f>_xlfn.CONCAT(Table4[[#This Row],[Ledger Name]],Table4[[#This Row],[Entity Name]])</f>
        <v>ASP/EXP/2324/038Expora</v>
      </c>
      <c r="D831" s="36" t="s">
        <v>936</v>
      </c>
      <c r="E831" s="49" t="s">
        <v>152</v>
      </c>
      <c r="F831" s="49" t="s">
        <v>93</v>
      </c>
      <c r="G831" s="101" t="s">
        <v>138</v>
      </c>
    </row>
    <row r="832" spans="1:7" hidden="1">
      <c r="A832" s="36" t="s">
        <v>586</v>
      </c>
      <c r="B832" s="36" t="s">
        <v>314</v>
      </c>
      <c r="C832" s="36" t="str">
        <f>_xlfn.CONCAT(Table4[[#This Row],[Ledger Name]],Table4[[#This Row],[Entity Name]])</f>
        <v>ASP/EXP/2324/039Expora</v>
      </c>
      <c r="D832" s="36" t="s">
        <v>936</v>
      </c>
      <c r="E832" s="49" t="s">
        <v>152</v>
      </c>
      <c r="F832" s="49" t="s">
        <v>93</v>
      </c>
      <c r="G832" s="101" t="s">
        <v>138</v>
      </c>
    </row>
    <row r="833" spans="1:7" hidden="1">
      <c r="A833" s="36" t="s">
        <v>587</v>
      </c>
      <c r="B833" s="36" t="s">
        <v>314</v>
      </c>
      <c r="C833" s="36" t="str">
        <f>_xlfn.CONCAT(Table4[[#This Row],[Ledger Name]],Table4[[#This Row],[Entity Name]])</f>
        <v>ASP/EXP/2324/040Expora</v>
      </c>
      <c r="D833" s="36" t="s">
        <v>936</v>
      </c>
      <c r="E833" s="49" t="s">
        <v>152</v>
      </c>
      <c r="F833" s="49" t="s">
        <v>93</v>
      </c>
      <c r="G833" s="101" t="s">
        <v>138</v>
      </c>
    </row>
    <row r="834" spans="1:7" hidden="1">
      <c r="A834" s="36" t="s">
        <v>588</v>
      </c>
      <c r="B834" s="36" t="s">
        <v>314</v>
      </c>
      <c r="C834" s="36" t="str">
        <f>_xlfn.CONCAT(Table4[[#This Row],[Ledger Name]],Table4[[#This Row],[Entity Name]])</f>
        <v>ASP/EXP/2324/041Expora</v>
      </c>
      <c r="D834" s="36" t="s">
        <v>936</v>
      </c>
      <c r="E834" s="49" t="s">
        <v>152</v>
      </c>
      <c r="F834" s="49" t="s">
        <v>93</v>
      </c>
      <c r="G834" s="101" t="s">
        <v>138</v>
      </c>
    </row>
    <row r="835" spans="1:7" hidden="1">
      <c r="A835" s="36" t="s">
        <v>641</v>
      </c>
      <c r="B835" s="36" t="s">
        <v>314</v>
      </c>
      <c r="C835" s="36" t="str">
        <f>_xlfn.CONCAT(Table4[[#This Row],[Ledger Name]],Table4[[#This Row],[Entity Name]])</f>
        <v>ASP/EXP/2324/042Expora</v>
      </c>
      <c r="D835" s="36" t="s">
        <v>936</v>
      </c>
      <c r="E835" s="49" t="s">
        <v>152</v>
      </c>
      <c r="F835" s="49" t="s">
        <v>93</v>
      </c>
      <c r="G835" s="101" t="s">
        <v>138</v>
      </c>
    </row>
    <row r="836" spans="1:7" hidden="1">
      <c r="A836" s="36" t="s">
        <v>642</v>
      </c>
      <c r="B836" s="36" t="s">
        <v>314</v>
      </c>
      <c r="C836" s="36" t="str">
        <f>_xlfn.CONCAT(Table4[[#This Row],[Ledger Name]],Table4[[#This Row],[Entity Name]])</f>
        <v>ASP/EXP/2324/043Expora</v>
      </c>
      <c r="D836" s="36" t="s">
        <v>936</v>
      </c>
      <c r="E836" s="49" t="s">
        <v>152</v>
      </c>
      <c r="F836" s="49" t="s">
        <v>93</v>
      </c>
      <c r="G836" s="101" t="s">
        <v>138</v>
      </c>
    </row>
    <row r="837" spans="1:7" hidden="1">
      <c r="A837" s="36" t="s">
        <v>602</v>
      </c>
      <c r="B837" s="36" t="s">
        <v>314</v>
      </c>
      <c r="C837" s="36" t="str">
        <f>_xlfn.CONCAT(Table4[[#This Row],[Ledger Name]],Table4[[#This Row],[Entity Name]])</f>
        <v>ASP/EXP/2324/044Expora</v>
      </c>
      <c r="D837" s="36" t="s">
        <v>936</v>
      </c>
      <c r="E837" s="49" t="s">
        <v>152</v>
      </c>
      <c r="F837" s="49" t="s">
        <v>93</v>
      </c>
      <c r="G837" s="101" t="s">
        <v>138</v>
      </c>
    </row>
    <row r="838" spans="1:7" hidden="1">
      <c r="A838" s="36" t="s">
        <v>630</v>
      </c>
      <c r="B838" s="36" t="s">
        <v>314</v>
      </c>
      <c r="C838" s="36" t="str">
        <f>_xlfn.CONCAT(Table4[[#This Row],[Ledger Name]],Table4[[#This Row],[Entity Name]])</f>
        <v>ASP/EXP/2324/045Expora</v>
      </c>
      <c r="D838" s="36" t="s">
        <v>936</v>
      </c>
      <c r="E838" s="49" t="s">
        <v>152</v>
      </c>
      <c r="F838" s="49" t="s">
        <v>93</v>
      </c>
      <c r="G838" s="101" t="s">
        <v>138</v>
      </c>
    </row>
    <row r="839" spans="1:7" hidden="1">
      <c r="A839" s="36" t="s">
        <v>631</v>
      </c>
      <c r="B839" s="36" t="s">
        <v>314</v>
      </c>
      <c r="C839" s="36" t="str">
        <f>_xlfn.CONCAT(Table4[[#This Row],[Ledger Name]],Table4[[#This Row],[Entity Name]])</f>
        <v>ASP/EXP/2324/046Expora</v>
      </c>
      <c r="D839" s="36" t="s">
        <v>936</v>
      </c>
      <c r="E839" s="49" t="s">
        <v>152</v>
      </c>
      <c r="F839" s="49" t="s">
        <v>93</v>
      </c>
      <c r="G839" s="101" t="s">
        <v>138</v>
      </c>
    </row>
    <row r="840" spans="1:7" hidden="1">
      <c r="A840" s="36" t="s">
        <v>632</v>
      </c>
      <c r="B840" s="36" t="s">
        <v>314</v>
      </c>
      <c r="C840" s="36" t="str">
        <f>_xlfn.CONCAT(Table4[[#This Row],[Ledger Name]],Table4[[#This Row],[Entity Name]])</f>
        <v>ASP/EXP/2324/047Expora</v>
      </c>
      <c r="D840" s="36" t="s">
        <v>936</v>
      </c>
      <c r="E840" s="49" t="s">
        <v>152</v>
      </c>
      <c r="F840" s="49" t="s">
        <v>93</v>
      </c>
      <c r="G840" s="101" t="s">
        <v>138</v>
      </c>
    </row>
    <row r="841" spans="1:7" hidden="1">
      <c r="A841" s="36" t="s">
        <v>633</v>
      </c>
      <c r="B841" s="36" t="s">
        <v>314</v>
      </c>
      <c r="C841" s="36" t="str">
        <f>_xlfn.CONCAT(Table4[[#This Row],[Ledger Name]],Table4[[#This Row],[Entity Name]])</f>
        <v>ASP/EXP/2324/048Expora</v>
      </c>
      <c r="D841" s="36" t="s">
        <v>936</v>
      </c>
      <c r="E841" s="49" t="s">
        <v>152</v>
      </c>
      <c r="F841" s="49" t="s">
        <v>93</v>
      </c>
      <c r="G841" s="101" t="s">
        <v>138</v>
      </c>
    </row>
    <row r="842" spans="1:7" hidden="1">
      <c r="A842" s="36" t="s">
        <v>634</v>
      </c>
      <c r="B842" s="36" t="s">
        <v>314</v>
      </c>
      <c r="C842" s="36" t="str">
        <f>_xlfn.CONCAT(Table4[[#This Row],[Ledger Name]],Table4[[#This Row],[Entity Name]])</f>
        <v>ASP/EXP/2324/049Expora</v>
      </c>
      <c r="D842" s="36" t="s">
        <v>936</v>
      </c>
      <c r="E842" s="49" t="s">
        <v>152</v>
      </c>
      <c r="F842" s="49" t="s">
        <v>93</v>
      </c>
      <c r="G842" s="101" t="s">
        <v>138</v>
      </c>
    </row>
    <row r="843" spans="1:7" hidden="1">
      <c r="A843" s="36" t="s">
        <v>635</v>
      </c>
      <c r="B843" s="36" t="s">
        <v>314</v>
      </c>
      <c r="C843" s="36" t="str">
        <f>_xlfn.CONCAT(Table4[[#This Row],[Ledger Name]],Table4[[#This Row],[Entity Name]])</f>
        <v>ASP/EXP/2324/050Expora</v>
      </c>
      <c r="D843" s="36" t="s">
        <v>936</v>
      </c>
      <c r="E843" s="49" t="s">
        <v>152</v>
      </c>
      <c r="F843" s="49" t="s">
        <v>93</v>
      </c>
      <c r="G843" s="101" t="s">
        <v>138</v>
      </c>
    </row>
    <row r="844" spans="1:7" hidden="1">
      <c r="A844" s="36" t="s">
        <v>655</v>
      </c>
      <c r="B844" s="36" t="s">
        <v>314</v>
      </c>
      <c r="C844" s="36" t="str">
        <f>_xlfn.CONCAT(Table4[[#This Row],[Ledger Name]],Table4[[#This Row],[Entity Name]])</f>
        <v>ASP/EXP/2324/052Expora</v>
      </c>
      <c r="D844" s="36" t="s">
        <v>936</v>
      </c>
      <c r="E844" s="49" t="s">
        <v>152</v>
      </c>
      <c r="F844" s="49" t="s">
        <v>93</v>
      </c>
      <c r="G844" s="101" t="s">
        <v>138</v>
      </c>
    </row>
    <row r="845" spans="1:7" hidden="1">
      <c r="A845" s="36" t="s">
        <v>657</v>
      </c>
      <c r="B845" s="36" t="s">
        <v>314</v>
      </c>
      <c r="C845" s="36" t="str">
        <f>_xlfn.CONCAT(Table4[[#This Row],[Ledger Name]],Table4[[#This Row],[Entity Name]])</f>
        <v>ASP/EXP/2324/053Expora</v>
      </c>
      <c r="D845" s="36" t="s">
        <v>936</v>
      </c>
      <c r="E845" s="49" t="s">
        <v>152</v>
      </c>
      <c r="F845" s="49" t="s">
        <v>93</v>
      </c>
      <c r="G845" s="101" t="s">
        <v>138</v>
      </c>
    </row>
    <row r="846" spans="1:7" hidden="1">
      <c r="A846" s="36" t="s">
        <v>781</v>
      </c>
      <c r="B846" s="36" t="s">
        <v>314</v>
      </c>
      <c r="C846" s="36" t="str">
        <f>_xlfn.CONCAT(Table4[[#This Row],[Ledger Name]],Table4[[#This Row],[Entity Name]])</f>
        <v>ASP/EXP/2324/054Expora</v>
      </c>
      <c r="D846" s="36" t="s">
        <v>936</v>
      </c>
      <c r="E846" s="49" t="s">
        <v>152</v>
      </c>
      <c r="F846" s="49" t="s">
        <v>93</v>
      </c>
      <c r="G846" s="101" t="s">
        <v>138</v>
      </c>
    </row>
    <row r="847" spans="1:7" hidden="1">
      <c r="A847" s="36" t="s">
        <v>729</v>
      </c>
      <c r="B847" s="36" t="s">
        <v>314</v>
      </c>
      <c r="C847" s="36" t="str">
        <f>_xlfn.CONCAT(Table4[[#This Row],[Ledger Name]],Table4[[#This Row],[Entity Name]])</f>
        <v>ASP/EXP/2324/056Expora</v>
      </c>
      <c r="D847" s="36" t="s">
        <v>936</v>
      </c>
      <c r="E847" s="49" t="s">
        <v>152</v>
      </c>
      <c r="F847" s="49" t="s">
        <v>93</v>
      </c>
      <c r="G847" s="101" t="s">
        <v>138</v>
      </c>
    </row>
    <row r="848" spans="1:7" hidden="1">
      <c r="A848" s="36" t="s">
        <v>730</v>
      </c>
      <c r="B848" s="36" t="s">
        <v>314</v>
      </c>
      <c r="C848" s="36" t="str">
        <f>_xlfn.CONCAT(Table4[[#This Row],[Ledger Name]],Table4[[#This Row],[Entity Name]])</f>
        <v>ASP/EXP/2324/057Expora</v>
      </c>
      <c r="D848" s="36" t="s">
        <v>936</v>
      </c>
      <c r="E848" s="49" t="s">
        <v>152</v>
      </c>
      <c r="F848" s="49" t="s">
        <v>93</v>
      </c>
      <c r="G848" s="101" t="s">
        <v>138</v>
      </c>
    </row>
    <row r="849" spans="1:7" hidden="1">
      <c r="A849" s="36" t="s">
        <v>731</v>
      </c>
      <c r="B849" s="36" t="s">
        <v>314</v>
      </c>
      <c r="C849" s="36" t="str">
        <f>_xlfn.CONCAT(Table4[[#This Row],[Ledger Name]],Table4[[#This Row],[Entity Name]])</f>
        <v>ASP/EXP/2324/058Expora</v>
      </c>
      <c r="D849" s="36" t="s">
        <v>936</v>
      </c>
      <c r="E849" s="49" t="s">
        <v>152</v>
      </c>
      <c r="F849" s="49" t="s">
        <v>93</v>
      </c>
      <c r="G849" s="101" t="s">
        <v>138</v>
      </c>
    </row>
    <row r="850" spans="1:7" hidden="1">
      <c r="A850" s="36" t="s">
        <v>732</v>
      </c>
      <c r="B850" s="36" t="s">
        <v>314</v>
      </c>
      <c r="C850" s="36" t="str">
        <f>_xlfn.CONCAT(Table4[[#This Row],[Ledger Name]],Table4[[#This Row],[Entity Name]])</f>
        <v>ASP/EXP/2324/059Expora</v>
      </c>
      <c r="D850" s="36" t="s">
        <v>936</v>
      </c>
      <c r="E850" s="49" t="s">
        <v>152</v>
      </c>
      <c r="F850" s="49" t="s">
        <v>93</v>
      </c>
      <c r="G850" s="101" t="s">
        <v>138</v>
      </c>
    </row>
    <row r="851" spans="1:7" hidden="1">
      <c r="A851" s="36" t="s">
        <v>751</v>
      </c>
      <c r="B851" s="36" t="s">
        <v>314</v>
      </c>
      <c r="C851" s="36" t="str">
        <f>_xlfn.CONCAT(Table4[[#This Row],[Ledger Name]],Table4[[#This Row],[Entity Name]])</f>
        <v>ASP/EXP/2324/060Expora</v>
      </c>
      <c r="D851" s="36" t="s">
        <v>936</v>
      </c>
      <c r="E851" s="49" t="s">
        <v>152</v>
      </c>
      <c r="F851" s="49" t="s">
        <v>93</v>
      </c>
      <c r="G851" s="101" t="s">
        <v>138</v>
      </c>
    </row>
    <row r="852" spans="1:7" hidden="1">
      <c r="A852" s="36" t="s">
        <v>771</v>
      </c>
      <c r="B852" s="36" t="s">
        <v>314</v>
      </c>
      <c r="C852" s="36" t="str">
        <f>_xlfn.CONCAT(Table4[[#This Row],[Ledger Name]],Table4[[#This Row],[Entity Name]])</f>
        <v>ASP/EXP/2324/062Expora</v>
      </c>
      <c r="D852" s="36" t="s">
        <v>936</v>
      </c>
      <c r="E852" s="49" t="s">
        <v>152</v>
      </c>
      <c r="F852" s="49" t="s">
        <v>93</v>
      </c>
      <c r="G852" s="101" t="s">
        <v>138</v>
      </c>
    </row>
    <row r="853" spans="1:7" hidden="1">
      <c r="A853" s="36" t="s">
        <v>790</v>
      </c>
      <c r="B853" s="36" t="s">
        <v>314</v>
      </c>
      <c r="C853" s="36" t="str">
        <f>_xlfn.CONCAT(Table4[[#This Row],[Ledger Name]],Table4[[#This Row],[Entity Name]])</f>
        <v>ASP/EXP/2324/064Expora</v>
      </c>
      <c r="D853" s="36" t="s">
        <v>936</v>
      </c>
      <c r="E853" s="49" t="s">
        <v>152</v>
      </c>
      <c r="F853" s="49" t="s">
        <v>93</v>
      </c>
      <c r="G853" s="101" t="s">
        <v>138</v>
      </c>
    </row>
    <row r="854" spans="1:7" hidden="1">
      <c r="A854" s="36" t="s">
        <v>791</v>
      </c>
      <c r="B854" s="36" t="s">
        <v>314</v>
      </c>
      <c r="C854" s="36" t="str">
        <f>_xlfn.CONCAT(Table4[[#This Row],[Ledger Name]],Table4[[#This Row],[Entity Name]])</f>
        <v>ASP/EXP/2324/065Expora</v>
      </c>
      <c r="D854" s="36" t="s">
        <v>936</v>
      </c>
      <c r="E854" s="49" t="s">
        <v>152</v>
      </c>
      <c r="F854" s="49" t="s">
        <v>93</v>
      </c>
      <c r="G854" s="101" t="s">
        <v>138</v>
      </c>
    </row>
    <row r="855" spans="1:7" hidden="1">
      <c r="A855" s="36" t="s">
        <v>792</v>
      </c>
      <c r="B855" s="36" t="s">
        <v>314</v>
      </c>
      <c r="C855" s="36" t="str">
        <f>_xlfn.CONCAT(Table4[[#This Row],[Ledger Name]],Table4[[#This Row],[Entity Name]])</f>
        <v>ASP/EXP/2324/066Expora</v>
      </c>
      <c r="D855" s="36" t="s">
        <v>936</v>
      </c>
      <c r="E855" s="49" t="s">
        <v>152</v>
      </c>
      <c r="F855" s="49" t="s">
        <v>93</v>
      </c>
      <c r="G855" s="101" t="s">
        <v>138</v>
      </c>
    </row>
    <row r="856" spans="1:7" hidden="1">
      <c r="A856" s="36" t="s">
        <v>818</v>
      </c>
      <c r="B856" s="36" t="s">
        <v>314</v>
      </c>
      <c r="C856" s="36" t="str">
        <f>_xlfn.CONCAT(Table4[[#This Row],[Ledger Name]],Table4[[#This Row],[Entity Name]])</f>
        <v>ASP/EXP/2324/068Expora</v>
      </c>
      <c r="D856" s="36" t="s">
        <v>936</v>
      </c>
      <c r="E856" s="49" t="s">
        <v>152</v>
      </c>
      <c r="F856" s="49" t="s">
        <v>93</v>
      </c>
      <c r="G856" s="101" t="s">
        <v>138</v>
      </c>
    </row>
    <row r="857" spans="1:7" hidden="1">
      <c r="A857" s="36" t="s">
        <v>819</v>
      </c>
      <c r="B857" s="36" t="s">
        <v>314</v>
      </c>
      <c r="C857" s="36" t="str">
        <f>_xlfn.CONCAT(Table4[[#This Row],[Ledger Name]],Table4[[#This Row],[Entity Name]])</f>
        <v>ASP/EXP/2324/070Expora</v>
      </c>
      <c r="D857" s="36" t="s">
        <v>936</v>
      </c>
      <c r="E857" s="49" t="s">
        <v>152</v>
      </c>
      <c r="F857" s="49" t="s">
        <v>93</v>
      </c>
      <c r="G857" s="101" t="s">
        <v>138</v>
      </c>
    </row>
    <row r="858" spans="1:7" hidden="1">
      <c r="A858" s="36" t="s">
        <v>1204</v>
      </c>
      <c r="B858" s="36" t="s">
        <v>314</v>
      </c>
      <c r="C858" s="36" t="str">
        <f>_xlfn.CONCAT(Table4[[#This Row],[Ledger Name]],Table4[[#This Row],[Entity Name]])</f>
        <v>ASP/EXP/2324/116Expora</v>
      </c>
      <c r="D858" s="36" t="s">
        <v>936</v>
      </c>
      <c r="E858" s="49" t="s">
        <v>152</v>
      </c>
      <c r="F858" s="49" t="s">
        <v>93</v>
      </c>
      <c r="G858" s="101" t="s">
        <v>138</v>
      </c>
    </row>
    <row r="859" spans="1:7" hidden="1">
      <c r="A859" s="36" t="s">
        <v>524</v>
      </c>
      <c r="B859" s="36" t="s">
        <v>314</v>
      </c>
      <c r="C859" s="36" t="str">
        <f>_xlfn.CONCAT(Table4[[#This Row],[Ledger Name]],Table4[[#This Row],[Entity Name]])</f>
        <v>ASP/EXP/2324/20Expora</v>
      </c>
      <c r="D859" s="36" t="s">
        <v>936</v>
      </c>
      <c r="E859" s="49" t="s">
        <v>152</v>
      </c>
      <c r="F859" s="49" t="s">
        <v>93</v>
      </c>
      <c r="G859" s="101" t="s">
        <v>138</v>
      </c>
    </row>
    <row r="860" spans="1:7" hidden="1">
      <c r="A860" s="36" t="s">
        <v>700</v>
      </c>
      <c r="B860" s="36" t="s">
        <v>314</v>
      </c>
      <c r="C860" s="36" t="str">
        <f>_xlfn.CONCAT(Table4[[#This Row],[Ledger Name]],Table4[[#This Row],[Entity Name]])</f>
        <v>ASP/EXP/2324/54Expora</v>
      </c>
      <c r="D860" s="36" t="s">
        <v>936</v>
      </c>
      <c r="E860" s="49" t="s">
        <v>152</v>
      </c>
      <c r="F860" s="49" t="s">
        <v>93</v>
      </c>
      <c r="G860" s="101" t="s">
        <v>138</v>
      </c>
    </row>
    <row r="861" spans="1:7" hidden="1">
      <c r="A861" s="36" t="s">
        <v>701</v>
      </c>
      <c r="B861" s="36" t="s">
        <v>314</v>
      </c>
      <c r="C861" s="36" t="str">
        <f>_xlfn.CONCAT(Table4[[#This Row],[Ledger Name]],Table4[[#This Row],[Entity Name]])</f>
        <v>ASP/EXP/2324/55Expora</v>
      </c>
      <c r="D861" s="36" t="s">
        <v>936</v>
      </c>
      <c r="E861" s="49" t="s">
        <v>152</v>
      </c>
      <c r="F861" s="49" t="s">
        <v>93</v>
      </c>
      <c r="G861" s="101" t="s">
        <v>138</v>
      </c>
    </row>
    <row r="862" spans="1:7" hidden="1">
      <c r="A862" s="36" t="s">
        <v>266</v>
      </c>
      <c r="B862" s="36" t="s">
        <v>314</v>
      </c>
      <c r="C862" s="36" t="str">
        <f>_xlfn.CONCAT(Table4[[#This Row],[Ledger Name]],Table4[[#This Row],[Entity Name]])</f>
        <v>ASP/LOC/22-23/11Expora</v>
      </c>
      <c r="D862" s="36" t="s">
        <v>936</v>
      </c>
      <c r="E862" s="49" t="s">
        <v>152</v>
      </c>
      <c r="F862" s="49" t="s">
        <v>93</v>
      </c>
      <c r="G862" s="101" t="s">
        <v>138</v>
      </c>
    </row>
    <row r="863" spans="1:7" hidden="1">
      <c r="A863" s="36" t="s">
        <v>267</v>
      </c>
      <c r="B863" s="36" t="s">
        <v>314</v>
      </c>
      <c r="C863" s="36" t="str">
        <f>_xlfn.CONCAT(Table4[[#This Row],[Ledger Name]],Table4[[#This Row],[Entity Name]])</f>
        <v>ASP/LOC/22-23/13Expora</v>
      </c>
      <c r="D863" s="36" t="s">
        <v>936</v>
      </c>
      <c r="E863" s="49" t="s">
        <v>152</v>
      </c>
      <c r="F863" s="49" t="s">
        <v>93</v>
      </c>
      <c r="G863" s="101" t="s">
        <v>138</v>
      </c>
    </row>
    <row r="864" spans="1:7" hidden="1">
      <c r="A864" s="36" t="s">
        <v>268</v>
      </c>
      <c r="B864" s="36" t="s">
        <v>314</v>
      </c>
      <c r="C864" s="36" t="str">
        <f>_xlfn.CONCAT(Table4[[#This Row],[Ledger Name]],Table4[[#This Row],[Entity Name]])</f>
        <v>ASP/LOC/22-23/14Expora</v>
      </c>
      <c r="D864" s="36" t="s">
        <v>936</v>
      </c>
      <c r="E864" s="49" t="s">
        <v>152</v>
      </c>
      <c r="F864" s="49" t="s">
        <v>93</v>
      </c>
      <c r="G864" s="101" t="s">
        <v>138</v>
      </c>
    </row>
    <row r="865" spans="1:7" hidden="1">
      <c r="A865" s="36" t="s">
        <v>269</v>
      </c>
      <c r="B865" s="36" t="s">
        <v>314</v>
      </c>
      <c r="C865" s="36" t="str">
        <f>_xlfn.CONCAT(Table4[[#This Row],[Ledger Name]],Table4[[#This Row],[Entity Name]])</f>
        <v>ASP/LOC/22-23/15Expora</v>
      </c>
      <c r="D865" s="36" t="s">
        <v>936</v>
      </c>
      <c r="E865" s="49" t="s">
        <v>152</v>
      </c>
      <c r="F865" s="49" t="s">
        <v>93</v>
      </c>
      <c r="G865" s="101" t="s">
        <v>138</v>
      </c>
    </row>
    <row r="866" spans="1:7" hidden="1">
      <c r="A866" s="36" t="s">
        <v>294</v>
      </c>
      <c r="B866" s="36" t="s">
        <v>314</v>
      </c>
      <c r="C866" s="36" t="str">
        <f>_xlfn.CONCAT(Table4[[#This Row],[Ledger Name]],Table4[[#This Row],[Entity Name]])</f>
        <v>ASP/LOC/22-23/17Expora</v>
      </c>
      <c r="D866" s="36" t="s">
        <v>936</v>
      </c>
      <c r="E866" s="49" t="s">
        <v>152</v>
      </c>
      <c r="F866" s="49" t="s">
        <v>93</v>
      </c>
      <c r="G866" s="101" t="s">
        <v>138</v>
      </c>
    </row>
    <row r="867" spans="1:7" hidden="1">
      <c r="A867" s="36" t="s">
        <v>295</v>
      </c>
      <c r="B867" s="36" t="s">
        <v>314</v>
      </c>
      <c r="C867" s="36" t="str">
        <f>_xlfn.CONCAT(Table4[[#This Row],[Ledger Name]],Table4[[#This Row],[Entity Name]])</f>
        <v>ASP/LOC/22-23/19Expora</v>
      </c>
      <c r="D867" s="36" t="s">
        <v>936</v>
      </c>
      <c r="E867" s="49" t="s">
        <v>152</v>
      </c>
      <c r="F867" s="49" t="s">
        <v>93</v>
      </c>
      <c r="G867" s="101" t="s">
        <v>138</v>
      </c>
    </row>
    <row r="868" spans="1:7" hidden="1">
      <c r="A868" s="36" t="s">
        <v>323</v>
      </c>
      <c r="B868" s="36" t="s">
        <v>314</v>
      </c>
      <c r="C868" s="36" t="str">
        <f>_xlfn.CONCAT(Table4[[#This Row],[Ledger Name]],Table4[[#This Row],[Entity Name]])</f>
        <v>ASP/LOC/22-23/20Expora</v>
      </c>
      <c r="D868" s="36" t="s">
        <v>936</v>
      </c>
      <c r="E868" s="49" t="s">
        <v>152</v>
      </c>
      <c r="F868" s="49" t="s">
        <v>93</v>
      </c>
      <c r="G868" s="101" t="s">
        <v>138</v>
      </c>
    </row>
    <row r="869" spans="1:7" hidden="1">
      <c r="A869" s="36" t="s">
        <v>324</v>
      </c>
      <c r="B869" s="36" t="s">
        <v>314</v>
      </c>
      <c r="C869" s="36" t="str">
        <f>_xlfn.CONCAT(Table4[[#This Row],[Ledger Name]],Table4[[#This Row],[Entity Name]])</f>
        <v>ASP/LOC/22-23/21Expora</v>
      </c>
      <c r="D869" s="36" t="s">
        <v>936</v>
      </c>
      <c r="E869" s="49" t="s">
        <v>152</v>
      </c>
      <c r="F869" s="49" t="s">
        <v>93</v>
      </c>
      <c r="G869" s="101" t="s">
        <v>138</v>
      </c>
    </row>
    <row r="870" spans="1:7" hidden="1">
      <c r="A870" s="36" t="s">
        <v>325</v>
      </c>
      <c r="B870" s="36" t="s">
        <v>314</v>
      </c>
      <c r="C870" s="36" t="str">
        <f>_xlfn.CONCAT(Table4[[#This Row],[Ledger Name]],Table4[[#This Row],[Entity Name]])</f>
        <v>ASP/LOC/22-23/22Expora</v>
      </c>
      <c r="D870" s="36" t="s">
        <v>936</v>
      </c>
      <c r="E870" s="49" t="s">
        <v>152</v>
      </c>
      <c r="F870" s="49" t="s">
        <v>93</v>
      </c>
      <c r="G870" s="101" t="s">
        <v>138</v>
      </c>
    </row>
    <row r="871" spans="1:7" hidden="1">
      <c r="A871" s="36" t="s">
        <v>326</v>
      </c>
      <c r="B871" s="36" t="s">
        <v>314</v>
      </c>
      <c r="C871" s="36" t="str">
        <f>_xlfn.CONCAT(Table4[[#This Row],[Ledger Name]],Table4[[#This Row],[Entity Name]])</f>
        <v>ASP/LOC/22-23/23Expora</v>
      </c>
      <c r="D871" s="36" t="s">
        <v>936</v>
      </c>
      <c r="E871" s="49" t="s">
        <v>152</v>
      </c>
      <c r="F871" s="49" t="s">
        <v>93</v>
      </c>
      <c r="G871" s="101" t="s">
        <v>138</v>
      </c>
    </row>
    <row r="872" spans="1:7" hidden="1">
      <c r="A872" s="36" t="s">
        <v>327</v>
      </c>
      <c r="B872" s="36" t="s">
        <v>314</v>
      </c>
      <c r="C872" s="36" t="str">
        <f>_xlfn.CONCAT(Table4[[#This Row],[Ledger Name]],Table4[[#This Row],[Entity Name]])</f>
        <v>ASP/LOC/22-23/30Expora</v>
      </c>
      <c r="D872" s="36" t="s">
        <v>936</v>
      </c>
      <c r="E872" s="49" t="s">
        <v>152</v>
      </c>
      <c r="F872" s="49" t="s">
        <v>93</v>
      </c>
      <c r="G872" s="101" t="s">
        <v>138</v>
      </c>
    </row>
    <row r="873" spans="1:7" hidden="1">
      <c r="A873" s="36" t="s">
        <v>328</v>
      </c>
      <c r="B873" s="36" t="s">
        <v>314</v>
      </c>
      <c r="C873" s="36" t="str">
        <f>_xlfn.CONCAT(Table4[[#This Row],[Ledger Name]],Table4[[#This Row],[Entity Name]])</f>
        <v>ASP/LOC/22-23/31Expora</v>
      </c>
      <c r="D873" s="36" t="s">
        <v>936</v>
      </c>
      <c r="E873" s="49" t="s">
        <v>152</v>
      </c>
      <c r="F873" s="49" t="s">
        <v>93</v>
      </c>
      <c r="G873" s="101" t="s">
        <v>138</v>
      </c>
    </row>
    <row r="874" spans="1:7" hidden="1">
      <c r="A874" s="36" t="s">
        <v>577</v>
      </c>
      <c r="B874" s="36" t="s">
        <v>314</v>
      </c>
      <c r="C874" s="36" t="str">
        <f>_xlfn.CONCAT(Table4[[#This Row],[Ledger Name]],Table4[[#This Row],[Entity Name]])</f>
        <v>ASP/LOC/2324/022Expora</v>
      </c>
      <c r="D874" s="36" t="s">
        <v>936</v>
      </c>
      <c r="E874" s="49" t="s">
        <v>152</v>
      </c>
      <c r="F874" s="49" t="s">
        <v>93</v>
      </c>
      <c r="G874" s="101" t="s">
        <v>138</v>
      </c>
    </row>
    <row r="875" spans="1:7" hidden="1">
      <c r="A875" s="36" t="s">
        <v>589</v>
      </c>
      <c r="B875" s="36" t="s">
        <v>314</v>
      </c>
      <c r="C875" s="36" t="str">
        <f>_xlfn.CONCAT(Table4[[#This Row],[Ledger Name]],Table4[[#This Row],[Entity Name]])</f>
        <v>ASP/LOC/2324/025Expora</v>
      </c>
      <c r="D875" s="36" t="s">
        <v>936</v>
      </c>
      <c r="E875" s="49" t="s">
        <v>152</v>
      </c>
      <c r="F875" s="49" t="s">
        <v>93</v>
      </c>
      <c r="G875" s="101" t="s">
        <v>138</v>
      </c>
    </row>
    <row r="876" spans="1:7" hidden="1">
      <c r="A876" s="36" t="s">
        <v>636</v>
      </c>
      <c r="B876" s="36" t="s">
        <v>314</v>
      </c>
      <c r="C876" s="36" t="str">
        <f>_xlfn.CONCAT(Table4[[#This Row],[Ledger Name]],Table4[[#This Row],[Entity Name]])</f>
        <v>ASP/LOC/2324/027Expora</v>
      </c>
      <c r="D876" s="36" t="s">
        <v>936</v>
      </c>
      <c r="E876" s="49" t="s">
        <v>152</v>
      </c>
      <c r="F876" s="49" t="s">
        <v>93</v>
      </c>
      <c r="G876" s="101" t="s">
        <v>138</v>
      </c>
    </row>
    <row r="877" spans="1:7" hidden="1">
      <c r="A877" s="36" t="s">
        <v>638</v>
      </c>
      <c r="B877" s="36" t="s">
        <v>314</v>
      </c>
      <c r="C877" s="36" t="str">
        <f>_xlfn.CONCAT(Table4[[#This Row],[Ledger Name]],Table4[[#This Row],[Entity Name]])</f>
        <v>ASP/LOC/2324/031Expora</v>
      </c>
      <c r="D877" s="36" t="s">
        <v>936</v>
      </c>
      <c r="E877" s="49" t="s">
        <v>152</v>
      </c>
      <c r="F877" s="49" t="s">
        <v>93</v>
      </c>
      <c r="G877" s="101" t="s">
        <v>138</v>
      </c>
    </row>
    <row r="878" spans="1:7" hidden="1">
      <c r="A878" s="36" t="s">
        <v>639</v>
      </c>
      <c r="B878" s="36" t="s">
        <v>314</v>
      </c>
      <c r="C878" s="36" t="str">
        <f>_xlfn.CONCAT(Table4[[#This Row],[Ledger Name]],Table4[[#This Row],[Entity Name]])</f>
        <v>ASP/LOC/2324/032Expora</v>
      </c>
      <c r="D878" s="36" t="s">
        <v>936</v>
      </c>
      <c r="E878" s="49" t="s">
        <v>152</v>
      </c>
      <c r="F878" s="49" t="s">
        <v>93</v>
      </c>
      <c r="G878" s="101" t="s">
        <v>138</v>
      </c>
    </row>
    <row r="879" spans="1:7" hidden="1">
      <c r="A879" s="36" t="s">
        <v>656</v>
      </c>
      <c r="B879" s="36" t="s">
        <v>314</v>
      </c>
      <c r="C879" s="36" t="str">
        <f>_xlfn.CONCAT(Table4[[#This Row],[Ledger Name]],Table4[[#This Row],[Entity Name]])</f>
        <v>ASP/LOC/2324/035Expora</v>
      </c>
      <c r="D879" s="36" t="s">
        <v>936</v>
      </c>
      <c r="E879" s="49" t="s">
        <v>152</v>
      </c>
      <c r="F879" s="49" t="s">
        <v>93</v>
      </c>
      <c r="G879" s="101" t="s">
        <v>138</v>
      </c>
    </row>
    <row r="880" spans="1:7" hidden="1">
      <c r="A880" s="36" t="s">
        <v>702</v>
      </c>
      <c r="B880" s="36" t="s">
        <v>314</v>
      </c>
      <c r="C880" s="36" t="str">
        <f>_xlfn.CONCAT(Table4[[#This Row],[Ledger Name]],Table4[[#This Row],[Entity Name]])</f>
        <v>ASP/LOC/2324/055Expora</v>
      </c>
      <c r="D880" s="36" t="s">
        <v>936</v>
      </c>
      <c r="E880" s="49" t="s">
        <v>152</v>
      </c>
      <c r="F880" s="49" t="s">
        <v>93</v>
      </c>
      <c r="G880" s="101" t="s">
        <v>138</v>
      </c>
    </row>
    <row r="881" spans="1:7" hidden="1">
      <c r="A881" s="36" t="s">
        <v>703</v>
      </c>
      <c r="B881" s="36" t="s">
        <v>314</v>
      </c>
      <c r="C881" s="36" t="str">
        <f>_xlfn.CONCAT(Table4[[#This Row],[Ledger Name]],Table4[[#This Row],[Entity Name]])</f>
        <v>ASP/LOC/2324/059Expora</v>
      </c>
      <c r="D881" s="36" t="s">
        <v>936</v>
      </c>
      <c r="E881" s="49" t="s">
        <v>152</v>
      </c>
      <c r="F881" s="49" t="s">
        <v>93</v>
      </c>
      <c r="G881" s="101" t="s">
        <v>138</v>
      </c>
    </row>
    <row r="882" spans="1:7" hidden="1">
      <c r="A882" s="36" t="s">
        <v>733</v>
      </c>
      <c r="B882" s="36" t="s">
        <v>314</v>
      </c>
      <c r="C882" s="36" t="str">
        <f>_xlfn.CONCAT(Table4[[#This Row],[Ledger Name]],Table4[[#This Row],[Entity Name]])</f>
        <v>ASP/LOC/2324/061 TO 065Expora</v>
      </c>
      <c r="D882" s="36" t="s">
        <v>936</v>
      </c>
      <c r="E882" s="49" t="s">
        <v>152</v>
      </c>
      <c r="F882" s="49" t="s">
        <v>93</v>
      </c>
      <c r="G882" s="101" t="s">
        <v>138</v>
      </c>
    </row>
    <row r="883" spans="1:7" hidden="1">
      <c r="A883" s="36" t="s">
        <v>793</v>
      </c>
      <c r="B883" s="36" t="s">
        <v>314</v>
      </c>
      <c r="C883" s="36" t="str">
        <f>_xlfn.CONCAT(Table4[[#This Row],[Ledger Name]],Table4[[#This Row],[Entity Name]])</f>
        <v>ASP/LOC/2324/094Expora</v>
      </c>
      <c r="D883" s="36" t="s">
        <v>936</v>
      </c>
      <c r="E883" s="49" t="s">
        <v>152</v>
      </c>
      <c r="F883" s="49" t="s">
        <v>93</v>
      </c>
      <c r="G883" s="101" t="s">
        <v>138</v>
      </c>
    </row>
    <row r="884" spans="1:7" hidden="1">
      <c r="A884" s="36" t="s">
        <v>797</v>
      </c>
      <c r="B884" s="36" t="s">
        <v>314</v>
      </c>
      <c r="C884" s="36" t="str">
        <f>_xlfn.CONCAT(Table4[[#This Row],[Ledger Name]],Table4[[#This Row],[Entity Name]])</f>
        <v>ASP/LOC/2324/099Expora</v>
      </c>
      <c r="D884" s="36" t="s">
        <v>936</v>
      </c>
      <c r="E884" s="49" t="s">
        <v>152</v>
      </c>
      <c r="F884" s="49" t="s">
        <v>93</v>
      </c>
      <c r="G884" s="101" t="s">
        <v>138</v>
      </c>
    </row>
    <row r="885" spans="1:7" hidden="1">
      <c r="A885" s="36" t="s">
        <v>805</v>
      </c>
      <c r="B885" s="36" t="s">
        <v>314</v>
      </c>
      <c r="C885" s="36" t="str">
        <f>_xlfn.CONCAT(Table4[[#This Row],[Ledger Name]],Table4[[#This Row],[Entity Name]])</f>
        <v>ASP/LOC/2324/100Expora</v>
      </c>
      <c r="D885" s="36" t="s">
        <v>936</v>
      </c>
      <c r="E885" s="49" t="s">
        <v>152</v>
      </c>
      <c r="F885" s="49" t="s">
        <v>93</v>
      </c>
      <c r="G885" s="101" t="s">
        <v>138</v>
      </c>
    </row>
    <row r="886" spans="1:7" hidden="1">
      <c r="A886" s="36" t="s">
        <v>807</v>
      </c>
      <c r="B886" s="36" t="s">
        <v>314</v>
      </c>
      <c r="C886" s="36" t="str">
        <f>_xlfn.CONCAT(Table4[[#This Row],[Ledger Name]],Table4[[#This Row],[Entity Name]])</f>
        <v>ASP/LOC/2324/109Expora</v>
      </c>
      <c r="D886" s="36" t="s">
        <v>936</v>
      </c>
      <c r="E886" s="49" t="s">
        <v>152</v>
      </c>
      <c r="F886" s="49" t="s">
        <v>93</v>
      </c>
      <c r="G886" s="101" t="s">
        <v>138</v>
      </c>
    </row>
    <row r="887" spans="1:7" hidden="1">
      <c r="A887" s="36" t="s">
        <v>808</v>
      </c>
      <c r="B887" s="36" t="s">
        <v>314</v>
      </c>
      <c r="C887" s="36" t="str">
        <f>_xlfn.CONCAT(Table4[[#This Row],[Ledger Name]],Table4[[#This Row],[Entity Name]])</f>
        <v>ASP/LOC/2324/110Expora</v>
      </c>
      <c r="D887" s="36" t="s">
        <v>936</v>
      </c>
      <c r="E887" s="49" t="s">
        <v>152</v>
      </c>
      <c r="F887" s="49" t="s">
        <v>93</v>
      </c>
      <c r="G887" s="101" t="s">
        <v>138</v>
      </c>
    </row>
    <row r="888" spans="1:7" hidden="1">
      <c r="A888" s="36" t="s">
        <v>855</v>
      </c>
      <c r="B888" s="36" t="s">
        <v>314</v>
      </c>
      <c r="C888" s="36" t="str">
        <f>_xlfn.CONCAT(Table4[[#This Row],[Ledger Name]],Table4[[#This Row],[Entity Name]])</f>
        <v>ASP/LOC/2324/112 TO ASP/LOC/2324/121Expora</v>
      </c>
      <c r="D888" s="36" t="s">
        <v>936</v>
      </c>
      <c r="E888" s="49" t="s">
        <v>152</v>
      </c>
      <c r="F888" s="49" t="s">
        <v>93</v>
      </c>
      <c r="G888" s="101" t="s">
        <v>138</v>
      </c>
    </row>
    <row r="889" spans="1:7" hidden="1">
      <c r="A889" s="36" t="s">
        <v>809</v>
      </c>
      <c r="B889" s="36" t="s">
        <v>314</v>
      </c>
      <c r="C889" s="36" t="str">
        <f>_xlfn.CONCAT(Table4[[#This Row],[Ledger Name]],Table4[[#This Row],[Entity Name]])</f>
        <v>ASP/LOC/2324/116Expora</v>
      </c>
      <c r="D889" s="36" t="s">
        <v>936</v>
      </c>
      <c r="E889" s="49" t="s">
        <v>152</v>
      </c>
      <c r="F889" s="49" t="s">
        <v>93</v>
      </c>
      <c r="G889" s="101" t="s">
        <v>138</v>
      </c>
    </row>
    <row r="890" spans="1:7" hidden="1">
      <c r="A890" s="36" t="s">
        <v>856</v>
      </c>
      <c r="B890" s="36" t="s">
        <v>314</v>
      </c>
      <c r="C890" s="36" t="str">
        <f>_xlfn.CONCAT(Table4[[#This Row],[Ledger Name]],Table4[[#This Row],[Entity Name]])</f>
        <v>ASP/LOC/2324/122 TO ASP/LOC/2324/128Expora</v>
      </c>
      <c r="D890" s="36" t="s">
        <v>936</v>
      </c>
      <c r="E890" s="49" t="s">
        <v>152</v>
      </c>
      <c r="F890" s="49" t="s">
        <v>93</v>
      </c>
      <c r="G890" s="101" t="s">
        <v>138</v>
      </c>
    </row>
    <row r="891" spans="1:7" hidden="1">
      <c r="A891" s="36" t="s">
        <v>857</v>
      </c>
      <c r="B891" s="36" t="s">
        <v>314</v>
      </c>
      <c r="C891" s="36" t="str">
        <f>_xlfn.CONCAT(Table4[[#This Row],[Ledger Name]],Table4[[#This Row],[Entity Name]])</f>
        <v>ASP/LOC/2324/130 TO ASP/LOC/2324/137Expora</v>
      </c>
      <c r="D891" s="36" t="s">
        <v>936</v>
      </c>
      <c r="E891" s="49" t="s">
        <v>152</v>
      </c>
      <c r="F891" s="49" t="s">
        <v>93</v>
      </c>
      <c r="G891" s="101" t="s">
        <v>138</v>
      </c>
    </row>
    <row r="892" spans="1:7" hidden="1">
      <c r="A892" s="36" t="s">
        <v>734</v>
      </c>
      <c r="B892" s="36" t="s">
        <v>314</v>
      </c>
      <c r="C892" s="36" t="str">
        <f>_xlfn.CONCAT(Table4[[#This Row],[Ledger Name]],Table4[[#This Row],[Entity Name]])</f>
        <v>ASP/LOC/2324/54 TO 060Expora</v>
      </c>
      <c r="D892" s="36" t="s">
        <v>936</v>
      </c>
      <c r="E892" s="49" t="s">
        <v>152</v>
      </c>
      <c r="F892" s="49" t="s">
        <v>93</v>
      </c>
      <c r="G892" s="101" t="s">
        <v>138</v>
      </c>
    </row>
    <row r="893" spans="1:7" hidden="1">
      <c r="A893" s="36" t="s">
        <v>356</v>
      </c>
      <c r="B893" s="36" t="s">
        <v>314</v>
      </c>
      <c r="C893" s="36" t="str">
        <f>_xlfn.CONCAT(Table4[[#This Row],[Ledger Name]],Table4[[#This Row],[Entity Name]])</f>
        <v>ASP/MKS/2324/001Expora</v>
      </c>
      <c r="D893" s="36" t="s">
        <v>936</v>
      </c>
      <c r="E893" s="49" t="s">
        <v>152</v>
      </c>
      <c r="F893" s="49" t="s">
        <v>93</v>
      </c>
      <c r="G893" s="101" t="s">
        <v>138</v>
      </c>
    </row>
    <row r="894" spans="1:7" hidden="1">
      <c r="A894" s="36" t="s">
        <v>359</v>
      </c>
      <c r="B894" s="36" t="s">
        <v>314</v>
      </c>
      <c r="C894" s="36" t="str">
        <f>_xlfn.CONCAT(Table4[[#This Row],[Ledger Name]],Table4[[#This Row],[Entity Name]])</f>
        <v>ASP/MKS/2324/002Expora</v>
      </c>
      <c r="D894" s="36" t="s">
        <v>936</v>
      </c>
      <c r="E894" s="49" t="s">
        <v>152</v>
      </c>
      <c r="F894" s="49" t="s">
        <v>93</v>
      </c>
      <c r="G894" s="101" t="s">
        <v>138</v>
      </c>
    </row>
    <row r="895" spans="1:7" hidden="1">
      <c r="A895" s="36" t="s">
        <v>377</v>
      </c>
      <c r="B895" s="36" t="s">
        <v>314</v>
      </c>
      <c r="C895" s="36" t="str">
        <f>_xlfn.CONCAT(Table4[[#This Row],[Ledger Name]],Table4[[#This Row],[Entity Name]])</f>
        <v>ASP/MKS/2324/003Expora</v>
      </c>
      <c r="D895" s="36" t="s">
        <v>936</v>
      </c>
      <c r="E895" s="49" t="s">
        <v>152</v>
      </c>
      <c r="F895" s="49" t="s">
        <v>93</v>
      </c>
      <c r="G895" s="101" t="s">
        <v>138</v>
      </c>
    </row>
    <row r="896" spans="1:7" hidden="1">
      <c r="A896" s="36" t="s">
        <v>362</v>
      </c>
      <c r="B896" s="36" t="s">
        <v>314</v>
      </c>
      <c r="C896" s="36" t="str">
        <f>_xlfn.CONCAT(Table4[[#This Row],[Ledger Name]],Table4[[#This Row],[Entity Name]])</f>
        <v>ASP/MKS/2324/004Expora</v>
      </c>
      <c r="D896" s="36" t="s">
        <v>936</v>
      </c>
      <c r="E896" s="49" t="s">
        <v>152</v>
      </c>
      <c r="F896" s="49" t="s">
        <v>93</v>
      </c>
      <c r="G896" s="101" t="s">
        <v>138</v>
      </c>
    </row>
    <row r="897" spans="1:7" hidden="1">
      <c r="A897" s="36" t="s">
        <v>370</v>
      </c>
      <c r="B897" s="36" t="s">
        <v>314</v>
      </c>
      <c r="C897" s="36" t="str">
        <f>_xlfn.CONCAT(Table4[[#This Row],[Ledger Name]],Table4[[#This Row],[Entity Name]])</f>
        <v>ASP/MKS/2324/005Expora</v>
      </c>
      <c r="D897" s="36" t="s">
        <v>936</v>
      </c>
      <c r="E897" s="49" t="s">
        <v>152</v>
      </c>
      <c r="F897" s="49" t="s">
        <v>93</v>
      </c>
      <c r="G897" s="101" t="s">
        <v>138</v>
      </c>
    </row>
    <row r="898" spans="1:7" hidden="1">
      <c r="A898" s="36" t="s">
        <v>371</v>
      </c>
      <c r="B898" s="36" t="s">
        <v>314</v>
      </c>
      <c r="C898" s="36" t="str">
        <f>_xlfn.CONCAT(Table4[[#This Row],[Ledger Name]],Table4[[#This Row],[Entity Name]])</f>
        <v>ASP/MKS/2324/006Expora</v>
      </c>
      <c r="D898" s="36" t="s">
        <v>936</v>
      </c>
      <c r="E898" s="49" t="s">
        <v>152</v>
      </c>
      <c r="F898" s="49" t="s">
        <v>93</v>
      </c>
      <c r="G898" s="101" t="s">
        <v>138</v>
      </c>
    </row>
    <row r="899" spans="1:7" hidden="1">
      <c r="A899" s="36" t="s">
        <v>366</v>
      </c>
      <c r="B899" s="36" t="s">
        <v>314</v>
      </c>
      <c r="C899" s="36" t="str">
        <f>_xlfn.CONCAT(Table4[[#This Row],[Ledger Name]],Table4[[#This Row],[Entity Name]])</f>
        <v>ASP/MKS/2324/007Expora</v>
      </c>
      <c r="D899" s="36" t="s">
        <v>936</v>
      </c>
      <c r="E899" s="49" t="s">
        <v>152</v>
      </c>
      <c r="F899" s="49" t="s">
        <v>93</v>
      </c>
      <c r="G899" s="101" t="s">
        <v>138</v>
      </c>
    </row>
    <row r="900" spans="1:7" hidden="1">
      <c r="A900" s="36" t="s">
        <v>363</v>
      </c>
      <c r="B900" s="36" t="s">
        <v>314</v>
      </c>
      <c r="C900" s="36" t="str">
        <f>_xlfn.CONCAT(Table4[[#This Row],[Ledger Name]],Table4[[#This Row],[Entity Name]])</f>
        <v>ASP/MKS/2324/008Expora</v>
      </c>
      <c r="D900" s="36" t="s">
        <v>936</v>
      </c>
      <c r="E900" s="49" t="s">
        <v>152</v>
      </c>
      <c r="F900" s="49" t="s">
        <v>93</v>
      </c>
      <c r="G900" s="101" t="s">
        <v>138</v>
      </c>
    </row>
    <row r="901" spans="1:7" hidden="1">
      <c r="A901" s="36" t="s">
        <v>367</v>
      </c>
      <c r="B901" s="36" t="s">
        <v>314</v>
      </c>
      <c r="C901" s="36" t="str">
        <f>_xlfn.CONCAT(Table4[[#This Row],[Ledger Name]],Table4[[#This Row],[Entity Name]])</f>
        <v>ASP/MKS/2324/009Expora</v>
      </c>
      <c r="D901" s="36" t="s">
        <v>936</v>
      </c>
      <c r="E901" s="49" t="s">
        <v>152</v>
      </c>
      <c r="F901" s="49" t="s">
        <v>93</v>
      </c>
      <c r="G901" s="101" t="s">
        <v>138</v>
      </c>
    </row>
    <row r="902" spans="1:7" hidden="1">
      <c r="A902" s="36" t="s">
        <v>374</v>
      </c>
      <c r="B902" s="36" t="s">
        <v>314</v>
      </c>
      <c r="C902" s="36" t="str">
        <f>_xlfn.CONCAT(Table4[[#This Row],[Ledger Name]],Table4[[#This Row],[Entity Name]])</f>
        <v>ASP/MKS/2324/010Expora</v>
      </c>
      <c r="D902" s="36" t="s">
        <v>936</v>
      </c>
      <c r="E902" s="49" t="s">
        <v>152</v>
      </c>
      <c r="F902" s="49" t="s">
        <v>93</v>
      </c>
      <c r="G902" s="101" t="s">
        <v>138</v>
      </c>
    </row>
    <row r="903" spans="1:7" hidden="1">
      <c r="A903" s="36" t="s">
        <v>384</v>
      </c>
      <c r="B903" s="36" t="s">
        <v>314</v>
      </c>
      <c r="C903" s="36" t="str">
        <f>_xlfn.CONCAT(Table4[[#This Row],[Ledger Name]],Table4[[#This Row],[Entity Name]])</f>
        <v>ASP/MKS/2324/011Expora</v>
      </c>
      <c r="D903" s="36" t="s">
        <v>936</v>
      </c>
      <c r="E903" s="49" t="s">
        <v>152</v>
      </c>
      <c r="F903" s="49" t="s">
        <v>93</v>
      </c>
      <c r="G903" s="101" t="s">
        <v>138</v>
      </c>
    </row>
    <row r="904" spans="1:7" hidden="1">
      <c r="A904" s="36" t="s">
        <v>372</v>
      </c>
      <c r="B904" s="36" t="s">
        <v>314</v>
      </c>
      <c r="C904" s="36" t="str">
        <f>_xlfn.CONCAT(Table4[[#This Row],[Ledger Name]],Table4[[#This Row],[Entity Name]])</f>
        <v>ASP/MKS/2324/012Expora</v>
      </c>
      <c r="D904" s="36" t="s">
        <v>936</v>
      </c>
      <c r="E904" s="49" t="s">
        <v>152</v>
      </c>
      <c r="F904" s="49" t="s">
        <v>93</v>
      </c>
      <c r="G904" s="101" t="s">
        <v>138</v>
      </c>
    </row>
    <row r="905" spans="1:7" hidden="1">
      <c r="A905" s="36" t="s">
        <v>364</v>
      </c>
      <c r="B905" s="36" t="s">
        <v>314</v>
      </c>
      <c r="C905" s="36" t="str">
        <f>_xlfn.CONCAT(Table4[[#This Row],[Ledger Name]],Table4[[#This Row],[Entity Name]])</f>
        <v>ASP/MKS/2324/013Expora</v>
      </c>
      <c r="D905" s="36" t="s">
        <v>936</v>
      </c>
      <c r="E905" s="49" t="s">
        <v>152</v>
      </c>
      <c r="F905" s="49" t="s">
        <v>93</v>
      </c>
      <c r="G905" s="101" t="s">
        <v>138</v>
      </c>
    </row>
    <row r="906" spans="1:7" hidden="1">
      <c r="A906" s="36" t="s">
        <v>373</v>
      </c>
      <c r="B906" s="36" t="s">
        <v>314</v>
      </c>
      <c r="C906" s="36" t="str">
        <f>_xlfn.CONCAT(Table4[[#This Row],[Ledger Name]],Table4[[#This Row],[Entity Name]])</f>
        <v>ASP/MKS/2324/014Expora</v>
      </c>
      <c r="D906" s="36" t="s">
        <v>936</v>
      </c>
      <c r="E906" s="49" t="s">
        <v>152</v>
      </c>
      <c r="F906" s="49" t="s">
        <v>93</v>
      </c>
      <c r="G906" s="101" t="s">
        <v>138</v>
      </c>
    </row>
    <row r="907" spans="1:7" hidden="1">
      <c r="A907" s="36" t="s">
        <v>369</v>
      </c>
      <c r="B907" s="36" t="s">
        <v>314</v>
      </c>
      <c r="C907" s="36" t="str">
        <f>_xlfn.CONCAT(Table4[[#This Row],[Ledger Name]],Table4[[#This Row],[Entity Name]])</f>
        <v>ASP/MKS/2324/015Expora</v>
      </c>
      <c r="D907" s="36" t="s">
        <v>936</v>
      </c>
      <c r="E907" s="49" t="s">
        <v>152</v>
      </c>
      <c r="F907" s="49" t="s">
        <v>93</v>
      </c>
      <c r="G907" s="101" t="s">
        <v>138</v>
      </c>
    </row>
    <row r="908" spans="1:7" hidden="1">
      <c r="A908" s="36" t="s">
        <v>368</v>
      </c>
      <c r="B908" s="36" t="s">
        <v>314</v>
      </c>
      <c r="C908" s="36" t="str">
        <f>_xlfn.CONCAT(Table4[[#This Row],[Ledger Name]],Table4[[#This Row],[Entity Name]])</f>
        <v>ASP/MKS/2324/016Expora</v>
      </c>
      <c r="D908" s="36" t="s">
        <v>936</v>
      </c>
      <c r="E908" s="49" t="s">
        <v>152</v>
      </c>
      <c r="F908" s="49" t="s">
        <v>93</v>
      </c>
      <c r="G908" s="101" t="s">
        <v>138</v>
      </c>
    </row>
    <row r="909" spans="1:7" hidden="1">
      <c r="A909" s="36" t="s">
        <v>378</v>
      </c>
      <c r="B909" s="36" t="s">
        <v>314</v>
      </c>
      <c r="C909" s="36" t="str">
        <f>_xlfn.CONCAT(Table4[[#This Row],[Ledger Name]],Table4[[#This Row],[Entity Name]])</f>
        <v>ASP/MKS/2324/017Expora</v>
      </c>
      <c r="D909" s="36" t="s">
        <v>936</v>
      </c>
      <c r="E909" s="49" t="s">
        <v>152</v>
      </c>
      <c r="F909" s="49" t="s">
        <v>93</v>
      </c>
      <c r="G909" s="101" t="s">
        <v>138</v>
      </c>
    </row>
    <row r="910" spans="1:7" hidden="1">
      <c r="A910" s="36" t="s">
        <v>365</v>
      </c>
      <c r="B910" s="36" t="s">
        <v>314</v>
      </c>
      <c r="C910" s="36" t="str">
        <f>_xlfn.CONCAT(Table4[[#This Row],[Ledger Name]],Table4[[#This Row],[Entity Name]])</f>
        <v>ASP/MKS/2324/018Expora</v>
      </c>
      <c r="D910" s="36" t="s">
        <v>936</v>
      </c>
      <c r="E910" s="49" t="s">
        <v>152</v>
      </c>
      <c r="F910" s="49" t="s">
        <v>93</v>
      </c>
      <c r="G910" s="101" t="s">
        <v>138</v>
      </c>
    </row>
    <row r="911" spans="1:7" hidden="1">
      <c r="A911" s="36" t="s">
        <v>704</v>
      </c>
      <c r="B911" s="36" t="s">
        <v>314</v>
      </c>
      <c r="C911" s="36" t="str">
        <f>_xlfn.CONCAT(Table4[[#This Row],[Ledger Name]],Table4[[#This Row],[Entity Name]])</f>
        <v>ASP/MKS/2324/023Expora</v>
      </c>
      <c r="D911" s="36" t="s">
        <v>936</v>
      </c>
      <c r="E911" s="49" t="s">
        <v>152</v>
      </c>
      <c r="F911" s="49" t="s">
        <v>93</v>
      </c>
      <c r="G911" s="101" t="s">
        <v>138</v>
      </c>
    </row>
    <row r="912" spans="1:7" hidden="1">
      <c r="A912" s="36" t="s">
        <v>770</v>
      </c>
      <c r="B912" s="36" t="s">
        <v>314</v>
      </c>
      <c r="C912" s="36" t="str">
        <f>_xlfn.CONCAT(Table4[[#This Row],[Ledger Name]],Table4[[#This Row],[Entity Name]])</f>
        <v>ASP/PV/2324/003Expora</v>
      </c>
      <c r="D912" s="36" t="s">
        <v>936</v>
      </c>
      <c r="E912" s="49" t="s">
        <v>152</v>
      </c>
      <c r="F912" s="49" t="s">
        <v>93</v>
      </c>
      <c r="G912" s="101" t="s">
        <v>138</v>
      </c>
    </row>
    <row r="913" spans="1:7" hidden="1">
      <c r="A913" s="36" t="s">
        <v>1241</v>
      </c>
      <c r="B913" s="36" t="s">
        <v>314</v>
      </c>
      <c r="C913" s="36" t="str">
        <f>_xlfn.CONCAT(Table4[[#This Row],[Ledger Name]],Table4[[#This Row],[Entity Name]])</f>
        <v>BA170,209,217,222,223,233Expora</v>
      </c>
      <c r="D913" s="36" t="s">
        <v>936</v>
      </c>
      <c r="E913" s="49" t="s">
        <v>152</v>
      </c>
      <c r="F913" s="49" t="s">
        <v>93</v>
      </c>
      <c r="G913" s="101" t="s">
        <v>138</v>
      </c>
    </row>
    <row r="914" spans="1:7" hidden="1">
      <c r="A914" s="36" t="s">
        <v>1111</v>
      </c>
      <c r="B914" s="36" t="s">
        <v>314</v>
      </c>
      <c r="C914" s="36" t="str">
        <f>_xlfn.CONCAT(Table4[[#This Row],[Ledger Name]],Table4[[#This Row],[Entity Name]])</f>
        <v>TAEXP2425024Expora</v>
      </c>
      <c r="D914" s="36" t="s">
        <v>936</v>
      </c>
      <c r="E914" s="49" t="s">
        <v>152</v>
      </c>
      <c r="F914" s="49" t="s">
        <v>93</v>
      </c>
      <c r="G914" s="101" t="s">
        <v>138</v>
      </c>
    </row>
    <row r="915" spans="1:7" hidden="1">
      <c r="A915" s="36" t="s">
        <v>1213</v>
      </c>
      <c r="B915" s="36" t="s">
        <v>314</v>
      </c>
      <c r="C915" s="36" t="str">
        <f>_xlfn.CONCAT(Table4[[#This Row],[Ledger Name]],Table4[[#This Row],[Entity Name]])</f>
        <v>TAEXP2425027Expora</v>
      </c>
      <c r="D915" s="36" t="s">
        <v>936</v>
      </c>
      <c r="E915" s="49" t="s">
        <v>152</v>
      </c>
      <c r="F915" s="49" t="s">
        <v>93</v>
      </c>
      <c r="G915" s="101" t="s">
        <v>138</v>
      </c>
    </row>
    <row r="916" spans="1:7" hidden="1">
      <c r="A916" s="36" t="s">
        <v>1218</v>
      </c>
      <c r="B916" s="36" t="s">
        <v>314</v>
      </c>
      <c r="C916" s="36" t="str">
        <f>_xlfn.CONCAT(Table4[[#This Row],[Ledger Name]],Table4[[#This Row],[Entity Name]])</f>
        <v>TAEXP2425028Expora</v>
      </c>
      <c r="D916" s="36" t="s">
        <v>936</v>
      </c>
      <c r="E916" s="49" t="s">
        <v>152</v>
      </c>
      <c r="F916" s="49" t="s">
        <v>93</v>
      </c>
      <c r="G916" s="101" t="s">
        <v>138</v>
      </c>
    </row>
    <row r="917" spans="1:7" hidden="1">
      <c r="A917" s="36" t="s">
        <v>1219</v>
      </c>
      <c r="B917" s="36" t="s">
        <v>314</v>
      </c>
      <c r="C917" s="36" t="str">
        <f>_xlfn.CONCAT(Table4[[#This Row],[Ledger Name]],Table4[[#This Row],[Entity Name]])</f>
        <v>TAEXP2425029Expora</v>
      </c>
      <c r="D917" s="36" t="s">
        <v>936</v>
      </c>
      <c r="E917" s="49" t="s">
        <v>152</v>
      </c>
      <c r="F917" s="49" t="s">
        <v>93</v>
      </c>
      <c r="G917" s="101" t="s">
        <v>138</v>
      </c>
    </row>
    <row r="918" spans="1:7" hidden="1">
      <c r="A918" s="36" t="s">
        <v>1220</v>
      </c>
      <c r="B918" s="36" t="s">
        <v>314</v>
      </c>
      <c r="C918" s="36" t="str">
        <f>_xlfn.CONCAT(Table4[[#This Row],[Ledger Name]],Table4[[#This Row],[Entity Name]])</f>
        <v>TAEXP2425030Expora</v>
      </c>
      <c r="D918" s="36" t="s">
        <v>936</v>
      </c>
      <c r="E918" s="49" t="s">
        <v>152</v>
      </c>
      <c r="F918" s="49" t="s">
        <v>93</v>
      </c>
      <c r="G918" s="101" t="s">
        <v>138</v>
      </c>
    </row>
    <row r="919" spans="1:7" hidden="1">
      <c r="A919" s="36" t="s">
        <v>1221</v>
      </c>
      <c r="B919" s="36" t="s">
        <v>314</v>
      </c>
      <c r="C919" s="36" t="str">
        <f>_xlfn.CONCAT(Table4[[#This Row],[Ledger Name]],Table4[[#This Row],[Entity Name]])</f>
        <v>TAEXP2425031Expora</v>
      </c>
      <c r="D919" s="36" t="s">
        <v>936</v>
      </c>
      <c r="E919" s="49" t="s">
        <v>152</v>
      </c>
      <c r="F919" s="49" t="s">
        <v>93</v>
      </c>
      <c r="G919" s="101" t="s">
        <v>138</v>
      </c>
    </row>
    <row r="920" spans="1:7" hidden="1">
      <c r="A920" s="36" t="s">
        <v>1222</v>
      </c>
      <c r="B920" s="36" t="s">
        <v>314</v>
      </c>
      <c r="C920" s="36" t="str">
        <f>_xlfn.CONCAT(Table4[[#This Row],[Ledger Name]],Table4[[#This Row],[Entity Name]])</f>
        <v>TAEXP2425032Expora</v>
      </c>
      <c r="D920" s="36" t="s">
        <v>936</v>
      </c>
      <c r="E920" s="49" t="s">
        <v>152</v>
      </c>
      <c r="F920" s="49" t="s">
        <v>93</v>
      </c>
      <c r="G920" s="101" t="s">
        <v>138</v>
      </c>
    </row>
    <row r="921" spans="1:7" hidden="1">
      <c r="A921" s="36" t="s">
        <v>1242</v>
      </c>
      <c r="B921" s="36" t="s">
        <v>314</v>
      </c>
      <c r="C921" s="36" t="str">
        <f>_xlfn.CONCAT(Table4[[#This Row],[Ledger Name]],Table4[[#This Row],[Entity Name]])</f>
        <v>TAEXP2425034Expora</v>
      </c>
      <c r="D921" s="36" t="s">
        <v>936</v>
      </c>
      <c r="E921" s="49" t="s">
        <v>152</v>
      </c>
      <c r="F921" s="49" t="s">
        <v>93</v>
      </c>
      <c r="G921" s="101" t="s">
        <v>138</v>
      </c>
    </row>
    <row r="922" spans="1:7" hidden="1">
      <c r="A922" s="36" t="s">
        <v>1240</v>
      </c>
      <c r="B922" s="36" t="s">
        <v>314</v>
      </c>
      <c r="C922" s="36" t="str">
        <f>_xlfn.CONCAT(Table4[[#This Row],[Ledger Name]],Table4[[#This Row],[Entity Name]])</f>
        <v>BA no 170, 109, 217, 222,223,233Expora</v>
      </c>
      <c r="D922" s="36" t="s">
        <v>936</v>
      </c>
      <c r="E922" s="49" t="s">
        <v>152</v>
      </c>
      <c r="F922" s="49" t="s">
        <v>93</v>
      </c>
      <c r="G922" s="101" t="s">
        <v>138</v>
      </c>
    </row>
    <row r="923" spans="1:7" hidden="1">
      <c r="A923" s="36" t="s">
        <v>1243</v>
      </c>
      <c r="B923" s="36" t="s">
        <v>314</v>
      </c>
      <c r="C923" s="36" t="str">
        <f>_xlfn.CONCAT(Table4[[#This Row],[Ledger Name]],Table4[[#This Row],[Entity Name]])</f>
        <v>TAEXP2425042Expora</v>
      </c>
      <c r="D923" s="36" t="s">
        <v>936</v>
      </c>
      <c r="E923" s="49" t="s">
        <v>152</v>
      </c>
      <c r="F923" s="49" t="s">
        <v>93</v>
      </c>
      <c r="G923" s="101" t="s">
        <v>138</v>
      </c>
    </row>
    <row r="924" spans="1:7" hidden="1">
      <c r="A924" s="36" t="s">
        <v>1243</v>
      </c>
      <c r="B924" s="36" t="s">
        <v>314</v>
      </c>
      <c r="C924" s="36" t="str">
        <f>_xlfn.CONCAT(Table4[[#This Row],[Ledger Name]],Table4[[#This Row],[Entity Name]])</f>
        <v>TAEXP2425042Expora</v>
      </c>
      <c r="D924" s="36" t="s">
        <v>936</v>
      </c>
      <c r="E924" s="49" t="s">
        <v>152</v>
      </c>
      <c r="F924" s="49" t="s">
        <v>93</v>
      </c>
      <c r="G924" s="101" t="s">
        <v>138</v>
      </c>
    </row>
    <row r="925" spans="1:7" hidden="1">
      <c r="A925" s="36" t="s">
        <v>1233</v>
      </c>
      <c r="B925" s="36" t="s">
        <v>314</v>
      </c>
      <c r="C925" s="36" t="str">
        <f>_xlfn.CONCAT(Table4[[#This Row],[Ledger Name]],Table4[[#This Row],[Entity Name]])</f>
        <v>Advance Salary to JaiminExpora</v>
      </c>
      <c r="D925" s="36" t="s">
        <v>936</v>
      </c>
      <c r="E925" s="49" t="s">
        <v>746</v>
      </c>
      <c r="F925" s="49" t="s">
        <v>52</v>
      </c>
      <c r="G925" s="24" t="s">
        <v>1608</v>
      </c>
    </row>
    <row r="926" spans="1:7" hidden="1">
      <c r="A926" s="36" t="s">
        <v>1234</v>
      </c>
      <c r="B926" s="36" t="s">
        <v>314</v>
      </c>
      <c r="C926" s="36" t="str">
        <f>_xlfn.CONCAT(Table4[[#This Row],[Ledger Name]],Table4[[#This Row],[Entity Name]])</f>
        <v>APPLE MB AIR 13.6 M3 8C 8GB 256 GB SPG MRXN 3NH/AExpora</v>
      </c>
      <c r="D926" s="36" t="s">
        <v>936</v>
      </c>
      <c r="E926" s="49" t="s">
        <v>746</v>
      </c>
      <c r="F926" s="49" t="s">
        <v>346</v>
      </c>
      <c r="G926" s="182" t="s">
        <v>346</v>
      </c>
    </row>
    <row r="927" spans="1:7" hidden="1">
      <c r="A927" s="36" t="s">
        <v>1235</v>
      </c>
      <c r="B927" s="36" t="s">
        <v>314</v>
      </c>
      <c r="C927" s="36" t="str">
        <f>_xlfn.CONCAT(Table4[[#This Row],[Ledger Name]],Table4[[#This Row],[Entity Name]])</f>
        <v>DD RBI COMMISSIONER OF CUSTOMS NHAVA SHEVAExpora</v>
      </c>
      <c r="D927" s="36" t="s">
        <v>936</v>
      </c>
      <c r="E927" s="49" t="s">
        <v>746</v>
      </c>
      <c r="F927" s="49" t="s">
        <v>52</v>
      </c>
      <c r="G927" s="24" t="s">
        <v>1607</v>
      </c>
    </row>
    <row r="928" spans="1:7" hidden="1">
      <c r="A928" s="36"/>
      <c r="B928" s="36" t="s">
        <v>314</v>
      </c>
      <c r="C928" s="36" t="str">
        <f>_xlfn.CONCAT(Table4[[#This Row],[Ledger Name]],Table4[[#This Row],[Entity Name]])</f>
        <v>Expora</v>
      </c>
      <c r="D928" s="36" t="s">
        <v>936</v>
      </c>
      <c r="E928" s="49">
        <v>0</v>
      </c>
      <c r="F928" s="49">
        <v>0</v>
      </c>
      <c r="G928" s="101">
        <v>0</v>
      </c>
    </row>
    <row r="929" spans="1:7" hidden="1">
      <c r="A929" s="36" t="s">
        <v>1236</v>
      </c>
      <c r="B929" s="36" t="s">
        <v>314</v>
      </c>
      <c r="C929" s="36" t="str">
        <f>_xlfn.CONCAT(Table4[[#This Row],[Ledger Name]],Table4[[#This Row],[Entity Name]])</f>
        <v>Ram Bol Ja- Flexi ReimbursementExpora</v>
      </c>
      <c r="D929" s="36" t="s">
        <v>936</v>
      </c>
      <c r="E929" s="49" t="s">
        <v>746</v>
      </c>
      <c r="F929" s="49" t="s">
        <v>195</v>
      </c>
      <c r="G929" s="6" t="s">
        <v>1626</v>
      </c>
    </row>
    <row r="930" spans="1:7" hidden="1">
      <c r="A930" s="36" t="s">
        <v>1237</v>
      </c>
      <c r="B930" s="36" t="s">
        <v>314</v>
      </c>
      <c r="C930" s="36" t="str">
        <f>_xlfn.CONCAT(Table4[[#This Row],[Ledger Name]],Table4[[#This Row],[Entity Name]])</f>
        <v>D13503428Expora</v>
      </c>
      <c r="D930" s="36" t="s">
        <v>936</v>
      </c>
      <c r="E930" s="49" t="s">
        <v>746</v>
      </c>
      <c r="F930" s="49" t="s">
        <v>345</v>
      </c>
      <c r="G930" s="101" t="s">
        <v>278</v>
      </c>
    </row>
    <row r="931" spans="1:7" hidden="1">
      <c r="A931" s="36" t="s">
        <v>1238</v>
      </c>
      <c r="B931" s="36" t="s">
        <v>314</v>
      </c>
      <c r="C931" s="36" t="str">
        <f>_xlfn.CONCAT(Table4[[#This Row],[Ledger Name]],Table4[[#This Row],[Entity Name]])</f>
        <v>F02PCFC243045004Expora</v>
      </c>
      <c r="D931" s="36" t="s">
        <v>936</v>
      </c>
      <c r="E931" s="49" t="s">
        <v>746</v>
      </c>
      <c r="F931" s="49" t="s">
        <v>345</v>
      </c>
      <c r="G931" s="101" t="s">
        <v>278</v>
      </c>
    </row>
    <row r="932" spans="1:7" hidden="1">
      <c r="A932" s="59" t="s">
        <v>1284</v>
      </c>
      <c r="B932" s="36" t="s">
        <v>314</v>
      </c>
      <c r="C932" s="36" t="str">
        <f>_xlfn.CONCAT(Table4[[#This Row],[Ledger Name]],Table4[[#This Row],[Entity Name]])</f>
        <v>F02PCFC243105005Expora</v>
      </c>
      <c r="D932" s="36" t="s">
        <v>936</v>
      </c>
      <c r="E932" s="49" t="s">
        <v>746</v>
      </c>
      <c r="F932" s="49" t="s">
        <v>345</v>
      </c>
      <c r="G932" s="101" t="s">
        <v>278</v>
      </c>
    </row>
    <row r="933" spans="1:7" hidden="1">
      <c r="A933" s="59" t="s">
        <v>1285</v>
      </c>
      <c r="B933" s="36" t="s">
        <v>314</v>
      </c>
      <c r="C933" s="36" t="str">
        <f>_xlfn.CONCAT(Table4[[#This Row],[Ledger Name]],Table4[[#This Row],[Entity Name]])</f>
        <v>F02PCFC243185001Expora</v>
      </c>
      <c r="D933" s="36" t="s">
        <v>936</v>
      </c>
      <c r="E933" s="49" t="s">
        <v>746</v>
      </c>
      <c r="F933" s="49" t="s">
        <v>345</v>
      </c>
      <c r="G933" s="101" t="s">
        <v>278</v>
      </c>
    </row>
    <row r="934" spans="1:7" hidden="1">
      <c r="A934" s="59" t="s">
        <v>1286</v>
      </c>
      <c r="B934" s="36" t="s">
        <v>314</v>
      </c>
      <c r="C934" s="36" t="str">
        <f>_xlfn.CONCAT(Table4[[#This Row],[Ledger Name]],Table4[[#This Row],[Entity Name]])</f>
        <v>F02PCFC243185002Expora</v>
      </c>
      <c r="D934" s="36" t="s">
        <v>936</v>
      </c>
      <c r="E934" s="49" t="s">
        <v>746</v>
      </c>
      <c r="F934" s="49" t="s">
        <v>345</v>
      </c>
      <c r="G934" s="101" t="s">
        <v>278</v>
      </c>
    </row>
    <row r="935" spans="1:7" hidden="1">
      <c r="A935" s="59" t="s">
        <v>1287</v>
      </c>
      <c r="B935" s="36" t="s">
        <v>314</v>
      </c>
      <c r="C935" s="36" t="str">
        <f>_xlfn.CONCAT(Table4[[#This Row],[Ledger Name]],Table4[[#This Row],[Entity Name]])</f>
        <v>F02PCFC243315001Expora</v>
      </c>
      <c r="D935" s="36" t="s">
        <v>936</v>
      </c>
      <c r="E935" s="49" t="s">
        <v>746</v>
      </c>
      <c r="F935" s="49" t="s">
        <v>345</v>
      </c>
      <c r="G935" s="101" t="s">
        <v>278</v>
      </c>
    </row>
    <row r="936" spans="1:7" hidden="1">
      <c r="A936" s="36"/>
      <c r="B936" s="36"/>
      <c r="C936" s="36" t="str">
        <f>_xlfn.CONCAT(Table4[[#This Row],[Ledger Name]],Table4[[#This Row],[Entity Name]])</f>
        <v/>
      </c>
      <c r="D936" s="36"/>
      <c r="E936" s="49"/>
      <c r="F936" s="49"/>
      <c r="G936" s="101"/>
    </row>
    <row r="937" spans="1:7" hidden="1">
      <c r="A937" s="36"/>
      <c r="B937" s="36"/>
      <c r="C937" s="36" t="str">
        <f>_xlfn.CONCAT(Table4[[#This Row],[Ledger Name]],Table4[[#This Row],[Entity Name]])</f>
        <v/>
      </c>
      <c r="D937" s="36"/>
      <c r="E937" s="49"/>
      <c r="F937" s="49"/>
      <c r="G937" s="101"/>
    </row>
    <row r="938" spans="1:7" hidden="1">
      <c r="A938" s="36"/>
      <c r="B938" s="36"/>
      <c r="C938" s="36" t="str">
        <f>_xlfn.CONCAT(Table4[[#This Row],[Ledger Name]],Table4[[#This Row],[Entity Name]])</f>
        <v/>
      </c>
      <c r="D938" s="36"/>
      <c r="E938" s="49"/>
      <c r="F938" s="49"/>
      <c r="G938" s="101"/>
    </row>
    <row r="939" spans="1:7" hidden="1">
      <c r="A939" s="36"/>
      <c r="B939" s="36"/>
      <c r="C939" s="36" t="str">
        <f>_xlfn.CONCAT(Table4[[#This Row],[Ledger Name]],Table4[[#This Row],[Entity Name]])</f>
        <v/>
      </c>
      <c r="D939" s="36"/>
      <c r="E939" s="49"/>
      <c r="F939" s="49"/>
      <c r="G939" s="101"/>
    </row>
    <row r="940" spans="1:7" hidden="1">
      <c r="A940" s="36" t="s">
        <v>1239</v>
      </c>
      <c r="B940" s="36" t="s">
        <v>314</v>
      </c>
      <c r="C940" s="36" t="str">
        <f>_xlfn.CONCAT(Table4[[#This Row],[Ledger Name]],Table4[[#This Row],[Entity Name]])</f>
        <v>BLACK EYED BEANSExpora</v>
      </c>
      <c r="D940" s="36" t="s">
        <v>936</v>
      </c>
      <c r="E940" s="49" t="s">
        <v>746</v>
      </c>
      <c r="F940" s="49" t="s">
        <v>345</v>
      </c>
      <c r="G940" s="179" t="s">
        <v>278</v>
      </c>
    </row>
    <row r="941" spans="1:7" hidden="1">
      <c r="A941" s="36" t="s">
        <v>802</v>
      </c>
      <c r="B941" s="36" t="s">
        <v>314</v>
      </c>
      <c r="C941" s="36" t="str">
        <f>_xlfn.CONCAT(Table4[[#This Row],[Ledger Name]],Table4[[#This Row],[Entity Name]])</f>
        <v>Bad DebtExpora</v>
      </c>
      <c r="D941" s="36" t="s">
        <v>936</v>
      </c>
      <c r="E941" s="49" t="s">
        <v>152</v>
      </c>
      <c r="F941" s="49" t="s">
        <v>5</v>
      </c>
      <c r="G941" s="109" t="s">
        <v>14</v>
      </c>
    </row>
    <row r="942" spans="1:7" hidden="1">
      <c r="A942" s="36" t="s">
        <v>211</v>
      </c>
      <c r="B942" s="36" t="s">
        <v>314</v>
      </c>
      <c r="C942" s="36" t="str">
        <f>_xlfn.CONCAT(Table4[[#This Row],[Ledger Name]],Table4[[#This Row],[Entity Name]])</f>
        <v>Diwali ExpensesExpora</v>
      </c>
      <c r="D942" s="36" t="s">
        <v>936</v>
      </c>
      <c r="E942" s="49" t="s">
        <v>152</v>
      </c>
      <c r="F942" s="49" t="s">
        <v>5</v>
      </c>
      <c r="G942" s="101" t="s">
        <v>211</v>
      </c>
    </row>
    <row r="943" spans="1:7" hidden="1">
      <c r="A943" s="36" t="s">
        <v>198</v>
      </c>
      <c r="B943" s="36" t="s">
        <v>314</v>
      </c>
      <c r="C943" s="36" t="str">
        <f>_xlfn.CONCAT(Table4[[#This Row],[Ledger Name]],Table4[[#This Row],[Entity Name]])</f>
        <v>BonusExpora</v>
      </c>
      <c r="D943" s="36" t="s">
        <v>936</v>
      </c>
      <c r="E943" s="49" t="s">
        <v>152</v>
      </c>
      <c r="F943" s="49" t="s">
        <v>2</v>
      </c>
      <c r="G943" s="110" t="s">
        <v>210</v>
      </c>
    </row>
    <row r="944" spans="1:7" hidden="1">
      <c r="A944" s="36" t="s">
        <v>607</v>
      </c>
      <c r="B944" s="36" t="s">
        <v>314</v>
      </c>
      <c r="C944" s="36" t="str">
        <f>_xlfn.CONCAT(Table4[[#This Row],[Ledger Name]],Table4[[#This Row],[Entity Name]])</f>
        <v>Tax Paid ExpenseExpora</v>
      </c>
      <c r="D944" s="36" t="s">
        <v>936</v>
      </c>
      <c r="E944" s="49" t="s">
        <v>152</v>
      </c>
      <c r="F944" s="49" t="s">
        <v>342</v>
      </c>
      <c r="G944" s="101" t="s">
        <v>1245</v>
      </c>
    </row>
    <row r="945" spans="1:7" hidden="1">
      <c r="A945" s="36" t="s">
        <v>1244</v>
      </c>
      <c r="B945" s="36" t="s">
        <v>314</v>
      </c>
      <c r="C945" s="36" t="str">
        <f>_xlfn.CONCAT(Table4[[#This Row],[Ledger Name]],Table4[[#This Row],[Entity Name]])</f>
        <v>UNALLOCATEDExpora</v>
      </c>
      <c r="D945" s="36" t="s">
        <v>936</v>
      </c>
      <c r="E945" s="49" t="s">
        <v>152</v>
      </c>
      <c r="F945" s="49" t="s">
        <v>93</v>
      </c>
      <c r="G945" s="101" t="s">
        <v>138</v>
      </c>
    </row>
    <row r="946" spans="1:7" hidden="1">
      <c r="A946" s="36" t="s">
        <v>1197</v>
      </c>
      <c r="B946" s="36" t="s">
        <v>314</v>
      </c>
      <c r="C946" s="36" t="str">
        <f>_xlfn.CONCAT(Table4[[#This Row],[Ledger Name]],Table4[[#This Row],[Entity Name]])</f>
        <v>Prepaid for InterestExpora</v>
      </c>
      <c r="D946" s="36" t="s">
        <v>936</v>
      </c>
      <c r="E946" s="49" t="s">
        <v>746</v>
      </c>
      <c r="F946" s="49" t="s">
        <v>52</v>
      </c>
      <c r="G946" s="24" t="s">
        <v>1605</v>
      </c>
    </row>
    <row r="947" spans="1:7" hidden="1">
      <c r="A947" s="36" t="s">
        <v>1201</v>
      </c>
      <c r="B947" s="36" t="s">
        <v>314</v>
      </c>
      <c r="C947" s="36" t="str">
        <f>_xlfn.CONCAT(Table4[[#This Row],[Ledger Name]],Table4[[#This Row],[Entity Name]])</f>
        <v>Provision for warehouse finance InterestExpora</v>
      </c>
      <c r="D947" s="36" t="s">
        <v>936</v>
      </c>
      <c r="E947" s="49" t="s">
        <v>746</v>
      </c>
      <c r="F947" s="49" t="s">
        <v>195</v>
      </c>
      <c r="G947" s="24" t="s">
        <v>1624</v>
      </c>
    </row>
    <row r="948" spans="1:7" hidden="1">
      <c r="A948" s="36" t="s">
        <v>182</v>
      </c>
      <c r="B948" s="36" t="s">
        <v>314</v>
      </c>
      <c r="C948" s="36" t="str">
        <f>_xlfn.CONCAT(Table4[[#This Row],[Ledger Name]],Table4[[#This Row],[Entity Name]])</f>
        <v>InsuranceExpora</v>
      </c>
      <c r="D948" s="36" t="s">
        <v>936</v>
      </c>
      <c r="E948" s="49" t="s">
        <v>152</v>
      </c>
      <c r="F948" s="49" t="s">
        <v>5</v>
      </c>
      <c r="G948" s="101" t="s">
        <v>132</v>
      </c>
    </row>
    <row r="949" spans="1:7" hidden="1">
      <c r="A949" s="36" t="s">
        <v>82</v>
      </c>
      <c r="B949" s="36" t="s">
        <v>314</v>
      </c>
      <c r="C949" s="36" t="str">
        <f>_xlfn.CONCAT(Table4[[#This Row],[Ledger Name]],Table4[[#This Row],[Entity Name]])</f>
        <v>Interest IncomeExpora</v>
      </c>
      <c r="D949" s="36" t="s">
        <v>936</v>
      </c>
      <c r="E949" s="49" t="s">
        <v>152</v>
      </c>
      <c r="F949" s="49" t="s">
        <v>312</v>
      </c>
      <c r="G949" s="101" t="s">
        <v>235</v>
      </c>
    </row>
    <row r="950" spans="1:7" hidden="1">
      <c r="A950" s="36" t="s">
        <v>705</v>
      </c>
      <c r="B950" s="36" t="s">
        <v>314</v>
      </c>
      <c r="C950" s="36" t="str">
        <f>_xlfn.CONCAT(Table4[[#This Row],[Ledger Name]],Table4[[#This Row],[Entity Name]])</f>
        <v>Abhinav Boria BOB - COO (11-17 Sep)Expora</v>
      </c>
      <c r="D950" s="36" t="s">
        <v>936</v>
      </c>
      <c r="E950" s="49" t="s">
        <v>152</v>
      </c>
      <c r="F950" s="49" t="s">
        <v>8</v>
      </c>
      <c r="G950" s="101" t="s">
        <v>84</v>
      </c>
    </row>
    <row r="951" spans="1:7" hidden="1">
      <c r="A951" s="36" t="s">
        <v>706</v>
      </c>
      <c r="B951" s="36" t="s">
        <v>314</v>
      </c>
      <c r="C951" s="36" t="str">
        <f>_xlfn.CONCAT(Table4[[#This Row],[Ledger Name]],Table4[[#This Row],[Entity Name]])</f>
        <v>Ajit Shah BOM to CMB (22June)Expora</v>
      </c>
      <c r="D951" s="36" t="s">
        <v>936</v>
      </c>
      <c r="E951" s="49" t="s">
        <v>152</v>
      </c>
      <c r="F951" s="49" t="s">
        <v>8</v>
      </c>
      <c r="G951" s="101" t="s">
        <v>84</v>
      </c>
    </row>
    <row r="952" spans="1:7" hidden="1">
      <c r="A952" s="36" t="s">
        <v>707</v>
      </c>
      <c r="B952" s="36" t="s">
        <v>314</v>
      </c>
      <c r="C952" s="36" t="str">
        <f>_xlfn.CONCAT(Table4[[#This Row],[Ledger Name]],Table4[[#This Row],[Entity Name]])</f>
        <v>Ashay Shah BOB-COO (11-17 Sep)Expora</v>
      </c>
      <c r="D952" s="36" t="s">
        <v>936</v>
      </c>
      <c r="E952" s="49" t="s">
        <v>152</v>
      </c>
      <c r="F952" s="49" t="s">
        <v>8</v>
      </c>
      <c r="G952" s="101" t="s">
        <v>84</v>
      </c>
    </row>
    <row r="953" spans="1:7" hidden="1">
      <c r="A953" s="36" t="s">
        <v>610</v>
      </c>
      <c r="B953" s="36" t="s">
        <v>314</v>
      </c>
      <c r="C953" s="36" t="str">
        <f>_xlfn.CONCAT(Table4[[#This Row],[Ledger Name]],Table4[[#This Row],[Entity Name]])</f>
        <v>Ayan - Kolkata to MUM (15-16Apr)Expora</v>
      </c>
      <c r="D953" s="36" t="s">
        <v>936</v>
      </c>
      <c r="E953" s="49" t="s">
        <v>152</v>
      </c>
      <c r="F953" s="49" t="s">
        <v>8</v>
      </c>
      <c r="G953" s="101" t="s">
        <v>84</v>
      </c>
    </row>
    <row r="954" spans="1:7" hidden="1">
      <c r="A954" s="36" t="s">
        <v>574</v>
      </c>
      <c r="B954" s="36" t="s">
        <v>314</v>
      </c>
      <c r="C954" s="36" t="str">
        <f>_xlfn.CONCAT(Table4[[#This Row],[Ledger Name]],Table4[[#This Row],[Entity Name]])</f>
        <v>Jaimin - BOM-BLR - (29-30 June)Expora</v>
      </c>
      <c r="D954" s="36" t="s">
        <v>936</v>
      </c>
      <c r="E954" s="49" t="s">
        <v>152</v>
      </c>
      <c r="F954" s="49" t="s">
        <v>8</v>
      </c>
      <c r="G954" s="101" t="s">
        <v>84</v>
      </c>
    </row>
    <row r="955" spans="1:7" hidden="1">
      <c r="A955" s="36" t="s">
        <v>661</v>
      </c>
      <c r="B955" s="36" t="s">
        <v>314</v>
      </c>
      <c r="C955" s="36" t="str">
        <f>_xlfn.CONCAT(Table4[[#This Row],[Ledger Name]],Table4[[#This Row],[Entity Name]])</f>
        <v>Kapil - DEL - BOM - DEL (14 to 16 July)Expora</v>
      </c>
      <c r="D955" s="36" t="s">
        <v>936</v>
      </c>
      <c r="E955" s="49" t="s">
        <v>152</v>
      </c>
      <c r="F955" s="49" t="s">
        <v>8</v>
      </c>
      <c r="G955" s="101" t="s">
        <v>84</v>
      </c>
    </row>
    <row r="956" spans="1:7" hidden="1">
      <c r="A956" s="36" t="s">
        <v>611</v>
      </c>
      <c r="B956" s="36" t="s">
        <v>314</v>
      </c>
      <c r="C956" s="36" t="str">
        <f>_xlfn.CONCAT(Table4[[#This Row],[Ledger Name]],Table4[[#This Row],[Entity Name]])</f>
        <v>Kapil - DEL-BOM (1-2 June)Expora</v>
      </c>
      <c r="D956" s="36" t="s">
        <v>936</v>
      </c>
      <c r="E956" s="49" t="s">
        <v>152</v>
      </c>
      <c r="F956" s="49" t="s">
        <v>8</v>
      </c>
      <c r="G956" s="101" t="s">
        <v>84</v>
      </c>
    </row>
    <row r="957" spans="1:7" hidden="1">
      <c r="A957" s="36" t="s">
        <v>612</v>
      </c>
      <c r="B957" s="36" t="s">
        <v>314</v>
      </c>
      <c r="C957" s="36" t="str">
        <f>_xlfn.CONCAT(Table4[[#This Row],[Ledger Name]],Table4[[#This Row],[Entity Name]])</f>
        <v>Kapil- DEL to MUM (15Apr)Expora</v>
      </c>
      <c r="D957" s="36" t="s">
        <v>936</v>
      </c>
      <c r="E957" s="49" t="s">
        <v>152</v>
      </c>
      <c r="F957" s="49" t="s">
        <v>8</v>
      </c>
      <c r="G957" s="101" t="s">
        <v>84</v>
      </c>
    </row>
    <row r="958" spans="1:7" hidden="1">
      <c r="A958" s="36" t="s">
        <v>613</v>
      </c>
      <c r="B958" s="36" t="s">
        <v>314</v>
      </c>
      <c r="C958" s="36" t="str">
        <f>_xlfn.CONCAT(Table4[[#This Row],[Ledger Name]],Table4[[#This Row],[Entity Name]])</f>
        <v>Ketan - HYD-BLR (29 June 3 July)Expora</v>
      </c>
      <c r="D958" s="36" t="s">
        <v>936</v>
      </c>
      <c r="E958" s="49" t="s">
        <v>152</v>
      </c>
      <c r="F958" s="49" t="s">
        <v>8</v>
      </c>
      <c r="G958" s="101" t="s">
        <v>84</v>
      </c>
    </row>
    <row r="959" spans="1:7" hidden="1">
      <c r="A959" s="36" t="s">
        <v>662</v>
      </c>
      <c r="B959" s="36" t="s">
        <v>314</v>
      </c>
      <c r="C959" s="36" t="str">
        <f>_xlfn.CONCAT(Table4[[#This Row],[Ledger Name]],Table4[[#This Row],[Entity Name]])</f>
        <v>Khemi - IXB- BOM (13 July)Expora</v>
      </c>
      <c r="D959" s="36" t="s">
        <v>936</v>
      </c>
      <c r="E959" s="49" t="s">
        <v>152</v>
      </c>
      <c r="F959" s="49" t="s">
        <v>8</v>
      </c>
      <c r="G959" s="101" t="s">
        <v>84</v>
      </c>
    </row>
    <row r="960" spans="1:7" hidden="1">
      <c r="A960" s="36" t="s">
        <v>663</v>
      </c>
      <c r="B960" s="36" t="s">
        <v>314</v>
      </c>
      <c r="C960" s="36" t="str">
        <f>_xlfn.CONCAT(Table4[[#This Row],[Ledger Name]],Table4[[#This Row],[Entity Name]])</f>
        <v>KRUSHANG KENYA EXPENSEExpora</v>
      </c>
      <c r="D960" s="36" t="s">
        <v>936</v>
      </c>
      <c r="E960" s="49" t="s">
        <v>152</v>
      </c>
      <c r="F960" s="49" t="s">
        <v>8</v>
      </c>
      <c r="G960" s="101" t="s">
        <v>84</v>
      </c>
    </row>
    <row r="961" spans="1:7" hidden="1">
      <c r="A961" s="36" t="s">
        <v>614</v>
      </c>
      <c r="B961" s="36" t="s">
        <v>314</v>
      </c>
      <c r="C961" s="36" t="str">
        <f>_xlfn.CONCAT(Table4[[#This Row],[Ledger Name]],Table4[[#This Row],[Entity Name]])</f>
        <v>Manish - BOM-NAG (11-16 June)Expora</v>
      </c>
      <c r="D961" s="36" t="s">
        <v>936</v>
      </c>
      <c r="E961" s="49" t="s">
        <v>152</v>
      </c>
      <c r="F961" s="49" t="s">
        <v>8</v>
      </c>
      <c r="G961" s="101" t="s">
        <v>84</v>
      </c>
    </row>
    <row r="962" spans="1:7" hidden="1">
      <c r="A962" s="36" t="s">
        <v>664</v>
      </c>
      <c r="B962" s="36" t="s">
        <v>314</v>
      </c>
      <c r="C962" s="36" t="str">
        <f>_xlfn.CONCAT(Table4[[#This Row],[Ledger Name]],Table4[[#This Row],[Entity Name]])</f>
        <v>Manish - Nagpur - DXB ( 9 July)Expora</v>
      </c>
      <c r="D962" s="36" t="s">
        <v>936</v>
      </c>
      <c r="E962" s="49" t="s">
        <v>152</v>
      </c>
      <c r="F962" s="49" t="s">
        <v>8</v>
      </c>
      <c r="G962" s="101" t="s">
        <v>84</v>
      </c>
    </row>
    <row r="963" spans="1:7" hidden="1">
      <c r="A963" s="36" t="s">
        <v>615</v>
      </c>
      <c r="B963" s="36" t="s">
        <v>314</v>
      </c>
      <c r="C963" s="36" t="str">
        <f>_xlfn.CONCAT(Table4[[#This Row],[Ledger Name]],Table4[[#This Row],[Entity Name]])</f>
        <v>Mehul - BLR-BOM (10 May)Expora</v>
      </c>
      <c r="D963" s="36" t="s">
        <v>936</v>
      </c>
      <c r="E963" s="49" t="s">
        <v>152</v>
      </c>
      <c r="F963" s="49" t="s">
        <v>8</v>
      </c>
      <c r="G963" s="101" t="s">
        <v>84</v>
      </c>
    </row>
    <row r="964" spans="1:7" hidden="1">
      <c r="A964" s="36" t="s">
        <v>616</v>
      </c>
      <c r="B964" s="36" t="s">
        <v>314</v>
      </c>
      <c r="C964" s="36" t="str">
        <f>_xlfn.CONCAT(Table4[[#This Row],[Ledger Name]],Table4[[#This Row],[Entity Name]])</f>
        <v>Niket - BOM-BLR - 29 June to 1 July )Expora</v>
      </c>
      <c r="D964" s="36" t="s">
        <v>936</v>
      </c>
      <c r="E964" s="49" t="s">
        <v>152</v>
      </c>
      <c r="F964" s="49" t="s">
        <v>8</v>
      </c>
      <c r="G964" s="101" t="s">
        <v>84</v>
      </c>
    </row>
    <row r="965" spans="1:7" hidden="1">
      <c r="A965" s="36" t="s">
        <v>617</v>
      </c>
      <c r="B965" s="36" t="s">
        <v>314</v>
      </c>
      <c r="C965" s="36" t="str">
        <f>_xlfn.CONCAT(Table4[[#This Row],[Ledger Name]],Table4[[#This Row],[Entity Name]])</f>
        <v>Priyanka &amp; Krushang - BOM-AMD (13 June)Expora</v>
      </c>
      <c r="D965" s="36" t="s">
        <v>936</v>
      </c>
      <c r="E965" s="49" t="s">
        <v>152</v>
      </c>
      <c r="F965" s="49" t="s">
        <v>8</v>
      </c>
      <c r="G965" s="101" t="s">
        <v>84</v>
      </c>
    </row>
    <row r="966" spans="1:7" hidden="1">
      <c r="A966" s="36" t="s">
        <v>618</v>
      </c>
      <c r="B966" s="36" t="s">
        <v>314</v>
      </c>
      <c r="C966" s="36" t="str">
        <f>_xlfn.CONCAT(Table4[[#This Row],[Ledger Name]],Table4[[#This Row],[Entity Name]])</f>
        <v>Sanjith - BLR to MUM (15Apr)Expora</v>
      </c>
      <c r="D966" s="36" t="s">
        <v>936</v>
      </c>
      <c r="E966" s="49" t="s">
        <v>152</v>
      </c>
      <c r="F966" s="49" t="s">
        <v>8</v>
      </c>
      <c r="G966" s="101" t="s">
        <v>84</v>
      </c>
    </row>
    <row r="967" spans="1:7" hidden="1">
      <c r="A967" s="36" t="s">
        <v>619</v>
      </c>
      <c r="B967" s="36" t="s">
        <v>314</v>
      </c>
      <c r="C967" s="36" t="str">
        <f>_xlfn.CONCAT(Table4[[#This Row],[Ledger Name]],Table4[[#This Row],[Entity Name]])</f>
        <v>Sanjith - BLR-BOM-DEL-BLR (7-9 June)Expora</v>
      </c>
      <c r="D967" s="36" t="s">
        <v>936</v>
      </c>
      <c r="E967" s="49" t="s">
        <v>152</v>
      </c>
      <c r="F967" s="49" t="s">
        <v>8</v>
      </c>
      <c r="G967" s="101" t="s">
        <v>84</v>
      </c>
    </row>
    <row r="968" spans="1:7" hidden="1">
      <c r="A968" s="36" t="s">
        <v>620</v>
      </c>
      <c r="B968" s="36" t="s">
        <v>314</v>
      </c>
      <c r="C968" s="36" t="str">
        <f>_xlfn.CONCAT(Table4[[#This Row],[Ledger Name]],Table4[[#This Row],[Entity Name]])</f>
        <v>Sanjith - BLR-DXB (23 July )Expora</v>
      </c>
      <c r="D968" s="36" t="s">
        <v>936</v>
      </c>
      <c r="E968" s="49" t="s">
        <v>152</v>
      </c>
      <c r="F968" s="49" t="s">
        <v>8</v>
      </c>
      <c r="G968" s="101" t="s">
        <v>84</v>
      </c>
    </row>
    <row r="969" spans="1:7" hidden="1">
      <c r="A969" s="36" t="s">
        <v>621</v>
      </c>
      <c r="B969" s="36" t="s">
        <v>314</v>
      </c>
      <c r="C969" s="36" t="str">
        <f>_xlfn.CONCAT(Table4[[#This Row],[Ledger Name]],Table4[[#This Row],[Entity Name]])</f>
        <v>Sanjith - BLR-LKO (1May)Expora</v>
      </c>
      <c r="D969" s="36" t="s">
        <v>936</v>
      </c>
      <c r="E969" s="49" t="s">
        <v>152</v>
      </c>
      <c r="F969" s="49" t="s">
        <v>8</v>
      </c>
      <c r="G969" s="101" t="s">
        <v>84</v>
      </c>
    </row>
    <row r="970" spans="1:7" hidden="1">
      <c r="A970" s="36" t="s">
        <v>622</v>
      </c>
      <c r="B970" s="36" t="s">
        <v>314</v>
      </c>
      <c r="C970" s="36" t="str">
        <f>_xlfn.CONCAT(Table4[[#This Row],[Ledger Name]],Table4[[#This Row],[Entity Name]])</f>
        <v>Sanjith - BLR-MOM (23-25 May)Expora</v>
      </c>
      <c r="D970" s="36" t="s">
        <v>936</v>
      </c>
      <c r="E970" s="49" t="s">
        <v>152</v>
      </c>
      <c r="F970" s="49" t="s">
        <v>8</v>
      </c>
      <c r="G970" s="101" t="s">
        <v>84</v>
      </c>
    </row>
    <row r="971" spans="1:7" hidden="1">
      <c r="A971" s="36" t="s">
        <v>665</v>
      </c>
      <c r="B971" s="36" t="s">
        <v>314</v>
      </c>
      <c r="C971" s="36" t="str">
        <f>_xlfn.CONCAT(Table4[[#This Row],[Ledger Name]],Table4[[#This Row],[Entity Name]])</f>
        <v>Srinivas - VGA-BOM-VGA (13 to 15 July)Expora</v>
      </c>
      <c r="D971" s="36" t="s">
        <v>936</v>
      </c>
      <c r="E971" s="49" t="s">
        <v>152</v>
      </c>
      <c r="F971" s="49" t="s">
        <v>8</v>
      </c>
      <c r="G971" s="101" t="s">
        <v>84</v>
      </c>
    </row>
    <row r="972" spans="1:7" hidden="1">
      <c r="A972" s="36" t="s">
        <v>666</v>
      </c>
      <c r="B972" s="36" t="s">
        <v>314</v>
      </c>
      <c r="C972" s="36" t="str">
        <f>_xlfn.CONCAT(Table4[[#This Row],[Ledger Name]],Table4[[#This Row],[Entity Name]])</f>
        <v>Vijay - HYD- BOM - HYD (13 to 15 July)Expora</v>
      </c>
      <c r="D972" s="36" t="s">
        <v>936</v>
      </c>
      <c r="E972" s="49" t="s">
        <v>152</v>
      </c>
      <c r="F972" s="49" t="s">
        <v>8</v>
      </c>
      <c r="G972" s="101" t="s">
        <v>84</v>
      </c>
    </row>
    <row r="973" spans="1:7" hidden="1">
      <c r="A973" s="36" t="s">
        <v>573</v>
      </c>
      <c r="B973" s="36" t="s">
        <v>314</v>
      </c>
      <c r="C973" s="36" t="str">
        <f>_xlfn.CONCAT(Table4[[#This Row],[Ledger Name]],Table4[[#This Row],[Entity Name]])</f>
        <v>Abhinav &amp; Vishal - MOM-Chennai R (14-15 May)Expora</v>
      </c>
      <c r="D973" s="36" t="s">
        <v>936</v>
      </c>
      <c r="E973" s="49" t="s">
        <v>152</v>
      </c>
      <c r="F973" s="49" t="s">
        <v>8</v>
      </c>
      <c r="G973" s="101" t="s">
        <v>84</v>
      </c>
    </row>
    <row r="974" spans="1:7" hidden="1">
      <c r="A974" s="36" t="s">
        <v>1202</v>
      </c>
      <c r="B974" s="36" t="s">
        <v>314</v>
      </c>
      <c r="C974" s="36" t="str">
        <f>_xlfn.CONCAT(Table4[[#This Row],[Ledger Name]],Table4[[#This Row],[Entity Name]])</f>
        <v>Manpower ServicesExpora</v>
      </c>
      <c r="D974" s="36" t="s">
        <v>936</v>
      </c>
      <c r="E974" s="49" t="s">
        <v>152</v>
      </c>
      <c r="F974" s="49" t="s">
        <v>312</v>
      </c>
      <c r="G974" s="101" t="s">
        <v>599</v>
      </c>
    </row>
    <row r="975" spans="1:7" hidden="1">
      <c r="A975" s="36" t="s">
        <v>761</v>
      </c>
      <c r="B975" s="36" t="s">
        <v>314</v>
      </c>
      <c r="C975" s="36" t="str">
        <f>_xlfn.CONCAT(Table4[[#This Row],[Ledger Name]],Table4[[#This Row],[Entity Name]])</f>
        <v>CC Late Payment feesExpora</v>
      </c>
      <c r="D975" s="36" t="s">
        <v>936</v>
      </c>
      <c r="E975" s="49" t="s">
        <v>152</v>
      </c>
      <c r="F975" s="49" t="s">
        <v>13</v>
      </c>
      <c r="G975" s="101" t="s">
        <v>761</v>
      </c>
    </row>
    <row r="976" spans="1:7" hidden="1">
      <c r="A976" s="36" t="s">
        <v>1203</v>
      </c>
      <c r="B976" s="36" t="s">
        <v>314</v>
      </c>
      <c r="C976" s="36" t="str">
        <f>_xlfn.CONCAT(Table4[[#This Row],[Ledger Name]],Table4[[#This Row],[Entity Name]])</f>
        <v>AGT/2324/HSS/002Expora</v>
      </c>
      <c r="D976" s="36" t="s">
        <v>936</v>
      </c>
      <c r="E976" s="49" t="s">
        <v>152</v>
      </c>
      <c r="F976" s="49" t="s">
        <v>93</v>
      </c>
      <c r="G976" s="101" t="s">
        <v>138</v>
      </c>
    </row>
    <row r="977" spans="1:7" hidden="1">
      <c r="A977" s="36" t="s">
        <v>714</v>
      </c>
      <c r="B977" s="36" t="s">
        <v>314</v>
      </c>
      <c r="C977" s="36" t="str">
        <f>_xlfn.CONCAT(Table4[[#This Row],[Ledger Name]],Table4[[#This Row],[Entity Name]])</f>
        <v>AMPPL/BP/01Expora</v>
      </c>
      <c r="D977" s="36" t="s">
        <v>936</v>
      </c>
      <c r="E977" s="49" t="s">
        <v>152</v>
      </c>
      <c r="F977" s="49" t="s">
        <v>93</v>
      </c>
      <c r="G977" s="101" t="s">
        <v>138</v>
      </c>
    </row>
    <row r="978" spans="1:7" hidden="1">
      <c r="A978" s="36" t="s">
        <v>763</v>
      </c>
      <c r="B978" s="36" t="s">
        <v>314</v>
      </c>
      <c r="C978" s="36" t="str">
        <f>_xlfn.CONCAT(Table4[[#This Row],[Ledger Name]],Table4[[#This Row],[Entity Name]])</f>
        <v>E1001AExpora</v>
      </c>
      <c r="D978" s="36" t="s">
        <v>936</v>
      </c>
      <c r="E978" s="49" t="s">
        <v>152</v>
      </c>
      <c r="F978" s="49" t="s">
        <v>93</v>
      </c>
      <c r="G978" s="101" t="s">
        <v>138</v>
      </c>
    </row>
    <row r="979" spans="1:7" hidden="1">
      <c r="A979" s="36" t="s">
        <v>549</v>
      </c>
      <c r="B979" s="36" t="s">
        <v>314</v>
      </c>
      <c r="C979" s="36" t="str">
        <f>_xlfn.CONCAT(Table4[[#This Row],[Ledger Name]],Table4[[#This Row],[Entity Name]])</f>
        <v>ECGC Premium Direct CostExpora</v>
      </c>
      <c r="D979" s="36" t="s">
        <v>936</v>
      </c>
      <c r="E979" s="49" t="s">
        <v>152</v>
      </c>
      <c r="F979" s="49" t="s">
        <v>315</v>
      </c>
      <c r="G979" s="101" t="s">
        <v>420</v>
      </c>
    </row>
    <row r="980" spans="1:7" hidden="1">
      <c r="A980" s="36" t="s">
        <v>735</v>
      </c>
      <c r="B980" s="36" t="s">
        <v>314</v>
      </c>
      <c r="C980" s="36" t="str">
        <f>_xlfn.CONCAT(Table4[[#This Row],[Ledger Name]],Table4[[#This Row],[Entity Name]])</f>
        <v>MB-893Expora</v>
      </c>
      <c r="D980" s="36" t="s">
        <v>936</v>
      </c>
      <c r="E980" s="49" t="s">
        <v>152</v>
      </c>
      <c r="F980" s="49" t="s">
        <v>93</v>
      </c>
      <c r="G980" s="101" t="s">
        <v>138</v>
      </c>
    </row>
    <row r="981" spans="1:7" hidden="1">
      <c r="A981" s="36" t="s">
        <v>736</v>
      </c>
      <c r="B981" s="36" t="s">
        <v>314</v>
      </c>
      <c r="C981" s="36" t="str">
        <f>_xlfn.CONCAT(Table4[[#This Row],[Ledger Name]],Table4[[#This Row],[Entity Name]])</f>
        <v>SA_043Expora</v>
      </c>
      <c r="D981" s="36" t="s">
        <v>936</v>
      </c>
      <c r="E981" s="49" t="s">
        <v>152</v>
      </c>
      <c r="F981" s="49" t="s">
        <v>93</v>
      </c>
      <c r="G981" s="101" t="s">
        <v>138</v>
      </c>
    </row>
    <row r="982" spans="1:7" hidden="1">
      <c r="A982" s="36" t="s">
        <v>1205</v>
      </c>
      <c r="B982" s="36" t="s">
        <v>314</v>
      </c>
      <c r="C982" s="36" t="str">
        <f>_xlfn.CONCAT(Table4[[#This Row],[Ledger Name]],Table4[[#This Row],[Entity Name]])</f>
        <v>Credit Card ExpensesExpora</v>
      </c>
      <c r="D982" s="36" t="s">
        <v>936</v>
      </c>
      <c r="E982" s="49" t="s">
        <v>152</v>
      </c>
      <c r="F982" s="49" t="s">
        <v>13</v>
      </c>
      <c r="G982" s="101" t="s">
        <v>1246</v>
      </c>
    </row>
    <row r="983" spans="1:7" hidden="1">
      <c r="A983" s="36" t="s">
        <v>525</v>
      </c>
      <c r="B983" s="36" t="s">
        <v>314</v>
      </c>
      <c r="C983" s="36" t="str">
        <f>_xlfn.CONCAT(Table4[[#This Row],[Ledger Name]],Table4[[#This Row],[Entity Name]])</f>
        <v>Provision for direct expensesExpora</v>
      </c>
      <c r="D983" s="36" t="s">
        <v>936</v>
      </c>
      <c r="E983" s="49" t="s">
        <v>152</v>
      </c>
      <c r="F983" s="49" t="s">
        <v>93</v>
      </c>
      <c r="G983" s="24" t="s">
        <v>1624</v>
      </c>
    </row>
    <row r="984" spans="1:7" hidden="1">
      <c r="A984" s="36" t="s">
        <v>737</v>
      </c>
      <c r="B984" s="36" t="s">
        <v>314</v>
      </c>
      <c r="C984" s="36" t="str">
        <f>_xlfn.CONCAT(Table4[[#This Row],[Ledger Name]],Table4[[#This Row],[Entity Name]])</f>
        <v>Crystallisation ExpensesExpora</v>
      </c>
      <c r="D984" s="36" t="s">
        <v>936</v>
      </c>
      <c r="E984" s="49" t="s">
        <v>152</v>
      </c>
      <c r="F984" s="49" t="s">
        <v>13</v>
      </c>
      <c r="G984" s="101" t="s">
        <v>737</v>
      </c>
    </row>
    <row r="985" spans="1:7" hidden="1">
      <c r="A985" s="36" t="s">
        <v>715</v>
      </c>
      <c r="B985" s="36" t="s">
        <v>314</v>
      </c>
      <c r="C985" s="36" t="str">
        <f>_xlfn.CONCAT(Table4[[#This Row],[Ledger Name]],Table4[[#This Row],[Entity Name]])</f>
        <v>Foreign Remittance CrystallisationExpora</v>
      </c>
      <c r="D985" s="36" t="s">
        <v>936</v>
      </c>
      <c r="E985" s="49" t="s">
        <v>152</v>
      </c>
      <c r="F985" s="49" t="s">
        <v>13</v>
      </c>
      <c r="G985" s="101" t="s">
        <v>737</v>
      </c>
    </row>
    <row r="986" spans="1:7" hidden="1">
      <c r="A986" s="36" t="s">
        <v>716</v>
      </c>
      <c r="B986" s="36" t="s">
        <v>314</v>
      </c>
      <c r="C986" s="36" t="str">
        <f>_xlfn.CONCAT(Table4[[#This Row],[Ledger Name]],Table4[[#This Row],[Entity Name]])</f>
        <v>Interest On CrystallisationExpora</v>
      </c>
      <c r="D986" s="36" t="s">
        <v>936</v>
      </c>
      <c r="E986" s="49" t="s">
        <v>152</v>
      </c>
      <c r="F986" s="49" t="s">
        <v>13</v>
      </c>
      <c r="G986" s="101" t="s">
        <v>737</v>
      </c>
    </row>
    <row r="987" spans="1:7" hidden="1">
      <c r="A987" s="36" t="s">
        <v>623</v>
      </c>
      <c r="B987" s="36" t="s">
        <v>314</v>
      </c>
      <c r="C987" s="36" t="str">
        <f>_xlfn.CONCAT(Table4[[#This Row],[Ledger Name]],Table4[[#This Row],[Entity Name]])</f>
        <v>Foreign Travel ExpensesExpora</v>
      </c>
      <c r="D987" s="36" t="s">
        <v>936</v>
      </c>
      <c r="E987" s="49" t="s">
        <v>152</v>
      </c>
      <c r="F987" s="49" t="s">
        <v>8</v>
      </c>
      <c r="G987" s="101" t="s">
        <v>84</v>
      </c>
    </row>
    <row r="988" spans="1:7" hidden="1">
      <c r="A988" s="36" t="s">
        <v>1206</v>
      </c>
      <c r="B988" s="36" t="s">
        <v>314</v>
      </c>
      <c r="C988" s="36" t="str">
        <f>_xlfn.CONCAT(Table4[[#This Row],[Ledger Name]],Table4[[#This Row],[Entity Name]])</f>
        <v>ESOP ExpensesExpora</v>
      </c>
      <c r="D988" s="36" t="s">
        <v>936</v>
      </c>
      <c r="E988" s="49" t="s">
        <v>152</v>
      </c>
      <c r="F988" s="49" t="s">
        <v>1247</v>
      </c>
      <c r="G988" s="101" t="s">
        <v>262</v>
      </c>
    </row>
    <row r="989" spans="1:7" hidden="1">
      <c r="A989" s="36" t="s">
        <v>393</v>
      </c>
      <c r="B989" s="36" t="s">
        <v>314</v>
      </c>
      <c r="C989" s="36" t="str">
        <f>_xlfn.CONCAT(Table4[[#This Row],[Ledger Name]],Table4[[#This Row],[Entity Name]])</f>
        <v>COO ChargeExpora</v>
      </c>
      <c r="D989" s="36" t="s">
        <v>936</v>
      </c>
      <c r="E989" s="49" t="s">
        <v>152</v>
      </c>
      <c r="F989" s="49" t="s">
        <v>93</v>
      </c>
      <c r="G989" s="101" t="s">
        <v>184</v>
      </c>
    </row>
    <row r="990" spans="1:7" hidden="1">
      <c r="A990" s="36" t="s">
        <v>532</v>
      </c>
      <c r="B990" s="36" t="s">
        <v>314</v>
      </c>
      <c r="C990" s="36" t="str">
        <f>_xlfn.CONCAT(Table4[[#This Row],[Ledger Name]],Table4[[#This Row],[Entity Name]])</f>
        <v>General Insurance ChargesExpora</v>
      </c>
      <c r="D990" s="36" t="s">
        <v>936</v>
      </c>
      <c r="E990" s="49" t="s">
        <v>152</v>
      </c>
      <c r="F990" s="49" t="s">
        <v>5</v>
      </c>
      <c r="G990" s="101" t="s">
        <v>132</v>
      </c>
    </row>
    <row r="991" spans="1:7" hidden="1">
      <c r="A991" s="36" t="s">
        <v>787</v>
      </c>
      <c r="B991" s="36" t="s">
        <v>314</v>
      </c>
      <c r="C991" s="36" t="str">
        <f>_xlfn.CONCAT(Table4[[#This Row],[Ledger Name]],Table4[[#This Row],[Entity Name]])</f>
        <v>Gratuity ExpenseExpora</v>
      </c>
      <c r="D991" s="36" t="s">
        <v>936</v>
      </c>
      <c r="E991" s="49" t="s">
        <v>152</v>
      </c>
      <c r="F991" s="49" t="s">
        <v>2</v>
      </c>
      <c r="G991" s="101" t="s">
        <v>1248</v>
      </c>
    </row>
    <row r="992" spans="1:7" hidden="1">
      <c r="A992" s="36" t="s">
        <v>848</v>
      </c>
      <c r="B992" s="36" t="s">
        <v>314</v>
      </c>
      <c r="C992" s="36" t="str">
        <f>_xlfn.CONCAT(Table4[[#This Row],[Ledger Name]],Table4[[#This Row],[Entity Name]])</f>
        <v>Gulfood ExpensesExpora</v>
      </c>
      <c r="D992" s="36" t="s">
        <v>936</v>
      </c>
      <c r="E992" s="49" t="s">
        <v>152</v>
      </c>
      <c r="F992" s="49" t="s">
        <v>5</v>
      </c>
      <c r="G992" s="101" t="s">
        <v>13</v>
      </c>
    </row>
    <row r="993" spans="1:7" hidden="1">
      <c r="A993" s="36" t="s">
        <v>740</v>
      </c>
      <c r="B993" s="36" t="s">
        <v>314</v>
      </c>
      <c r="C993" s="36" t="str">
        <f>_xlfn.CONCAT(Table4[[#This Row],[Ledger Name]],Table4[[#This Row],[Entity Name]])</f>
        <v>Interest on late payment of InterestExpora</v>
      </c>
      <c r="D993" s="36" t="s">
        <v>936</v>
      </c>
      <c r="E993" s="49" t="s">
        <v>152</v>
      </c>
      <c r="F993" s="49" t="s">
        <v>5</v>
      </c>
      <c r="G993" s="101" t="s">
        <v>35</v>
      </c>
    </row>
    <row r="994" spans="1:7" hidden="1">
      <c r="A994" s="36" t="s">
        <v>765</v>
      </c>
      <c r="B994" s="36" t="s">
        <v>314</v>
      </c>
      <c r="C994" s="36" t="str">
        <f>_xlfn.CONCAT(Table4[[#This Row],[Ledger Name]],Table4[[#This Row],[Entity Name]])</f>
        <v>LabourExpora</v>
      </c>
      <c r="D994" s="36" t="s">
        <v>936</v>
      </c>
      <c r="E994" s="49" t="s">
        <v>152</v>
      </c>
      <c r="F994" s="49" t="s">
        <v>93</v>
      </c>
      <c r="G994" s="101" t="s">
        <v>102</v>
      </c>
    </row>
    <row r="995" spans="1:7" hidden="1">
      <c r="A995" s="36" t="s">
        <v>399</v>
      </c>
      <c r="B995" s="36" t="s">
        <v>314</v>
      </c>
      <c r="C995" s="36" t="str">
        <f>_xlfn.CONCAT(Table4[[#This Row],[Ledger Name]],Table4[[#This Row],[Entity Name]])</f>
        <v>Meals and EntertainmentExpora</v>
      </c>
      <c r="D995" s="36" t="s">
        <v>936</v>
      </c>
      <c r="E995" s="49" t="s">
        <v>152</v>
      </c>
      <c r="F995" s="49" t="s">
        <v>5</v>
      </c>
      <c r="G995" s="101" t="s">
        <v>35</v>
      </c>
    </row>
    <row r="996" spans="1:7" hidden="1">
      <c r="A996" s="36" t="s">
        <v>106</v>
      </c>
      <c r="B996" s="36" t="s">
        <v>314</v>
      </c>
      <c r="C996" s="36" t="str">
        <f>_xlfn.CONCAT(Table4[[#This Row],[Ledger Name]],Table4[[#This Row],[Entity Name]])</f>
        <v>Registration ChargesExpora</v>
      </c>
      <c r="D996" s="36" t="s">
        <v>936</v>
      </c>
      <c r="E996" s="49" t="s">
        <v>152</v>
      </c>
      <c r="F996" s="49" t="s">
        <v>13</v>
      </c>
      <c r="G996" s="101" t="s">
        <v>35</v>
      </c>
    </row>
    <row r="997" spans="1:7" hidden="1">
      <c r="A997" s="36" t="s">
        <v>852</v>
      </c>
      <c r="B997" s="36" t="s">
        <v>314</v>
      </c>
      <c r="C997" s="36" t="str">
        <f>_xlfn.CONCAT(Table4[[#This Row],[Ledger Name]],Table4[[#This Row],[Entity Name]])</f>
        <v>APR FILLING FEESExpora</v>
      </c>
      <c r="D997" s="36" t="s">
        <v>936</v>
      </c>
      <c r="E997" s="49" t="s">
        <v>152</v>
      </c>
      <c r="F997" s="49" t="s">
        <v>13</v>
      </c>
      <c r="G997" s="101" t="s">
        <v>35</v>
      </c>
    </row>
    <row r="998" spans="1:7" hidden="1">
      <c r="A998" s="36" t="s">
        <v>764</v>
      </c>
      <c r="B998" s="36" t="s">
        <v>314</v>
      </c>
      <c r="C998" s="36" t="str">
        <f>_xlfn.CONCAT(Table4[[#This Row],[Ledger Name]],Table4[[#This Row],[Entity Name]])</f>
        <v>Foreign Currency Exposure ChargesExpora</v>
      </c>
      <c r="D998" s="36" t="s">
        <v>936</v>
      </c>
      <c r="E998" s="49" t="s">
        <v>152</v>
      </c>
      <c r="F998" s="49" t="s">
        <v>5</v>
      </c>
      <c r="G998" s="101" t="s">
        <v>764</v>
      </c>
    </row>
    <row r="999" spans="1:7" hidden="1">
      <c r="A999" s="36" t="s">
        <v>801</v>
      </c>
      <c r="B999" s="36" t="s">
        <v>314</v>
      </c>
      <c r="C999" s="36" t="str">
        <f>_xlfn.CONCAT(Table4[[#This Row],[Ledger Name]],Table4[[#This Row],[Entity Name]])</f>
        <v>Interest on PF late paymentExpora</v>
      </c>
      <c r="D999" s="36" t="s">
        <v>936</v>
      </c>
      <c r="E999" s="49" t="s">
        <v>152</v>
      </c>
      <c r="F999" s="49" t="s">
        <v>13</v>
      </c>
      <c r="G999" s="101" t="s">
        <v>801</v>
      </c>
    </row>
    <row r="1000" spans="1:7" hidden="1">
      <c r="A1000" s="36" t="s">
        <v>1208</v>
      </c>
      <c r="B1000" s="36" t="s">
        <v>314</v>
      </c>
      <c r="C1000" s="36" t="str">
        <f>_xlfn.CONCAT(Table4[[#This Row],[Ledger Name]],Table4[[#This Row],[Entity Name]])</f>
        <v>Prior Period ExpensesExpora</v>
      </c>
      <c r="D1000" s="36" t="s">
        <v>936</v>
      </c>
      <c r="E1000" s="49" t="s">
        <v>152</v>
      </c>
      <c r="F1000" s="49" t="s">
        <v>13</v>
      </c>
      <c r="G1000" s="101" t="s">
        <v>1249</v>
      </c>
    </row>
    <row r="1001" spans="1:7" hidden="1">
      <c r="A1001" s="36" t="s">
        <v>136</v>
      </c>
      <c r="B1001" s="36" t="s">
        <v>314</v>
      </c>
      <c r="C1001" s="36" t="str">
        <f>_xlfn.CONCAT(Table4[[#This Row],[Ledger Name]],Table4[[#This Row],[Entity Name]])</f>
        <v>Provision for ExpensesExpora</v>
      </c>
      <c r="D1001" s="36" t="s">
        <v>936</v>
      </c>
      <c r="E1001" s="49" t="s">
        <v>152</v>
      </c>
      <c r="F1001" s="49" t="s">
        <v>13</v>
      </c>
      <c r="G1001" s="78" t="s">
        <v>14</v>
      </c>
    </row>
    <row r="1002" spans="1:7" hidden="1">
      <c r="A1002" s="36" t="s">
        <v>1207</v>
      </c>
      <c r="B1002" s="36" t="s">
        <v>314</v>
      </c>
      <c r="C1002" s="36" t="str">
        <f>_xlfn.CONCAT(Table4[[#This Row],[Ledger Name]],Table4[[#This Row],[Entity Name]])</f>
        <v>Ineligible GSTExpora</v>
      </c>
      <c r="D1002" s="36" t="s">
        <v>936</v>
      </c>
      <c r="E1002" s="49" t="s">
        <v>152</v>
      </c>
      <c r="F1002" s="49" t="s">
        <v>13</v>
      </c>
      <c r="G1002" s="101" t="s">
        <v>1207</v>
      </c>
    </row>
    <row r="1003" spans="1:7" hidden="1">
      <c r="A1003" s="36" t="s">
        <v>767</v>
      </c>
      <c r="B1003" s="36" t="s">
        <v>314</v>
      </c>
      <c r="C1003" s="36" t="str">
        <f>_xlfn.CONCAT(Table4[[#This Row],[Ledger Name]],Table4[[#This Row],[Entity Name]])</f>
        <v>Working Capital Renewal Exp.Expora</v>
      </c>
      <c r="D1003" s="36" t="s">
        <v>936</v>
      </c>
      <c r="E1003" s="49" t="s">
        <v>152</v>
      </c>
      <c r="F1003" s="49" t="s">
        <v>315</v>
      </c>
      <c r="G1003" s="101" t="s">
        <v>820</v>
      </c>
    </row>
    <row r="1004" spans="1:7" hidden="1">
      <c r="A1004" s="36" t="s">
        <v>249</v>
      </c>
      <c r="B1004" s="36" t="s">
        <v>314</v>
      </c>
      <c r="C1004" s="36" t="str">
        <f>_xlfn.CONCAT(Table4[[#This Row],[Ledger Name]],Table4[[#This Row],[Entity Name]])</f>
        <v>StipendExpora</v>
      </c>
      <c r="D1004" s="36" t="s">
        <v>936</v>
      </c>
      <c r="E1004" s="36" t="s">
        <v>152</v>
      </c>
      <c r="F1004" s="36" t="s">
        <v>2</v>
      </c>
      <c r="G1004" s="36" t="s">
        <v>291</v>
      </c>
    </row>
    <row r="1005" spans="1:7" hidden="1">
      <c r="A1005" s="36" t="s">
        <v>179</v>
      </c>
      <c r="B1005" s="36" t="s">
        <v>825</v>
      </c>
      <c r="C1005" s="36" t="str">
        <f>_xlfn.CONCAT(Table4[[#This Row],[Ledger Name]],Table4[[#This Row],[Entity Name]])</f>
        <v>CFS ChargesAspirach Lanka</v>
      </c>
      <c r="D1005" s="36" t="s">
        <v>936</v>
      </c>
      <c r="E1005" s="49" t="s">
        <v>152</v>
      </c>
      <c r="F1005" s="49" t="s">
        <v>93</v>
      </c>
      <c r="G1005" s="101" t="s">
        <v>179</v>
      </c>
    </row>
    <row r="1006" spans="1:7" hidden="1">
      <c r="A1006" s="36" t="s">
        <v>923</v>
      </c>
      <c r="B1006" s="36" t="s">
        <v>825</v>
      </c>
      <c r="C1006" s="36" t="str">
        <f>_xlfn.CONCAT(Table4[[#This Row],[Ledger Name]],Table4[[#This Row],[Entity Name]])</f>
        <v>Container Disposal ChragesAspirach Lanka</v>
      </c>
      <c r="D1006" s="36" t="s">
        <v>936</v>
      </c>
      <c r="E1006" s="49" t="s">
        <v>152</v>
      </c>
      <c r="F1006" s="49" t="s">
        <v>93</v>
      </c>
      <c r="G1006" s="101" t="s">
        <v>184</v>
      </c>
    </row>
    <row r="1007" spans="1:7" hidden="1">
      <c r="A1007" s="36" t="s">
        <v>924</v>
      </c>
      <c r="B1007" s="36" t="s">
        <v>825</v>
      </c>
      <c r="C1007" s="36" t="str">
        <f>_xlfn.CONCAT(Table4[[#This Row],[Ledger Name]],Table4[[#This Row],[Entity Name]])</f>
        <v>Container Handling ChargesAspirach Lanka</v>
      </c>
      <c r="D1007" s="36" t="s">
        <v>936</v>
      </c>
      <c r="E1007" s="49" t="s">
        <v>152</v>
      </c>
      <c r="F1007" s="49" t="s">
        <v>93</v>
      </c>
      <c r="G1007" s="101" t="s">
        <v>184</v>
      </c>
    </row>
    <row r="1008" spans="1:7" hidden="1">
      <c r="A1008" s="36" t="s">
        <v>102</v>
      </c>
      <c r="B1008" s="36" t="s">
        <v>825</v>
      </c>
      <c r="C1008" s="36" t="str">
        <f>_xlfn.CONCAT(Table4[[#This Row],[Ledger Name]],Table4[[#This Row],[Entity Name]])</f>
        <v>Labour ChargesAspirach Lanka</v>
      </c>
      <c r="D1008" s="36" t="s">
        <v>936</v>
      </c>
      <c r="E1008" s="49" t="s">
        <v>152</v>
      </c>
      <c r="F1008" s="49" t="s">
        <v>93</v>
      </c>
      <c r="G1008" s="101" t="s">
        <v>102</v>
      </c>
    </row>
    <row r="1009" spans="1:7" hidden="1">
      <c r="A1009" s="36" t="s">
        <v>925</v>
      </c>
      <c r="B1009" s="36" t="s">
        <v>825</v>
      </c>
      <c r="C1009" s="36" t="str">
        <f>_xlfn.CONCAT(Table4[[#This Row],[Ledger Name]],Table4[[#This Row],[Entity Name]])</f>
        <v>Storage chargesAspirach Lanka</v>
      </c>
      <c r="D1009" s="36" t="s">
        <v>936</v>
      </c>
      <c r="E1009" s="49" t="s">
        <v>152</v>
      </c>
      <c r="F1009" s="49" t="s">
        <v>93</v>
      </c>
      <c r="G1009" s="101" t="s">
        <v>184</v>
      </c>
    </row>
    <row r="1010" spans="1:7" hidden="1">
      <c r="A1010" s="36" t="s">
        <v>922</v>
      </c>
      <c r="B1010" s="36" t="s">
        <v>825</v>
      </c>
      <c r="C1010" s="36" t="str">
        <f>_xlfn.CONCAT(Table4[[#This Row],[Ledger Name]],Table4[[#This Row],[Entity Name]])</f>
        <v>Retainership Charges PayableAspirach Lanka</v>
      </c>
      <c r="D1010" s="36" t="s">
        <v>936</v>
      </c>
      <c r="E1010" s="49" t="s">
        <v>746</v>
      </c>
      <c r="F1010" s="49" t="s">
        <v>195</v>
      </c>
      <c r="G1010" s="101" t="s">
        <v>922</v>
      </c>
    </row>
    <row r="1011" spans="1:7" hidden="1">
      <c r="A1011" s="36" t="s">
        <v>1082</v>
      </c>
      <c r="B1011" s="36" t="s">
        <v>825</v>
      </c>
      <c r="C1011" s="36" t="str">
        <f>_xlfn.CONCAT(Table4[[#This Row],[Ledger Name]],Table4[[#This Row],[Entity Name]])</f>
        <v>Security Deposit- HomeAspirach Lanka</v>
      </c>
      <c r="D1011" s="36" t="s">
        <v>936</v>
      </c>
      <c r="E1011" s="49" t="s">
        <v>746</v>
      </c>
      <c r="F1011" s="49" t="s">
        <v>52</v>
      </c>
      <c r="G1011" s="24" t="s">
        <v>1602</v>
      </c>
    </row>
    <row r="1012" spans="1:7" hidden="1">
      <c r="A1012" s="36" t="s">
        <v>1083</v>
      </c>
      <c r="B1012" s="36" t="s">
        <v>825</v>
      </c>
      <c r="C1012" s="36" t="str">
        <f>_xlfn.CONCAT(Table4[[#This Row],[Ledger Name]],Table4[[#This Row],[Entity Name]])</f>
        <v>Security Deposit- Wi-FiAspirach Lanka</v>
      </c>
      <c r="D1012" s="36" t="s">
        <v>936</v>
      </c>
      <c r="E1012" s="49" t="s">
        <v>746</v>
      </c>
      <c r="F1012" s="49" t="s">
        <v>52</v>
      </c>
      <c r="G1012" s="24" t="s">
        <v>1602</v>
      </c>
    </row>
    <row r="1013" spans="1:7" hidden="1">
      <c r="A1013" s="36" t="s">
        <v>1084</v>
      </c>
      <c r="B1013" s="36" t="s">
        <v>825</v>
      </c>
      <c r="C1013" s="36" t="str">
        <f>_xlfn.CONCAT(Table4[[#This Row],[Ledger Name]],Table4[[#This Row],[Entity Name]])</f>
        <v>Suspense debtorsAspirach Lanka</v>
      </c>
      <c r="D1013" s="36" t="s">
        <v>936</v>
      </c>
      <c r="E1013" s="49" t="s">
        <v>746</v>
      </c>
      <c r="F1013" s="49" t="s">
        <v>112</v>
      </c>
      <c r="G1013" s="101" t="s">
        <v>112</v>
      </c>
    </row>
    <row r="1014" spans="1:7" hidden="1">
      <c r="A1014" s="36" t="s">
        <v>1085</v>
      </c>
      <c r="B1014" s="36" t="s">
        <v>825</v>
      </c>
      <c r="C1014" s="36" t="str">
        <f>_xlfn.CONCAT(Table4[[#This Row],[Ledger Name]],Table4[[#This Row],[Entity Name]])</f>
        <v>Tradearch Market Platform Pvt LtdAspirach Lanka</v>
      </c>
      <c r="D1014" s="36" t="s">
        <v>936</v>
      </c>
      <c r="E1014" s="49" t="s">
        <v>746</v>
      </c>
      <c r="F1014" s="49" t="s">
        <v>23</v>
      </c>
      <c r="G1014" s="101" t="s">
        <v>23</v>
      </c>
    </row>
    <row r="1015" spans="1:7" hidden="1">
      <c r="A1015" s="36" t="s">
        <v>1086</v>
      </c>
      <c r="B1015" s="245" t="s">
        <v>825</v>
      </c>
      <c r="C1015" s="245" t="str">
        <f>_xlfn.CONCAT(Table4[[#This Row],[Ledger Name]],Table4[[#This Row],[Entity Name]])</f>
        <v>62/2024Aspirach Lanka</v>
      </c>
      <c r="D1015" s="245" t="s">
        <v>936</v>
      </c>
      <c r="E1015" s="157" t="s">
        <v>152</v>
      </c>
      <c r="F1015" s="157" t="s">
        <v>93</v>
      </c>
      <c r="G1015" s="248" t="s">
        <v>138</v>
      </c>
    </row>
    <row r="1016" spans="1:7" hidden="1">
      <c r="A1016" s="36" t="s">
        <v>1087</v>
      </c>
      <c r="B1016" s="36" t="s">
        <v>825</v>
      </c>
      <c r="C1016" s="36" t="str">
        <f>_xlfn.CONCAT(Table4[[#This Row],[Ledger Name]],Table4[[#This Row],[Entity Name]])</f>
        <v>81/24-25Aspirach Lanka</v>
      </c>
      <c r="D1016" s="36" t="s">
        <v>936</v>
      </c>
      <c r="E1016" s="49" t="s">
        <v>152</v>
      </c>
      <c r="F1016" s="49" t="s">
        <v>93</v>
      </c>
      <c r="G1016" s="101" t="s">
        <v>138</v>
      </c>
    </row>
    <row r="1017" spans="1:7" hidden="1">
      <c r="A1017" s="156" t="s">
        <v>1263</v>
      </c>
      <c r="B1017" s="36" t="s">
        <v>314</v>
      </c>
      <c r="C1017" s="36" t="str">
        <f>_xlfn.CONCAT(Table4[[#This Row],[Ledger Name]],Table4[[#This Row],[Entity Name]])</f>
        <v>BA -189Expora</v>
      </c>
      <c r="D1017" s="36" t="s">
        <v>936</v>
      </c>
      <c r="E1017" s="49" t="s">
        <v>152</v>
      </c>
      <c r="F1017" s="49" t="s">
        <v>93</v>
      </c>
      <c r="G1017" s="101" t="s">
        <v>138</v>
      </c>
    </row>
    <row r="1018" spans="1:7" hidden="1">
      <c r="A1018" s="156" t="s">
        <v>1264</v>
      </c>
      <c r="B1018" s="36" t="s">
        <v>314</v>
      </c>
      <c r="C1018" s="36" t="str">
        <f>_xlfn.CONCAT(Table4[[#This Row],[Ledger Name]],Table4[[#This Row],[Entity Name]])</f>
        <v>BA 170,209,217,222,223,233Expora</v>
      </c>
      <c r="D1018" s="36" t="s">
        <v>936</v>
      </c>
      <c r="E1018" s="49" t="s">
        <v>152</v>
      </c>
      <c r="F1018" s="49" t="s">
        <v>93</v>
      </c>
      <c r="G1018" s="101" t="s">
        <v>138</v>
      </c>
    </row>
    <row r="1019" spans="1:7" hidden="1">
      <c r="A1019" s="156" t="s">
        <v>1185</v>
      </c>
      <c r="B1019" s="36" t="s">
        <v>314</v>
      </c>
      <c r="C1019" s="36" t="str">
        <f>_xlfn.CONCAT(Table4[[#This Row],[Ledger Name]],Table4[[#This Row],[Entity Name]])</f>
        <v>TALOC2425118Expora</v>
      </c>
      <c r="D1019" s="36" t="s">
        <v>936</v>
      </c>
      <c r="E1019" s="49" t="s">
        <v>152</v>
      </c>
      <c r="F1019" s="49" t="s">
        <v>93</v>
      </c>
      <c r="G1019" s="101" t="s">
        <v>138</v>
      </c>
    </row>
    <row r="1020" spans="1:7" hidden="1">
      <c r="A1020" s="156" t="s">
        <v>1250</v>
      </c>
      <c r="B1020" s="36" t="s">
        <v>314</v>
      </c>
      <c r="C1020" s="36" t="str">
        <f>_xlfn.CONCAT(Table4[[#This Row],[Ledger Name]],Table4[[#This Row],[Entity Name]])</f>
        <v>Employee Engagement ActivityExpora</v>
      </c>
      <c r="D1020" s="36" t="s">
        <v>936</v>
      </c>
      <c r="E1020" s="49" t="s">
        <v>152</v>
      </c>
      <c r="F1020" s="49" t="s">
        <v>5</v>
      </c>
      <c r="G1020" s="101" t="s">
        <v>35</v>
      </c>
    </row>
    <row r="1021" spans="1:7" hidden="1">
      <c r="A1021" s="36" t="s">
        <v>1265</v>
      </c>
      <c r="B1021" s="36" t="s">
        <v>314</v>
      </c>
      <c r="C1021" s="36" t="str">
        <f>_xlfn.CONCAT(Table4[[#This Row],[Ledger Name]],Table4[[#This Row],[Entity Name]])</f>
        <v>TALOC2425082.Expora</v>
      </c>
      <c r="D1021" s="36" t="s">
        <v>936</v>
      </c>
      <c r="E1021" s="49" t="s">
        <v>152</v>
      </c>
      <c r="F1021" s="49" t="s">
        <v>93</v>
      </c>
      <c r="G1021" s="101" t="s">
        <v>138</v>
      </c>
    </row>
    <row r="1022" spans="1:7" hidden="1">
      <c r="A1022" s="156" t="s">
        <v>1269</v>
      </c>
      <c r="B1022" s="36" t="s">
        <v>826</v>
      </c>
      <c r="C1022" s="36" t="str">
        <f>_xlfn.CONCAT(Table4[[#This Row],[Ledger Name]],Table4[[#This Row],[Entity Name]])</f>
        <v>Diwali GiftArha General Trading Co (AGT)</v>
      </c>
      <c r="D1022" s="36" t="s">
        <v>936</v>
      </c>
      <c r="E1022" s="49" t="s">
        <v>152</v>
      </c>
      <c r="F1022" s="49" t="s">
        <v>5</v>
      </c>
      <c r="G1022" s="101" t="s">
        <v>211</v>
      </c>
    </row>
    <row r="1023" spans="1:7" hidden="1">
      <c r="A1023" s="156" t="s">
        <v>1270</v>
      </c>
      <c r="B1023" s="36" t="s">
        <v>826</v>
      </c>
      <c r="C1023" s="36" t="str">
        <f>_xlfn.CONCAT(Table4[[#This Row],[Ledger Name]],Table4[[#This Row],[Entity Name]])</f>
        <v>Power and Fuel ChargesArha General Trading Co (AGT)</v>
      </c>
      <c r="D1023" s="36" t="s">
        <v>936</v>
      </c>
      <c r="E1023" s="36" t="s">
        <v>152</v>
      </c>
      <c r="F1023" s="36" t="s">
        <v>93</v>
      </c>
      <c r="G1023" s="101" t="s">
        <v>184</v>
      </c>
    </row>
    <row r="1024" spans="1:7" hidden="1">
      <c r="A1024" s="36" t="s">
        <v>238</v>
      </c>
      <c r="B1024" s="36" t="s">
        <v>826</v>
      </c>
      <c r="C1024" s="36" t="str">
        <f>_xlfn.CONCAT(Table4[[#This Row],[Ledger Name]],Table4[[#This Row],[Entity Name]])</f>
        <v>Provision PayableArha General Trading Co (AGT)</v>
      </c>
      <c r="D1024" s="36" t="s">
        <v>936</v>
      </c>
      <c r="E1024" s="49" t="s">
        <v>746</v>
      </c>
      <c r="F1024" s="49" t="s">
        <v>195</v>
      </c>
      <c r="G1024" s="24" t="s">
        <v>1624</v>
      </c>
    </row>
    <row r="1025" spans="1:7" hidden="1">
      <c r="A1025" s="68" t="s">
        <v>688</v>
      </c>
      <c r="B1025" s="36" t="s">
        <v>826</v>
      </c>
      <c r="C1025" s="36" t="str">
        <f>_xlfn.CONCAT(Table4[[#This Row],[Ledger Name]],Table4[[#This Row],[Entity Name]])</f>
        <v>Provision for Direct ExpenseArha General Trading Co (AGT)</v>
      </c>
      <c r="D1025" s="36" t="s">
        <v>936</v>
      </c>
      <c r="E1025" s="49" t="s">
        <v>152</v>
      </c>
      <c r="F1025" s="49" t="s">
        <v>93</v>
      </c>
      <c r="G1025" s="101" t="s">
        <v>213</v>
      </c>
    </row>
    <row r="1026" spans="1:7" hidden="1">
      <c r="A1026" s="156" t="s">
        <v>1268</v>
      </c>
      <c r="B1026" s="36" t="s">
        <v>826</v>
      </c>
      <c r="C1026" s="36" t="str">
        <f>_xlfn.CONCAT(Table4[[#This Row],[Ledger Name]],Table4[[#This Row],[Entity Name]])</f>
        <v>Finished GoodsArha General Trading Co (AGT)</v>
      </c>
      <c r="D1026" s="36" t="s">
        <v>936</v>
      </c>
      <c r="E1026" s="49" t="s">
        <v>746</v>
      </c>
      <c r="F1026" s="49" t="s">
        <v>47</v>
      </c>
      <c r="G1026" s="101" t="s">
        <v>47</v>
      </c>
    </row>
    <row r="1027" spans="1:7" hidden="1">
      <c r="A1027" s="156" t="s">
        <v>1273</v>
      </c>
      <c r="B1027" s="36" t="s">
        <v>314</v>
      </c>
      <c r="C1027" s="36" t="str">
        <f>_xlfn.CONCAT(Table4[[#This Row],[Ledger Name]],Table4[[#This Row],[Entity Name]])</f>
        <v>BA 189Expora</v>
      </c>
      <c r="D1027" s="36" t="s">
        <v>936</v>
      </c>
      <c r="E1027" s="49" t="s">
        <v>152</v>
      </c>
      <c r="F1027" s="49" t="s">
        <v>93</v>
      </c>
      <c r="G1027" s="101" t="s">
        <v>138</v>
      </c>
    </row>
    <row r="1028" spans="1:7" hidden="1">
      <c r="A1028" s="156" t="s">
        <v>413</v>
      </c>
      <c r="B1028" s="36" t="s">
        <v>826</v>
      </c>
      <c r="C1028" s="36" t="str">
        <f>_xlfn.CONCAT(Table4[[#This Row],[Ledger Name]],Table4[[#This Row],[Entity Name]])</f>
        <v>Advertising And MarketingArha General Trading Co (AGT)</v>
      </c>
      <c r="D1028" s="36" t="s">
        <v>936</v>
      </c>
      <c r="E1028" s="49" t="s">
        <v>152</v>
      </c>
      <c r="F1028" s="49" t="s">
        <v>153</v>
      </c>
      <c r="G1028" s="101" t="s">
        <v>66</v>
      </c>
    </row>
    <row r="1029" spans="1:7" hidden="1">
      <c r="A1029" s="156" t="s">
        <v>202</v>
      </c>
      <c r="B1029" s="36" t="s">
        <v>826</v>
      </c>
      <c r="C1029" s="36" t="str">
        <f>_xlfn.CONCAT(Table4[[#This Row],[Ledger Name]],Table4[[#This Row],[Entity Name]])</f>
        <v>Bank Charges Against Import/MTT TransactionArha General Trading Co (AGT)</v>
      </c>
      <c r="D1029" s="36" t="s">
        <v>936</v>
      </c>
      <c r="E1029" s="49" t="s">
        <v>152</v>
      </c>
      <c r="F1029" s="49" t="s">
        <v>93</v>
      </c>
      <c r="G1029" s="101" t="s">
        <v>212</v>
      </c>
    </row>
    <row r="1030" spans="1:7" hidden="1">
      <c r="A1030" s="156" t="s">
        <v>647</v>
      </c>
      <c r="B1030" s="36" t="s">
        <v>826</v>
      </c>
      <c r="C1030" s="36" t="str">
        <f>_xlfn.CONCAT(Table4[[#This Row],[Ledger Name]],Table4[[#This Row],[Entity Name]])</f>
        <v>Cleaning &amp; PackingArha General Trading Co (AGT)</v>
      </c>
      <c r="D1030" s="36" t="s">
        <v>936</v>
      </c>
      <c r="E1030" s="49" t="s">
        <v>152</v>
      </c>
      <c r="F1030" s="49" t="s">
        <v>93</v>
      </c>
      <c r="G1030" s="101" t="s">
        <v>647</v>
      </c>
    </row>
    <row r="1031" spans="1:7" hidden="1">
      <c r="A1031" s="156" t="s">
        <v>774</v>
      </c>
      <c r="B1031" s="36" t="s">
        <v>826</v>
      </c>
      <c r="C1031" s="36" t="str">
        <f>_xlfn.CONCAT(Table4[[#This Row],[Ledger Name]],Table4[[#This Row],[Entity Name]])</f>
        <v>Gulf-Food Registration feesArha General Trading Co (AGT)</v>
      </c>
      <c r="D1031" s="36" t="s">
        <v>936</v>
      </c>
      <c r="E1031" s="49" t="s">
        <v>152</v>
      </c>
      <c r="F1031" s="49" t="s">
        <v>5</v>
      </c>
      <c r="G1031" s="101" t="s">
        <v>13</v>
      </c>
    </row>
    <row r="1032" spans="1:7" hidden="1">
      <c r="A1032" s="156" t="s">
        <v>803</v>
      </c>
      <c r="B1032" s="36" t="s">
        <v>826</v>
      </c>
      <c r="C1032" s="36" t="str">
        <f>_xlfn.CONCAT(Table4[[#This Row],[Ledger Name]],Table4[[#This Row],[Entity Name]])</f>
        <v>Gulf-Food stall chargesArha General Trading Co (AGT)</v>
      </c>
      <c r="D1032" s="36" t="s">
        <v>936</v>
      </c>
      <c r="E1032" s="49" t="s">
        <v>152</v>
      </c>
      <c r="F1032" s="49" t="s">
        <v>5</v>
      </c>
      <c r="G1032" s="101" t="s">
        <v>13</v>
      </c>
    </row>
    <row r="1033" spans="1:7" hidden="1">
      <c r="A1033" s="156" t="s">
        <v>755</v>
      </c>
      <c r="B1033" s="36" t="s">
        <v>826</v>
      </c>
      <c r="C1033" s="36" t="str">
        <f>_xlfn.CONCAT(Table4[[#This Row],[Ledger Name]],Table4[[#This Row],[Entity Name]])</f>
        <v>Inspection ChargesArha General Trading Co (AGT)</v>
      </c>
      <c r="D1033" s="36" t="s">
        <v>936</v>
      </c>
      <c r="E1033" s="49" t="s">
        <v>152</v>
      </c>
      <c r="F1033" s="36"/>
      <c r="G1033" s="36"/>
    </row>
    <row r="1034" spans="1:7" hidden="1">
      <c r="A1034" s="156" t="s">
        <v>1276</v>
      </c>
      <c r="B1034" s="36" t="s">
        <v>826</v>
      </c>
      <c r="C1034" s="36" t="str">
        <f>_xlfn.CONCAT(Table4[[#This Row],[Ledger Name]],Table4[[#This Row],[Entity Name]])</f>
        <v>Interest On Loan Tradearch Market PlatformsArha General Trading Co (AGT)</v>
      </c>
      <c r="D1034" s="36" t="s">
        <v>936</v>
      </c>
      <c r="E1034" s="49" t="s">
        <v>152</v>
      </c>
      <c r="F1034" s="36"/>
      <c r="G1034" s="36"/>
    </row>
    <row r="1035" spans="1:7" hidden="1">
      <c r="A1035" s="156" t="s">
        <v>821</v>
      </c>
      <c r="B1035" s="36" t="s">
        <v>826</v>
      </c>
      <c r="C1035" s="36" t="str">
        <f>_xlfn.CONCAT(Table4[[#This Row],[Ledger Name]],Table4[[#This Row],[Entity Name]])</f>
        <v>Labour Charges for Gulf FoodArha General Trading Co (AGT)</v>
      </c>
      <c r="D1035" s="36" t="s">
        <v>936</v>
      </c>
      <c r="E1035" s="49" t="s">
        <v>152</v>
      </c>
      <c r="F1035" s="49" t="s">
        <v>5</v>
      </c>
      <c r="G1035" s="101" t="s">
        <v>13</v>
      </c>
    </row>
    <row r="1036" spans="1:7" hidden="1">
      <c r="A1036" s="68" t="s">
        <v>682</v>
      </c>
      <c r="B1036" s="36" t="s">
        <v>826</v>
      </c>
      <c r="C1036" s="36" t="str">
        <f>_xlfn.CONCAT(Table4[[#This Row],[Ledger Name]],Table4[[#This Row],[Entity Name]])</f>
        <v>LOCAL ALLOWENCEArha General Trading Co (AGT)</v>
      </c>
      <c r="D1036" s="36" t="s">
        <v>936</v>
      </c>
      <c r="E1036" s="49" t="s">
        <v>152</v>
      </c>
      <c r="F1036" s="49" t="s">
        <v>8</v>
      </c>
      <c r="G1036" s="101" t="s">
        <v>160</v>
      </c>
    </row>
    <row r="1037" spans="1:7" hidden="1">
      <c r="A1037" s="68" t="s">
        <v>775</v>
      </c>
      <c r="B1037" s="36" t="s">
        <v>826</v>
      </c>
      <c r="C1037" s="36" t="str">
        <f>_xlfn.CONCAT(Table4[[#This Row],[Ledger Name]],Table4[[#This Row],[Entity Name]])</f>
        <v>Sampling ChargesArha General Trading Co (AGT)</v>
      </c>
      <c r="D1037" s="36" t="s">
        <v>936</v>
      </c>
      <c r="E1037" s="49" t="s">
        <v>152</v>
      </c>
      <c r="F1037" s="36"/>
      <c r="G1037" s="36"/>
    </row>
    <row r="1038" spans="1:7" hidden="1">
      <c r="A1038" s="68" t="s">
        <v>1277</v>
      </c>
      <c r="B1038" s="36" t="s">
        <v>826</v>
      </c>
      <c r="C1038" s="36" t="str">
        <f>_xlfn.CONCAT(Table4[[#This Row],[Ledger Name]],Table4[[#This Row],[Entity Name]])</f>
        <v>Vat Out of Scope ReversalArha General Trading Co (AGT)</v>
      </c>
      <c r="D1038" s="36" t="s">
        <v>936</v>
      </c>
      <c r="E1038" s="49" t="s">
        <v>152</v>
      </c>
      <c r="F1038" s="36"/>
      <c r="G1038" s="36"/>
    </row>
    <row r="1039" spans="1:7" hidden="1">
      <c r="A1039" s="36" t="s">
        <v>1089</v>
      </c>
      <c r="B1039" s="36" t="s">
        <v>825</v>
      </c>
      <c r="C1039" s="36" t="str">
        <f>_xlfn.CONCAT(Table4[[#This Row],[Ledger Name]],Table4[[#This Row],[Entity Name]])</f>
        <v>83/24-25Aspirach Lanka</v>
      </c>
      <c r="D1039" s="36" t="s">
        <v>936</v>
      </c>
      <c r="E1039" s="49" t="s">
        <v>152</v>
      </c>
      <c r="F1039" s="49" t="s">
        <v>93</v>
      </c>
      <c r="G1039" s="101" t="s">
        <v>138</v>
      </c>
    </row>
    <row r="1040" spans="1:7" hidden="1">
      <c r="A1040" s="36" t="s">
        <v>1090</v>
      </c>
      <c r="B1040" s="36" t="s">
        <v>825</v>
      </c>
      <c r="C1040" s="36" t="str">
        <f>_xlfn.CONCAT(Table4[[#This Row],[Ledger Name]],Table4[[#This Row],[Entity Name]])</f>
        <v>85/24-25Aspirach Lanka</v>
      </c>
      <c r="D1040" s="36" t="s">
        <v>936</v>
      </c>
      <c r="E1040" s="49" t="s">
        <v>152</v>
      </c>
      <c r="F1040" s="49" t="s">
        <v>93</v>
      </c>
      <c r="G1040" s="101" t="s">
        <v>138</v>
      </c>
    </row>
    <row r="1041" spans="1:7" hidden="1">
      <c r="A1041" s="36" t="s">
        <v>1091</v>
      </c>
      <c r="B1041" s="36" t="s">
        <v>825</v>
      </c>
      <c r="C1041" s="36" t="str">
        <f>_xlfn.CONCAT(Table4[[#This Row],[Ledger Name]],Table4[[#This Row],[Entity Name]])</f>
        <v>86/24-25Aspirach Lanka</v>
      </c>
      <c r="D1041" s="36" t="s">
        <v>936</v>
      </c>
      <c r="E1041" s="49" t="s">
        <v>152</v>
      </c>
      <c r="F1041" s="49" t="s">
        <v>93</v>
      </c>
      <c r="G1041" s="101" t="s">
        <v>138</v>
      </c>
    </row>
    <row r="1042" spans="1:7" hidden="1">
      <c r="A1042" s="36" t="s">
        <v>1092</v>
      </c>
      <c r="B1042" s="36" t="s">
        <v>825</v>
      </c>
      <c r="C1042" s="36" t="str">
        <f>_xlfn.CONCAT(Table4[[#This Row],[Ledger Name]],Table4[[#This Row],[Entity Name]])</f>
        <v>87/24-25Aspirach Lanka</v>
      </c>
      <c r="D1042" s="36" t="s">
        <v>936</v>
      </c>
      <c r="E1042" s="49" t="s">
        <v>152</v>
      </c>
      <c r="F1042" s="49" t="s">
        <v>93</v>
      </c>
      <c r="G1042" s="101" t="s">
        <v>138</v>
      </c>
    </row>
    <row r="1043" spans="1:7" hidden="1">
      <c r="A1043" s="36" t="s">
        <v>1093</v>
      </c>
      <c r="B1043" s="36" t="s">
        <v>825</v>
      </c>
      <c r="C1043" s="36" t="str">
        <f>_xlfn.CONCAT(Table4[[#This Row],[Ledger Name]],Table4[[#This Row],[Entity Name]])</f>
        <v>88/24-25Aspirach Lanka</v>
      </c>
      <c r="D1043" s="36" t="s">
        <v>936</v>
      </c>
      <c r="E1043" s="49" t="s">
        <v>152</v>
      </c>
      <c r="F1043" s="49" t="s">
        <v>93</v>
      </c>
      <c r="G1043" s="101" t="s">
        <v>138</v>
      </c>
    </row>
    <row r="1044" spans="1:7" hidden="1">
      <c r="A1044" s="36" t="s">
        <v>1094</v>
      </c>
      <c r="B1044" s="36" t="s">
        <v>825</v>
      </c>
      <c r="C1044" s="36" t="str">
        <f>_xlfn.CONCAT(Table4[[#This Row],[Ledger Name]],Table4[[#This Row],[Entity Name]])</f>
        <v>89/24-25Aspirach Lanka</v>
      </c>
      <c r="D1044" s="36" t="s">
        <v>936</v>
      </c>
      <c r="E1044" s="49" t="s">
        <v>152</v>
      </c>
      <c r="F1044" s="49" t="s">
        <v>93</v>
      </c>
      <c r="G1044" s="101" t="s">
        <v>138</v>
      </c>
    </row>
    <row r="1045" spans="1:7" hidden="1">
      <c r="A1045" s="36" t="s">
        <v>1095</v>
      </c>
      <c r="B1045" s="36" t="s">
        <v>825</v>
      </c>
      <c r="C1045" s="36" t="str">
        <f>_xlfn.CONCAT(Table4[[#This Row],[Ledger Name]],Table4[[#This Row],[Entity Name]])</f>
        <v>Vat RegistrationAspirach Lanka</v>
      </c>
      <c r="D1045" s="36" t="s">
        <v>936</v>
      </c>
      <c r="E1045" s="49" t="s">
        <v>152</v>
      </c>
      <c r="F1045" s="49" t="s">
        <v>5</v>
      </c>
      <c r="G1045" s="101" t="s">
        <v>13</v>
      </c>
    </row>
    <row r="1046" spans="1:7" hidden="1">
      <c r="A1046" s="36" t="s">
        <v>687</v>
      </c>
      <c r="B1046" s="36" t="s">
        <v>825</v>
      </c>
      <c r="C1046" s="36" t="str">
        <f>_xlfn.CONCAT(Table4[[#This Row],[Ledger Name]],Table4[[#This Row],[Entity Name]])</f>
        <v>Provision for ExpenseAspirach Lanka</v>
      </c>
      <c r="D1046" s="36" t="s">
        <v>936</v>
      </c>
      <c r="E1046" s="49" t="s">
        <v>746</v>
      </c>
      <c r="F1046" s="49" t="s">
        <v>195</v>
      </c>
      <c r="G1046" s="101" t="s">
        <v>195</v>
      </c>
    </row>
    <row r="1047" spans="1:7" hidden="1">
      <c r="A1047" s="36" t="s">
        <v>1115</v>
      </c>
      <c r="B1047" s="36" t="s">
        <v>825</v>
      </c>
      <c r="C1047" s="36" t="str">
        <f>_xlfn.CONCAT(Table4[[#This Row],[Ledger Name]],Table4[[#This Row],[Entity Name]])</f>
        <v>Advance TaxAspirach Lanka</v>
      </c>
      <c r="D1047" s="36" t="s">
        <v>936</v>
      </c>
      <c r="E1047" s="49" t="s">
        <v>746</v>
      </c>
      <c r="F1047" s="49" t="s">
        <v>52</v>
      </c>
      <c r="G1047" s="101" t="s">
        <v>52</v>
      </c>
    </row>
    <row r="1048" spans="1:7" hidden="1">
      <c r="A1048" s="36" t="s">
        <v>1116</v>
      </c>
      <c r="B1048" s="36" t="s">
        <v>825</v>
      </c>
      <c r="C1048" s="36" t="str">
        <f>_xlfn.CONCAT(Table4[[#This Row],[Ledger Name]],Table4[[#This Row],[Entity Name]])</f>
        <v>102/24-25Aspirach Lanka</v>
      </c>
      <c r="D1048" s="36" t="s">
        <v>936</v>
      </c>
      <c r="E1048" s="49" t="s">
        <v>152</v>
      </c>
      <c r="F1048" s="49" t="s">
        <v>93</v>
      </c>
      <c r="G1048" s="101" t="s">
        <v>138</v>
      </c>
    </row>
    <row r="1049" spans="1:7" hidden="1">
      <c r="A1049" s="36" t="s">
        <v>1117</v>
      </c>
      <c r="B1049" s="36" t="s">
        <v>825</v>
      </c>
      <c r="C1049" s="36" t="str">
        <f>_xlfn.CONCAT(Table4[[#This Row],[Ledger Name]],Table4[[#This Row],[Entity Name]])</f>
        <v>91/2024Aspirach Lanka</v>
      </c>
      <c r="D1049" s="36" t="s">
        <v>936</v>
      </c>
      <c r="E1049" s="49" t="s">
        <v>152</v>
      </c>
      <c r="F1049" s="49" t="s">
        <v>93</v>
      </c>
      <c r="G1049" s="101" t="s">
        <v>138</v>
      </c>
    </row>
    <row r="1050" spans="1:7" hidden="1">
      <c r="A1050" s="36" t="s">
        <v>1118</v>
      </c>
      <c r="B1050" s="36" t="s">
        <v>825</v>
      </c>
      <c r="C1050" s="36" t="str">
        <f>_xlfn.CONCAT(Table4[[#This Row],[Ledger Name]],Table4[[#This Row],[Entity Name]])</f>
        <v>92/2024Aspirach Lanka</v>
      </c>
      <c r="D1050" s="36" t="s">
        <v>936</v>
      </c>
      <c r="E1050" s="49" t="s">
        <v>152</v>
      </c>
      <c r="F1050" s="49" t="s">
        <v>93</v>
      </c>
      <c r="G1050" s="101" t="s">
        <v>138</v>
      </c>
    </row>
    <row r="1051" spans="1:7" hidden="1">
      <c r="A1051" s="36" t="s">
        <v>1119</v>
      </c>
      <c r="B1051" s="36" t="s">
        <v>825</v>
      </c>
      <c r="C1051" s="36" t="str">
        <f>_xlfn.CONCAT(Table4[[#This Row],[Ledger Name]],Table4[[#This Row],[Entity Name]])</f>
        <v>93/2024Aspirach Lanka</v>
      </c>
      <c r="D1051" s="36" t="s">
        <v>936</v>
      </c>
      <c r="E1051" s="49" t="s">
        <v>152</v>
      </c>
      <c r="F1051" s="49" t="s">
        <v>93</v>
      </c>
      <c r="G1051" s="101" t="s">
        <v>138</v>
      </c>
    </row>
    <row r="1052" spans="1:7" hidden="1">
      <c r="A1052" s="36" t="s">
        <v>1120</v>
      </c>
      <c r="B1052" s="36" t="s">
        <v>825</v>
      </c>
      <c r="C1052" s="36" t="str">
        <f>_xlfn.CONCAT(Table4[[#This Row],[Ledger Name]],Table4[[#This Row],[Entity Name]])</f>
        <v>94/2024-25Aspirach Lanka</v>
      </c>
      <c r="D1052" s="36" t="s">
        <v>936</v>
      </c>
      <c r="E1052" s="49" t="s">
        <v>152</v>
      </c>
      <c r="F1052" s="49" t="s">
        <v>93</v>
      </c>
      <c r="G1052" s="101" t="s">
        <v>138</v>
      </c>
    </row>
    <row r="1053" spans="1:7" hidden="1">
      <c r="A1053" s="36" t="s">
        <v>1121</v>
      </c>
      <c r="B1053" s="36" t="s">
        <v>825</v>
      </c>
      <c r="C1053" s="36" t="str">
        <f>_xlfn.CONCAT(Table4[[#This Row],[Ledger Name]],Table4[[#This Row],[Entity Name]])</f>
        <v>95/24-25Aspirach Lanka</v>
      </c>
      <c r="D1053" s="36" t="s">
        <v>936</v>
      </c>
      <c r="E1053" s="49" t="s">
        <v>152</v>
      </c>
      <c r="F1053" s="49" t="s">
        <v>93</v>
      </c>
      <c r="G1053" s="101" t="s">
        <v>138</v>
      </c>
    </row>
    <row r="1054" spans="1:7" hidden="1">
      <c r="A1054" s="36" t="s">
        <v>1122</v>
      </c>
      <c r="B1054" s="36" t="s">
        <v>825</v>
      </c>
      <c r="C1054" s="36" t="str">
        <f>_xlfn.CONCAT(Table4[[#This Row],[Ledger Name]],Table4[[#This Row],[Entity Name]])</f>
        <v>96/24-25Aspirach Lanka</v>
      </c>
      <c r="D1054" s="36" t="s">
        <v>936</v>
      </c>
      <c r="E1054" s="49" t="s">
        <v>152</v>
      </c>
      <c r="F1054" s="49" t="s">
        <v>93</v>
      </c>
      <c r="G1054" s="101" t="s">
        <v>138</v>
      </c>
    </row>
    <row r="1055" spans="1:7" hidden="1">
      <c r="A1055" s="55" t="s">
        <v>1109</v>
      </c>
      <c r="B1055" s="36" t="s">
        <v>314</v>
      </c>
      <c r="C1055" s="36" t="str">
        <f>_xlfn.CONCAT(Table4[[#This Row],[Ledger Name]],Table4[[#This Row],[Entity Name]])</f>
        <v>TA/HSS/24-25/007Expora</v>
      </c>
      <c r="D1055" s="36" t="s">
        <v>936</v>
      </c>
      <c r="E1055" s="49" t="s">
        <v>152</v>
      </c>
      <c r="F1055" s="49" t="s">
        <v>93</v>
      </c>
      <c r="G1055" s="101" t="s">
        <v>138</v>
      </c>
    </row>
    <row r="1056" spans="1:7" hidden="1">
      <c r="A1056" s="36" t="s">
        <v>1309</v>
      </c>
      <c r="B1056" s="36" t="s">
        <v>314</v>
      </c>
      <c r="C1056" s="36" t="str">
        <f>_xlfn.CONCAT(Table4[[#This Row],[Ledger Name]],Table4[[#This Row],[Entity Name]])</f>
        <v>TAEXP2425033Expora</v>
      </c>
      <c r="D1056" s="36" t="s">
        <v>936</v>
      </c>
      <c r="E1056" s="49" t="s">
        <v>152</v>
      </c>
      <c r="F1056" s="49" t="s">
        <v>93</v>
      </c>
      <c r="G1056" s="101" t="s">
        <v>138</v>
      </c>
    </row>
    <row r="1057" spans="1:7" hidden="1">
      <c r="A1057" s="36" t="s">
        <v>1310</v>
      </c>
      <c r="B1057" s="36" t="s">
        <v>314</v>
      </c>
      <c r="C1057" s="36" t="str">
        <f>_xlfn.CONCAT(Table4[[#This Row],[Ledger Name]],Table4[[#This Row],[Entity Name]])</f>
        <v>TAEXP2425037Expora</v>
      </c>
      <c r="D1057" s="36" t="s">
        <v>936</v>
      </c>
      <c r="E1057" s="49" t="s">
        <v>152</v>
      </c>
      <c r="F1057" s="49" t="s">
        <v>93</v>
      </c>
      <c r="G1057" s="101" t="s">
        <v>138</v>
      </c>
    </row>
    <row r="1058" spans="1:7" hidden="1">
      <c r="A1058" s="36" t="s">
        <v>1311</v>
      </c>
      <c r="B1058" s="36" t="s">
        <v>314</v>
      </c>
      <c r="C1058" s="36" t="str">
        <f>_xlfn.CONCAT(Table4[[#This Row],[Ledger Name]],Table4[[#This Row],[Entity Name]])</f>
        <v>TAEXP2425038Expora</v>
      </c>
      <c r="D1058" s="36" t="s">
        <v>936</v>
      </c>
      <c r="E1058" s="49" t="s">
        <v>152</v>
      </c>
      <c r="F1058" s="49" t="s">
        <v>93</v>
      </c>
      <c r="G1058" s="101" t="s">
        <v>138</v>
      </c>
    </row>
    <row r="1059" spans="1:7" hidden="1">
      <c r="A1059" s="36" t="s">
        <v>1312</v>
      </c>
      <c r="B1059" s="36" t="s">
        <v>314</v>
      </c>
      <c r="C1059" s="36" t="str">
        <f>_xlfn.CONCAT(Table4[[#This Row],[Ledger Name]],Table4[[#This Row],[Entity Name]])</f>
        <v>TAEXP2425039Expora</v>
      </c>
      <c r="D1059" s="36" t="s">
        <v>936</v>
      </c>
      <c r="E1059" s="49" t="s">
        <v>152</v>
      </c>
      <c r="F1059" s="49" t="s">
        <v>93</v>
      </c>
      <c r="G1059" s="101" t="s">
        <v>138</v>
      </c>
    </row>
    <row r="1060" spans="1:7" hidden="1">
      <c r="A1060" s="36" t="s">
        <v>1313</v>
      </c>
      <c r="B1060" s="36" t="s">
        <v>314</v>
      </c>
      <c r="C1060" s="36" t="str">
        <f>_xlfn.CONCAT(Table4[[#This Row],[Ledger Name]],Table4[[#This Row],[Entity Name]])</f>
        <v>TAEXP2425040Expora</v>
      </c>
      <c r="D1060" s="36" t="s">
        <v>936</v>
      </c>
      <c r="E1060" s="49" t="s">
        <v>152</v>
      </c>
      <c r="F1060" s="49" t="s">
        <v>93</v>
      </c>
      <c r="G1060" s="101" t="s">
        <v>138</v>
      </c>
    </row>
    <row r="1061" spans="1:7" hidden="1">
      <c r="A1061" s="36" t="s">
        <v>1314</v>
      </c>
      <c r="B1061" s="36" t="s">
        <v>314</v>
      </c>
      <c r="C1061" s="36" t="str">
        <f>_xlfn.CONCAT(Table4[[#This Row],[Ledger Name]],Table4[[#This Row],[Entity Name]])</f>
        <v>TAEXP2425041Expora</v>
      </c>
      <c r="D1061" s="36" t="s">
        <v>936</v>
      </c>
      <c r="E1061" s="49" t="s">
        <v>152</v>
      </c>
      <c r="F1061" s="49" t="s">
        <v>93</v>
      </c>
      <c r="G1061" s="101" t="s">
        <v>138</v>
      </c>
    </row>
    <row r="1062" spans="1:7" hidden="1">
      <c r="A1062" s="36" t="s">
        <v>1209</v>
      </c>
      <c r="B1062" s="36" t="s">
        <v>314</v>
      </c>
      <c r="C1062" s="36" t="str">
        <f>_xlfn.CONCAT(Table4[[#This Row],[Ledger Name]],Table4[[#This Row],[Entity Name]])</f>
        <v>TALOC2425124Expora</v>
      </c>
      <c r="D1062" s="36" t="s">
        <v>936</v>
      </c>
      <c r="E1062" s="49" t="s">
        <v>152</v>
      </c>
      <c r="F1062" s="49" t="s">
        <v>93</v>
      </c>
      <c r="G1062" s="101" t="s">
        <v>138</v>
      </c>
    </row>
    <row r="1063" spans="1:7" hidden="1">
      <c r="A1063" s="36" t="s">
        <v>1210</v>
      </c>
      <c r="B1063" s="36" t="s">
        <v>314</v>
      </c>
      <c r="C1063" s="36" t="str">
        <f>_xlfn.CONCAT(Table4[[#This Row],[Ledger Name]],Table4[[#This Row],[Entity Name]])</f>
        <v>TALOC2425125Expora</v>
      </c>
      <c r="D1063" s="36" t="s">
        <v>936</v>
      </c>
      <c r="E1063" s="49" t="s">
        <v>152</v>
      </c>
      <c r="F1063" s="49" t="s">
        <v>93</v>
      </c>
      <c r="G1063" s="101" t="s">
        <v>138</v>
      </c>
    </row>
    <row r="1064" spans="1:7" hidden="1">
      <c r="A1064" s="36" t="s">
        <v>1211</v>
      </c>
      <c r="B1064" s="36" t="s">
        <v>314</v>
      </c>
      <c r="C1064" s="36" t="str">
        <f>_xlfn.CONCAT(Table4[[#This Row],[Ledger Name]],Table4[[#This Row],[Entity Name]])</f>
        <v>TALOC2425127Expora</v>
      </c>
      <c r="D1064" s="36" t="s">
        <v>936</v>
      </c>
      <c r="E1064" s="49" t="s">
        <v>152</v>
      </c>
      <c r="F1064" s="49" t="s">
        <v>93</v>
      </c>
      <c r="G1064" s="101" t="s">
        <v>138</v>
      </c>
    </row>
    <row r="1065" spans="1:7" hidden="1">
      <c r="A1065" s="36" t="s">
        <v>1212</v>
      </c>
      <c r="B1065" s="36" t="s">
        <v>314</v>
      </c>
      <c r="C1065" s="36" t="str">
        <f>_xlfn.CONCAT(Table4[[#This Row],[Ledger Name]],Table4[[#This Row],[Entity Name]])</f>
        <v>TALOC2425128Expora</v>
      </c>
      <c r="D1065" s="36" t="s">
        <v>936</v>
      </c>
      <c r="E1065" s="49" t="s">
        <v>152</v>
      </c>
      <c r="F1065" s="49" t="s">
        <v>93</v>
      </c>
      <c r="G1065" s="101" t="s">
        <v>138</v>
      </c>
    </row>
    <row r="1066" spans="1:7" hidden="1">
      <c r="A1066" s="36" t="s">
        <v>1315</v>
      </c>
      <c r="B1066" s="36" t="s">
        <v>314</v>
      </c>
      <c r="C1066" s="36" t="str">
        <f>_xlfn.CONCAT(Table4[[#This Row],[Ledger Name]],Table4[[#This Row],[Entity Name]])</f>
        <v>TALOC2425137Expora</v>
      </c>
      <c r="D1066" s="36" t="s">
        <v>936</v>
      </c>
      <c r="E1066" s="49" t="s">
        <v>152</v>
      </c>
      <c r="F1066" s="49" t="s">
        <v>93</v>
      </c>
      <c r="G1066" s="101" t="s">
        <v>138</v>
      </c>
    </row>
    <row r="1067" spans="1:7" hidden="1">
      <c r="A1067" s="36" t="s">
        <v>1316</v>
      </c>
      <c r="B1067" s="36" t="s">
        <v>314</v>
      </c>
      <c r="C1067" s="36" t="str">
        <f>_xlfn.CONCAT(Table4[[#This Row],[Ledger Name]],Table4[[#This Row],[Entity Name]])</f>
        <v>TALOC2425141Expora</v>
      </c>
      <c r="D1067" s="36" t="s">
        <v>936</v>
      </c>
      <c r="E1067" s="49" t="s">
        <v>152</v>
      </c>
      <c r="F1067" s="49" t="s">
        <v>93</v>
      </c>
      <c r="G1067" s="101" t="s">
        <v>138</v>
      </c>
    </row>
    <row r="1068" spans="1:7" hidden="1">
      <c r="A1068" s="36" t="s">
        <v>1317</v>
      </c>
      <c r="B1068" s="36" t="s">
        <v>314</v>
      </c>
      <c r="C1068" s="36" t="str">
        <f>_xlfn.CONCAT(Table4[[#This Row],[Ledger Name]],Table4[[#This Row],[Entity Name]])</f>
        <v>TALOC2425142Expora</v>
      </c>
      <c r="D1068" s="36" t="s">
        <v>936</v>
      </c>
      <c r="E1068" s="49" t="s">
        <v>152</v>
      </c>
      <c r="F1068" s="49" t="s">
        <v>93</v>
      </c>
      <c r="G1068" s="101" t="s">
        <v>138</v>
      </c>
    </row>
    <row r="1069" spans="1:7" hidden="1">
      <c r="A1069" s="36" t="s">
        <v>1187</v>
      </c>
      <c r="B1069" s="36" t="s">
        <v>314</v>
      </c>
      <c r="C1069" s="36" t="str">
        <f>_xlfn.CONCAT(Table4[[#This Row],[Ledger Name]],Table4[[#This Row],[Entity Name]])</f>
        <v>TATUR24250161Expora</v>
      </c>
      <c r="D1069" s="36" t="s">
        <v>936</v>
      </c>
      <c r="E1069" s="49" t="s">
        <v>152</v>
      </c>
      <c r="F1069" s="49" t="s">
        <v>93</v>
      </c>
      <c r="G1069" s="101" t="s">
        <v>138</v>
      </c>
    </row>
    <row r="1070" spans="1:7" hidden="1">
      <c r="A1070" s="156" t="s">
        <v>1283</v>
      </c>
      <c r="B1070" s="36" t="s">
        <v>314</v>
      </c>
      <c r="C1070" s="36" t="str">
        <f>_xlfn.CONCAT(Table4[[#This Row],[Ledger Name]],Table4[[#This Row],[Entity Name]])</f>
        <v>APPLE IPAD SMART KEYBOARD 10.5 -BLACKExpora</v>
      </c>
      <c r="D1070" s="36" t="s">
        <v>936</v>
      </c>
      <c r="E1070" s="49" t="s">
        <v>746</v>
      </c>
      <c r="F1070" s="49" t="s">
        <v>346</v>
      </c>
      <c r="G1070" s="182" t="s">
        <v>346</v>
      </c>
    </row>
    <row r="1071" spans="1:7" hidden="1">
      <c r="A1071" s="141" t="s">
        <v>80</v>
      </c>
      <c r="B1071" s="36" t="s">
        <v>314</v>
      </c>
      <c r="C1071" s="36" t="str">
        <f>_xlfn.CONCAT(Table4[[#This Row],[Ledger Name]],Table4[[#This Row],[Entity Name]])</f>
        <v>Security DepositExpora</v>
      </c>
      <c r="D1071" s="36" t="s">
        <v>936</v>
      </c>
      <c r="E1071" s="49" t="s">
        <v>746</v>
      </c>
      <c r="F1071" s="49" t="s">
        <v>52</v>
      </c>
      <c r="G1071" s="24" t="s">
        <v>1602</v>
      </c>
    </row>
    <row r="1072" spans="1:7" hidden="1">
      <c r="A1072" s="141" t="s">
        <v>594</v>
      </c>
      <c r="B1072" s="36" t="s">
        <v>314</v>
      </c>
      <c r="C1072" s="36" t="str">
        <f>_xlfn.CONCAT(Table4[[#This Row],[Ledger Name]],Table4[[#This Row],[Entity Name]])</f>
        <v>PREPAID EXPENSE FOR VENDORExpora</v>
      </c>
      <c r="D1072" s="36" t="s">
        <v>936</v>
      </c>
      <c r="E1072" s="49" t="s">
        <v>746</v>
      </c>
      <c r="F1072" s="49" t="s">
        <v>52</v>
      </c>
      <c r="G1072" s="24" t="s">
        <v>1605</v>
      </c>
    </row>
    <row r="1073" spans="1:7" hidden="1">
      <c r="A1073" s="36" t="s">
        <v>561</v>
      </c>
      <c r="B1073" s="36" t="s">
        <v>314</v>
      </c>
      <c r="C1073" s="36" t="str">
        <f>_xlfn.CONCAT(Table4[[#This Row],[Ledger Name]],Table4[[#This Row],[Entity Name]])</f>
        <v>Opening Balance AdjustmentsExpora</v>
      </c>
      <c r="D1073" s="36" t="s">
        <v>936</v>
      </c>
      <c r="E1073" s="49" t="s">
        <v>746</v>
      </c>
      <c r="F1073" s="49" t="s">
        <v>52</v>
      </c>
      <c r="G1073" s="24" t="s">
        <v>1602</v>
      </c>
    </row>
    <row r="1074" spans="1:7" hidden="1">
      <c r="A1074" s="36" t="s">
        <v>1288</v>
      </c>
      <c r="B1074" s="36" t="s">
        <v>314</v>
      </c>
      <c r="C1074" s="36" t="str">
        <f>_xlfn.CONCAT(Table4[[#This Row],[Ledger Name]],Table4[[#This Row],[Entity Name]])</f>
        <v>PC:D13548753Expora</v>
      </c>
      <c r="D1074" s="36" t="s">
        <v>936</v>
      </c>
      <c r="E1074" s="49" t="s">
        <v>746</v>
      </c>
      <c r="F1074" s="49" t="s">
        <v>345</v>
      </c>
      <c r="G1074" s="101" t="s">
        <v>278</v>
      </c>
    </row>
    <row r="1075" spans="1:7" hidden="1">
      <c r="A1075" s="36" t="s">
        <v>1289</v>
      </c>
      <c r="B1075" s="36" t="s">
        <v>314</v>
      </c>
      <c r="C1075" s="36" t="str">
        <f>_xlfn.CONCAT(Table4[[#This Row],[Ledger Name]],Table4[[#This Row],[Entity Name]])</f>
        <v>Rice 1121 and 1401Expora</v>
      </c>
      <c r="D1075" s="36" t="s">
        <v>936</v>
      </c>
      <c r="E1075" s="49" t="s">
        <v>746</v>
      </c>
      <c r="F1075" s="49" t="s">
        <v>345</v>
      </c>
      <c r="G1075" s="179" t="s">
        <v>1621</v>
      </c>
    </row>
    <row r="1076" spans="1:7" hidden="1">
      <c r="A1076" s="36" t="s">
        <v>1290</v>
      </c>
      <c r="B1076" s="36" t="s">
        <v>314</v>
      </c>
      <c r="C1076" s="36" t="str">
        <f>_xlfn.CONCAT(Table4[[#This Row],[Ledger Name]],Table4[[#This Row],[Entity Name]])</f>
        <v>898GRExpora</v>
      </c>
      <c r="D1076" s="36" t="s">
        <v>936</v>
      </c>
      <c r="E1076" s="49" t="s">
        <v>152</v>
      </c>
      <c r="F1076" s="49" t="s">
        <v>93</v>
      </c>
      <c r="G1076" s="101" t="s">
        <v>138</v>
      </c>
    </row>
    <row r="1077" spans="1:7" hidden="1">
      <c r="A1077" s="36" t="s">
        <v>1291</v>
      </c>
      <c r="B1077" s="36" t="s">
        <v>314</v>
      </c>
      <c r="C1077" s="36" t="str">
        <f>_xlfn.CONCAT(Table4[[#This Row],[Ledger Name]],Table4[[#This Row],[Entity Name]])</f>
        <v>899GRExpora</v>
      </c>
      <c r="D1077" s="36" t="s">
        <v>936</v>
      </c>
      <c r="E1077" s="49" t="s">
        <v>152</v>
      </c>
      <c r="F1077" s="49" t="s">
        <v>93</v>
      </c>
      <c r="G1077" s="101" t="s">
        <v>138</v>
      </c>
    </row>
    <row r="1078" spans="1:7" hidden="1">
      <c r="A1078" s="36" t="s">
        <v>1292</v>
      </c>
      <c r="B1078" s="36" t="s">
        <v>314</v>
      </c>
      <c r="C1078" s="36" t="str">
        <f>_xlfn.CONCAT(Table4[[#This Row],[Ledger Name]],Table4[[#This Row],[Entity Name]])</f>
        <v>900GRExpora</v>
      </c>
      <c r="D1078" s="36" t="s">
        <v>936</v>
      </c>
      <c r="E1078" s="49" t="s">
        <v>152</v>
      </c>
      <c r="F1078" s="49" t="s">
        <v>93</v>
      </c>
      <c r="G1078" s="101" t="s">
        <v>138</v>
      </c>
    </row>
    <row r="1079" spans="1:7" hidden="1">
      <c r="A1079" s="36" t="s">
        <v>1293</v>
      </c>
      <c r="B1079" s="36" t="s">
        <v>314</v>
      </c>
      <c r="C1079" s="36" t="str">
        <f>_xlfn.CONCAT(Table4[[#This Row],[Ledger Name]],Table4[[#This Row],[Entity Name]])</f>
        <v>902GRExpora</v>
      </c>
      <c r="D1079" s="36" t="s">
        <v>936</v>
      </c>
      <c r="E1079" s="49" t="s">
        <v>152</v>
      </c>
      <c r="F1079" s="49" t="s">
        <v>93</v>
      </c>
      <c r="G1079" s="101" t="s">
        <v>138</v>
      </c>
    </row>
    <row r="1080" spans="1:7" hidden="1">
      <c r="A1080" s="36" t="s">
        <v>1294</v>
      </c>
      <c r="B1080" s="36" t="s">
        <v>314</v>
      </c>
      <c r="C1080" s="36" t="str">
        <f>_xlfn.CONCAT(Table4[[#This Row],[Ledger Name]],Table4[[#This Row],[Entity Name]])</f>
        <v>903GRExpora</v>
      </c>
      <c r="D1080" s="36" t="s">
        <v>936</v>
      </c>
      <c r="E1080" s="49" t="s">
        <v>152</v>
      </c>
      <c r="F1080" s="49" t="s">
        <v>93</v>
      </c>
      <c r="G1080" s="101" t="s">
        <v>138</v>
      </c>
    </row>
    <row r="1081" spans="1:7" hidden="1">
      <c r="A1081" s="36" t="s">
        <v>1295</v>
      </c>
      <c r="B1081" s="36" t="s">
        <v>314</v>
      </c>
      <c r="C1081" s="36" t="str">
        <f>_xlfn.CONCAT(Table4[[#This Row],[Ledger Name]],Table4[[#This Row],[Entity Name]])</f>
        <v>Ajit Shah ReimbursementExpora</v>
      </c>
      <c r="D1081" s="36" t="s">
        <v>936</v>
      </c>
      <c r="E1081" s="49" t="s">
        <v>152</v>
      </c>
      <c r="F1081" s="49" t="s">
        <v>8</v>
      </c>
      <c r="G1081" s="101" t="s">
        <v>84</v>
      </c>
    </row>
    <row r="1082" spans="1:7" hidden="1">
      <c r="A1082" s="36" t="s">
        <v>1296</v>
      </c>
      <c r="B1082" s="36" t="s">
        <v>314</v>
      </c>
      <c r="C1082" s="36" t="str">
        <f>_xlfn.CONCAT(Table4[[#This Row],[Ledger Name]],Table4[[#This Row],[Entity Name]])</f>
        <v>ASP/EXP/23-24/072Expora</v>
      </c>
      <c r="D1082" s="36" t="s">
        <v>936</v>
      </c>
      <c r="E1082" s="49" t="s">
        <v>152</v>
      </c>
      <c r="F1082" s="49" t="s">
        <v>93</v>
      </c>
      <c r="G1082" s="101" t="s">
        <v>138</v>
      </c>
    </row>
    <row r="1083" spans="1:7" hidden="1">
      <c r="A1083" s="36" t="s">
        <v>1297</v>
      </c>
      <c r="B1083" s="36" t="s">
        <v>314</v>
      </c>
      <c r="C1083" s="36" t="str">
        <f>_xlfn.CONCAT(Table4[[#This Row],[Ledger Name]],Table4[[#This Row],[Entity Name]])</f>
        <v>ASP/EXP23-24/071Expora</v>
      </c>
      <c r="D1083" s="36" t="s">
        <v>936</v>
      </c>
      <c r="E1083" s="49" t="s">
        <v>152</v>
      </c>
      <c r="F1083" s="49" t="s">
        <v>93</v>
      </c>
      <c r="G1083" s="101" t="s">
        <v>138</v>
      </c>
    </row>
    <row r="1084" spans="1:7" hidden="1">
      <c r="A1084" s="36" t="s">
        <v>1298</v>
      </c>
      <c r="B1084" s="36" t="s">
        <v>314</v>
      </c>
      <c r="C1084" s="36" t="str">
        <f>_xlfn.CONCAT(Table4[[#This Row],[Ledger Name]],Table4[[#This Row],[Entity Name]])</f>
        <v>BA 174Expora</v>
      </c>
      <c r="D1084" s="36" t="s">
        <v>936</v>
      </c>
      <c r="E1084" s="49" t="s">
        <v>152</v>
      </c>
      <c r="F1084" s="49" t="s">
        <v>93</v>
      </c>
      <c r="G1084" s="101" t="s">
        <v>138</v>
      </c>
    </row>
    <row r="1085" spans="1:7" hidden="1">
      <c r="A1085" s="36" t="s">
        <v>1299</v>
      </c>
      <c r="B1085" s="36" t="s">
        <v>314</v>
      </c>
      <c r="C1085" s="36" t="str">
        <f>_xlfn.CONCAT(Table4[[#This Row],[Ledger Name]],Table4[[#This Row],[Entity Name]])</f>
        <v>BA 220Expora</v>
      </c>
      <c r="D1085" s="36" t="s">
        <v>936</v>
      </c>
      <c r="E1085" s="49" t="s">
        <v>152</v>
      </c>
      <c r="F1085" s="49" t="s">
        <v>93</v>
      </c>
      <c r="G1085" s="101" t="s">
        <v>138</v>
      </c>
    </row>
    <row r="1086" spans="1:7" hidden="1">
      <c r="A1086" s="36" t="s">
        <v>1300</v>
      </c>
      <c r="B1086" s="36" t="s">
        <v>314</v>
      </c>
      <c r="C1086" s="36" t="str">
        <f>_xlfn.CONCAT(Table4[[#This Row],[Ledger Name]],Table4[[#This Row],[Entity Name]])</f>
        <v>BA 375Expora</v>
      </c>
      <c r="D1086" s="36" t="s">
        <v>936</v>
      </c>
      <c r="E1086" s="49" t="s">
        <v>152</v>
      </c>
      <c r="F1086" s="49" t="s">
        <v>93</v>
      </c>
      <c r="G1086" s="101" t="s">
        <v>138</v>
      </c>
    </row>
    <row r="1087" spans="1:7" hidden="1">
      <c r="A1087" s="36" t="s">
        <v>1301</v>
      </c>
      <c r="B1087" s="36" t="s">
        <v>314</v>
      </c>
      <c r="C1087" s="36" t="str">
        <f>_xlfn.CONCAT(Table4[[#This Row],[Ledger Name]],Table4[[#This Row],[Entity Name]])</f>
        <v>BA 426Expora</v>
      </c>
      <c r="D1087" s="36" t="s">
        <v>936</v>
      </c>
      <c r="E1087" s="49" t="s">
        <v>152</v>
      </c>
      <c r="F1087" s="49" t="s">
        <v>93</v>
      </c>
      <c r="G1087" s="101" t="s">
        <v>138</v>
      </c>
    </row>
    <row r="1088" spans="1:7" hidden="1">
      <c r="A1088" s="36" t="s">
        <v>1302</v>
      </c>
      <c r="B1088" s="36" t="s">
        <v>314</v>
      </c>
      <c r="C1088" s="36" t="str">
        <f>_xlfn.CONCAT(Table4[[#This Row],[Ledger Name]],Table4[[#This Row],[Entity Name]])</f>
        <v>BA 433Expora</v>
      </c>
      <c r="D1088" s="36" t="s">
        <v>936</v>
      </c>
      <c r="E1088" s="49" t="s">
        <v>152</v>
      </c>
      <c r="F1088" s="49" t="s">
        <v>93</v>
      </c>
      <c r="G1088" s="101" t="s">
        <v>138</v>
      </c>
    </row>
    <row r="1089" spans="1:7" hidden="1">
      <c r="A1089" s="36" t="s">
        <v>1303</v>
      </c>
      <c r="B1089" s="36" t="s">
        <v>314</v>
      </c>
      <c r="C1089" s="36" t="str">
        <f>_xlfn.CONCAT(Table4[[#This Row],[Ledger Name]],Table4[[#This Row],[Entity Name]])</f>
        <v>BA 437Expora</v>
      </c>
      <c r="D1089" s="36" t="s">
        <v>936</v>
      </c>
      <c r="E1089" s="49" t="s">
        <v>152</v>
      </c>
      <c r="F1089" s="49" t="s">
        <v>93</v>
      </c>
      <c r="G1089" s="101" t="s">
        <v>138</v>
      </c>
    </row>
    <row r="1090" spans="1:7" hidden="1">
      <c r="A1090" s="36" t="s">
        <v>1304</v>
      </c>
      <c r="B1090" s="36" t="s">
        <v>314</v>
      </c>
      <c r="C1090" s="36" t="str">
        <f>_xlfn.CONCAT(Table4[[#This Row],[Ledger Name]],Table4[[#This Row],[Entity Name]])</f>
        <v>BA-145,126,46,47,43Expora</v>
      </c>
      <c r="D1090" s="36" t="s">
        <v>936</v>
      </c>
      <c r="E1090" s="49" t="s">
        <v>152</v>
      </c>
      <c r="F1090" s="49" t="s">
        <v>93</v>
      </c>
      <c r="G1090" s="101" t="s">
        <v>138</v>
      </c>
    </row>
    <row r="1091" spans="1:7" hidden="1">
      <c r="A1091" s="36" t="s">
        <v>1305</v>
      </c>
      <c r="B1091" s="36" t="s">
        <v>314</v>
      </c>
      <c r="C1091" s="36" t="str">
        <f>_xlfn.CONCAT(Table4[[#This Row],[Ledger Name]],Table4[[#This Row],[Entity Name]])</f>
        <v>BA-384Expora</v>
      </c>
      <c r="D1091" s="36" t="s">
        <v>936</v>
      </c>
      <c r="E1091" s="49" t="s">
        <v>152</v>
      </c>
      <c r="F1091" s="49" t="s">
        <v>93</v>
      </c>
      <c r="G1091" s="101" t="s">
        <v>138</v>
      </c>
    </row>
    <row r="1092" spans="1:7" hidden="1">
      <c r="A1092" s="36" t="s">
        <v>1306</v>
      </c>
      <c r="B1092" s="36" t="s">
        <v>314</v>
      </c>
      <c r="C1092" s="36" t="str">
        <f>_xlfn.CONCAT(Table4[[#This Row],[Ledger Name]],Table4[[#This Row],[Entity Name]])</f>
        <v>BA-439Expora</v>
      </c>
      <c r="D1092" s="36" t="s">
        <v>936</v>
      </c>
      <c r="E1092" s="49" t="s">
        <v>152</v>
      </c>
      <c r="F1092" s="49" t="s">
        <v>93</v>
      </c>
      <c r="G1092" s="101" t="s">
        <v>138</v>
      </c>
    </row>
    <row r="1093" spans="1:7" hidden="1">
      <c r="A1093" s="36" t="s">
        <v>931</v>
      </c>
      <c r="B1093" s="36" t="s">
        <v>314</v>
      </c>
      <c r="C1093" s="36" t="str">
        <f>_xlfn.CONCAT(Table4[[#This Row],[Ledger Name]],Table4[[#This Row],[Entity Name]])</f>
        <v>PM-2402Expora</v>
      </c>
      <c r="D1093" s="36" t="s">
        <v>936</v>
      </c>
      <c r="E1093" s="49" t="s">
        <v>152</v>
      </c>
      <c r="F1093" s="49" t="s">
        <v>93</v>
      </c>
      <c r="G1093" s="101" t="s">
        <v>138</v>
      </c>
    </row>
    <row r="1094" spans="1:7" hidden="1">
      <c r="A1094" s="36" t="s">
        <v>1307</v>
      </c>
      <c r="B1094" s="36" t="s">
        <v>314</v>
      </c>
      <c r="C1094" s="36" t="str">
        <f>_xlfn.CONCAT(Table4[[#This Row],[Ledger Name]],Table4[[#This Row],[Entity Name]])</f>
        <v>TAEXP2425035Expora</v>
      </c>
      <c r="D1094" s="36" t="s">
        <v>936</v>
      </c>
      <c r="E1094" s="49" t="s">
        <v>152</v>
      </c>
      <c r="F1094" s="49" t="s">
        <v>93</v>
      </c>
      <c r="G1094" s="101" t="s">
        <v>138</v>
      </c>
    </row>
    <row r="1095" spans="1:7" hidden="1">
      <c r="A1095" s="36" t="s">
        <v>1308</v>
      </c>
      <c r="B1095" s="36" t="s">
        <v>314</v>
      </c>
      <c r="C1095" s="36" t="str">
        <f>_xlfn.CONCAT(Table4[[#This Row],[Ledger Name]],Table4[[#This Row],[Entity Name]])</f>
        <v>EX/004/24-25Expora</v>
      </c>
      <c r="D1095" s="36" t="s">
        <v>936</v>
      </c>
      <c r="E1095" s="49" t="s">
        <v>152</v>
      </c>
      <c r="F1095" s="49" t="s">
        <v>93</v>
      </c>
      <c r="G1095" s="101" t="s">
        <v>138</v>
      </c>
    </row>
    <row r="1096" spans="1:7" hidden="1">
      <c r="A1096" s="36" t="s">
        <v>1113</v>
      </c>
      <c r="B1096" s="36" t="s">
        <v>314</v>
      </c>
      <c r="C1096" s="36" t="str">
        <f>_xlfn.CONCAT(Table4[[#This Row],[Ledger Name]],Table4[[#This Row],[Entity Name]])</f>
        <v>FG24004AKMExpora</v>
      </c>
      <c r="D1096" s="36" t="s">
        <v>936</v>
      </c>
      <c r="E1096" s="49" t="s">
        <v>152</v>
      </c>
      <c r="F1096" s="49" t="s">
        <v>93</v>
      </c>
      <c r="G1096" s="101" t="s">
        <v>138</v>
      </c>
    </row>
    <row r="1097" spans="1:7" hidden="1">
      <c r="A1097" s="36" t="s">
        <v>1331</v>
      </c>
      <c r="B1097" s="36" t="s">
        <v>314</v>
      </c>
      <c r="C1097" s="36" t="str">
        <f>_xlfn.CONCAT(Table4[[#This Row],[Ledger Name]],Table4[[#This Row],[Entity Name]])</f>
        <v>BA-386Expora</v>
      </c>
      <c r="D1097" s="36" t="s">
        <v>936</v>
      </c>
      <c r="E1097" s="49" t="s">
        <v>152</v>
      </c>
      <c r="F1097" s="49" t="s">
        <v>93</v>
      </c>
      <c r="G1097" s="101" t="s">
        <v>138</v>
      </c>
    </row>
    <row r="1098" spans="1:7" hidden="1">
      <c r="A1098" s="36" t="s">
        <v>1332</v>
      </c>
      <c r="B1098" s="36" t="s">
        <v>314</v>
      </c>
      <c r="C1098" s="36" t="str">
        <f>_xlfn.CONCAT(Table4[[#This Row],[Ledger Name]],Table4[[#This Row],[Entity Name]])</f>
        <v>BA-426Expora</v>
      </c>
      <c r="D1098" s="36" t="s">
        <v>936</v>
      </c>
      <c r="E1098" s="49" t="s">
        <v>152</v>
      </c>
      <c r="F1098" s="49" t="s">
        <v>93</v>
      </c>
      <c r="G1098" s="101" t="s">
        <v>138</v>
      </c>
    </row>
    <row r="1099" spans="1:7" hidden="1">
      <c r="A1099" s="36" t="s">
        <v>1333</v>
      </c>
      <c r="B1099" s="36" t="s">
        <v>314</v>
      </c>
      <c r="C1099" s="36" t="str">
        <f>_xlfn.CONCAT(Table4[[#This Row],[Ledger Name]],Table4[[#This Row],[Entity Name]])</f>
        <v>BA-436Expora</v>
      </c>
      <c r="D1099" s="36" t="s">
        <v>936</v>
      </c>
      <c r="E1099" s="49" t="s">
        <v>152</v>
      </c>
      <c r="F1099" s="49" t="s">
        <v>93</v>
      </c>
      <c r="G1099" s="101" t="s">
        <v>138</v>
      </c>
    </row>
    <row r="1100" spans="1:7" hidden="1">
      <c r="A1100" s="36" t="s">
        <v>1334</v>
      </c>
      <c r="B1100" s="36" t="s">
        <v>314</v>
      </c>
      <c r="C1100" s="36" t="str">
        <f>_xlfn.CONCAT(Table4[[#This Row],[Ledger Name]],Table4[[#This Row],[Entity Name]])</f>
        <v>BA-437Expora</v>
      </c>
      <c r="D1100" s="36" t="s">
        <v>936</v>
      </c>
      <c r="E1100" s="49" t="s">
        <v>152</v>
      </c>
      <c r="F1100" s="49" t="s">
        <v>93</v>
      </c>
      <c r="G1100" s="101" t="s">
        <v>138</v>
      </c>
    </row>
    <row r="1101" spans="1:7" hidden="1">
      <c r="A1101" s="36" t="s">
        <v>1335</v>
      </c>
      <c r="B1101" s="36" t="s">
        <v>314</v>
      </c>
      <c r="C1101" s="36" t="str">
        <f>_xlfn.CONCAT(Table4[[#This Row],[Ledger Name]],Table4[[#This Row],[Entity Name]])</f>
        <v>BA-462Expora</v>
      </c>
      <c r="D1101" s="36" t="s">
        <v>936</v>
      </c>
      <c r="E1101" s="49" t="s">
        <v>152</v>
      </c>
      <c r="F1101" s="49" t="s">
        <v>93</v>
      </c>
      <c r="G1101" s="101" t="s">
        <v>138</v>
      </c>
    </row>
    <row r="1102" spans="1:7" hidden="1">
      <c r="A1102" s="36" t="s">
        <v>1329</v>
      </c>
      <c r="B1102" s="36" t="s">
        <v>314</v>
      </c>
      <c r="C1102" s="36" t="str">
        <f>_xlfn.CONCAT(Table4[[#This Row],[Ledger Name]],Table4[[#This Row],[Entity Name]])</f>
        <v>TAEXP2425-043Expora</v>
      </c>
      <c r="D1102" s="36" t="s">
        <v>936</v>
      </c>
      <c r="E1102" s="49" t="s">
        <v>152</v>
      </c>
      <c r="F1102" s="49" t="s">
        <v>93</v>
      </c>
      <c r="G1102" s="101" t="s">
        <v>138</v>
      </c>
    </row>
    <row r="1103" spans="1:7" hidden="1">
      <c r="A1103" s="36" t="s">
        <v>1328</v>
      </c>
      <c r="B1103" s="36" t="s">
        <v>314</v>
      </c>
      <c r="C1103" s="36" t="str">
        <f>_xlfn.CONCAT(Table4[[#This Row],[Ledger Name]],Table4[[#This Row],[Entity Name]])</f>
        <v>TAEXP2425/044Expora</v>
      </c>
      <c r="D1103" s="36" t="s">
        <v>936</v>
      </c>
      <c r="E1103" s="49" t="s">
        <v>152</v>
      </c>
      <c r="F1103" s="49" t="s">
        <v>93</v>
      </c>
      <c r="G1103" s="101" t="s">
        <v>138</v>
      </c>
    </row>
    <row r="1104" spans="1:7" hidden="1">
      <c r="A1104" s="36" t="s">
        <v>1323</v>
      </c>
      <c r="B1104" s="36" t="s">
        <v>314</v>
      </c>
      <c r="C1104" s="36" t="str">
        <f>_xlfn.CONCAT(Table4[[#This Row],[Ledger Name]],Table4[[#This Row],[Entity Name]])</f>
        <v>TAEXP2425036Expora</v>
      </c>
      <c r="D1104" s="36" t="s">
        <v>936</v>
      </c>
      <c r="E1104" s="49" t="s">
        <v>152</v>
      </c>
      <c r="F1104" s="49" t="s">
        <v>93</v>
      </c>
      <c r="G1104" s="101" t="s">
        <v>138</v>
      </c>
    </row>
    <row r="1105" spans="1:14" hidden="1">
      <c r="A1105" s="36" t="s">
        <v>1336</v>
      </c>
      <c r="B1105" s="36" t="s">
        <v>314</v>
      </c>
      <c r="C1105" s="36" t="str">
        <f>_xlfn.CONCAT(Table4[[#This Row],[Ledger Name]],Table4[[#This Row],[Entity Name]])</f>
        <v>TAEXP2425136Expora</v>
      </c>
      <c r="D1105" s="36" t="s">
        <v>936</v>
      </c>
      <c r="E1105" s="49" t="s">
        <v>152</v>
      </c>
      <c r="F1105" s="49" t="s">
        <v>93</v>
      </c>
      <c r="G1105" s="101" t="s">
        <v>138</v>
      </c>
    </row>
    <row r="1106" spans="1:14" hidden="1">
      <c r="A1106" s="36" t="s">
        <v>1337</v>
      </c>
      <c r="B1106" s="36" t="s">
        <v>314</v>
      </c>
      <c r="C1106" s="36" t="str">
        <f>_xlfn.CONCAT(Table4[[#This Row],[Ledger Name]],Table4[[#This Row],[Entity Name]])</f>
        <v>TAEXP2425142Expora</v>
      </c>
      <c r="D1106" s="36" t="s">
        <v>936</v>
      </c>
      <c r="E1106" s="49" t="s">
        <v>152</v>
      </c>
      <c r="F1106" s="49" t="s">
        <v>93</v>
      </c>
      <c r="G1106" s="101" t="s">
        <v>138</v>
      </c>
    </row>
    <row r="1107" spans="1:14" hidden="1">
      <c r="A1107" s="36" t="s">
        <v>1338</v>
      </c>
      <c r="B1107" s="36" t="s">
        <v>314</v>
      </c>
      <c r="C1107" s="36" t="str">
        <f>_xlfn.CONCAT(Table4[[#This Row],[Ledger Name]],Table4[[#This Row],[Entity Name]])</f>
        <v>TAEXP2425143Expora</v>
      </c>
      <c r="D1107" s="36" t="s">
        <v>936</v>
      </c>
      <c r="E1107" s="49" t="s">
        <v>152</v>
      </c>
      <c r="F1107" s="49" t="s">
        <v>93</v>
      </c>
      <c r="G1107" s="101" t="s">
        <v>138</v>
      </c>
    </row>
    <row r="1108" spans="1:14" hidden="1">
      <c r="A1108" s="36" t="s">
        <v>1339</v>
      </c>
      <c r="B1108" s="36" t="s">
        <v>314</v>
      </c>
      <c r="C1108" s="36" t="str">
        <f>_xlfn.CONCAT(Table4[[#This Row],[Ledger Name]],Table4[[#This Row],[Entity Name]])</f>
        <v>Expenses InventorisationExpora</v>
      </c>
      <c r="D1108" s="36" t="s">
        <v>936</v>
      </c>
      <c r="E1108" s="49" t="s">
        <v>152</v>
      </c>
      <c r="F1108" s="49" t="s">
        <v>93</v>
      </c>
      <c r="G1108" s="101" t="s">
        <v>138</v>
      </c>
    </row>
    <row r="1109" spans="1:14" hidden="1">
      <c r="A1109" s="36" t="s">
        <v>1340</v>
      </c>
      <c r="B1109" s="36" t="s">
        <v>314</v>
      </c>
      <c r="C1109" s="36" t="str">
        <f>_xlfn.CONCAT(Table4[[#This Row],[Ledger Name]],Table4[[#This Row],[Entity Name]])</f>
        <v>BA-165Expora</v>
      </c>
      <c r="D1109" s="36" t="s">
        <v>936</v>
      </c>
      <c r="E1109" s="49" t="s">
        <v>152</v>
      </c>
      <c r="F1109" s="49" t="s">
        <v>93</v>
      </c>
      <c r="G1109" s="101" t="s">
        <v>138</v>
      </c>
      <c r="N1109" s="53" t="e">
        <f>VLOOKUP(Table4[[#This Row],[Ledger Name]],#REF!,5,)</f>
        <v>#REF!</v>
      </c>
    </row>
    <row r="1110" spans="1:14" hidden="1">
      <c r="A1110" s="36" t="s">
        <v>1341</v>
      </c>
      <c r="B1110" s="36" t="s">
        <v>314</v>
      </c>
      <c r="C1110" s="36" t="str">
        <f>_xlfn.CONCAT(Table4[[#This Row],[Ledger Name]],Table4[[#This Row],[Entity Name]])</f>
        <v>Prior PeriodExpora</v>
      </c>
      <c r="D1110" s="36" t="s">
        <v>936</v>
      </c>
      <c r="E1110" s="49" t="s">
        <v>152</v>
      </c>
      <c r="F1110" s="49" t="s">
        <v>93</v>
      </c>
      <c r="G1110" s="101" t="s">
        <v>138</v>
      </c>
    </row>
    <row r="1111" spans="1:14" hidden="1">
      <c r="A1111" s="36" t="s">
        <v>1327</v>
      </c>
      <c r="B1111" s="36" t="s">
        <v>314</v>
      </c>
      <c r="C1111" s="36" t="str">
        <f>_xlfn.CONCAT(Table4[[#This Row],[Ledger Name]],Table4[[#This Row],[Entity Name]])</f>
        <v>TAEXP2425043Expora</v>
      </c>
      <c r="D1111" s="36" t="s">
        <v>936</v>
      </c>
      <c r="E1111" s="49" t="s">
        <v>152</v>
      </c>
      <c r="F1111" s="49" t="s">
        <v>93</v>
      </c>
      <c r="G1111" s="101" t="s">
        <v>138</v>
      </c>
      <c r="H1111" s="53" t="s">
        <v>1344</v>
      </c>
      <c r="N1111" s="53" t="e">
        <f>VLOOKUP(Table4[[#This Row],[Ledger Name]],#REF!,5,)</f>
        <v>#REF!</v>
      </c>
    </row>
    <row r="1112" spans="1:14" hidden="1">
      <c r="A1112" s="36" t="s">
        <v>1106</v>
      </c>
      <c r="B1112" s="36" t="s">
        <v>314</v>
      </c>
      <c r="C1112" s="36" t="str">
        <f>_xlfn.CONCAT(Table4[[#This Row],[Ledger Name]],Table4[[#This Row],[Entity Name]])</f>
        <v>TALOC2425103Expora</v>
      </c>
      <c r="D1112" s="36" t="s">
        <v>936</v>
      </c>
      <c r="E1112" s="49" t="s">
        <v>152</v>
      </c>
      <c r="F1112" s="49" t="s">
        <v>93</v>
      </c>
      <c r="G1112" s="101" t="s">
        <v>138</v>
      </c>
      <c r="H1112" s="53" t="s">
        <v>1345</v>
      </c>
    </row>
    <row r="1113" spans="1:14" hidden="1">
      <c r="A1113" s="36" t="s">
        <v>1107</v>
      </c>
      <c r="B1113" s="36" t="s">
        <v>314</v>
      </c>
      <c r="C1113" s="36" t="str">
        <f>_xlfn.CONCAT(Table4[[#This Row],[Ledger Name]],Table4[[#This Row],[Entity Name]])</f>
        <v>TALOC2425104Expora</v>
      </c>
      <c r="D1113" s="36" t="s">
        <v>936</v>
      </c>
      <c r="E1113" s="49" t="s">
        <v>152</v>
      </c>
      <c r="F1113" s="49" t="s">
        <v>93</v>
      </c>
      <c r="G1113" s="101" t="s">
        <v>138</v>
      </c>
      <c r="H1113" s="53" t="s">
        <v>1345</v>
      </c>
    </row>
    <row r="1114" spans="1:14" hidden="1">
      <c r="A1114" s="36" t="s">
        <v>1108</v>
      </c>
      <c r="B1114" s="36" t="s">
        <v>314</v>
      </c>
      <c r="C1114" s="36" t="str">
        <f>_xlfn.CONCAT(Table4[[#This Row],[Ledger Name]],Table4[[#This Row],[Entity Name]])</f>
        <v>TALOC2425105Expora</v>
      </c>
      <c r="D1114" s="36" t="s">
        <v>936</v>
      </c>
      <c r="E1114" s="49" t="s">
        <v>152</v>
      </c>
      <c r="F1114" s="49" t="s">
        <v>93</v>
      </c>
      <c r="G1114" s="101" t="s">
        <v>138</v>
      </c>
      <c r="H1114" s="53" t="s">
        <v>1345</v>
      </c>
    </row>
    <row r="1115" spans="1:14" hidden="1">
      <c r="A1115" s="36" t="s">
        <v>1186</v>
      </c>
      <c r="B1115" s="36" t="s">
        <v>314</v>
      </c>
      <c r="C1115" s="36" t="str">
        <f>_xlfn.CONCAT(Table4[[#This Row],[Ledger Name]],Table4[[#This Row],[Entity Name]])</f>
        <v>TALOC2425119Expora</v>
      </c>
      <c r="D1115" s="36" t="s">
        <v>936</v>
      </c>
      <c r="E1115" s="49" t="s">
        <v>152</v>
      </c>
      <c r="F1115" s="49" t="s">
        <v>93</v>
      </c>
      <c r="G1115" s="101" t="s">
        <v>138</v>
      </c>
      <c r="H1115" s="53" t="s">
        <v>1346</v>
      </c>
    </row>
    <row r="1116" spans="1:14" hidden="1">
      <c r="A1116" s="36" t="s">
        <v>1214</v>
      </c>
      <c r="B1116" s="36" t="s">
        <v>314</v>
      </c>
      <c r="C1116" s="36" t="str">
        <f>_xlfn.CONCAT(Table4[[#This Row],[Ledger Name]],Table4[[#This Row],[Entity Name]])</f>
        <v>TALOC2425132Expora</v>
      </c>
      <c r="D1116" s="36" t="s">
        <v>936</v>
      </c>
      <c r="E1116" s="49" t="s">
        <v>152</v>
      </c>
      <c r="F1116" s="49" t="s">
        <v>93</v>
      </c>
      <c r="G1116" s="101" t="s">
        <v>138</v>
      </c>
      <c r="H1116" s="53" t="s">
        <v>1347</v>
      </c>
    </row>
    <row r="1117" spans="1:14" hidden="1">
      <c r="A1117" s="36" t="s">
        <v>1215</v>
      </c>
      <c r="B1117" s="36" t="s">
        <v>314</v>
      </c>
      <c r="C1117" s="36" t="str">
        <f>_xlfn.CONCAT(Table4[[#This Row],[Ledger Name]],Table4[[#This Row],[Entity Name]])</f>
        <v>TALOC2425133Expora</v>
      </c>
      <c r="D1117" s="36" t="s">
        <v>936</v>
      </c>
      <c r="E1117" s="49" t="s">
        <v>152</v>
      </c>
      <c r="F1117" s="49" t="s">
        <v>93</v>
      </c>
      <c r="G1117" s="101" t="s">
        <v>138</v>
      </c>
      <c r="H1117" s="53" t="s">
        <v>1347</v>
      </c>
    </row>
    <row r="1118" spans="1:14" hidden="1">
      <c r="A1118" s="36" t="s">
        <v>1216</v>
      </c>
      <c r="B1118" s="36" t="s">
        <v>314</v>
      </c>
      <c r="C1118" s="36" t="str">
        <f>_xlfn.CONCAT(Table4[[#This Row],[Ledger Name]],Table4[[#This Row],[Entity Name]])</f>
        <v>TALOC2425134Expora</v>
      </c>
      <c r="D1118" s="36" t="s">
        <v>936</v>
      </c>
      <c r="E1118" s="49" t="s">
        <v>152</v>
      </c>
      <c r="F1118" s="49" t="s">
        <v>93</v>
      </c>
      <c r="G1118" s="101" t="s">
        <v>138</v>
      </c>
      <c r="H1118" s="53" t="s">
        <v>1347</v>
      </c>
    </row>
    <row r="1119" spans="1:14" hidden="1">
      <c r="A1119" s="36" t="s">
        <v>1217</v>
      </c>
      <c r="B1119" s="36" t="s">
        <v>314</v>
      </c>
      <c r="C1119" s="36" t="str">
        <f>_xlfn.CONCAT(Table4[[#This Row],[Ledger Name]],Table4[[#This Row],[Entity Name]])</f>
        <v>TALOC2425135Expora</v>
      </c>
      <c r="D1119" s="36" t="s">
        <v>936</v>
      </c>
      <c r="E1119" s="49" t="s">
        <v>152</v>
      </c>
      <c r="F1119" s="49" t="s">
        <v>93</v>
      </c>
      <c r="G1119" s="101" t="s">
        <v>138</v>
      </c>
      <c r="H1119" s="53" t="s">
        <v>1347</v>
      </c>
    </row>
    <row r="1120" spans="1:14" hidden="1">
      <c r="A1120" s="36" t="s">
        <v>1319</v>
      </c>
      <c r="B1120" s="36" t="s">
        <v>314</v>
      </c>
      <c r="C1120" s="36" t="str">
        <f>_xlfn.CONCAT(Table4[[#This Row],[Ledger Name]],Table4[[#This Row],[Entity Name]])</f>
        <v>TALOC2425136Expora</v>
      </c>
      <c r="D1120" s="36" t="s">
        <v>936</v>
      </c>
      <c r="E1120" s="49" t="s">
        <v>152</v>
      </c>
      <c r="F1120" s="49" t="s">
        <v>93</v>
      </c>
      <c r="G1120" s="101" t="s">
        <v>138</v>
      </c>
      <c r="H1120" s="53" t="s">
        <v>1348</v>
      </c>
    </row>
    <row r="1121" spans="1:14" hidden="1">
      <c r="A1121" s="36" t="s">
        <v>1320</v>
      </c>
      <c r="B1121" s="36" t="s">
        <v>314</v>
      </c>
      <c r="C1121" s="36" t="str">
        <f>_xlfn.CONCAT(Table4[[#This Row],[Ledger Name]],Table4[[#This Row],[Entity Name]])</f>
        <v>TALOC2425138Expora</v>
      </c>
      <c r="D1121" s="36" t="s">
        <v>936</v>
      </c>
      <c r="E1121" s="49" t="s">
        <v>152</v>
      </c>
      <c r="F1121" s="49" t="s">
        <v>93</v>
      </c>
      <c r="G1121" s="101" t="s">
        <v>138</v>
      </c>
      <c r="H1121" s="53" t="s">
        <v>1348</v>
      </c>
    </row>
    <row r="1122" spans="1:14" hidden="1">
      <c r="A1122" s="36" t="s">
        <v>1322</v>
      </c>
      <c r="B1122" s="36" t="s">
        <v>314</v>
      </c>
      <c r="C1122" s="36" t="str">
        <f>_xlfn.CONCAT(Table4[[#This Row],[Ledger Name]],Table4[[#This Row],[Entity Name]])</f>
        <v>TALOC2425139Expora</v>
      </c>
      <c r="D1122" s="36" t="s">
        <v>936</v>
      </c>
      <c r="E1122" s="49" t="s">
        <v>152</v>
      </c>
      <c r="F1122" s="49" t="s">
        <v>93</v>
      </c>
      <c r="G1122" s="101" t="s">
        <v>138</v>
      </c>
      <c r="H1122" s="53" t="s">
        <v>1348</v>
      </c>
    </row>
    <row r="1123" spans="1:14" hidden="1">
      <c r="A1123" s="36" t="s">
        <v>1321</v>
      </c>
      <c r="B1123" s="36" t="s">
        <v>314</v>
      </c>
      <c r="C1123" s="36" t="str">
        <f>_xlfn.CONCAT(Table4[[#This Row],[Ledger Name]],Table4[[#This Row],[Entity Name]])</f>
        <v>TALOC2425140Expora</v>
      </c>
      <c r="D1123" s="36" t="s">
        <v>936</v>
      </c>
      <c r="E1123" s="49" t="s">
        <v>152</v>
      </c>
      <c r="F1123" s="49" t="s">
        <v>93</v>
      </c>
      <c r="G1123" s="101" t="s">
        <v>138</v>
      </c>
      <c r="H1123" s="53" t="s">
        <v>1348</v>
      </c>
    </row>
    <row r="1124" spans="1:14" hidden="1">
      <c r="A1124" s="36" t="s">
        <v>1324</v>
      </c>
      <c r="B1124" s="36" t="s">
        <v>314</v>
      </c>
      <c r="C1124" s="36" t="str">
        <f>_xlfn.CONCAT(Table4[[#This Row],[Ledger Name]],Table4[[#This Row],[Entity Name]])</f>
        <v>TALOC2425143Expora</v>
      </c>
      <c r="D1124" s="36" t="s">
        <v>936</v>
      </c>
      <c r="E1124" s="49" t="s">
        <v>152</v>
      </c>
      <c r="F1124" s="49" t="s">
        <v>93</v>
      </c>
      <c r="G1124" s="101" t="s">
        <v>138</v>
      </c>
      <c r="H1124" s="53" t="s">
        <v>1348</v>
      </c>
    </row>
    <row r="1125" spans="1:14" hidden="1">
      <c r="A1125" s="36" t="s">
        <v>1325</v>
      </c>
      <c r="B1125" s="36" t="s">
        <v>314</v>
      </c>
      <c r="C1125" s="36" t="str">
        <f>_xlfn.CONCAT(Table4[[#This Row],[Ledger Name]],Table4[[#This Row],[Entity Name]])</f>
        <v>TALOC2425144Expora</v>
      </c>
      <c r="D1125" s="36" t="s">
        <v>936</v>
      </c>
      <c r="E1125" s="49" t="s">
        <v>152</v>
      </c>
      <c r="F1125" s="49" t="s">
        <v>93</v>
      </c>
      <c r="G1125" s="101" t="s">
        <v>138</v>
      </c>
      <c r="H1125" s="53" t="s">
        <v>1348</v>
      </c>
    </row>
    <row r="1126" spans="1:14" hidden="1">
      <c r="A1126" s="36" t="s">
        <v>1326</v>
      </c>
      <c r="B1126" s="36" t="s">
        <v>314</v>
      </c>
      <c r="C1126" s="36" t="str">
        <f>_xlfn.CONCAT(Table4[[#This Row],[Ledger Name]],Table4[[#This Row],[Entity Name]])</f>
        <v>TALOC2425145Expora</v>
      </c>
      <c r="D1126" s="36" t="s">
        <v>936</v>
      </c>
      <c r="E1126" s="49" t="s">
        <v>152</v>
      </c>
      <c r="F1126" s="49" t="s">
        <v>93</v>
      </c>
      <c r="G1126" s="101" t="s">
        <v>138</v>
      </c>
      <c r="H1126" s="53" t="s">
        <v>1348</v>
      </c>
    </row>
    <row r="1127" spans="1:14" hidden="1">
      <c r="A1127" s="36" t="s">
        <v>1342</v>
      </c>
      <c r="B1127" s="36" t="s">
        <v>314</v>
      </c>
      <c r="C1127" s="36" t="str">
        <f>_xlfn.CONCAT(Table4[[#This Row],[Ledger Name]],Table4[[#This Row],[Entity Name]])</f>
        <v>TALOC2425156Expora</v>
      </c>
      <c r="D1127" s="36" t="s">
        <v>936</v>
      </c>
      <c r="E1127" s="49" t="s">
        <v>152</v>
      </c>
      <c r="F1127" s="49" t="s">
        <v>93</v>
      </c>
      <c r="G1127" s="101" t="s">
        <v>138</v>
      </c>
      <c r="N1127" s="53" t="e">
        <f>VLOOKUP(Table4[[#This Row],[Ledger Name]],#REF!,5,)</f>
        <v>#REF!</v>
      </c>
    </row>
    <row r="1128" spans="1:14" hidden="1">
      <c r="A1128" s="36" t="s">
        <v>1343</v>
      </c>
      <c r="B1128" s="36" t="s">
        <v>314</v>
      </c>
      <c r="C1128" s="36" t="str">
        <f>_xlfn.CONCAT(Table4[[#This Row],[Ledger Name]],Table4[[#This Row],[Entity Name]])</f>
        <v>Warehouse Rent - DirectExpora</v>
      </c>
      <c r="D1128" s="36" t="s">
        <v>936</v>
      </c>
      <c r="E1128" s="49" t="s">
        <v>152</v>
      </c>
      <c r="F1128" s="49" t="s">
        <v>93</v>
      </c>
      <c r="G1128" s="101" t="s">
        <v>138</v>
      </c>
    </row>
    <row r="1129" spans="1:14" hidden="1">
      <c r="A1129" s="55" t="s">
        <v>1349</v>
      </c>
      <c r="B1129" s="36" t="s">
        <v>314</v>
      </c>
      <c r="C1129" s="36" t="str">
        <f>_xlfn.CONCAT(Table4[[#This Row],[Ledger Name]],Table4[[#This Row],[Entity Name]])</f>
        <v>Prior Month ExpsExpora</v>
      </c>
      <c r="D1129" s="36" t="s">
        <v>936</v>
      </c>
      <c r="E1129" s="49" t="s">
        <v>152</v>
      </c>
      <c r="F1129" s="49" t="s">
        <v>93</v>
      </c>
      <c r="G1129" s="101" t="s">
        <v>138</v>
      </c>
      <c r="H1129" s="36"/>
      <c r="I1129" s="36"/>
      <c r="J1129" s="36"/>
      <c r="K1129" s="36"/>
      <c r="L1129" s="36"/>
      <c r="M1129" s="36"/>
      <c r="N1129" s="53" t="e">
        <f>SUM(N1109:N1127)</f>
        <v>#REF!</v>
      </c>
    </row>
    <row r="1130" spans="1:14" hidden="1">
      <c r="A1130" s="36" t="s">
        <v>1350</v>
      </c>
      <c r="B1130" s="36" t="s">
        <v>314</v>
      </c>
      <c r="C1130" s="36" t="str">
        <f>_xlfn.CONCAT(Table4[[#This Row],[Ledger Name]],Table4[[#This Row],[Entity Name]])</f>
        <v>APPLE I PAD 10.9" 64GB BLUE MPQ13HN/AExpora</v>
      </c>
      <c r="D1130" s="36" t="s">
        <v>936</v>
      </c>
      <c r="E1130" s="49" t="s">
        <v>746</v>
      </c>
      <c r="F1130" s="49" t="s">
        <v>346</v>
      </c>
      <c r="G1130" s="182" t="s">
        <v>346</v>
      </c>
    </row>
    <row r="1131" spans="1:14" hidden="1">
      <c r="A1131" s="36" t="s">
        <v>343</v>
      </c>
      <c r="B1131" s="36" t="s">
        <v>314</v>
      </c>
      <c r="C1131" s="36" t="str">
        <f>_xlfn.CONCAT(Table4[[#This Row],[Ledger Name]],Table4[[#This Row],[Entity Name]])</f>
        <v>Consultant ReimbursementExpora</v>
      </c>
      <c r="D1131" s="162" t="s">
        <v>936</v>
      </c>
      <c r="E1131" s="163" t="s">
        <v>746</v>
      </c>
      <c r="F1131" s="163" t="s">
        <v>195</v>
      </c>
      <c r="G1131" s="6" t="s">
        <v>1625</v>
      </c>
    </row>
    <row r="1132" spans="1:14" hidden="1">
      <c r="A1132" s="36" t="s">
        <v>1351</v>
      </c>
      <c r="B1132" s="36" t="s">
        <v>314</v>
      </c>
      <c r="C1132" s="36" t="str">
        <f>_xlfn.CONCAT(Table4[[#This Row],[Ledger Name]],Table4[[#This Row],[Entity Name]])</f>
        <v>Siddh ReimbursementExpora</v>
      </c>
      <c r="D1132" s="162" t="s">
        <v>936</v>
      </c>
      <c r="E1132" s="163" t="s">
        <v>746</v>
      </c>
      <c r="F1132" s="163" t="s">
        <v>195</v>
      </c>
      <c r="G1132" s="6" t="s">
        <v>1625</v>
      </c>
    </row>
    <row r="1133" spans="1:14" hidden="1">
      <c r="A1133" s="36" t="s">
        <v>387</v>
      </c>
      <c r="B1133" s="36" t="s">
        <v>314</v>
      </c>
      <c r="C1133" s="36" t="str">
        <f>_xlfn.CONCAT(Table4[[#This Row],[Ledger Name]],Table4[[#This Row],[Entity Name]])</f>
        <v>Custom Duty PayableExpora</v>
      </c>
      <c r="D1133" s="162" t="s">
        <v>936</v>
      </c>
      <c r="E1133" s="163" t="s">
        <v>746</v>
      </c>
      <c r="F1133" s="163" t="s">
        <v>195</v>
      </c>
      <c r="G1133" s="6" t="s">
        <v>63</v>
      </c>
    </row>
    <row r="1134" spans="1:14" hidden="1">
      <c r="A1134" s="36" t="s">
        <v>140</v>
      </c>
      <c r="B1134" s="36" t="s">
        <v>314</v>
      </c>
      <c r="C1134" s="36" t="str">
        <f>_xlfn.CONCAT(Table4[[#This Row],[Ledger Name]],Table4[[#This Row],[Entity Name]])</f>
        <v>Niket ReimbursementExpora</v>
      </c>
      <c r="D1134" s="162" t="s">
        <v>936</v>
      </c>
      <c r="E1134" s="163" t="s">
        <v>746</v>
      </c>
      <c r="F1134" s="163" t="s">
        <v>195</v>
      </c>
      <c r="G1134" s="6" t="s">
        <v>1625</v>
      </c>
    </row>
    <row r="1135" spans="1:14" hidden="1">
      <c r="A1135" s="36" t="s">
        <v>1352</v>
      </c>
      <c r="B1135" s="36" t="s">
        <v>314</v>
      </c>
      <c r="C1135" s="36" t="str">
        <f>_xlfn.CONCAT(Table4[[#This Row],[Ledger Name]],Table4[[#This Row],[Entity Name]])</f>
        <v>Ram ReimbursementExpora</v>
      </c>
      <c r="D1135" s="162" t="s">
        <v>936</v>
      </c>
      <c r="E1135" s="163" t="s">
        <v>746</v>
      </c>
      <c r="F1135" s="163" t="s">
        <v>195</v>
      </c>
      <c r="G1135" s="6" t="s">
        <v>1625</v>
      </c>
    </row>
    <row r="1136" spans="1:14" hidden="1">
      <c r="A1136" s="36" t="s">
        <v>1353</v>
      </c>
      <c r="B1136" s="36" t="s">
        <v>314</v>
      </c>
      <c r="C1136" s="36" t="str">
        <f>_xlfn.CONCAT(Table4[[#This Row],[Ledger Name]],Table4[[#This Row],[Entity Name]])</f>
        <v>PC D13578009Expora</v>
      </c>
      <c r="D1136" s="36" t="s">
        <v>936</v>
      </c>
      <c r="E1136" s="49" t="s">
        <v>746</v>
      </c>
      <c r="F1136" s="49" t="s">
        <v>345</v>
      </c>
      <c r="G1136" s="101" t="s">
        <v>278</v>
      </c>
    </row>
    <row r="1137" spans="1:7" hidden="1">
      <c r="A1137" s="36" t="s">
        <v>1354</v>
      </c>
      <c r="B1137" s="36" t="s">
        <v>314</v>
      </c>
      <c r="C1137" s="36" t="str">
        <f>_xlfn.CONCAT(Table4[[#This Row],[Ledger Name]],Table4[[#This Row],[Entity Name]])</f>
        <v>PC:D13588450Expora</v>
      </c>
      <c r="D1137" s="36" t="s">
        <v>936</v>
      </c>
      <c r="E1137" s="49" t="s">
        <v>746</v>
      </c>
      <c r="F1137" s="49" t="s">
        <v>345</v>
      </c>
      <c r="G1137" s="101" t="s">
        <v>278</v>
      </c>
    </row>
    <row r="1138" spans="1:7" hidden="1">
      <c r="A1138" s="36" t="s">
        <v>1355</v>
      </c>
      <c r="B1138" s="36" t="s">
        <v>314</v>
      </c>
      <c r="C1138" s="36" t="str">
        <f>_xlfn.CONCAT(Table4[[#This Row],[Ledger Name]],Table4[[#This Row],[Entity Name]])</f>
        <v>PC:D13599262Expora</v>
      </c>
      <c r="D1138" s="36" t="s">
        <v>936</v>
      </c>
      <c r="E1138" s="49" t="s">
        <v>746</v>
      </c>
      <c r="F1138" s="49" t="s">
        <v>345</v>
      </c>
      <c r="G1138" s="101" t="s">
        <v>278</v>
      </c>
    </row>
    <row r="1139" spans="1:7" hidden="1">
      <c r="A1139" s="178" t="s">
        <v>1494</v>
      </c>
      <c r="B1139" s="36" t="s">
        <v>314</v>
      </c>
      <c r="C1139" s="36" t="str">
        <f>_xlfn.CONCAT(Table4[[#This Row],[Ledger Name]],Table4[[#This Row],[Entity Name]])</f>
        <v>MLWF ExpenseExpora</v>
      </c>
      <c r="D1139" s="36" t="s">
        <v>936</v>
      </c>
      <c r="E1139" s="49" t="s">
        <v>152</v>
      </c>
      <c r="F1139" s="49" t="s">
        <v>2</v>
      </c>
      <c r="G1139" s="101" t="s">
        <v>128</v>
      </c>
    </row>
    <row r="1140" spans="1:7" hidden="1">
      <c r="A1140" s="36" t="s">
        <v>1356</v>
      </c>
      <c r="B1140" s="36" t="s">
        <v>314</v>
      </c>
      <c r="C1140" s="36" t="str">
        <f>_xlfn.CONCAT(Table4[[#This Row],[Ledger Name]],Table4[[#This Row],[Entity Name]])</f>
        <v>MLWB PayableExpora</v>
      </c>
      <c r="D1140" s="162" t="s">
        <v>936</v>
      </c>
      <c r="E1140" s="163" t="s">
        <v>746</v>
      </c>
      <c r="F1140" s="163" t="s">
        <v>195</v>
      </c>
      <c r="G1140" s="6" t="s">
        <v>63</v>
      </c>
    </row>
    <row r="1141" spans="1:7" hidden="1">
      <c r="A1141" s="36" t="s">
        <v>398</v>
      </c>
      <c r="B1141" s="36" t="s">
        <v>314</v>
      </c>
      <c r="C1141" s="36" t="str">
        <f>_xlfn.CONCAT(Table4[[#This Row],[Ledger Name]],Table4[[#This Row],[Entity Name]])</f>
        <v>PF PayableExpora</v>
      </c>
      <c r="D1141" s="162" t="s">
        <v>936</v>
      </c>
      <c r="E1141" s="163" t="s">
        <v>746</v>
      </c>
      <c r="F1141" s="163" t="s">
        <v>195</v>
      </c>
      <c r="G1141" s="6" t="s">
        <v>63</v>
      </c>
    </row>
    <row r="1142" spans="1:7" hidden="1">
      <c r="A1142" s="36" t="s">
        <v>1357</v>
      </c>
      <c r="B1142" s="36" t="s">
        <v>314</v>
      </c>
      <c r="C1142" s="36" t="str">
        <f>_xlfn.CONCAT(Table4[[#This Row],[Ledger Name]],Table4[[#This Row],[Entity Name]])</f>
        <v>Duty Drawback incentiveExpora</v>
      </c>
      <c r="D1142" s="36" t="s">
        <v>936</v>
      </c>
      <c r="E1142" s="49" t="s">
        <v>152</v>
      </c>
      <c r="F1142" s="49" t="s">
        <v>189</v>
      </c>
      <c r="G1142" s="101" t="s">
        <v>163</v>
      </c>
    </row>
    <row r="1143" spans="1:7" hidden="1">
      <c r="A1143" s="36" t="s">
        <v>1358</v>
      </c>
      <c r="B1143" s="36" t="s">
        <v>314</v>
      </c>
      <c r="C1143" s="36" t="str">
        <f>_xlfn.CONCAT(Table4[[#This Row],[Ledger Name]],Table4[[#This Row],[Entity Name]])</f>
        <v>TAEXP2425042 DDBExpora</v>
      </c>
      <c r="D1143" s="36" t="s">
        <v>936</v>
      </c>
      <c r="E1143" s="49" t="s">
        <v>152</v>
      </c>
      <c r="F1143" s="49" t="s">
        <v>189</v>
      </c>
      <c r="G1143" s="101" t="s">
        <v>163</v>
      </c>
    </row>
    <row r="1144" spans="1:7" hidden="1">
      <c r="A1144" s="36" t="s">
        <v>1359</v>
      </c>
      <c r="B1144" s="36" t="s">
        <v>314</v>
      </c>
      <c r="C1144" s="36" t="str">
        <f>_xlfn.CONCAT(Table4[[#This Row],[Ledger Name]],Table4[[#This Row],[Entity Name]])</f>
        <v>TAEXP2425046 DDBExpora</v>
      </c>
      <c r="D1144" s="36" t="s">
        <v>936</v>
      </c>
      <c r="E1144" s="49" t="s">
        <v>152</v>
      </c>
      <c r="F1144" s="49" t="s">
        <v>189</v>
      </c>
      <c r="G1144" s="101" t="s">
        <v>163</v>
      </c>
    </row>
    <row r="1145" spans="1:7" hidden="1">
      <c r="A1145" s="36" t="s">
        <v>1360</v>
      </c>
      <c r="B1145" s="36" t="s">
        <v>314</v>
      </c>
      <c r="C1145" s="36" t="str">
        <f>_xlfn.CONCAT(Table4[[#This Row],[Ledger Name]],Table4[[#This Row],[Entity Name]])</f>
        <v>TAEXP2425051 DDBExpora</v>
      </c>
      <c r="D1145" s="36" t="s">
        <v>936</v>
      </c>
      <c r="E1145" s="49" t="s">
        <v>152</v>
      </c>
      <c r="F1145" s="49" t="s">
        <v>189</v>
      </c>
      <c r="G1145" s="101" t="s">
        <v>163</v>
      </c>
    </row>
    <row r="1146" spans="1:7" hidden="1">
      <c r="A1146" s="36" t="s">
        <v>1361</v>
      </c>
      <c r="B1146" s="36" t="s">
        <v>314</v>
      </c>
      <c r="C1146" s="36" t="str">
        <f>_xlfn.CONCAT(Table4[[#This Row],[Ledger Name]],Table4[[#This Row],[Entity Name]])</f>
        <v>TAEXP2425053 DDBExpora</v>
      </c>
      <c r="D1146" s="36" t="s">
        <v>936</v>
      </c>
      <c r="E1146" s="49" t="s">
        <v>152</v>
      </c>
      <c r="F1146" s="49" t="s">
        <v>189</v>
      </c>
      <c r="G1146" s="101" t="s">
        <v>163</v>
      </c>
    </row>
    <row r="1147" spans="1:7" hidden="1">
      <c r="A1147" s="36" t="s">
        <v>1362</v>
      </c>
      <c r="B1147" s="36" t="s">
        <v>314</v>
      </c>
      <c r="C1147" s="36" t="str">
        <f>_xlfn.CONCAT(Table4[[#This Row],[Ledger Name]],Table4[[#This Row],[Entity Name]])</f>
        <v>TAEXP2425054 DDBExpora</v>
      </c>
      <c r="D1147" s="36" t="s">
        <v>936</v>
      </c>
      <c r="E1147" s="49" t="s">
        <v>152</v>
      </c>
      <c r="F1147" s="49" t="s">
        <v>189</v>
      </c>
      <c r="G1147" s="101" t="s">
        <v>163</v>
      </c>
    </row>
    <row r="1148" spans="1:7" hidden="1">
      <c r="A1148" s="36" t="s">
        <v>1363</v>
      </c>
      <c r="B1148" s="36" t="s">
        <v>314</v>
      </c>
      <c r="C1148" s="36" t="str">
        <f>_xlfn.CONCAT(Table4[[#This Row],[Ledger Name]],Table4[[#This Row],[Entity Name]])</f>
        <v>TAEXP2425056 DDBExpora</v>
      </c>
      <c r="D1148" s="36" t="s">
        <v>936</v>
      </c>
      <c r="E1148" s="49" t="s">
        <v>152</v>
      </c>
      <c r="F1148" s="49" t="s">
        <v>189</v>
      </c>
      <c r="G1148" s="101" t="s">
        <v>163</v>
      </c>
    </row>
    <row r="1149" spans="1:7" hidden="1">
      <c r="A1149" s="36" t="s">
        <v>1364</v>
      </c>
      <c r="B1149" s="36" t="s">
        <v>314</v>
      </c>
      <c r="C1149" s="36" t="str">
        <f>_xlfn.CONCAT(Table4[[#This Row],[Ledger Name]],Table4[[#This Row],[Entity Name]])</f>
        <v>Rodtap incentiveExpora</v>
      </c>
      <c r="D1149" s="36" t="s">
        <v>936</v>
      </c>
      <c r="E1149" s="49" t="s">
        <v>152</v>
      </c>
      <c r="F1149" s="49" t="s">
        <v>189</v>
      </c>
      <c r="G1149" s="101" t="s">
        <v>313</v>
      </c>
    </row>
    <row r="1150" spans="1:7" hidden="1">
      <c r="A1150" s="36" t="s">
        <v>1365</v>
      </c>
      <c r="B1150" s="36" t="s">
        <v>314</v>
      </c>
      <c r="C1150" s="36" t="str">
        <f>_xlfn.CONCAT(Table4[[#This Row],[Ledger Name]],Table4[[#This Row],[Entity Name]])</f>
        <v>TAEXP2425061-RODTEP.Expora</v>
      </c>
      <c r="D1150" s="36" t="s">
        <v>936</v>
      </c>
      <c r="E1150" s="49" t="s">
        <v>152</v>
      </c>
      <c r="F1150" s="49" t="s">
        <v>189</v>
      </c>
      <c r="G1150" s="101" t="s">
        <v>313</v>
      </c>
    </row>
    <row r="1151" spans="1:7" hidden="1">
      <c r="A1151" s="36" t="s">
        <v>1366</v>
      </c>
      <c r="B1151" s="36" t="s">
        <v>314</v>
      </c>
      <c r="C1151" s="36" t="str">
        <f>_xlfn.CONCAT(Table4[[#This Row],[Ledger Name]],Table4[[#This Row],[Entity Name]])</f>
        <v>TAEXP2425042-RODTEPExpora</v>
      </c>
      <c r="D1151" s="36" t="s">
        <v>936</v>
      </c>
      <c r="E1151" s="49" t="s">
        <v>152</v>
      </c>
      <c r="F1151" s="49" t="s">
        <v>189</v>
      </c>
      <c r="G1151" s="101" t="s">
        <v>313</v>
      </c>
    </row>
    <row r="1152" spans="1:7" hidden="1">
      <c r="A1152" s="36" t="s">
        <v>1367</v>
      </c>
      <c r="B1152" s="36" t="s">
        <v>314</v>
      </c>
      <c r="C1152" s="36" t="str">
        <f>_xlfn.CONCAT(Table4[[#This Row],[Ledger Name]],Table4[[#This Row],[Entity Name]])</f>
        <v>TAEXP2425044-RODTEPExpora</v>
      </c>
      <c r="D1152" s="36" t="s">
        <v>936</v>
      </c>
      <c r="E1152" s="49" t="s">
        <v>152</v>
      </c>
      <c r="F1152" s="49" t="s">
        <v>189</v>
      </c>
      <c r="G1152" s="101" t="s">
        <v>313</v>
      </c>
    </row>
    <row r="1153" spans="1:7" hidden="1">
      <c r="A1153" s="36" t="s">
        <v>1368</v>
      </c>
      <c r="B1153" s="36" t="s">
        <v>314</v>
      </c>
      <c r="C1153" s="36" t="str">
        <f>_xlfn.CONCAT(Table4[[#This Row],[Ledger Name]],Table4[[#This Row],[Entity Name]])</f>
        <v>TAEXP2425045-RODTEPExpora</v>
      </c>
      <c r="D1153" s="36" t="s">
        <v>936</v>
      </c>
      <c r="E1153" s="49" t="s">
        <v>152</v>
      </c>
      <c r="F1153" s="49" t="s">
        <v>189</v>
      </c>
      <c r="G1153" s="101" t="s">
        <v>313</v>
      </c>
    </row>
    <row r="1154" spans="1:7" hidden="1">
      <c r="A1154" s="36" t="s">
        <v>1369</v>
      </c>
      <c r="B1154" s="36" t="s">
        <v>314</v>
      </c>
      <c r="C1154" s="36" t="str">
        <f>_xlfn.CONCAT(Table4[[#This Row],[Ledger Name]],Table4[[#This Row],[Entity Name]])</f>
        <v>TAEXP2425046-RODTEPExpora</v>
      </c>
      <c r="D1154" s="36" t="s">
        <v>936</v>
      </c>
      <c r="E1154" s="49" t="s">
        <v>152</v>
      </c>
      <c r="F1154" s="49" t="s">
        <v>189</v>
      </c>
      <c r="G1154" s="101" t="s">
        <v>313</v>
      </c>
    </row>
    <row r="1155" spans="1:7" hidden="1">
      <c r="A1155" s="36" t="s">
        <v>1370</v>
      </c>
      <c r="B1155" s="36" t="s">
        <v>314</v>
      </c>
      <c r="C1155" s="36" t="str">
        <f>_xlfn.CONCAT(Table4[[#This Row],[Ledger Name]],Table4[[#This Row],[Entity Name]])</f>
        <v>TAEXP2425047-RODTEPExpora</v>
      </c>
      <c r="D1155" s="36" t="s">
        <v>936</v>
      </c>
      <c r="E1155" s="49" t="s">
        <v>152</v>
      </c>
      <c r="F1155" s="49" t="s">
        <v>189</v>
      </c>
      <c r="G1155" s="101" t="s">
        <v>313</v>
      </c>
    </row>
    <row r="1156" spans="1:7" hidden="1">
      <c r="A1156" s="36" t="s">
        <v>1371</v>
      </c>
      <c r="B1156" s="36" t="s">
        <v>314</v>
      </c>
      <c r="C1156" s="36" t="str">
        <f>_xlfn.CONCAT(Table4[[#This Row],[Ledger Name]],Table4[[#This Row],[Entity Name]])</f>
        <v>TAEXP2425048-RODTEPExpora</v>
      </c>
      <c r="D1156" s="36" t="s">
        <v>936</v>
      </c>
      <c r="E1156" s="49" t="s">
        <v>152</v>
      </c>
      <c r="F1156" s="49" t="s">
        <v>189</v>
      </c>
      <c r="G1156" s="101" t="s">
        <v>313</v>
      </c>
    </row>
    <row r="1157" spans="1:7" hidden="1">
      <c r="A1157" s="36" t="s">
        <v>1372</v>
      </c>
      <c r="B1157" s="36" t="s">
        <v>314</v>
      </c>
      <c r="C1157" s="36" t="str">
        <f>_xlfn.CONCAT(Table4[[#This Row],[Ledger Name]],Table4[[#This Row],[Entity Name]])</f>
        <v>TAEXP2425050-RODTEPExpora</v>
      </c>
      <c r="D1157" s="36" t="s">
        <v>936</v>
      </c>
      <c r="E1157" s="49" t="s">
        <v>152</v>
      </c>
      <c r="F1157" s="49" t="s">
        <v>189</v>
      </c>
      <c r="G1157" s="101" t="s">
        <v>313</v>
      </c>
    </row>
    <row r="1158" spans="1:7" hidden="1">
      <c r="A1158" s="36" t="s">
        <v>1373</v>
      </c>
      <c r="B1158" s="36" t="s">
        <v>314</v>
      </c>
      <c r="C1158" s="36" t="str">
        <f>_xlfn.CONCAT(Table4[[#This Row],[Ledger Name]],Table4[[#This Row],[Entity Name]])</f>
        <v>TAEXP2425051-RODTEPExpora</v>
      </c>
      <c r="D1158" s="36" t="s">
        <v>936</v>
      </c>
      <c r="E1158" s="49" t="s">
        <v>152</v>
      </c>
      <c r="F1158" s="49" t="s">
        <v>189</v>
      </c>
      <c r="G1158" s="101" t="s">
        <v>313</v>
      </c>
    </row>
    <row r="1159" spans="1:7" hidden="1">
      <c r="A1159" s="36" t="s">
        <v>1374</v>
      </c>
      <c r="B1159" s="36" t="s">
        <v>314</v>
      </c>
      <c r="C1159" s="36" t="str">
        <f>_xlfn.CONCAT(Table4[[#This Row],[Ledger Name]],Table4[[#This Row],[Entity Name]])</f>
        <v>TAEXP2425053-RODTEPExpora</v>
      </c>
      <c r="D1159" s="36" t="s">
        <v>936</v>
      </c>
      <c r="E1159" s="49" t="s">
        <v>152</v>
      </c>
      <c r="F1159" s="49" t="s">
        <v>189</v>
      </c>
      <c r="G1159" s="101" t="s">
        <v>313</v>
      </c>
    </row>
    <row r="1160" spans="1:7" hidden="1">
      <c r="A1160" s="36" t="s">
        <v>1375</v>
      </c>
      <c r="B1160" s="36" t="s">
        <v>314</v>
      </c>
      <c r="C1160" s="36" t="str">
        <f>_xlfn.CONCAT(Table4[[#This Row],[Ledger Name]],Table4[[#This Row],[Entity Name]])</f>
        <v>TAEXP2425054-RODTEPExpora</v>
      </c>
      <c r="D1160" s="36" t="s">
        <v>936</v>
      </c>
      <c r="E1160" s="49" t="s">
        <v>152</v>
      </c>
      <c r="F1160" s="49" t="s">
        <v>189</v>
      </c>
      <c r="G1160" s="101" t="s">
        <v>313</v>
      </c>
    </row>
    <row r="1161" spans="1:7" hidden="1">
      <c r="A1161" s="36" t="s">
        <v>1376</v>
      </c>
      <c r="B1161" s="36" t="s">
        <v>314</v>
      </c>
      <c r="C1161" s="36" t="str">
        <f>_xlfn.CONCAT(Table4[[#This Row],[Ledger Name]],Table4[[#This Row],[Entity Name]])</f>
        <v>TAEXP2425056-RODTEPExpora</v>
      </c>
      <c r="D1161" s="36" t="s">
        <v>936</v>
      </c>
      <c r="E1161" s="49" t="s">
        <v>152</v>
      </c>
      <c r="F1161" s="49" t="s">
        <v>189</v>
      </c>
      <c r="G1161" s="101" t="s">
        <v>313</v>
      </c>
    </row>
    <row r="1162" spans="1:7" hidden="1">
      <c r="A1162" s="36" t="s">
        <v>1377</v>
      </c>
      <c r="B1162" s="36" t="s">
        <v>314</v>
      </c>
      <c r="C1162" s="36" t="str">
        <f>_xlfn.CONCAT(Table4[[#This Row],[Ledger Name]],Table4[[#This Row],[Entity Name]])</f>
        <v>TAEXP2425059-RODTEPExpora</v>
      </c>
      <c r="D1162" s="36" t="s">
        <v>936</v>
      </c>
      <c r="E1162" s="49" t="s">
        <v>152</v>
      </c>
      <c r="F1162" s="49" t="s">
        <v>189</v>
      </c>
      <c r="G1162" s="101" t="s">
        <v>313</v>
      </c>
    </row>
    <row r="1163" spans="1:7" hidden="1">
      <c r="A1163" s="36" t="s">
        <v>1378</v>
      </c>
      <c r="B1163" s="36" t="s">
        <v>314</v>
      </c>
      <c r="C1163" s="36" t="str">
        <f>_xlfn.CONCAT(Table4[[#This Row],[Ledger Name]],Table4[[#This Row],[Entity Name]])</f>
        <v>TAEXP2425060-RODTEPExpora</v>
      </c>
      <c r="D1163" s="36" t="s">
        <v>936</v>
      </c>
      <c r="E1163" s="49" t="s">
        <v>152</v>
      </c>
      <c r="F1163" s="49" t="s">
        <v>189</v>
      </c>
      <c r="G1163" s="101" t="s">
        <v>313</v>
      </c>
    </row>
    <row r="1164" spans="1:7" hidden="1">
      <c r="A1164" s="36" t="s">
        <v>1379</v>
      </c>
      <c r="B1164" s="36" t="s">
        <v>314</v>
      </c>
      <c r="C1164" s="36" t="str">
        <f>_xlfn.CONCAT(Table4[[#This Row],[Ledger Name]],Table4[[#This Row],[Entity Name]])</f>
        <v>TAEXP2425062Expora</v>
      </c>
      <c r="D1164" s="36" t="s">
        <v>936</v>
      </c>
      <c r="E1164" s="49" t="s">
        <v>152</v>
      </c>
      <c r="F1164" s="49" t="s">
        <v>93</v>
      </c>
      <c r="G1164" s="101" t="s">
        <v>138</v>
      </c>
    </row>
    <row r="1165" spans="1:7" hidden="1">
      <c r="A1165" s="36"/>
      <c r="B1165" s="36"/>
      <c r="C1165" s="36" t="str">
        <f>_xlfn.CONCAT(Table4[[#This Row],[Ledger Name]],Table4[[#This Row],[Entity Name]])</f>
        <v/>
      </c>
      <c r="D1165" s="36"/>
      <c r="E1165" s="36"/>
      <c r="F1165" s="36"/>
      <c r="G1165" s="36"/>
    </row>
    <row r="1166" spans="1:7" hidden="1">
      <c r="A1166" s="36" t="s">
        <v>1381</v>
      </c>
      <c r="B1166" s="36" t="s">
        <v>314</v>
      </c>
      <c r="C1166" s="36" t="str">
        <f>_xlfn.CONCAT(Table4[[#This Row],[Ledger Name]],Table4[[#This Row],[Entity Name]])</f>
        <v>BA -133Expora</v>
      </c>
      <c r="D1166" s="36" t="s">
        <v>936</v>
      </c>
      <c r="E1166" s="49" t="s">
        <v>152</v>
      </c>
      <c r="F1166" s="49" t="s">
        <v>93</v>
      </c>
      <c r="G1166" s="101" t="s">
        <v>138</v>
      </c>
    </row>
    <row r="1167" spans="1:7" hidden="1">
      <c r="A1167" s="36" t="s">
        <v>1382</v>
      </c>
      <c r="B1167" s="36" t="s">
        <v>314</v>
      </c>
      <c r="C1167" s="36" t="str">
        <f>_xlfn.CONCAT(Table4[[#This Row],[Ledger Name]],Table4[[#This Row],[Entity Name]])</f>
        <v>BA 141Expora</v>
      </c>
      <c r="D1167" s="36" t="s">
        <v>936</v>
      </c>
      <c r="E1167" s="49" t="s">
        <v>152</v>
      </c>
      <c r="F1167" s="49" t="s">
        <v>93</v>
      </c>
      <c r="G1167" s="101" t="s">
        <v>138</v>
      </c>
    </row>
    <row r="1168" spans="1:7" hidden="1">
      <c r="A1168" s="36" t="s">
        <v>1383</v>
      </c>
      <c r="B1168" s="36" t="s">
        <v>314</v>
      </c>
      <c r="C1168" s="36" t="str">
        <f>_xlfn.CONCAT(Table4[[#This Row],[Ledger Name]],Table4[[#This Row],[Entity Name]])</f>
        <v>BA 515Expora</v>
      </c>
      <c r="D1168" s="36" t="s">
        <v>936</v>
      </c>
      <c r="E1168" s="49" t="s">
        <v>152</v>
      </c>
      <c r="F1168" s="49" t="s">
        <v>93</v>
      </c>
      <c r="G1168" s="101" t="s">
        <v>138</v>
      </c>
    </row>
    <row r="1169" spans="1:7" hidden="1">
      <c r="A1169" s="36" t="s">
        <v>1384</v>
      </c>
      <c r="B1169" s="36" t="s">
        <v>314</v>
      </c>
      <c r="C1169" s="36" t="str">
        <f>_xlfn.CONCAT(Table4[[#This Row],[Ledger Name]],Table4[[#This Row],[Entity Name]])</f>
        <v>BA-144Expora</v>
      </c>
      <c r="D1169" s="36" t="s">
        <v>936</v>
      </c>
      <c r="E1169" s="49" t="s">
        <v>152</v>
      </c>
      <c r="F1169" s="49" t="s">
        <v>93</v>
      </c>
      <c r="G1169" s="101" t="s">
        <v>138</v>
      </c>
    </row>
    <row r="1170" spans="1:7" hidden="1">
      <c r="A1170" s="36" t="s">
        <v>1385</v>
      </c>
      <c r="B1170" s="36" t="s">
        <v>314</v>
      </c>
      <c r="C1170" s="36" t="str">
        <f>_xlfn.CONCAT(Table4[[#This Row],[Ledger Name]],Table4[[#This Row],[Entity Name]])</f>
        <v>BA-177 BLACK PEPPERExpora</v>
      </c>
      <c r="D1170" s="36" t="s">
        <v>936</v>
      </c>
      <c r="E1170" s="49" t="s">
        <v>152</v>
      </c>
      <c r="F1170" s="49" t="s">
        <v>93</v>
      </c>
      <c r="G1170" s="101" t="s">
        <v>138</v>
      </c>
    </row>
    <row r="1171" spans="1:7" hidden="1">
      <c r="A1171" s="36" t="s">
        <v>1386</v>
      </c>
      <c r="B1171" s="36" t="s">
        <v>314</v>
      </c>
      <c r="C1171" s="36" t="str">
        <f>_xlfn.CONCAT(Table4[[#This Row],[Ledger Name]],Table4[[#This Row],[Entity Name]])</f>
        <v>BA-510Expora</v>
      </c>
      <c r="D1171" s="36" t="s">
        <v>936</v>
      </c>
      <c r="E1171" s="49" t="s">
        <v>152</v>
      </c>
      <c r="F1171" s="49" t="s">
        <v>93</v>
      </c>
      <c r="G1171" s="101" t="s">
        <v>138</v>
      </c>
    </row>
    <row r="1172" spans="1:7" hidden="1">
      <c r="A1172" s="36" t="s">
        <v>1387</v>
      </c>
      <c r="B1172" s="36" t="s">
        <v>314</v>
      </c>
      <c r="C1172" s="36" t="str">
        <f>_xlfn.CONCAT(Table4[[#This Row],[Ledger Name]],Table4[[#This Row],[Entity Name]])</f>
        <v>BA-511Expora</v>
      </c>
      <c r="D1172" s="36" t="s">
        <v>936</v>
      </c>
      <c r="E1172" s="49" t="s">
        <v>152</v>
      </c>
      <c r="F1172" s="49" t="s">
        <v>93</v>
      </c>
      <c r="G1172" s="101" t="s">
        <v>138</v>
      </c>
    </row>
    <row r="1173" spans="1:7" hidden="1">
      <c r="A1173" s="36" t="s">
        <v>1388</v>
      </c>
      <c r="B1173" s="36" t="s">
        <v>314</v>
      </c>
      <c r="C1173" s="36" t="str">
        <f>_xlfn.CONCAT(Table4[[#This Row],[Ledger Name]],Table4[[#This Row],[Entity Name]])</f>
        <v>BA-539Expora</v>
      </c>
      <c r="D1173" s="36" t="s">
        <v>936</v>
      </c>
      <c r="E1173" s="49" t="s">
        <v>152</v>
      </c>
      <c r="F1173" s="49" t="s">
        <v>93</v>
      </c>
      <c r="G1173" s="101" t="s">
        <v>138</v>
      </c>
    </row>
    <row r="1174" spans="1:7" hidden="1">
      <c r="A1174" s="36" t="s">
        <v>1389</v>
      </c>
      <c r="B1174" s="36" t="s">
        <v>314</v>
      </c>
      <c r="C1174" s="36" t="str">
        <f>_xlfn.CONCAT(Table4[[#This Row],[Ledger Name]],Table4[[#This Row],[Entity Name]])</f>
        <v>BA-541Expora</v>
      </c>
      <c r="D1174" s="36" t="s">
        <v>936</v>
      </c>
      <c r="E1174" s="49" t="s">
        <v>152</v>
      </c>
      <c r="F1174" s="49" t="s">
        <v>93</v>
      </c>
      <c r="G1174" s="101" t="s">
        <v>138</v>
      </c>
    </row>
    <row r="1175" spans="1:7" hidden="1">
      <c r="A1175" s="36" t="s">
        <v>1390</v>
      </c>
      <c r="B1175" s="36" t="s">
        <v>314</v>
      </c>
      <c r="C1175" s="36" t="str">
        <f>_xlfn.CONCAT(Table4[[#This Row],[Ledger Name]],Table4[[#This Row],[Entity Name]])</f>
        <v>BA-546Expora</v>
      </c>
      <c r="D1175" s="36" t="s">
        <v>936</v>
      </c>
      <c r="E1175" s="49" t="s">
        <v>152</v>
      </c>
      <c r="F1175" s="49" t="s">
        <v>93</v>
      </c>
      <c r="G1175" s="101" t="s">
        <v>138</v>
      </c>
    </row>
    <row r="1176" spans="1:7" hidden="1">
      <c r="A1176" s="36" t="s">
        <v>1391</v>
      </c>
      <c r="B1176" s="36" t="s">
        <v>314</v>
      </c>
      <c r="C1176" s="36" t="str">
        <f>_xlfn.CONCAT(Table4[[#This Row],[Ledger Name]],Table4[[#This Row],[Entity Name]])</f>
        <v>BA-547Expora</v>
      </c>
      <c r="D1176" s="36" t="s">
        <v>936</v>
      </c>
      <c r="E1176" s="49" t="s">
        <v>152</v>
      </c>
      <c r="F1176" s="49" t="s">
        <v>93</v>
      </c>
      <c r="G1176" s="101" t="s">
        <v>138</v>
      </c>
    </row>
    <row r="1177" spans="1:7" hidden="1">
      <c r="A1177" s="36" t="s">
        <v>1392</v>
      </c>
      <c r="B1177" s="36" t="s">
        <v>314</v>
      </c>
      <c r="C1177" s="36" t="str">
        <f>_xlfn.CONCAT(Table4[[#This Row],[Ledger Name]],Table4[[#This Row],[Entity Name]])</f>
        <v>BA-549Expora</v>
      </c>
      <c r="D1177" s="36" t="s">
        <v>936</v>
      </c>
      <c r="E1177" s="49" t="s">
        <v>152</v>
      </c>
      <c r="F1177" s="49" t="s">
        <v>93</v>
      </c>
      <c r="G1177" s="101" t="s">
        <v>138</v>
      </c>
    </row>
    <row r="1178" spans="1:7" hidden="1">
      <c r="A1178" s="36" t="s">
        <v>1393</v>
      </c>
      <c r="B1178" s="36" t="s">
        <v>314</v>
      </c>
      <c r="C1178" s="36" t="str">
        <f>_xlfn.CONCAT(Table4[[#This Row],[Ledger Name]],Table4[[#This Row],[Entity Name]])</f>
        <v>BA-62Expora</v>
      </c>
      <c r="D1178" s="36" t="s">
        <v>936</v>
      </c>
      <c r="E1178" s="49" t="s">
        <v>152</v>
      </c>
      <c r="F1178" s="49" t="s">
        <v>93</v>
      </c>
      <c r="G1178" s="101" t="s">
        <v>138</v>
      </c>
    </row>
    <row r="1179" spans="1:7" hidden="1">
      <c r="A1179" s="36" t="s">
        <v>1394</v>
      </c>
      <c r="B1179" s="36" t="s">
        <v>314</v>
      </c>
      <c r="C1179" s="36" t="str">
        <f>_xlfn.CONCAT(Table4[[#This Row],[Ledger Name]],Table4[[#This Row],[Entity Name]])</f>
        <v>BA-68Expora</v>
      </c>
      <c r="D1179" s="36" t="s">
        <v>936</v>
      </c>
      <c r="E1179" s="49" t="s">
        <v>152</v>
      </c>
      <c r="F1179" s="49" t="s">
        <v>93</v>
      </c>
      <c r="G1179" s="101" t="s">
        <v>138</v>
      </c>
    </row>
    <row r="1180" spans="1:7" hidden="1">
      <c r="A1180" s="36" t="s">
        <v>1395</v>
      </c>
      <c r="B1180" s="36" t="s">
        <v>314</v>
      </c>
      <c r="C1180" s="36" t="str">
        <f>_xlfn.CONCAT(Table4[[#This Row],[Ledger Name]],Table4[[#This Row],[Entity Name]])</f>
        <v>BA-456Expora</v>
      </c>
      <c r="D1180" s="36" t="s">
        <v>936</v>
      </c>
      <c r="E1180" s="49" t="s">
        <v>152</v>
      </c>
      <c r="F1180" s="49" t="s">
        <v>93</v>
      </c>
      <c r="G1180" s="101" t="s">
        <v>138</v>
      </c>
    </row>
    <row r="1181" spans="1:7" hidden="1">
      <c r="A1181" s="36" t="s">
        <v>1330</v>
      </c>
      <c r="B1181" s="36" t="s">
        <v>314</v>
      </c>
      <c r="C1181" s="36" t="str">
        <f>_xlfn.CONCAT(Table4[[#This Row],[Ledger Name]],Table4[[#This Row],[Entity Name]])</f>
        <v>TALOC2425147Expora</v>
      </c>
      <c r="D1181" s="36" t="s">
        <v>936</v>
      </c>
      <c r="E1181" s="49" t="s">
        <v>152</v>
      </c>
      <c r="F1181" s="49" t="s">
        <v>93</v>
      </c>
      <c r="G1181" s="101" t="s">
        <v>138</v>
      </c>
    </row>
    <row r="1182" spans="1:7" hidden="1">
      <c r="A1182" s="36" t="s">
        <v>1396</v>
      </c>
      <c r="B1182" s="36" t="s">
        <v>314</v>
      </c>
      <c r="C1182" s="36" t="str">
        <f>_xlfn.CONCAT(Table4[[#This Row],[Ledger Name]],Table4[[#This Row],[Entity Name]])</f>
        <v>TALOC2425148Expora</v>
      </c>
      <c r="D1182" s="36" t="s">
        <v>936</v>
      </c>
      <c r="E1182" s="49" t="s">
        <v>152</v>
      </c>
      <c r="F1182" s="49" t="s">
        <v>93</v>
      </c>
      <c r="G1182" s="101" t="s">
        <v>138</v>
      </c>
    </row>
    <row r="1183" spans="1:7" hidden="1">
      <c r="A1183" s="36" t="s">
        <v>1397</v>
      </c>
      <c r="B1183" s="36" t="s">
        <v>314</v>
      </c>
      <c r="C1183" s="36" t="str">
        <f>_xlfn.CONCAT(Table4[[#This Row],[Ledger Name]],Table4[[#This Row],[Entity Name]])</f>
        <v>Mohammad Shariq ReimbursmentExpora</v>
      </c>
      <c r="D1183" s="162" t="s">
        <v>936</v>
      </c>
      <c r="E1183" s="163" t="s">
        <v>746</v>
      </c>
      <c r="F1183" s="163" t="s">
        <v>195</v>
      </c>
      <c r="G1183" s="6" t="s">
        <v>1625</v>
      </c>
    </row>
    <row r="1184" spans="1:7" hidden="1">
      <c r="A1184" s="36" t="s">
        <v>823</v>
      </c>
      <c r="B1184" s="36" t="s">
        <v>314</v>
      </c>
      <c r="C1184" s="36" t="str">
        <f>_xlfn.CONCAT(Table4[[#This Row],[Ledger Name]],Table4[[#This Row],[Entity Name]])</f>
        <v>Office SuppliesExpora</v>
      </c>
      <c r="D1184" s="36" t="s">
        <v>936</v>
      </c>
      <c r="E1184" s="49" t="s">
        <v>152</v>
      </c>
      <c r="F1184" s="49" t="s">
        <v>5</v>
      </c>
      <c r="G1184" s="101" t="s">
        <v>35</v>
      </c>
    </row>
    <row r="1185" spans="1:7" hidden="1">
      <c r="A1185" s="36" t="s">
        <v>932</v>
      </c>
      <c r="B1185" s="36" t="s">
        <v>314</v>
      </c>
      <c r="C1185" s="36" t="str">
        <f>_xlfn.CONCAT(Table4[[#This Row],[Ledger Name]],Table4[[#This Row],[Entity Name]])</f>
        <v>PM-2403Expora</v>
      </c>
      <c r="D1185" s="36" t="s">
        <v>936</v>
      </c>
      <c r="E1185" s="49" t="s">
        <v>152</v>
      </c>
      <c r="F1185" s="49" t="s">
        <v>93</v>
      </c>
      <c r="G1185" s="101" t="s">
        <v>138</v>
      </c>
    </row>
    <row r="1186" spans="1:7" hidden="1">
      <c r="A1186" s="36" t="s">
        <v>1398</v>
      </c>
      <c r="B1186" s="36" t="s">
        <v>314</v>
      </c>
      <c r="C1186" s="36" t="str">
        <f>_xlfn.CONCAT(Table4[[#This Row],[Ledger Name]],Table4[[#This Row],[Entity Name]])</f>
        <v>Prior period expenses-Hotel servicesExpora</v>
      </c>
      <c r="D1186" s="36" t="s">
        <v>936</v>
      </c>
      <c r="E1186" s="49" t="s">
        <v>152</v>
      </c>
      <c r="F1186" s="49" t="s">
        <v>8</v>
      </c>
      <c r="G1186" s="101" t="s">
        <v>84</v>
      </c>
    </row>
    <row r="1187" spans="1:7" hidden="1">
      <c r="A1187" s="36" t="s">
        <v>869</v>
      </c>
      <c r="B1187" s="36" t="s">
        <v>314</v>
      </c>
      <c r="C1187" s="36" t="str">
        <f>_xlfn.CONCAT(Table4[[#This Row],[Ledger Name]],Table4[[#This Row],[Entity Name]])</f>
        <v>TA/HSS/24-25/001Expora</v>
      </c>
      <c r="D1187" s="36" t="s">
        <v>936</v>
      </c>
      <c r="E1187" s="49" t="s">
        <v>152</v>
      </c>
      <c r="F1187" s="49" t="s">
        <v>93</v>
      </c>
      <c r="G1187" s="101" t="s">
        <v>138</v>
      </c>
    </row>
    <row r="1188" spans="1:7" hidden="1">
      <c r="A1188" s="36" t="s">
        <v>870</v>
      </c>
      <c r="B1188" s="36" t="s">
        <v>314</v>
      </c>
      <c r="C1188" s="36" t="str">
        <f>_xlfn.CONCAT(Table4[[#This Row],[Ledger Name]],Table4[[#This Row],[Entity Name]])</f>
        <v>TA/HSS/24-25/002Expora</v>
      </c>
      <c r="D1188" s="36" t="s">
        <v>936</v>
      </c>
      <c r="E1188" s="49" t="s">
        <v>152</v>
      </c>
      <c r="F1188" s="49" t="s">
        <v>93</v>
      </c>
      <c r="G1188" s="101" t="s">
        <v>138</v>
      </c>
    </row>
    <row r="1189" spans="1:7" hidden="1">
      <c r="A1189" s="36" t="s">
        <v>930</v>
      </c>
      <c r="B1189" s="36" t="s">
        <v>314</v>
      </c>
      <c r="C1189" s="36" t="str">
        <f>_xlfn.CONCAT(Table4[[#This Row],[Ledger Name]],Table4[[#This Row],[Entity Name]])</f>
        <v>TA/HSS/24-25/003Expora</v>
      </c>
      <c r="D1189" s="36" t="s">
        <v>936</v>
      </c>
      <c r="E1189" s="49" t="s">
        <v>152</v>
      </c>
      <c r="F1189" s="49" t="s">
        <v>93</v>
      </c>
      <c r="G1189" s="101" t="s">
        <v>138</v>
      </c>
    </row>
    <row r="1190" spans="1:7" hidden="1">
      <c r="A1190" s="36" t="s">
        <v>973</v>
      </c>
      <c r="B1190" s="36" t="s">
        <v>314</v>
      </c>
      <c r="C1190" s="36" t="str">
        <f>_xlfn.CONCAT(Table4[[#This Row],[Ledger Name]],Table4[[#This Row],[Entity Name]])</f>
        <v>TA/HSS/24-25/004Expora</v>
      </c>
      <c r="D1190" s="36" t="s">
        <v>936</v>
      </c>
      <c r="E1190" s="49" t="s">
        <v>152</v>
      </c>
      <c r="F1190" s="49" t="s">
        <v>93</v>
      </c>
      <c r="G1190" s="101" t="s">
        <v>138</v>
      </c>
    </row>
    <row r="1191" spans="1:7" hidden="1">
      <c r="A1191" s="36" t="s">
        <v>974</v>
      </c>
      <c r="B1191" s="36" t="s">
        <v>314</v>
      </c>
      <c r="C1191" s="36" t="str">
        <f>_xlfn.CONCAT(Table4[[#This Row],[Ledger Name]],Table4[[#This Row],[Entity Name]])</f>
        <v>TA/HSS/24-25/005Expora</v>
      </c>
      <c r="D1191" s="36" t="s">
        <v>936</v>
      </c>
      <c r="E1191" s="49" t="s">
        <v>152</v>
      </c>
      <c r="F1191" s="49" t="s">
        <v>93</v>
      </c>
      <c r="G1191" s="101" t="s">
        <v>138</v>
      </c>
    </row>
    <row r="1192" spans="1:7" hidden="1">
      <c r="A1192" s="36" t="s">
        <v>1399</v>
      </c>
      <c r="B1192" s="36" t="s">
        <v>314</v>
      </c>
      <c r="C1192" s="36" t="str">
        <f>_xlfn.CONCAT(Table4[[#This Row],[Ledger Name]],Table4[[#This Row],[Entity Name]])</f>
        <v>TAEXP2425044Expora</v>
      </c>
      <c r="D1192" s="36" t="s">
        <v>936</v>
      </c>
      <c r="E1192" s="49" t="s">
        <v>152</v>
      </c>
      <c r="F1192" s="49" t="s">
        <v>93</v>
      </c>
      <c r="G1192" s="101" t="s">
        <v>138</v>
      </c>
    </row>
    <row r="1193" spans="1:7" hidden="1">
      <c r="A1193" s="36" t="s">
        <v>1400</v>
      </c>
      <c r="B1193" s="36" t="s">
        <v>314</v>
      </c>
      <c r="C1193" s="36" t="str">
        <f>_xlfn.CONCAT(Table4[[#This Row],[Ledger Name]],Table4[[#This Row],[Entity Name]])</f>
        <v>TAEXP2425045Expora</v>
      </c>
      <c r="D1193" s="36" t="s">
        <v>936</v>
      </c>
      <c r="E1193" s="49" t="s">
        <v>152</v>
      </c>
      <c r="F1193" s="49" t="s">
        <v>93</v>
      </c>
      <c r="G1193" s="101" t="s">
        <v>138</v>
      </c>
    </row>
    <row r="1194" spans="1:7" hidden="1">
      <c r="A1194" s="36" t="s">
        <v>1401</v>
      </c>
      <c r="B1194" s="36" t="s">
        <v>314</v>
      </c>
      <c r="C1194" s="36" t="str">
        <f>_xlfn.CONCAT(Table4[[#This Row],[Ledger Name]],Table4[[#This Row],[Entity Name]])</f>
        <v>TAEXP2425046Expora</v>
      </c>
      <c r="D1194" s="36" t="s">
        <v>936</v>
      </c>
      <c r="E1194" s="49" t="s">
        <v>152</v>
      </c>
      <c r="F1194" s="49" t="s">
        <v>93</v>
      </c>
      <c r="G1194" s="101" t="s">
        <v>138</v>
      </c>
    </row>
    <row r="1195" spans="1:7" hidden="1">
      <c r="A1195" s="36" t="s">
        <v>1402</v>
      </c>
      <c r="B1195" s="36" t="s">
        <v>314</v>
      </c>
      <c r="C1195" s="36" t="str">
        <f>_xlfn.CONCAT(Table4[[#This Row],[Ledger Name]],Table4[[#This Row],[Entity Name]])</f>
        <v>TAEXP2425047Expora</v>
      </c>
      <c r="D1195" s="36" t="s">
        <v>936</v>
      </c>
      <c r="E1195" s="49" t="s">
        <v>152</v>
      </c>
      <c r="F1195" s="49" t="s">
        <v>93</v>
      </c>
      <c r="G1195" s="101" t="s">
        <v>138</v>
      </c>
    </row>
    <row r="1196" spans="1:7" hidden="1">
      <c r="A1196" s="36" t="s">
        <v>1403</v>
      </c>
      <c r="B1196" s="36" t="s">
        <v>314</v>
      </c>
      <c r="C1196" s="36" t="str">
        <f>_xlfn.CONCAT(Table4[[#This Row],[Ledger Name]],Table4[[#This Row],[Entity Name]])</f>
        <v>TAEXP2425048Expora</v>
      </c>
      <c r="D1196" s="36" t="s">
        <v>936</v>
      </c>
      <c r="E1196" s="49" t="s">
        <v>152</v>
      </c>
      <c r="F1196" s="49" t="s">
        <v>93</v>
      </c>
      <c r="G1196" s="101" t="s">
        <v>138</v>
      </c>
    </row>
    <row r="1197" spans="1:7" hidden="1">
      <c r="A1197" s="36" t="s">
        <v>1404</v>
      </c>
      <c r="B1197" s="36" t="s">
        <v>314</v>
      </c>
      <c r="C1197" s="36" t="str">
        <f>_xlfn.CONCAT(Table4[[#This Row],[Ledger Name]],Table4[[#This Row],[Entity Name]])</f>
        <v>TAEXP2425049Expora</v>
      </c>
      <c r="D1197" s="36" t="s">
        <v>936</v>
      </c>
      <c r="E1197" s="49" t="s">
        <v>152</v>
      </c>
      <c r="F1197" s="49" t="s">
        <v>93</v>
      </c>
      <c r="G1197" s="101" t="s">
        <v>138</v>
      </c>
    </row>
    <row r="1198" spans="1:7" hidden="1">
      <c r="A1198" s="36" t="s">
        <v>1405</v>
      </c>
      <c r="B1198" s="36" t="s">
        <v>314</v>
      </c>
      <c r="C1198" s="36" t="str">
        <f>_xlfn.CONCAT(Table4[[#This Row],[Ledger Name]],Table4[[#This Row],[Entity Name]])</f>
        <v>TAEXP2425050Expora</v>
      </c>
      <c r="D1198" s="36" t="s">
        <v>936</v>
      </c>
      <c r="E1198" s="49" t="s">
        <v>152</v>
      </c>
      <c r="F1198" s="49" t="s">
        <v>93</v>
      </c>
      <c r="G1198" s="101" t="s">
        <v>138</v>
      </c>
    </row>
    <row r="1199" spans="1:7" hidden="1">
      <c r="A1199" s="36" t="s">
        <v>1406</v>
      </c>
      <c r="B1199" s="36" t="s">
        <v>314</v>
      </c>
      <c r="C1199" s="36" t="str">
        <f>_xlfn.CONCAT(Table4[[#This Row],[Ledger Name]],Table4[[#This Row],[Entity Name]])</f>
        <v>TAEXP2425051Expora</v>
      </c>
      <c r="D1199" s="36" t="s">
        <v>936</v>
      </c>
      <c r="E1199" s="49" t="s">
        <v>152</v>
      </c>
      <c r="F1199" s="49" t="s">
        <v>93</v>
      </c>
      <c r="G1199" s="101" t="s">
        <v>138</v>
      </c>
    </row>
    <row r="1200" spans="1:7" hidden="1">
      <c r="A1200" s="36" t="s">
        <v>1407</v>
      </c>
      <c r="B1200" s="36" t="s">
        <v>314</v>
      </c>
      <c r="C1200" s="36" t="str">
        <f>_xlfn.CONCAT(Table4[[#This Row],[Ledger Name]],Table4[[#This Row],[Entity Name]])</f>
        <v>TAEXP2425053Expora</v>
      </c>
      <c r="D1200" s="36" t="s">
        <v>936</v>
      </c>
      <c r="E1200" s="49" t="s">
        <v>152</v>
      </c>
      <c r="F1200" s="49" t="s">
        <v>93</v>
      </c>
      <c r="G1200" s="101" t="s">
        <v>138</v>
      </c>
    </row>
    <row r="1201" spans="1:7" hidden="1">
      <c r="A1201" s="36" t="s">
        <v>1408</v>
      </c>
      <c r="B1201" s="36" t="s">
        <v>314</v>
      </c>
      <c r="C1201" s="36" t="str">
        <f>_xlfn.CONCAT(Table4[[#This Row],[Ledger Name]],Table4[[#This Row],[Entity Name]])</f>
        <v>TAEXP2425054Expora</v>
      </c>
      <c r="D1201" s="36" t="s">
        <v>936</v>
      </c>
      <c r="E1201" s="49" t="s">
        <v>152</v>
      </c>
      <c r="F1201" s="49" t="s">
        <v>93</v>
      </c>
      <c r="G1201" s="101" t="s">
        <v>138</v>
      </c>
    </row>
    <row r="1202" spans="1:7" hidden="1">
      <c r="A1202" s="36" t="s">
        <v>1409</v>
      </c>
      <c r="B1202" s="36" t="s">
        <v>314</v>
      </c>
      <c r="C1202" s="36" t="str">
        <f>_xlfn.CONCAT(Table4[[#This Row],[Ledger Name]],Table4[[#This Row],[Entity Name]])</f>
        <v>TAEXP2425056Expora</v>
      </c>
      <c r="D1202" s="36" t="s">
        <v>936</v>
      </c>
      <c r="E1202" s="49" t="s">
        <v>152</v>
      </c>
      <c r="F1202" s="49" t="s">
        <v>93</v>
      </c>
      <c r="G1202" s="101" t="s">
        <v>138</v>
      </c>
    </row>
    <row r="1203" spans="1:7" hidden="1">
      <c r="A1203" s="36" t="s">
        <v>1410</v>
      </c>
      <c r="B1203" s="36" t="s">
        <v>314</v>
      </c>
      <c r="C1203" s="36" t="str">
        <f>_xlfn.CONCAT(Table4[[#This Row],[Ledger Name]],Table4[[#This Row],[Entity Name]])</f>
        <v>TAEXP2425057Expora</v>
      </c>
      <c r="D1203" s="36" t="s">
        <v>936</v>
      </c>
      <c r="E1203" s="49" t="s">
        <v>152</v>
      </c>
      <c r="F1203" s="49" t="s">
        <v>93</v>
      </c>
      <c r="G1203" s="101" t="s">
        <v>138</v>
      </c>
    </row>
    <row r="1204" spans="1:7" hidden="1">
      <c r="A1204" s="36" t="s">
        <v>1411</v>
      </c>
      <c r="B1204" s="36" t="s">
        <v>314</v>
      </c>
      <c r="C1204" s="36" t="str">
        <f>_xlfn.CONCAT(Table4[[#This Row],[Ledger Name]],Table4[[#This Row],[Entity Name]])</f>
        <v>TAEXP2425059Expora</v>
      </c>
      <c r="D1204" s="36" t="s">
        <v>936</v>
      </c>
      <c r="E1204" s="49" t="s">
        <v>152</v>
      </c>
      <c r="F1204" s="49" t="s">
        <v>93</v>
      </c>
      <c r="G1204" s="101" t="s">
        <v>138</v>
      </c>
    </row>
    <row r="1205" spans="1:7" hidden="1">
      <c r="A1205" s="36" t="s">
        <v>969</v>
      </c>
      <c r="B1205" s="36" t="s">
        <v>314</v>
      </c>
      <c r="C1205" s="36" t="str">
        <f>_xlfn.CONCAT(Table4[[#This Row],[Ledger Name]],Table4[[#This Row],[Entity Name]])</f>
        <v>TALOC2425054Expora</v>
      </c>
      <c r="D1205" s="36" t="s">
        <v>936</v>
      </c>
      <c r="E1205" s="49" t="s">
        <v>152</v>
      </c>
      <c r="F1205" s="49" t="s">
        <v>93</v>
      </c>
      <c r="G1205" s="101" t="s">
        <v>138</v>
      </c>
    </row>
    <row r="1206" spans="1:7" hidden="1">
      <c r="A1206" s="36" t="s">
        <v>1074</v>
      </c>
      <c r="B1206" s="36" t="s">
        <v>314</v>
      </c>
      <c r="C1206" s="36" t="str">
        <f>_xlfn.CONCAT(Table4[[#This Row],[Ledger Name]],Table4[[#This Row],[Entity Name]])</f>
        <v>TALOC2425093Expora</v>
      </c>
      <c r="D1206" s="36" t="s">
        <v>936</v>
      </c>
      <c r="E1206" s="49" t="s">
        <v>152</v>
      </c>
      <c r="F1206" s="49" t="s">
        <v>93</v>
      </c>
      <c r="G1206" s="101" t="s">
        <v>138</v>
      </c>
    </row>
    <row r="1207" spans="1:7" hidden="1">
      <c r="A1207" s="36" t="s">
        <v>1105</v>
      </c>
      <c r="B1207" s="36" t="s">
        <v>314</v>
      </c>
      <c r="C1207" s="36" t="str">
        <f>_xlfn.CONCAT(Table4[[#This Row],[Ledger Name]],Table4[[#This Row],[Entity Name]])</f>
        <v>TALOC2425101Expora</v>
      </c>
      <c r="D1207" s="36" t="s">
        <v>936</v>
      </c>
      <c r="E1207" s="49" t="s">
        <v>152</v>
      </c>
      <c r="F1207" s="49" t="s">
        <v>93</v>
      </c>
      <c r="G1207" s="101" t="s">
        <v>138</v>
      </c>
    </row>
    <row r="1208" spans="1:7" hidden="1">
      <c r="A1208" s="36" t="s">
        <v>1184</v>
      </c>
      <c r="B1208" s="36" t="s">
        <v>314</v>
      </c>
      <c r="C1208" s="36" t="str">
        <f>_xlfn.CONCAT(Table4[[#This Row],[Ledger Name]],Table4[[#This Row],[Entity Name]])</f>
        <v>TALOC2425116Expora</v>
      </c>
      <c r="D1208" s="36" t="s">
        <v>936</v>
      </c>
      <c r="E1208" s="49" t="s">
        <v>152</v>
      </c>
      <c r="F1208" s="49" t="s">
        <v>93</v>
      </c>
      <c r="G1208" s="101" t="s">
        <v>138</v>
      </c>
    </row>
    <row r="1209" spans="1:7" hidden="1">
      <c r="A1209" s="36" t="s">
        <v>1412</v>
      </c>
      <c r="B1209" s="36" t="s">
        <v>314</v>
      </c>
      <c r="C1209" s="36" t="str">
        <f>_xlfn.CONCAT(Table4[[#This Row],[Ledger Name]],Table4[[#This Row],[Entity Name]])</f>
        <v>TALOC2425149Expora</v>
      </c>
      <c r="D1209" s="36" t="s">
        <v>936</v>
      </c>
      <c r="E1209" s="49" t="s">
        <v>152</v>
      </c>
      <c r="F1209" s="49" t="s">
        <v>93</v>
      </c>
      <c r="G1209" s="101" t="s">
        <v>138</v>
      </c>
    </row>
    <row r="1210" spans="1:7" hidden="1">
      <c r="A1210" s="36" t="s">
        <v>1413</v>
      </c>
      <c r="B1210" s="36" t="s">
        <v>314</v>
      </c>
      <c r="C1210" s="36" t="str">
        <f>_xlfn.CONCAT(Table4[[#This Row],[Ledger Name]],Table4[[#This Row],[Entity Name]])</f>
        <v>TALOC2425155Expora</v>
      </c>
      <c r="D1210" s="36" t="s">
        <v>936</v>
      </c>
      <c r="E1210" s="49" t="s">
        <v>152</v>
      </c>
      <c r="F1210" s="49" t="s">
        <v>93</v>
      </c>
      <c r="G1210" s="101" t="s">
        <v>138</v>
      </c>
    </row>
    <row r="1211" spans="1:7" hidden="1">
      <c r="A1211" s="36" t="s">
        <v>1414</v>
      </c>
      <c r="B1211" s="36" t="s">
        <v>314</v>
      </c>
      <c r="C1211" s="36" t="str">
        <f>_xlfn.CONCAT(Table4[[#This Row],[Ledger Name]],Table4[[#This Row],[Entity Name]])</f>
        <v>TALOC2425157Expora</v>
      </c>
      <c r="D1211" s="36" t="s">
        <v>936</v>
      </c>
      <c r="E1211" s="49" t="s">
        <v>152</v>
      </c>
      <c r="F1211" s="49" t="s">
        <v>93</v>
      </c>
      <c r="G1211" s="101" t="s">
        <v>138</v>
      </c>
    </row>
    <row r="1212" spans="1:7" hidden="1">
      <c r="A1212" s="36" t="s">
        <v>1104</v>
      </c>
      <c r="B1212" s="36" t="s">
        <v>314</v>
      </c>
      <c r="C1212" s="36" t="str">
        <f>_xlfn.CONCAT(Table4[[#This Row],[Ledger Name]],Table4[[#This Row],[Entity Name]])</f>
        <v>TALOC242599Expora</v>
      </c>
      <c r="D1212" s="36" t="s">
        <v>936</v>
      </c>
      <c r="E1212" s="49" t="s">
        <v>152</v>
      </c>
      <c r="F1212" s="49" t="s">
        <v>93</v>
      </c>
      <c r="G1212" s="101" t="s">
        <v>138</v>
      </c>
    </row>
    <row r="1213" spans="1:7" hidden="1">
      <c r="A1213" s="36" t="s">
        <v>1419</v>
      </c>
      <c r="B1213" s="36" t="s">
        <v>314</v>
      </c>
      <c r="C1213" s="36" t="str">
        <f>_xlfn.CONCAT(Table4[[#This Row],[Ledger Name]],Table4[[#This Row],[Entity Name]])</f>
        <v>Interest on FD ReceivableExpora</v>
      </c>
      <c r="D1213" s="36" t="s">
        <v>936</v>
      </c>
      <c r="E1213" s="49" t="s">
        <v>746</v>
      </c>
      <c r="F1213" s="49" t="s">
        <v>52</v>
      </c>
      <c r="G1213" s="24" t="s">
        <v>1599</v>
      </c>
    </row>
    <row r="1214" spans="1:7" hidden="1">
      <c r="A1214" s="36" t="s">
        <v>1420</v>
      </c>
      <c r="B1214" s="36" t="s">
        <v>314</v>
      </c>
      <c r="C1214" s="36" t="str">
        <f>_xlfn.CONCAT(Table4[[#This Row],[Ledger Name]],Table4[[#This Row],[Entity Name]])</f>
        <v>SE/2080/4470 DDBExpora</v>
      </c>
      <c r="D1214" s="36" t="s">
        <v>936</v>
      </c>
      <c r="E1214" s="49" t="s">
        <v>152</v>
      </c>
      <c r="F1214" s="49" t="s">
        <v>189</v>
      </c>
      <c r="G1214" s="101" t="s">
        <v>163</v>
      </c>
    </row>
    <row r="1215" spans="1:7" hidden="1">
      <c r="A1215" s="36" t="s">
        <v>1421</v>
      </c>
      <c r="B1215" s="36" t="s">
        <v>314</v>
      </c>
      <c r="C1215" s="36" t="str">
        <f>_xlfn.CONCAT(Table4[[#This Row],[Ledger Name]],Table4[[#This Row],[Entity Name]])</f>
        <v>SE/2080/4500 DDBExpora</v>
      </c>
      <c r="D1215" s="36" t="s">
        <v>936</v>
      </c>
      <c r="E1215" s="49" t="s">
        <v>152</v>
      </c>
      <c r="F1215" s="49" t="s">
        <v>189</v>
      </c>
      <c r="G1215" s="101" t="s">
        <v>163</v>
      </c>
    </row>
    <row r="1216" spans="1:7" hidden="1">
      <c r="A1216" s="36" t="s">
        <v>1422</v>
      </c>
      <c r="B1216" s="36" t="s">
        <v>314</v>
      </c>
      <c r="C1216" s="36" t="str">
        <f>_xlfn.CONCAT(Table4[[#This Row],[Ledger Name]],Table4[[#This Row],[Entity Name]])</f>
        <v>TAEXP2425001 DDBExpora</v>
      </c>
      <c r="D1216" s="36" t="s">
        <v>936</v>
      </c>
      <c r="E1216" s="49" t="s">
        <v>152</v>
      </c>
      <c r="F1216" s="49" t="s">
        <v>189</v>
      </c>
      <c r="G1216" s="101" t="s">
        <v>163</v>
      </c>
    </row>
    <row r="1217" spans="1:7" hidden="1">
      <c r="A1217" s="36" t="s">
        <v>1423</v>
      </c>
      <c r="B1217" s="36" t="s">
        <v>314</v>
      </c>
      <c r="C1217" s="36" t="str">
        <f>_xlfn.CONCAT(Table4[[#This Row],[Ledger Name]],Table4[[#This Row],[Entity Name]])</f>
        <v>TAEXP2425006 DDBExpora</v>
      </c>
      <c r="D1217" s="36" t="s">
        <v>936</v>
      </c>
      <c r="E1217" s="49" t="s">
        <v>152</v>
      </c>
      <c r="F1217" s="49" t="s">
        <v>189</v>
      </c>
      <c r="G1217" s="101" t="s">
        <v>163</v>
      </c>
    </row>
    <row r="1218" spans="1:7" hidden="1">
      <c r="A1218" s="36" t="s">
        <v>1424</v>
      </c>
      <c r="B1218" s="36" t="s">
        <v>314</v>
      </c>
      <c r="C1218" s="36" t="str">
        <f>_xlfn.CONCAT(Table4[[#This Row],[Ledger Name]],Table4[[#This Row],[Entity Name]])</f>
        <v>TAEXP2425007 DDBExpora</v>
      </c>
      <c r="D1218" s="36" t="s">
        <v>936</v>
      </c>
      <c r="E1218" s="49" t="s">
        <v>152</v>
      </c>
      <c r="F1218" s="49" t="s">
        <v>189</v>
      </c>
      <c r="G1218" s="101" t="s">
        <v>163</v>
      </c>
    </row>
    <row r="1219" spans="1:7" hidden="1">
      <c r="A1219" s="36" t="s">
        <v>1425</v>
      </c>
      <c r="B1219" s="36" t="s">
        <v>314</v>
      </c>
      <c r="C1219" s="36" t="str">
        <f>_xlfn.CONCAT(Table4[[#This Row],[Ledger Name]],Table4[[#This Row],[Entity Name]])</f>
        <v>TAEXP2425008 DDBExpora</v>
      </c>
      <c r="D1219" s="36" t="s">
        <v>936</v>
      </c>
      <c r="E1219" s="49" t="s">
        <v>152</v>
      </c>
      <c r="F1219" s="49" t="s">
        <v>189</v>
      </c>
      <c r="G1219" s="101" t="s">
        <v>163</v>
      </c>
    </row>
    <row r="1220" spans="1:7" hidden="1">
      <c r="A1220" s="36" t="s">
        <v>1426</v>
      </c>
      <c r="B1220" s="36" t="s">
        <v>314</v>
      </c>
      <c r="C1220" s="36" t="str">
        <f>_xlfn.CONCAT(Table4[[#This Row],[Ledger Name]],Table4[[#This Row],[Entity Name]])</f>
        <v>TAEXP2425009 DDBExpora</v>
      </c>
      <c r="D1220" s="36" t="s">
        <v>936</v>
      </c>
      <c r="E1220" s="49" t="s">
        <v>152</v>
      </c>
      <c r="F1220" s="49" t="s">
        <v>189</v>
      </c>
      <c r="G1220" s="101" t="s">
        <v>163</v>
      </c>
    </row>
    <row r="1221" spans="1:7" hidden="1">
      <c r="A1221" s="36" t="s">
        <v>1427</v>
      </c>
      <c r="B1221" s="36" t="s">
        <v>314</v>
      </c>
      <c r="C1221" s="36" t="str">
        <f>_xlfn.CONCAT(Table4[[#This Row],[Ledger Name]],Table4[[#This Row],[Entity Name]])</f>
        <v>TAEXP2425011 DDBExpora</v>
      </c>
      <c r="D1221" s="36" t="s">
        <v>936</v>
      </c>
      <c r="E1221" s="49" t="s">
        <v>152</v>
      </c>
      <c r="F1221" s="49" t="s">
        <v>189</v>
      </c>
      <c r="G1221" s="101" t="s">
        <v>163</v>
      </c>
    </row>
    <row r="1222" spans="1:7" hidden="1">
      <c r="A1222" s="36" t="s">
        <v>1428</v>
      </c>
      <c r="B1222" s="36" t="s">
        <v>314</v>
      </c>
      <c r="C1222" s="36" t="str">
        <f>_xlfn.CONCAT(Table4[[#This Row],[Ledger Name]],Table4[[#This Row],[Entity Name]])</f>
        <v>TAEXP2425014 DDBExpora</v>
      </c>
      <c r="D1222" s="36" t="s">
        <v>936</v>
      </c>
      <c r="E1222" s="49" t="s">
        <v>152</v>
      </c>
      <c r="F1222" s="49" t="s">
        <v>189</v>
      </c>
      <c r="G1222" s="101" t="s">
        <v>163</v>
      </c>
    </row>
    <row r="1223" spans="1:7" hidden="1">
      <c r="A1223" s="36" t="s">
        <v>1429</v>
      </c>
      <c r="B1223" s="36" t="s">
        <v>314</v>
      </c>
      <c r="C1223" s="36" t="str">
        <f>_xlfn.CONCAT(Table4[[#This Row],[Ledger Name]],Table4[[#This Row],[Entity Name]])</f>
        <v>TAEXP2425020 DDBExpora</v>
      </c>
      <c r="D1223" s="36" t="s">
        <v>936</v>
      </c>
      <c r="E1223" s="49" t="s">
        <v>152</v>
      </c>
      <c r="F1223" s="49" t="s">
        <v>189</v>
      </c>
      <c r="G1223" s="101" t="s">
        <v>163</v>
      </c>
    </row>
    <row r="1224" spans="1:7" hidden="1">
      <c r="A1224" s="36" t="s">
        <v>1430</v>
      </c>
      <c r="B1224" s="36" t="s">
        <v>314</v>
      </c>
      <c r="C1224" s="36" t="str">
        <f>_xlfn.CONCAT(Table4[[#This Row],[Ledger Name]],Table4[[#This Row],[Entity Name]])</f>
        <v>TAEXP2425022 DDBExpora</v>
      </c>
      <c r="D1224" s="36" t="s">
        <v>936</v>
      </c>
      <c r="E1224" s="49" t="s">
        <v>152</v>
      </c>
      <c r="F1224" s="49" t="s">
        <v>189</v>
      </c>
      <c r="G1224" s="101" t="s">
        <v>163</v>
      </c>
    </row>
    <row r="1225" spans="1:7" hidden="1">
      <c r="A1225" s="36" t="s">
        <v>1431</v>
      </c>
      <c r="B1225" s="36" t="s">
        <v>314</v>
      </c>
      <c r="C1225" s="36" t="str">
        <f>_xlfn.CONCAT(Table4[[#This Row],[Ledger Name]],Table4[[#This Row],[Entity Name]])</f>
        <v>TAEXP2425023 DDBExpora</v>
      </c>
      <c r="D1225" s="36" t="s">
        <v>936</v>
      </c>
      <c r="E1225" s="49" t="s">
        <v>152</v>
      </c>
      <c r="F1225" s="49" t="s">
        <v>189</v>
      </c>
      <c r="G1225" s="101" t="s">
        <v>163</v>
      </c>
    </row>
    <row r="1226" spans="1:7" hidden="1">
      <c r="A1226" s="36" t="s">
        <v>1432</v>
      </c>
      <c r="B1226" s="36" t="s">
        <v>314</v>
      </c>
      <c r="C1226" s="36" t="str">
        <f>_xlfn.CONCAT(Table4[[#This Row],[Ledger Name]],Table4[[#This Row],[Entity Name]])</f>
        <v>TAEXP2425026 DDBExpora</v>
      </c>
      <c r="D1226" s="36" t="s">
        <v>936</v>
      </c>
      <c r="E1226" s="49" t="s">
        <v>152</v>
      </c>
      <c r="F1226" s="49" t="s">
        <v>189</v>
      </c>
      <c r="G1226" s="101" t="s">
        <v>163</v>
      </c>
    </row>
    <row r="1227" spans="1:7" hidden="1">
      <c r="A1227" s="36" t="s">
        <v>1433</v>
      </c>
      <c r="B1227" s="36" t="s">
        <v>314</v>
      </c>
      <c r="C1227" s="36" t="str">
        <f>_xlfn.CONCAT(Table4[[#This Row],[Ledger Name]],Table4[[#This Row],[Entity Name]])</f>
        <v>TAEXP2425029 DDBExpora</v>
      </c>
      <c r="D1227" s="36" t="s">
        <v>936</v>
      </c>
      <c r="E1227" s="49" t="s">
        <v>152</v>
      </c>
      <c r="F1227" s="49" t="s">
        <v>189</v>
      </c>
      <c r="G1227" s="101" t="s">
        <v>163</v>
      </c>
    </row>
    <row r="1228" spans="1:7" hidden="1">
      <c r="A1228" s="36" t="s">
        <v>1434</v>
      </c>
      <c r="B1228" s="36" t="s">
        <v>314</v>
      </c>
      <c r="C1228" s="36" t="str">
        <f>_xlfn.CONCAT(Table4[[#This Row],[Ledger Name]],Table4[[#This Row],[Entity Name]])</f>
        <v>TAEXP2425030 DDBExpora</v>
      </c>
      <c r="D1228" s="36" t="s">
        <v>936</v>
      </c>
      <c r="E1228" s="49" t="s">
        <v>152</v>
      </c>
      <c r="F1228" s="49" t="s">
        <v>189</v>
      </c>
      <c r="G1228" s="101" t="s">
        <v>163</v>
      </c>
    </row>
    <row r="1229" spans="1:7" hidden="1">
      <c r="A1229" s="36" t="s">
        <v>1435</v>
      </c>
      <c r="B1229" s="36" t="s">
        <v>314</v>
      </c>
      <c r="C1229" s="36" t="str">
        <f>_xlfn.CONCAT(Table4[[#This Row],[Ledger Name]],Table4[[#This Row],[Entity Name]])</f>
        <v>TAEXP2425031 DDBExpora</v>
      </c>
      <c r="D1229" s="36" t="s">
        <v>936</v>
      </c>
      <c r="E1229" s="49" t="s">
        <v>152</v>
      </c>
      <c r="F1229" s="49" t="s">
        <v>189</v>
      </c>
      <c r="G1229" s="101" t="s">
        <v>163</v>
      </c>
    </row>
    <row r="1230" spans="1:7" hidden="1">
      <c r="A1230" s="36" t="s">
        <v>1436</v>
      </c>
      <c r="B1230" s="36" t="s">
        <v>314</v>
      </c>
      <c r="C1230" s="36" t="str">
        <f>_xlfn.CONCAT(Table4[[#This Row],[Ledger Name]],Table4[[#This Row],[Entity Name]])</f>
        <v>TAEXP2425032 DDBExpora</v>
      </c>
      <c r="D1230" s="36" t="s">
        <v>936</v>
      </c>
      <c r="E1230" s="49" t="s">
        <v>152</v>
      </c>
      <c r="F1230" s="49" t="s">
        <v>189</v>
      </c>
      <c r="G1230" s="101" t="s">
        <v>163</v>
      </c>
    </row>
    <row r="1231" spans="1:7" hidden="1">
      <c r="A1231" s="36" t="s">
        <v>1437</v>
      </c>
      <c r="B1231" s="36" t="s">
        <v>314</v>
      </c>
      <c r="C1231" s="36" t="str">
        <f>_xlfn.CONCAT(Table4[[#This Row],[Ledger Name]],Table4[[#This Row],[Entity Name]])</f>
        <v>TAEXP2425033 DDBExpora</v>
      </c>
      <c r="D1231" s="36" t="s">
        <v>936</v>
      </c>
      <c r="E1231" s="49" t="s">
        <v>152</v>
      </c>
      <c r="F1231" s="49" t="s">
        <v>189</v>
      </c>
      <c r="G1231" s="101" t="s">
        <v>163</v>
      </c>
    </row>
    <row r="1232" spans="1:7" hidden="1">
      <c r="A1232" s="36" t="s">
        <v>1438</v>
      </c>
      <c r="B1232" s="36" t="s">
        <v>314</v>
      </c>
      <c r="C1232" s="36" t="str">
        <f>_xlfn.CONCAT(Table4[[#This Row],[Ledger Name]],Table4[[#This Row],[Entity Name]])</f>
        <v>TAEXP2425034 DDBExpora</v>
      </c>
      <c r="D1232" s="36" t="s">
        <v>936</v>
      </c>
      <c r="E1232" s="49" t="s">
        <v>152</v>
      </c>
      <c r="F1232" s="49" t="s">
        <v>189</v>
      </c>
      <c r="G1232" s="101" t="s">
        <v>163</v>
      </c>
    </row>
    <row r="1233" spans="1:7" hidden="1">
      <c r="A1233" s="36" t="s">
        <v>1439</v>
      </c>
      <c r="B1233" s="36" t="s">
        <v>314</v>
      </c>
      <c r="C1233" s="36" t="str">
        <f>_xlfn.CONCAT(Table4[[#This Row],[Ledger Name]],Table4[[#This Row],[Entity Name]])</f>
        <v>TAEXP2425035 DDBExpora</v>
      </c>
      <c r="D1233" s="36" t="s">
        <v>936</v>
      </c>
      <c r="E1233" s="49" t="s">
        <v>152</v>
      </c>
      <c r="F1233" s="49" t="s">
        <v>189</v>
      </c>
      <c r="G1233" s="101" t="s">
        <v>163</v>
      </c>
    </row>
    <row r="1234" spans="1:7" hidden="1">
      <c r="A1234" s="36" t="s">
        <v>1440</v>
      </c>
      <c r="B1234" s="36" t="s">
        <v>314</v>
      </c>
      <c r="C1234" s="36" t="str">
        <f>_xlfn.CONCAT(Table4[[#This Row],[Ledger Name]],Table4[[#This Row],[Entity Name]])</f>
        <v>TAEXP2425036 DDBExpora</v>
      </c>
      <c r="D1234" s="36" t="s">
        <v>936</v>
      </c>
      <c r="E1234" s="49" t="s">
        <v>152</v>
      </c>
      <c r="F1234" s="49" t="s">
        <v>189</v>
      </c>
      <c r="G1234" s="101" t="s">
        <v>163</v>
      </c>
    </row>
    <row r="1235" spans="1:7" hidden="1">
      <c r="A1235" s="36" t="s">
        <v>1441</v>
      </c>
      <c r="B1235" s="36" t="s">
        <v>314</v>
      </c>
      <c r="C1235" s="36" t="str">
        <f>_xlfn.CONCAT(Table4[[#This Row],[Ledger Name]],Table4[[#This Row],[Entity Name]])</f>
        <v>TAEXP2425037 DDBExpora</v>
      </c>
      <c r="D1235" s="36" t="s">
        <v>936</v>
      </c>
      <c r="E1235" s="49" t="s">
        <v>152</v>
      </c>
      <c r="F1235" s="49" t="s">
        <v>189</v>
      </c>
      <c r="G1235" s="101" t="s">
        <v>163</v>
      </c>
    </row>
    <row r="1236" spans="1:7" hidden="1">
      <c r="A1236" s="36" t="s">
        <v>1442</v>
      </c>
      <c r="B1236" s="36" t="s">
        <v>314</v>
      </c>
      <c r="C1236" s="36" t="str">
        <f>_xlfn.CONCAT(Table4[[#This Row],[Ledger Name]],Table4[[#This Row],[Entity Name]])</f>
        <v>TAEXP2425041 DDBExpora</v>
      </c>
      <c r="D1236" s="36" t="s">
        <v>936</v>
      </c>
      <c r="E1236" s="49" t="s">
        <v>152</v>
      </c>
      <c r="F1236" s="49" t="s">
        <v>189</v>
      </c>
      <c r="G1236" s="101" t="s">
        <v>163</v>
      </c>
    </row>
    <row r="1237" spans="1:7" hidden="1">
      <c r="A1237" s="36" t="s">
        <v>121</v>
      </c>
      <c r="B1237" s="36" t="s">
        <v>314</v>
      </c>
      <c r="C1237" s="36" t="str">
        <f>_xlfn.CONCAT(Table4[[#This Row],[Ledger Name]],Table4[[#This Row],[Entity Name]])</f>
        <v>Interest on FDExpora</v>
      </c>
      <c r="D1237" s="36" t="s">
        <v>936</v>
      </c>
      <c r="E1237" s="49" t="s">
        <v>152</v>
      </c>
      <c r="F1237" s="49" t="s">
        <v>312</v>
      </c>
      <c r="G1237" s="101" t="s">
        <v>599</v>
      </c>
    </row>
    <row r="1238" spans="1:7" hidden="1">
      <c r="A1238" s="36" t="s">
        <v>1443</v>
      </c>
      <c r="B1238" s="36" t="s">
        <v>314</v>
      </c>
      <c r="C1238" s="36" t="str">
        <f>_xlfn.CONCAT(Table4[[#This Row],[Ledger Name]],Table4[[#This Row],[Entity Name]])</f>
        <v>SE/2080/4470 RODTEP.Expora</v>
      </c>
      <c r="D1238" s="36" t="s">
        <v>936</v>
      </c>
      <c r="E1238" s="49" t="s">
        <v>152</v>
      </c>
      <c r="F1238" s="49" t="s">
        <v>189</v>
      </c>
      <c r="G1238" s="101" t="s">
        <v>313</v>
      </c>
    </row>
    <row r="1239" spans="1:7" hidden="1">
      <c r="A1239" s="36" t="s">
        <v>1444</v>
      </c>
      <c r="B1239" s="36" t="s">
        <v>314</v>
      </c>
      <c r="C1239" s="36" t="str">
        <f>_xlfn.CONCAT(Table4[[#This Row],[Ledger Name]],Table4[[#This Row],[Entity Name]])</f>
        <v>SE/2080/4500 RODTEP.Expora</v>
      </c>
      <c r="D1239" s="36" t="s">
        <v>936</v>
      </c>
      <c r="E1239" s="49" t="s">
        <v>152</v>
      </c>
      <c r="F1239" s="49" t="s">
        <v>189</v>
      </c>
      <c r="G1239" s="101" t="s">
        <v>313</v>
      </c>
    </row>
    <row r="1240" spans="1:7" hidden="1">
      <c r="A1240" s="36" t="s">
        <v>1445</v>
      </c>
      <c r="B1240" s="36" t="s">
        <v>314</v>
      </c>
      <c r="C1240" s="36" t="str">
        <f>_xlfn.CONCAT(Table4[[#This Row],[Ledger Name]],Table4[[#This Row],[Entity Name]])</f>
        <v>SE/2080/4504 RODTEP.Expora</v>
      </c>
      <c r="D1240" s="36" t="s">
        <v>936</v>
      </c>
      <c r="E1240" s="49" t="s">
        <v>152</v>
      </c>
      <c r="F1240" s="49" t="s">
        <v>189</v>
      </c>
      <c r="G1240" s="101" t="s">
        <v>313</v>
      </c>
    </row>
    <row r="1241" spans="1:7" hidden="1">
      <c r="A1241" s="36" t="s">
        <v>1446</v>
      </c>
      <c r="B1241" s="36" t="s">
        <v>314</v>
      </c>
      <c r="C1241" s="36" t="str">
        <f>_xlfn.CONCAT(Table4[[#This Row],[Ledger Name]],Table4[[#This Row],[Entity Name]])</f>
        <v>TAEXP2425-043 RODTEP.Expora</v>
      </c>
      <c r="D1241" s="36" t="s">
        <v>936</v>
      </c>
      <c r="E1241" s="49" t="s">
        <v>152</v>
      </c>
      <c r="F1241" s="49" t="s">
        <v>189</v>
      </c>
      <c r="G1241" s="101" t="s">
        <v>313</v>
      </c>
    </row>
    <row r="1242" spans="1:7" hidden="1">
      <c r="A1242" s="36" t="s">
        <v>1447</v>
      </c>
      <c r="B1242" s="36" t="s">
        <v>314</v>
      </c>
      <c r="C1242" s="36" t="str">
        <f>_xlfn.CONCAT(Table4[[#This Row],[Ledger Name]],Table4[[#This Row],[Entity Name]])</f>
        <v>TAEXP2425/044 RODTEP.Expora</v>
      </c>
      <c r="D1242" s="36" t="s">
        <v>936</v>
      </c>
      <c r="E1242" s="49" t="s">
        <v>152</v>
      </c>
      <c r="F1242" s="49" t="s">
        <v>189</v>
      </c>
      <c r="G1242" s="101" t="s">
        <v>313</v>
      </c>
    </row>
    <row r="1243" spans="1:7" hidden="1">
      <c r="A1243" s="36" t="s">
        <v>1448</v>
      </c>
      <c r="B1243" s="36" t="s">
        <v>314</v>
      </c>
      <c r="C1243" s="36" t="str">
        <f>_xlfn.CONCAT(Table4[[#This Row],[Ledger Name]],Table4[[#This Row],[Entity Name]])</f>
        <v>TAEXP2425001 RODTEP.Expora</v>
      </c>
      <c r="D1243" s="36" t="s">
        <v>936</v>
      </c>
      <c r="E1243" s="49" t="s">
        <v>152</v>
      </c>
      <c r="F1243" s="49" t="s">
        <v>189</v>
      </c>
      <c r="G1243" s="101" t="s">
        <v>313</v>
      </c>
    </row>
    <row r="1244" spans="1:7" hidden="1">
      <c r="A1244" s="36" t="s">
        <v>1449</v>
      </c>
      <c r="B1244" s="36" t="s">
        <v>314</v>
      </c>
      <c r="C1244" s="36" t="str">
        <f>_xlfn.CONCAT(Table4[[#This Row],[Ledger Name]],Table4[[#This Row],[Entity Name]])</f>
        <v>TAEXP2425006 RODTEP.Expora</v>
      </c>
      <c r="D1244" s="36" t="s">
        <v>936</v>
      </c>
      <c r="E1244" s="49" t="s">
        <v>152</v>
      </c>
      <c r="F1244" s="49" t="s">
        <v>189</v>
      </c>
      <c r="G1244" s="101" t="s">
        <v>313</v>
      </c>
    </row>
    <row r="1245" spans="1:7" hidden="1">
      <c r="A1245" s="36" t="s">
        <v>1450</v>
      </c>
      <c r="B1245" s="36" t="s">
        <v>314</v>
      </c>
      <c r="C1245" s="36" t="str">
        <f>_xlfn.CONCAT(Table4[[#This Row],[Ledger Name]],Table4[[#This Row],[Entity Name]])</f>
        <v>TAEXP2425007 RODTEP.Expora</v>
      </c>
      <c r="D1245" s="36" t="s">
        <v>936</v>
      </c>
      <c r="E1245" s="49" t="s">
        <v>152</v>
      </c>
      <c r="F1245" s="49" t="s">
        <v>189</v>
      </c>
      <c r="G1245" s="101" t="s">
        <v>313</v>
      </c>
    </row>
    <row r="1246" spans="1:7" hidden="1">
      <c r="A1246" s="36" t="s">
        <v>1451</v>
      </c>
      <c r="B1246" s="36" t="s">
        <v>314</v>
      </c>
      <c r="C1246" s="36" t="str">
        <f>_xlfn.CONCAT(Table4[[#This Row],[Ledger Name]],Table4[[#This Row],[Entity Name]])</f>
        <v>TAEXP2425008 RODTEP.Expora</v>
      </c>
      <c r="D1246" s="36" t="s">
        <v>936</v>
      </c>
      <c r="E1246" s="49" t="s">
        <v>152</v>
      </c>
      <c r="F1246" s="49" t="s">
        <v>189</v>
      </c>
      <c r="G1246" s="101" t="s">
        <v>313</v>
      </c>
    </row>
    <row r="1247" spans="1:7" hidden="1">
      <c r="A1247" s="36" t="s">
        <v>1452</v>
      </c>
      <c r="B1247" s="36" t="s">
        <v>314</v>
      </c>
      <c r="C1247" s="36" t="str">
        <f>_xlfn.CONCAT(Table4[[#This Row],[Ledger Name]],Table4[[#This Row],[Entity Name]])</f>
        <v>TAEXP2425009 RODTEP.Expora</v>
      </c>
      <c r="D1247" s="36" t="s">
        <v>936</v>
      </c>
      <c r="E1247" s="49" t="s">
        <v>152</v>
      </c>
      <c r="F1247" s="49" t="s">
        <v>189</v>
      </c>
      <c r="G1247" s="101" t="s">
        <v>313</v>
      </c>
    </row>
    <row r="1248" spans="1:7" hidden="1">
      <c r="A1248" s="36" t="s">
        <v>1453</v>
      </c>
      <c r="B1248" s="36" t="s">
        <v>314</v>
      </c>
      <c r="C1248" s="36" t="str">
        <f>_xlfn.CONCAT(Table4[[#This Row],[Ledger Name]],Table4[[#This Row],[Entity Name]])</f>
        <v>TAEXP2425011 RODTEP.Expora</v>
      </c>
      <c r="D1248" s="36" t="s">
        <v>936</v>
      </c>
      <c r="E1248" s="49" t="s">
        <v>152</v>
      </c>
      <c r="F1248" s="49" t="s">
        <v>189</v>
      </c>
      <c r="G1248" s="101" t="s">
        <v>313</v>
      </c>
    </row>
    <row r="1249" spans="1:7" hidden="1">
      <c r="A1249" s="36" t="s">
        <v>1454</v>
      </c>
      <c r="B1249" s="36" t="s">
        <v>314</v>
      </c>
      <c r="C1249" s="36" t="str">
        <f>_xlfn.CONCAT(Table4[[#This Row],[Ledger Name]],Table4[[#This Row],[Entity Name]])</f>
        <v>TAEXP2425014 RODTEP.Expora</v>
      </c>
      <c r="D1249" s="36" t="s">
        <v>936</v>
      </c>
      <c r="E1249" s="49" t="s">
        <v>152</v>
      </c>
      <c r="F1249" s="49" t="s">
        <v>189</v>
      </c>
      <c r="G1249" s="101" t="s">
        <v>313</v>
      </c>
    </row>
    <row r="1250" spans="1:7" hidden="1">
      <c r="A1250" s="36" t="s">
        <v>1455</v>
      </c>
      <c r="B1250" s="36" t="s">
        <v>314</v>
      </c>
      <c r="C1250" s="36" t="str">
        <f>_xlfn.CONCAT(Table4[[#This Row],[Ledger Name]],Table4[[#This Row],[Entity Name]])</f>
        <v>TAEXP2425017 RODTEP.Expora</v>
      </c>
      <c r="D1250" s="36" t="s">
        <v>936</v>
      </c>
      <c r="E1250" s="49" t="s">
        <v>152</v>
      </c>
      <c r="F1250" s="49" t="s">
        <v>189</v>
      </c>
      <c r="G1250" s="101" t="s">
        <v>313</v>
      </c>
    </row>
    <row r="1251" spans="1:7" hidden="1">
      <c r="A1251" s="36" t="s">
        <v>1456</v>
      </c>
      <c r="B1251" s="36" t="s">
        <v>314</v>
      </c>
      <c r="C1251" s="36" t="str">
        <f>_xlfn.CONCAT(Table4[[#This Row],[Ledger Name]],Table4[[#This Row],[Entity Name]])</f>
        <v>TAEXP2425019 RODTEP.Expora</v>
      </c>
      <c r="D1251" s="36" t="s">
        <v>936</v>
      </c>
      <c r="E1251" s="49" t="s">
        <v>152</v>
      </c>
      <c r="F1251" s="49" t="s">
        <v>189</v>
      </c>
      <c r="G1251" s="101" t="s">
        <v>313</v>
      </c>
    </row>
    <row r="1252" spans="1:7" hidden="1">
      <c r="A1252" s="36" t="s">
        <v>1457</v>
      </c>
      <c r="B1252" s="36" t="s">
        <v>314</v>
      </c>
      <c r="C1252" s="36" t="str">
        <f>_xlfn.CONCAT(Table4[[#This Row],[Ledger Name]],Table4[[#This Row],[Entity Name]])</f>
        <v>TAEXP2425020 RODTEP.Expora</v>
      </c>
      <c r="D1252" s="36" t="s">
        <v>936</v>
      </c>
      <c r="E1252" s="49" t="s">
        <v>152</v>
      </c>
      <c r="F1252" s="49" t="s">
        <v>189</v>
      </c>
      <c r="G1252" s="101" t="s">
        <v>313</v>
      </c>
    </row>
    <row r="1253" spans="1:7" hidden="1">
      <c r="A1253" s="36" t="s">
        <v>1458</v>
      </c>
      <c r="B1253" s="36" t="s">
        <v>314</v>
      </c>
      <c r="C1253" s="36" t="str">
        <f>_xlfn.CONCAT(Table4[[#This Row],[Ledger Name]],Table4[[#This Row],[Entity Name]])</f>
        <v>TAEXP2425022 RODTEP.Expora</v>
      </c>
      <c r="D1253" s="36" t="s">
        <v>936</v>
      </c>
      <c r="E1253" s="49" t="s">
        <v>152</v>
      </c>
      <c r="F1253" s="49" t="s">
        <v>189</v>
      </c>
      <c r="G1253" s="101" t="s">
        <v>313</v>
      </c>
    </row>
    <row r="1254" spans="1:7" hidden="1">
      <c r="A1254" s="36" t="s">
        <v>1459</v>
      </c>
      <c r="B1254" s="36" t="s">
        <v>314</v>
      </c>
      <c r="C1254" s="36" t="str">
        <f>_xlfn.CONCAT(Table4[[#This Row],[Ledger Name]],Table4[[#This Row],[Entity Name]])</f>
        <v>TAEXP2425023 RODTEP.Expora</v>
      </c>
      <c r="D1254" s="36" t="s">
        <v>936</v>
      </c>
      <c r="E1254" s="49" t="s">
        <v>152</v>
      </c>
      <c r="F1254" s="49" t="s">
        <v>189</v>
      </c>
      <c r="G1254" s="101" t="s">
        <v>313</v>
      </c>
    </row>
    <row r="1255" spans="1:7" hidden="1">
      <c r="A1255" s="36" t="s">
        <v>1460</v>
      </c>
      <c r="B1255" s="36" t="s">
        <v>314</v>
      </c>
      <c r="C1255" s="36" t="str">
        <f>_xlfn.CONCAT(Table4[[#This Row],[Ledger Name]],Table4[[#This Row],[Entity Name]])</f>
        <v>TAEXP2425024 RODTEP.Expora</v>
      </c>
      <c r="D1255" s="36" t="s">
        <v>936</v>
      </c>
      <c r="E1255" s="49" t="s">
        <v>152</v>
      </c>
      <c r="F1255" s="49" t="s">
        <v>189</v>
      </c>
      <c r="G1255" s="101" t="s">
        <v>313</v>
      </c>
    </row>
    <row r="1256" spans="1:7" hidden="1">
      <c r="A1256" s="36" t="s">
        <v>1461</v>
      </c>
      <c r="B1256" s="36" t="s">
        <v>314</v>
      </c>
      <c r="C1256" s="36" t="str">
        <f>_xlfn.CONCAT(Table4[[#This Row],[Ledger Name]],Table4[[#This Row],[Entity Name]])</f>
        <v>TAEXP2425025 RODTEP.Expora</v>
      </c>
      <c r="D1256" s="36" t="s">
        <v>936</v>
      </c>
      <c r="E1256" s="49" t="s">
        <v>152</v>
      </c>
      <c r="F1256" s="49" t="s">
        <v>189</v>
      </c>
      <c r="G1256" s="101" t="s">
        <v>313</v>
      </c>
    </row>
    <row r="1257" spans="1:7" hidden="1">
      <c r="A1257" s="36" t="s">
        <v>1462</v>
      </c>
      <c r="B1257" s="36" t="s">
        <v>314</v>
      </c>
      <c r="C1257" s="36" t="str">
        <f>_xlfn.CONCAT(Table4[[#This Row],[Ledger Name]],Table4[[#This Row],[Entity Name]])</f>
        <v>TAEXP2425026 RODTEP.Expora</v>
      </c>
      <c r="D1257" s="36" t="s">
        <v>936</v>
      </c>
      <c r="E1257" s="49" t="s">
        <v>152</v>
      </c>
      <c r="F1257" s="49" t="s">
        <v>189</v>
      </c>
      <c r="G1257" s="101" t="s">
        <v>313</v>
      </c>
    </row>
    <row r="1258" spans="1:7" hidden="1">
      <c r="A1258" s="36" t="s">
        <v>1463</v>
      </c>
      <c r="B1258" s="36" t="s">
        <v>314</v>
      </c>
      <c r="C1258" s="36" t="str">
        <f>_xlfn.CONCAT(Table4[[#This Row],[Ledger Name]],Table4[[#This Row],[Entity Name]])</f>
        <v>TAEXP2425027 RODTEP.Expora</v>
      </c>
      <c r="D1258" s="36" t="s">
        <v>936</v>
      </c>
      <c r="E1258" s="49" t="s">
        <v>152</v>
      </c>
      <c r="F1258" s="49" t="s">
        <v>189</v>
      </c>
      <c r="G1258" s="101" t="s">
        <v>313</v>
      </c>
    </row>
    <row r="1259" spans="1:7" hidden="1">
      <c r="A1259" s="36" t="s">
        <v>1464</v>
      </c>
      <c r="B1259" s="36" t="s">
        <v>314</v>
      </c>
      <c r="C1259" s="36" t="str">
        <f>_xlfn.CONCAT(Table4[[#This Row],[Ledger Name]],Table4[[#This Row],[Entity Name]])</f>
        <v>TAEXP2425028 RODTEP.Expora</v>
      </c>
      <c r="D1259" s="36" t="s">
        <v>936</v>
      </c>
      <c r="E1259" s="49" t="s">
        <v>152</v>
      </c>
      <c r="F1259" s="49" t="s">
        <v>189</v>
      </c>
      <c r="G1259" s="101" t="s">
        <v>313</v>
      </c>
    </row>
    <row r="1260" spans="1:7" hidden="1">
      <c r="A1260" s="36" t="s">
        <v>1465</v>
      </c>
      <c r="B1260" s="36" t="s">
        <v>314</v>
      </c>
      <c r="C1260" s="36" t="str">
        <f>_xlfn.CONCAT(Table4[[#This Row],[Ledger Name]],Table4[[#This Row],[Entity Name]])</f>
        <v>TAEXP2425029 RODTEP.Expora</v>
      </c>
      <c r="D1260" s="36" t="s">
        <v>936</v>
      </c>
      <c r="E1260" s="49" t="s">
        <v>152</v>
      </c>
      <c r="F1260" s="49" t="s">
        <v>189</v>
      </c>
      <c r="G1260" s="101" t="s">
        <v>313</v>
      </c>
    </row>
    <row r="1261" spans="1:7" hidden="1">
      <c r="A1261" s="36" t="s">
        <v>1466</v>
      </c>
      <c r="B1261" s="36" t="s">
        <v>314</v>
      </c>
      <c r="C1261" s="36" t="str">
        <f>_xlfn.CONCAT(Table4[[#This Row],[Ledger Name]],Table4[[#This Row],[Entity Name]])</f>
        <v>TAEXP2425030 RODTEP.Expora</v>
      </c>
      <c r="D1261" s="36" t="s">
        <v>936</v>
      </c>
      <c r="E1261" s="49" t="s">
        <v>152</v>
      </c>
      <c r="F1261" s="49" t="s">
        <v>189</v>
      </c>
      <c r="G1261" s="101" t="s">
        <v>313</v>
      </c>
    </row>
    <row r="1262" spans="1:7" hidden="1">
      <c r="A1262" s="36" t="s">
        <v>1467</v>
      </c>
      <c r="B1262" s="36" t="s">
        <v>314</v>
      </c>
      <c r="C1262" s="36" t="str">
        <f>_xlfn.CONCAT(Table4[[#This Row],[Ledger Name]],Table4[[#This Row],[Entity Name]])</f>
        <v>TAEXP2425033 RODTEP.Expora</v>
      </c>
      <c r="D1262" s="36" t="s">
        <v>936</v>
      </c>
      <c r="E1262" s="49" t="s">
        <v>152</v>
      </c>
      <c r="F1262" s="49" t="s">
        <v>189</v>
      </c>
      <c r="G1262" s="101" t="s">
        <v>313</v>
      </c>
    </row>
    <row r="1263" spans="1:7" hidden="1">
      <c r="A1263" s="36" t="s">
        <v>1468</v>
      </c>
      <c r="B1263" s="36" t="s">
        <v>314</v>
      </c>
      <c r="C1263" s="36" t="str">
        <f>_xlfn.CONCAT(Table4[[#This Row],[Ledger Name]],Table4[[#This Row],[Entity Name]])</f>
        <v>TAEXP2425034 RODTEP.Expora</v>
      </c>
      <c r="D1263" s="36" t="s">
        <v>936</v>
      </c>
      <c r="E1263" s="49" t="s">
        <v>152</v>
      </c>
      <c r="F1263" s="49" t="s">
        <v>189</v>
      </c>
      <c r="G1263" s="101" t="s">
        <v>313</v>
      </c>
    </row>
    <row r="1264" spans="1:7" hidden="1">
      <c r="A1264" s="36" t="s">
        <v>1469</v>
      </c>
      <c r="B1264" s="36" t="s">
        <v>314</v>
      </c>
      <c r="C1264" s="36" t="str">
        <f>_xlfn.CONCAT(Table4[[#This Row],[Ledger Name]],Table4[[#This Row],[Entity Name]])</f>
        <v>TAEXP2425035 RODTEP.Expora</v>
      </c>
      <c r="D1264" s="36" t="s">
        <v>936</v>
      </c>
      <c r="E1264" s="49" t="s">
        <v>152</v>
      </c>
      <c r="F1264" s="49" t="s">
        <v>189</v>
      </c>
      <c r="G1264" s="101" t="s">
        <v>313</v>
      </c>
    </row>
    <row r="1265" spans="1:7" hidden="1">
      <c r="A1265" s="36" t="s">
        <v>1470</v>
      </c>
      <c r="B1265" s="36" t="s">
        <v>314</v>
      </c>
      <c r="C1265" s="36" t="str">
        <f>_xlfn.CONCAT(Table4[[#This Row],[Ledger Name]],Table4[[#This Row],[Entity Name]])</f>
        <v>TAEXP2425036 RODTEP.Expora</v>
      </c>
      <c r="D1265" s="36" t="s">
        <v>936</v>
      </c>
      <c r="E1265" s="49" t="s">
        <v>152</v>
      </c>
      <c r="F1265" s="49" t="s">
        <v>189</v>
      </c>
      <c r="G1265" s="101" t="s">
        <v>313</v>
      </c>
    </row>
    <row r="1266" spans="1:7" hidden="1">
      <c r="A1266" s="36" t="s">
        <v>1471</v>
      </c>
      <c r="B1266" s="36" t="s">
        <v>314</v>
      </c>
      <c r="C1266" s="36" t="str">
        <f>_xlfn.CONCAT(Table4[[#This Row],[Ledger Name]],Table4[[#This Row],[Entity Name]])</f>
        <v>TAEXP2425037 RODTEP.Expora</v>
      </c>
      <c r="D1266" s="36" t="s">
        <v>936</v>
      </c>
      <c r="E1266" s="49" t="s">
        <v>152</v>
      </c>
      <c r="F1266" s="49" t="s">
        <v>189</v>
      </c>
      <c r="G1266" s="101" t="s">
        <v>313</v>
      </c>
    </row>
    <row r="1267" spans="1:7" hidden="1">
      <c r="A1267" s="36" t="s">
        <v>1472</v>
      </c>
      <c r="B1267" s="36" t="s">
        <v>314</v>
      </c>
      <c r="C1267" s="36" t="str">
        <f>_xlfn.CONCAT(Table4[[#This Row],[Ledger Name]],Table4[[#This Row],[Entity Name]])</f>
        <v>TAEXP2425038 RODTEP.Expora</v>
      </c>
      <c r="D1267" s="36" t="s">
        <v>936</v>
      </c>
      <c r="E1267" s="49" t="s">
        <v>152</v>
      </c>
      <c r="F1267" s="49" t="s">
        <v>189</v>
      </c>
      <c r="G1267" s="101" t="s">
        <v>313</v>
      </c>
    </row>
    <row r="1268" spans="1:7" hidden="1">
      <c r="A1268" s="36" t="s">
        <v>1473</v>
      </c>
      <c r="B1268" s="36" t="s">
        <v>314</v>
      </c>
      <c r="C1268" s="36" t="str">
        <f>_xlfn.CONCAT(Table4[[#This Row],[Ledger Name]],Table4[[#This Row],[Entity Name]])</f>
        <v>TAEXP2425039 RODTEP.Expora</v>
      </c>
      <c r="D1268" s="36" t="s">
        <v>936</v>
      </c>
      <c r="E1268" s="49" t="s">
        <v>152</v>
      </c>
      <c r="F1268" s="49" t="s">
        <v>189</v>
      </c>
      <c r="G1268" s="101" t="s">
        <v>313</v>
      </c>
    </row>
    <row r="1269" spans="1:7" hidden="1">
      <c r="A1269" s="36" t="s">
        <v>1474</v>
      </c>
      <c r="B1269" s="36" t="s">
        <v>314</v>
      </c>
      <c r="C1269" s="36" t="str">
        <f>_xlfn.CONCAT(Table4[[#This Row],[Ledger Name]],Table4[[#This Row],[Entity Name]])</f>
        <v>TAEXP2425040 RODTEP.Expora</v>
      </c>
      <c r="D1269" s="36" t="s">
        <v>936</v>
      </c>
      <c r="E1269" s="49" t="s">
        <v>152</v>
      </c>
      <c r="F1269" s="49" t="s">
        <v>189</v>
      </c>
      <c r="G1269" s="101" t="s">
        <v>313</v>
      </c>
    </row>
    <row r="1270" spans="1:7" hidden="1">
      <c r="A1270" s="36" t="s">
        <v>1475</v>
      </c>
      <c r="B1270" s="36" t="s">
        <v>314</v>
      </c>
      <c r="C1270" s="36" t="str">
        <f>_xlfn.CONCAT(Table4[[#This Row],[Ledger Name]],Table4[[#This Row],[Entity Name]])</f>
        <v>TAEXP2425041 RODTEP.Expora</v>
      </c>
      <c r="D1270" s="36" t="s">
        <v>936</v>
      </c>
      <c r="E1270" s="49" t="s">
        <v>152</v>
      </c>
      <c r="F1270" s="49" t="s">
        <v>189</v>
      </c>
      <c r="G1270" s="101" t="s">
        <v>313</v>
      </c>
    </row>
    <row r="1271" spans="1:7" hidden="1">
      <c r="A1271" s="36" t="s">
        <v>1476</v>
      </c>
      <c r="B1271" s="36" t="s">
        <v>314</v>
      </c>
      <c r="C1271" s="36" t="str">
        <f>_xlfn.CONCAT(Table4[[#This Row],[Ledger Name]],Table4[[#This Row],[Entity Name]])</f>
        <v>TAEXP2425042 RODTEP.Expora</v>
      </c>
      <c r="D1271" s="36" t="s">
        <v>936</v>
      </c>
      <c r="E1271" s="49" t="s">
        <v>152</v>
      </c>
      <c r="F1271" s="49" t="s">
        <v>189</v>
      </c>
      <c r="G1271" s="101" t="s">
        <v>313</v>
      </c>
    </row>
    <row r="1272" spans="1:7" hidden="1">
      <c r="A1272" s="36" t="s">
        <v>1477</v>
      </c>
      <c r="B1272" s="36" t="s">
        <v>314</v>
      </c>
      <c r="C1272" s="36" t="str">
        <f>_xlfn.CONCAT(Table4[[#This Row],[Ledger Name]],Table4[[#This Row],[Entity Name]])</f>
        <v>TAEXP2425043 RODTEP.Expora</v>
      </c>
      <c r="D1272" s="36" t="s">
        <v>936</v>
      </c>
      <c r="E1272" s="49" t="s">
        <v>152</v>
      </c>
      <c r="F1272" s="49" t="s">
        <v>189</v>
      </c>
      <c r="G1272" s="101" t="s">
        <v>313</v>
      </c>
    </row>
    <row r="1273" spans="1:7" hidden="1">
      <c r="A1273" s="36" t="s">
        <v>1478</v>
      </c>
      <c r="B1273" s="36" t="s">
        <v>314</v>
      </c>
      <c r="C1273" s="36" t="str">
        <f>_xlfn.CONCAT(Table4[[#This Row],[Ledger Name]],Table4[[#This Row],[Entity Name]])</f>
        <v>TAEXP2425044 RODTEP.Expora</v>
      </c>
      <c r="D1273" s="36" t="s">
        <v>936</v>
      </c>
      <c r="E1273" s="49" t="s">
        <v>152</v>
      </c>
      <c r="F1273" s="49" t="s">
        <v>189</v>
      </c>
      <c r="G1273" s="101" t="s">
        <v>313</v>
      </c>
    </row>
    <row r="1274" spans="1:7" hidden="1">
      <c r="A1274" s="36" t="s">
        <v>1479</v>
      </c>
      <c r="B1274" s="36" t="s">
        <v>314</v>
      </c>
      <c r="C1274" s="36" t="str">
        <f>_xlfn.CONCAT(Table4[[#This Row],[Ledger Name]],Table4[[#This Row],[Entity Name]])</f>
        <v>TAEXP2425045 RODTEP.Expora</v>
      </c>
      <c r="D1274" s="36" t="s">
        <v>936</v>
      </c>
      <c r="E1274" s="49" t="s">
        <v>152</v>
      </c>
      <c r="F1274" s="49" t="s">
        <v>189</v>
      </c>
      <c r="G1274" s="101" t="s">
        <v>313</v>
      </c>
    </row>
    <row r="1275" spans="1:7" hidden="1">
      <c r="A1275" s="36" t="s">
        <v>1480</v>
      </c>
      <c r="B1275" s="36" t="s">
        <v>314</v>
      </c>
      <c r="C1275" s="36" t="str">
        <f>_xlfn.CONCAT(Table4[[#This Row],[Ledger Name]],Table4[[#This Row],[Entity Name]])</f>
        <v>TAEXP2425046 RODTEP.Expora</v>
      </c>
      <c r="D1275" s="36" t="s">
        <v>936</v>
      </c>
      <c r="E1275" s="49" t="s">
        <v>152</v>
      </c>
      <c r="F1275" s="49" t="s">
        <v>189</v>
      </c>
      <c r="G1275" s="101" t="s">
        <v>313</v>
      </c>
    </row>
    <row r="1276" spans="1:7" hidden="1">
      <c r="A1276" s="36" t="s">
        <v>1481</v>
      </c>
      <c r="B1276" s="36" t="s">
        <v>314</v>
      </c>
      <c r="C1276" s="36" t="str">
        <f>_xlfn.CONCAT(Table4[[#This Row],[Ledger Name]],Table4[[#This Row],[Entity Name]])</f>
        <v>TAEXP2425047 RODTEP.Expora</v>
      </c>
      <c r="D1276" s="36" t="s">
        <v>936</v>
      </c>
      <c r="E1276" s="49" t="s">
        <v>152</v>
      </c>
      <c r="F1276" s="49" t="s">
        <v>189</v>
      </c>
      <c r="G1276" s="101" t="s">
        <v>313</v>
      </c>
    </row>
    <row r="1277" spans="1:7" hidden="1">
      <c r="A1277" s="36" t="s">
        <v>1482</v>
      </c>
      <c r="B1277" s="36" t="s">
        <v>314</v>
      </c>
      <c r="C1277" s="36" t="str">
        <f>_xlfn.CONCAT(Table4[[#This Row],[Ledger Name]],Table4[[#This Row],[Entity Name]])</f>
        <v>TAEXP2425048 RODTEP.Expora</v>
      </c>
      <c r="D1277" s="36" t="s">
        <v>936</v>
      </c>
      <c r="E1277" s="49" t="s">
        <v>152</v>
      </c>
      <c r="F1277" s="49" t="s">
        <v>189</v>
      </c>
      <c r="G1277" s="101" t="s">
        <v>313</v>
      </c>
    </row>
    <row r="1278" spans="1:7" hidden="1">
      <c r="A1278" s="36" t="s">
        <v>1483</v>
      </c>
      <c r="B1278" s="36" t="s">
        <v>314</v>
      </c>
      <c r="C1278" s="36" t="str">
        <f>_xlfn.CONCAT(Table4[[#This Row],[Ledger Name]],Table4[[#This Row],[Entity Name]])</f>
        <v>TAEXP2425049 RODTEP.Expora</v>
      </c>
      <c r="D1278" s="36" t="s">
        <v>936</v>
      </c>
      <c r="E1278" s="49" t="s">
        <v>152</v>
      </c>
      <c r="F1278" s="49" t="s">
        <v>189</v>
      </c>
      <c r="G1278" s="101" t="s">
        <v>313</v>
      </c>
    </row>
    <row r="1279" spans="1:7" hidden="1">
      <c r="A1279" s="36" t="s">
        <v>1484</v>
      </c>
      <c r="B1279" s="36" t="s">
        <v>314</v>
      </c>
      <c r="C1279" s="36" t="str">
        <f>_xlfn.CONCAT(Table4[[#This Row],[Ledger Name]],Table4[[#This Row],[Entity Name]])</f>
        <v>TAEXP2425050 RODTEP.Expora</v>
      </c>
      <c r="D1279" s="36" t="s">
        <v>936</v>
      </c>
      <c r="E1279" s="49" t="s">
        <v>152</v>
      </c>
      <c r="F1279" s="49" t="s">
        <v>189</v>
      </c>
      <c r="G1279" s="101" t="s">
        <v>313</v>
      </c>
    </row>
    <row r="1280" spans="1:7" hidden="1">
      <c r="A1280" s="36" t="s">
        <v>1485</v>
      </c>
      <c r="B1280" s="36" t="s">
        <v>314</v>
      </c>
      <c r="C1280" s="36" t="str">
        <f>_xlfn.CONCAT(Table4[[#This Row],[Ledger Name]],Table4[[#This Row],[Entity Name]])</f>
        <v>TAEXP2425051 RODTEP.Expora</v>
      </c>
      <c r="D1280" s="36" t="s">
        <v>936</v>
      </c>
      <c r="E1280" s="49" t="s">
        <v>152</v>
      </c>
      <c r="F1280" s="49" t="s">
        <v>189</v>
      </c>
      <c r="G1280" s="101" t="s">
        <v>313</v>
      </c>
    </row>
    <row r="1281" spans="1:7" hidden="1">
      <c r="A1281" s="36" t="s">
        <v>1486</v>
      </c>
      <c r="B1281" s="36" t="s">
        <v>314</v>
      </c>
      <c r="C1281" s="36" t="str">
        <f>_xlfn.CONCAT(Table4[[#This Row],[Ledger Name]],Table4[[#This Row],[Entity Name]])</f>
        <v>TAEXP2425052 RODTEP.Expora</v>
      </c>
      <c r="D1281" s="36" t="s">
        <v>936</v>
      </c>
      <c r="E1281" s="49" t="s">
        <v>152</v>
      </c>
      <c r="F1281" s="49" t="s">
        <v>189</v>
      </c>
      <c r="G1281" s="101" t="s">
        <v>313</v>
      </c>
    </row>
    <row r="1282" spans="1:7" hidden="1">
      <c r="A1282" s="36" t="s">
        <v>1487</v>
      </c>
      <c r="B1282" s="36" t="s">
        <v>314</v>
      </c>
      <c r="C1282" s="36" t="str">
        <f>_xlfn.CONCAT(Table4[[#This Row],[Ledger Name]],Table4[[#This Row],[Entity Name]])</f>
        <v>TAEXP2425053 RODTEP.Expora</v>
      </c>
      <c r="D1282" s="36" t="s">
        <v>936</v>
      </c>
      <c r="E1282" s="49" t="s">
        <v>152</v>
      </c>
      <c r="F1282" s="49" t="s">
        <v>189</v>
      </c>
      <c r="G1282" s="101" t="s">
        <v>313</v>
      </c>
    </row>
    <row r="1283" spans="1:7" hidden="1">
      <c r="A1283" s="36" t="s">
        <v>1488</v>
      </c>
      <c r="B1283" s="36" t="s">
        <v>314</v>
      </c>
      <c r="C1283" s="36" t="str">
        <f>_xlfn.CONCAT(Table4[[#This Row],[Ledger Name]],Table4[[#This Row],[Entity Name]])</f>
        <v>TAEXP2425054 RODTEP.Expora</v>
      </c>
      <c r="D1283" s="36" t="s">
        <v>936</v>
      </c>
      <c r="E1283" s="49" t="s">
        <v>152</v>
      </c>
      <c r="F1283" s="49" t="s">
        <v>189</v>
      </c>
      <c r="G1283" s="101" t="s">
        <v>313</v>
      </c>
    </row>
    <row r="1284" spans="1:7" hidden="1">
      <c r="A1284" s="36" t="s">
        <v>1489</v>
      </c>
      <c r="B1284" s="36" t="s">
        <v>314</v>
      </c>
      <c r="C1284" s="36" t="str">
        <f>_xlfn.CONCAT(Table4[[#This Row],[Ledger Name]],Table4[[#This Row],[Entity Name]])</f>
        <v>TAEXP2425056 RODTEP.Expora</v>
      </c>
      <c r="D1284" s="36" t="s">
        <v>936</v>
      </c>
      <c r="E1284" s="49" t="s">
        <v>152</v>
      </c>
      <c r="F1284" s="49" t="s">
        <v>189</v>
      </c>
      <c r="G1284" s="101" t="s">
        <v>313</v>
      </c>
    </row>
    <row r="1285" spans="1:7" hidden="1">
      <c r="A1285" s="36" t="s">
        <v>1490</v>
      </c>
      <c r="B1285" s="36" t="s">
        <v>314</v>
      </c>
      <c r="C1285" s="36" t="str">
        <f>_xlfn.CONCAT(Table4[[#This Row],[Ledger Name]],Table4[[#This Row],[Entity Name]])</f>
        <v>TAEXP2425057 RODTEP.Expora</v>
      </c>
      <c r="D1285" s="36" t="s">
        <v>936</v>
      </c>
      <c r="E1285" s="49" t="s">
        <v>152</v>
      </c>
      <c r="F1285" s="49" t="s">
        <v>189</v>
      </c>
      <c r="G1285" s="101" t="s">
        <v>313</v>
      </c>
    </row>
    <row r="1286" spans="1:7" hidden="1">
      <c r="A1286" s="36" t="s">
        <v>1491</v>
      </c>
      <c r="B1286" s="36" t="s">
        <v>314</v>
      </c>
      <c r="C1286" s="36" t="str">
        <f>_xlfn.CONCAT(Table4[[#This Row],[Ledger Name]],Table4[[#This Row],[Entity Name]])</f>
        <v>TAEXP2425059 RODTEP.Expora</v>
      </c>
      <c r="D1286" s="36" t="s">
        <v>936</v>
      </c>
      <c r="E1286" s="49" t="s">
        <v>152</v>
      </c>
      <c r="F1286" s="49" t="s">
        <v>189</v>
      </c>
      <c r="G1286" s="101" t="s">
        <v>313</v>
      </c>
    </row>
    <row r="1287" spans="1:7" hidden="1">
      <c r="A1287" s="36" t="s">
        <v>1492</v>
      </c>
      <c r="B1287" s="36" t="s">
        <v>314</v>
      </c>
      <c r="C1287" s="36" t="str">
        <f>_xlfn.CONCAT(Table4[[#This Row],[Ledger Name]],Table4[[#This Row],[Entity Name]])</f>
        <v>TAEXP2425060 RODTEP.Expora</v>
      </c>
      <c r="D1287" s="36" t="s">
        <v>936</v>
      </c>
      <c r="E1287" s="49" t="s">
        <v>152</v>
      </c>
      <c r="F1287" s="49" t="s">
        <v>189</v>
      </c>
      <c r="G1287" s="101" t="s">
        <v>313</v>
      </c>
    </row>
    <row r="1288" spans="1:7" hidden="1">
      <c r="A1288" s="36" t="s">
        <v>1493</v>
      </c>
      <c r="B1288" s="36" t="s">
        <v>314</v>
      </c>
      <c r="C1288" s="36" t="str">
        <f>_xlfn.CONCAT(Table4[[#This Row],[Ledger Name]],Table4[[#This Row],[Entity Name]])</f>
        <v>TAEXP2425062 RODTEP.Expora</v>
      </c>
      <c r="D1288" s="36" t="s">
        <v>936</v>
      </c>
      <c r="E1288" s="49" t="s">
        <v>152</v>
      </c>
      <c r="F1288" s="49" t="s">
        <v>189</v>
      </c>
      <c r="G1288" s="101" t="s">
        <v>313</v>
      </c>
    </row>
    <row r="1289" spans="1:7" hidden="1">
      <c r="A1289" s="19" t="s">
        <v>1497</v>
      </c>
      <c r="B1289" s="36" t="s">
        <v>314</v>
      </c>
      <c r="C1289" s="36" t="str">
        <f>_xlfn.CONCAT(Table4[[#This Row],[Ledger Name]],Table4[[#This Row],[Entity Name]])</f>
        <v>Transportation Expense IndirectExpora</v>
      </c>
      <c r="D1289" s="36" t="s">
        <v>936</v>
      </c>
      <c r="E1289" s="49" t="s">
        <v>152</v>
      </c>
      <c r="F1289" s="49" t="s">
        <v>5</v>
      </c>
      <c r="G1289" s="101" t="s">
        <v>35</v>
      </c>
    </row>
    <row r="1290" spans="1:7" hidden="1">
      <c r="A1290" s="181" t="s">
        <v>1499</v>
      </c>
      <c r="B1290" s="36" t="s">
        <v>826</v>
      </c>
      <c r="C1290" s="36" t="str">
        <f>_xlfn.CONCAT(Table4[[#This Row],[Ledger Name]],Table4[[#This Row],[Entity Name]])</f>
        <v>Loan From Tradearch Market Platforms Pvt LtdArha General Trading Co (AGT)</v>
      </c>
      <c r="D1290" s="36" t="s">
        <v>936</v>
      </c>
      <c r="E1290" s="49" t="s">
        <v>746</v>
      </c>
      <c r="F1290" s="49" t="s">
        <v>23</v>
      </c>
      <c r="G1290" s="101" t="s">
        <v>1619</v>
      </c>
    </row>
    <row r="1291" spans="1:7" hidden="1">
      <c r="A1291" s="68" t="s">
        <v>1500</v>
      </c>
      <c r="B1291" s="36" t="s">
        <v>826</v>
      </c>
      <c r="C1291" s="36" t="str">
        <f>_xlfn.CONCAT(Table4[[#This Row],[Ledger Name]],Table4[[#This Row],[Entity Name]])</f>
        <v>AGT/RCN/24-25/001Arha General Trading Co (AGT)</v>
      </c>
      <c r="D1291" s="36" t="s">
        <v>936</v>
      </c>
      <c r="E1291" s="49" t="s">
        <v>152</v>
      </c>
      <c r="F1291" s="49" t="s">
        <v>93</v>
      </c>
      <c r="G1291" s="101" t="s">
        <v>138</v>
      </c>
    </row>
    <row r="1292" spans="1:7" hidden="1">
      <c r="A1292" s="68" t="s">
        <v>1501</v>
      </c>
      <c r="B1292" s="36" t="s">
        <v>826</v>
      </c>
      <c r="C1292" s="36" t="str">
        <f>_xlfn.CONCAT(Table4[[#This Row],[Ledger Name]],Table4[[#This Row],[Entity Name]])</f>
        <v>AGT/RCN/24-25/002Arha General Trading Co (AGT)</v>
      </c>
      <c r="D1292" s="36" t="s">
        <v>936</v>
      </c>
      <c r="E1292" s="49" t="s">
        <v>152</v>
      </c>
      <c r="F1292" s="49" t="s">
        <v>93</v>
      </c>
      <c r="G1292" s="101" t="s">
        <v>138</v>
      </c>
    </row>
    <row r="1293" spans="1:7" hidden="1">
      <c r="A1293" s="68" t="s">
        <v>1502</v>
      </c>
      <c r="B1293" s="36" t="s">
        <v>826</v>
      </c>
      <c r="C1293" s="36" t="str">
        <f>_xlfn.CONCAT(Table4[[#This Row],[Ledger Name]],Table4[[#This Row],[Entity Name]])</f>
        <v>AGT/RCN/24-25/003Arha General Trading Co (AGT)</v>
      </c>
      <c r="D1293" s="36" t="s">
        <v>936</v>
      </c>
      <c r="E1293" s="49" t="s">
        <v>152</v>
      </c>
      <c r="F1293" s="49" t="s">
        <v>93</v>
      </c>
      <c r="G1293" s="101" t="s">
        <v>138</v>
      </c>
    </row>
    <row r="1294" spans="1:7" hidden="1">
      <c r="A1294" s="68" t="s">
        <v>1503</v>
      </c>
      <c r="B1294" s="36" t="s">
        <v>826</v>
      </c>
      <c r="C1294" s="36" t="str">
        <f>_xlfn.CONCAT(Table4[[#This Row],[Ledger Name]],Table4[[#This Row],[Entity Name]])</f>
        <v>AGT/RCN/24-25/004Arha General Trading Co (AGT)</v>
      </c>
      <c r="D1294" s="36" t="s">
        <v>936</v>
      </c>
      <c r="E1294" s="49" t="s">
        <v>152</v>
      </c>
      <c r="F1294" s="49" t="s">
        <v>93</v>
      </c>
      <c r="G1294" s="101" t="s">
        <v>138</v>
      </c>
    </row>
    <row r="1295" spans="1:7" hidden="1">
      <c r="A1295" s="68" t="s">
        <v>1504</v>
      </c>
      <c r="B1295" s="36" t="s">
        <v>826</v>
      </c>
      <c r="C1295" s="36" t="str">
        <f>_xlfn.CONCAT(Table4[[#This Row],[Ledger Name]],Table4[[#This Row],[Entity Name]])</f>
        <v>AGT/RCN/24-25/005Arha General Trading Co (AGT)</v>
      </c>
      <c r="D1295" s="36" t="s">
        <v>936</v>
      </c>
      <c r="E1295" s="49" t="s">
        <v>152</v>
      </c>
      <c r="F1295" s="49" t="s">
        <v>93</v>
      </c>
      <c r="G1295" s="101" t="s">
        <v>138</v>
      </c>
    </row>
    <row r="1296" spans="1:7" hidden="1">
      <c r="A1296" s="68" t="s">
        <v>1505</v>
      </c>
      <c r="B1296" s="36" t="s">
        <v>826</v>
      </c>
      <c r="C1296" s="36" t="str">
        <f>_xlfn.CONCAT(Table4[[#This Row],[Ledger Name]],Table4[[#This Row],[Entity Name]])</f>
        <v>AGT/RCN/24-25/006Arha General Trading Co (AGT)</v>
      </c>
      <c r="D1296" s="36" t="s">
        <v>936</v>
      </c>
      <c r="E1296" s="49" t="s">
        <v>152</v>
      </c>
      <c r="F1296" s="49" t="s">
        <v>93</v>
      </c>
      <c r="G1296" s="101" t="s">
        <v>138</v>
      </c>
    </row>
    <row r="1297" spans="1:7" hidden="1">
      <c r="A1297" s="68" t="s">
        <v>1506</v>
      </c>
      <c r="B1297" s="36" t="s">
        <v>826</v>
      </c>
      <c r="C1297" s="36" t="str">
        <f>_xlfn.CONCAT(Table4[[#This Row],[Ledger Name]],Table4[[#This Row],[Entity Name]])</f>
        <v>AGT/RCN/24-25/007Arha General Trading Co (AGT)</v>
      </c>
      <c r="D1297" s="36" t="s">
        <v>936</v>
      </c>
      <c r="E1297" s="49" t="s">
        <v>152</v>
      </c>
      <c r="F1297" s="49" t="s">
        <v>93</v>
      </c>
      <c r="G1297" s="101" t="s">
        <v>138</v>
      </c>
    </row>
    <row r="1298" spans="1:7" hidden="1">
      <c r="A1298" s="68" t="s">
        <v>1507</v>
      </c>
      <c r="B1298" s="36" t="s">
        <v>826</v>
      </c>
      <c r="C1298" s="36" t="str">
        <f>_xlfn.CONCAT(Table4[[#This Row],[Ledger Name]],Table4[[#This Row],[Entity Name]])</f>
        <v>AGT/RCN/24-25/008Arha General Trading Co (AGT)</v>
      </c>
      <c r="D1298" s="36" t="s">
        <v>936</v>
      </c>
      <c r="E1298" s="49" t="s">
        <v>152</v>
      </c>
      <c r="F1298" s="49" t="s">
        <v>93</v>
      </c>
      <c r="G1298" s="101" t="s">
        <v>138</v>
      </c>
    </row>
    <row r="1299" spans="1:7" hidden="1">
      <c r="A1299" s="68" t="s">
        <v>1508</v>
      </c>
      <c r="B1299" s="36" t="s">
        <v>826</v>
      </c>
      <c r="C1299" s="36" t="str">
        <f>_xlfn.CONCAT(Table4[[#This Row],[Ledger Name]],Table4[[#This Row],[Entity Name]])</f>
        <v>AGT/RCN/24-25/009Arha General Trading Co (AGT)</v>
      </c>
      <c r="D1299" s="36" t="s">
        <v>936</v>
      </c>
      <c r="E1299" s="49" t="s">
        <v>152</v>
      </c>
      <c r="F1299" s="49" t="s">
        <v>93</v>
      </c>
      <c r="G1299" s="101" t="s">
        <v>138</v>
      </c>
    </row>
    <row r="1300" spans="1:7" hidden="1">
      <c r="A1300" s="68" t="s">
        <v>1509</v>
      </c>
      <c r="B1300" s="36" t="s">
        <v>826</v>
      </c>
      <c r="C1300" s="36" t="str">
        <f>_xlfn.CONCAT(Table4[[#This Row],[Ledger Name]],Table4[[#This Row],[Entity Name]])</f>
        <v>AGT/RCN/24-25/010Arha General Trading Co (AGT)</v>
      </c>
      <c r="D1300" s="36" t="s">
        <v>936</v>
      </c>
      <c r="E1300" s="49" t="s">
        <v>152</v>
      </c>
      <c r="F1300" s="49" t="s">
        <v>93</v>
      </c>
      <c r="G1300" s="101" t="s">
        <v>138</v>
      </c>
    </row>
    <row r="1301" spans="1:7" hidden="1">
      <c r="A1301" s="68" t="s">
        <v>1510</v>
      </c>
      <c r="B1301" s="36" t="s">
        <v>826</v>
      </c>
      <c r="C1301" s="36" t="str">
        <f>_xlfn.CONCAT(Table4[[#This Row],[Ledger Name]],Table4[[#This Row],[Entity Name]])</f>
        <v>AGT/RCN/24-25/011Arha General Trading Co (AGT)</v>
      </c>
      <c r="D1301" s="36" t="s">
        <v>936</v>
      </c>
      <c r="E1301" s="49" t="s">
        <v>152</v>
      </c>
      <c r="F1301" s="49" t="s">
        <v>93</v>
      </c>
      <c r="G1301" s="101" t="s">
        <v>138</v>
      </c>
    </row>
    <row r="1302" spans="1:7" hidden="1">
      <c r="A1302" s="68" t="s">
        <v>1511</v>
      </c>
      <c r="B1302" s="36" t="s">
        <v>826</v>
      </c>
      <c r="C1302" s="36" t="str">
        <f>_xlfn.CONCAT(Table4[[#This Row],[Ledger Name]],Table4[[#This Row],[Entity Name]])</f>
        <v>AGT/RCN/24-25/012Arha General Trading Co (AGT)</v>
      </c>
      <c r="D1302" s="36" t="s">
        <v>936</v>
      </c>
      <c r="E1302" s="49" t="s">
        <v>152</v>
      </c>
      <c r="F1302" s="49" t="s">
        <v>93</v>
      </c>
      <c r="G1302" s="101" t="s">
        <v>138</v>
      </c>
    </row>
    <row r="1303" spans="1:7" hidden="1">
      <c r="A1303" s="68" t="s">
        <v>1512</v>
      </c>
      <c r="B1303" s="36" t="s">
        <v>826</v>
      </c>
      <c r="C1303" s="36" t="str">
        <f>_xlfn.CONCAT(Table4[[#This Row],[Ledger Name]],Table4[[#This Row],[Entity Name]])</f>
        <v>AGT/RCN/24-25/013Arha General Trading Co (AGT)</v>
      </c>
      <c r="D1303" s="36" t="s">
        <v>936</v>
      </c>
      <c r="E1303" s="49" t="s">
        <v>152</v>
      </c>
      <c r="F1303" s="49" t="s">
        <v>93</v>
      </c>
      <c r="G1303" s="101" t="s">
        <v>138</v>
      </c>
    </row>
    <row r="1304" spans="1:7" hidden="1">
      <c r="A1304" s="68" t="s">
        <v>1513</v>
      </c>
      <c r="B1304" s="36" t="s">
        <v>826</v>
      </c>
      <c r="C1304" s="36" t="str">
        <f>_xlfn.CONCAT(Table4[[#This Row],[Ledger Name]],Table4[[#This Row],[Entity Name]])</f>
        <v>AGT/RCN/24-25/014Arha General Trading Co (AGT)</v>
      </c>
      <c r="D1304" s="36" t="s">
        <v>936</v>
      </c>
      <c r="E1304" s="49" t="s">
        <v>152</v>
      </c>
      <c r="F1304" s="49" t="s">
        <v>93</v>
      </c>
      <c r="G1304" s="101" t="s">
        <v>138</v>
      </c>
    </row>
    <row r="1305" spans="1:7" hidden="1">
      <c r="A1305" s="68" t="s">
        <v>1514</v>
      </c>
      <c r="B1305" s="36" t="s">
        <v>826</v>
      </c>
      <c r="C1305" s="36" t="str">
        <f>_xlfn.CONCAT(Table4[[#This Row],[Ledger Name]],Table4[[#This Row],[Entity Name]])</f>
        <v>AGT/RCN/24-25/015Arha General Trading Co (AGT)</v>
      </c>
      <c r="D1305" s="36" t="s">
        <v>936</v>
      </c>
      <c r="E1305" s="49" t="s">
        <v>152</v>
      </c>
      <c r="F1305" s="49" t="s">
        <v>93</v>
      </c>
      <c r="G1305" s="101" t="s">
        <v>138</v>
      </c>
    </row>
    <row r="1306" spans="1:7" hidden="1">
      <c r="A1306" s="68" t="s">
        <v>1515</v>
      </c>
      <c r="B1306" s="36" t="s">
        <v>826</v>
      </c>
      <c r="C1306" s="36" t="str">
        <f>_xlfn.CONCAT(Table4[[#This Row],[Ledger Name]],Table4[[#This Row],[Entity Name]])</f>
        <v>AGT/RCN/24-25/016Arha General Trading Co (AGT)</v>
      </c>
      <c r="D1306" s="36" t="s">
        <v>936</v>
      </c>
      <c r="E1306" s="49" t="s">
        <v>152</v>
      </c>
      <c r="F1306" s="49" t="s">
        <v>93</v>
      </c>
      <c r="G1306" s="101" t="s">
        <v>138</v>
      </c>
    </row>
    <row r="1307" spans="1:7" hidden="1">
      <c r="A1307" s="68" t="s">
        <v>1516</v>
      </c>
      <c r="B1307" s="36" t="s">
        <v>826</v>
      </c>
      <c r="C1307" s="36" t="str">
        <f>_xlfn.CONCAT(Table4[[#This Row],[Ledger Name]],Table4[[#This Row],[Entity Name]])</f>
        <v>AGT/RCN/24-25/017Arha General Trading Co (AGT)</v>
      </c>
      <c r="D1307" s="36" t="s">
        <v>936</v>
      </c>
      <c r="E1307" s="49" t="s">
        <v>152</v>
      </c>
      <c r="F1307" s="49" t="s">
        <v>93</v>
      </c>
      <c r="G1307" s="101" t="s">
        <v>138</v>
      </c>
    </row>
    <row r="1308" spans="1:7" hidden="1">
      <c r="A1308" s="68" t="s">
        <v>1517</v>
      </c>
      <c r="B1308" s="36" t="s">
        <v>826</v>
      </c>
      <c r="C1308" s="36" t="str">
        <f>_xlfn.CONCAT(Table4[[#This Row],[Ledger Name]],Table4[[#This Row],[Entity Name]])</f>
        <v>AGT/RCN/24-25/018Arha General Trading Co (AGT)</v>
      </c>
      <c r="D1308" s="36" t="s">
        <v>936</v>
      </c>
      <c r="E1308" s="49" t="s">
        <v>152</v>
      </c>
      <c r="F1308" s="49" t="s">
        <v>93</v>
      </c>
      <c r="G1308" s="101" t="s">
        <v>138</v>
      </c>
    </row>
    <row r="1309" spans="1:7" hidden="1">
      <c r="A1309" s="68" t="s">
        <v>1518</v>
      </c>
      <c r="B1309" s="36" t="s">
        <v>826</v>
      </c>
      <c r="C1309" s="36" t="str">
        <f>_xlfn.CONCAT(Table4[[#This Row],[Ledger Name]],Table4[[#This Row],[Entity Name]])</f>
        <v>AGT/RCN/24-25/019Arha General Trading Co (AGT)</v>
      </c>
      <c r="D1309" s="36" t="s">
        <v>936</v>
      </c>
      <c r="E1309" s="49" t="s">
        <v>152</v>
      </c>
      <c r="F1309" s="49" t="s">
        <v>93</v>
      </c>
      <c r="G1309" s="101" t="s">
        <v>138</v>
      </c>
    </row>
    <row r="1310" spans="1:7" hidden="1">
      <c r="A1310" s="68" t="s">
        <v>1519</v>
      </c>
      <c r="B1310" s="36" t="s">
        <v>826</v>
      </c>
      <c r="C1310" s="36" t="str">
        <f>_xlfn.CONCAT(Table4[[#This Row],[Ledger Name]],Table4[[#This Row],[Entity Name]])</f>
        <v>AGT/RCN/24-25/020Arha General Trading Co (AGT)</v>
      </c>
      <c r="D1310" s="36" t="s">
        <v>936</v>
      </c>
      <c r="E1310" s="49" t="s">
        <v>152</v>
      </c>
      <c r="F1310" s="49" t="s">
        <v>93</v>
      </c>
      <c r="G1310" s="101" t="s">
        <v>138</v>
      </c>
    </row>
    <row r="1311" spans="1:7" hidden="1">
      <c r="A1311" s="68" t="s">
        <v>1520</v>
      </c>
      <c r="B1311" s="36" t="s">
        <v>826</v>
      </c>
      <c r="C1311" s="36" t="str">
        <f>_xlfn.CONCAT(Table4[[#This Row],[Ledger Name]],Table4[[#This Row],[Entity Name]])</f>
        <v>AGT/RCN/24-25/021Arha General Trading Co (AGT)</v>
      </c>
      <c r="D1311" s="36" t="s">
        <v>936</v>
      </c>
      <c r="E1311" s="49" t="s">
        <v>152</v>
      </c>
      <c r="F1311" s="49" t="s">
        <v>93</v>
      </c>
      <c r="G1311" s="101" t="s">
        <v>138</v>
      </c>
    </row>
    <row r="1312" spans="1:7" hidden="1">
      <c r="A1312" s="68" t="s">
        <v>1521</v>
      </c>
      <c r="B1312" s="36" t="s">
        <v>826</v>
      </c>
      <c r="C1312" s="36" t="str">
        <f>_xlfn.CONCAT(Table4[[#This Row],[Ledger Name]],Table4[[#This Row],[Entity Name]])</f>
        <v>AGT/RCN/24-25/022Arha General Trading Co (AGT)</v>
      </c>
      <c r="D1312" s="36" t="s">
        <v>936</v>
      </c>
      <c r="E1312" s="49" t="s">
        <v>152</v>
      </c>
      <c r="F1312" s="49" t="s">
        <v>93</v>
      </c>
      <c r="G1312" s="101" t="s">
        <v>138</v>
      </c>
    </row>
    <row r="1313" spans="1:7" hidden="1">
      <c r="A1313" s="68" t="s">
        <v>1522</v>
      </c>
      <c r="B1313" s="36" t="s">
        <v>826</v>
      </c>
      <c r="C1313" s="36" t="str">
        <f>_xlfn.CONCAT(Table4[[#This Row],[Ledger Name]],Table4[[#This Row],[Entity Name]])</f>
        <v>AGT/RCN/24-25/023Arha General Trading Co (AGT)</v>
      </c>
      <c r="D1313" s="36" t="s">
        <v>936</v>
      </c>
      <c r="E1313" s="49" t="s">
        <v>152</v>
      </c>
      <c r="F1313" s="49" t="s">
        <v>93</v>
      </c>
      <c r="G1313" s="101" t="s">
        <v>138</v>
      </c>
    </row>
    <row r="1314" spans="1:7" hidden="1">
      <c r="A1314" s="68" t="s">
        <v>1523</v>
      </c>
      <c r="B1314" s="36" t="s">
        <v>826</v>
      </c>
      <c r="C1314" s="36" t="str">
        <f>_xlfn.CONCAT(Table4[[#This Row],[Ledger Name]],Table4[[#This Row],[Entity Name]])</f>
        <v>AGT/RCN/24-25/024Arha General Trading Co (AGT)</v>
      </c>
      <c r="D1314" s="36" t="s">
        <v>936</v>
      </c>
      <c r="E1314" s="49" t="s">
        <v>152</v>
      </c>
      <c r="F1314" s="49" t="s">
        <v>93</v>
      </c>
      <c r="G1314" s="101" t="s">
        <v>138</v>
      </c>
    </row>
    <row r="1315" spans="1:7" hidden="1">
      <c r="A1315" s="68" t="s">
        <v>1524</v>
      </c>
      <c r="B1315" s="36" t="s">
        <v>826</v>
      </c>
      <c r="C1315" s="36" t="str">
        <f>_xlfn.CONCAT(Table4[[#This Row],[Ledger Name]],Table4[[#This Row],[Entity Name]])</f>
        <v>AGT/RCN/24-25/025Arha General Trading Co (AGT)</v>
      </c>
      <c r="D1315" s="36" t="s">
        <v>936</v>
      </c>
      <c r="E1315" s="49" t="s">
        <v>152</v>
      </c>
      <c r="F1315" s="49" t="s">
        <v>93</v>
      </c>
      <c r="G1315" s="101" t="s">
        <v>138</v>
      </c>
    </row>
    <row r="1316" spans="1:7" hidden="1">
      <c r="A1316" s="68" t="s">
        <v>1525</v>
      </c>
      <c r="B1316" s="36" t="s">
        <v>826</v>
      </c>
      <c r="C1316" s="36" t="str">
        <f>_xlfn.CONCAT(Table4[[#This Row],[Ledger Name]],Table4[[#This Row],[Entity Name]])</f>
        <v>AGT/RCN/24-25/026Arha General Trading Co (AGT)</v>
      </c>
      <c r="D1316" s="36" t="s">
        <v>936</v>
      </c>
      <c r="E1316" s="49" t="s">
        <v>152</v>
      </c>
      <c r="F1316" s="49" t="s">
        <v>93</v>
      </c>
      <c r="G1316" s="101" t="s">
        <v>138</v>
      </c>
    </row>
    <row r="1317" spans="1:7" hidden="1">
      <c r="A1317" s="68" t="s">
        <v>1526</v>
      </c>
      <c r="B1317" s="36" t="s">
        <v>826</v>
      </c>
      <c r="C1317" s="36" t="str">
        <f>_xlfn.CONCAT(Table4[[#This Row],[Ledger Name]],Table4[[#This Row],[Entity Name]])</f>
        <v>AGT/RCN/24-25/027Arha General Trading Co (AGT)</v>
      </c>
      <c r="D1317" s="36" t="s">
        <v>936</v>
      </c>
      <c r="E1317" s="49" t="s">
        <v>152</v>
      </c>
      <c r="F1317" s="49" t="s">
        <v>93</v>
      </c>
      <c r="G1317" s="101" t="s">
        <v>138</v>
      </c>
    </row>
    <row r="1318" spans="1:7" hidden="1">
      <c r="A1318" s="68" t="s">
        <v>1527</v>
      </c>
      <c r="B1318" s="36" t="s">
        <v>826</v>
      </c>
      <c r="C1318" s="36" t="str">
        <f>_xlfn.CONCAT(Table4[[#This Row],[Ledger Name]],Table4[[#This Row],[Entity Name]])</f>
        <v>AGT/RCN/24-25/028Arha General Trading Co (AGT)</v>
      </c>
      <c r="D1318" s="36" t="s">
        <v>936</v>
      </c>
      <c r="E1318" s="49" t="s">
        <v>152</v>
      </c>
      <c r="F1318" s="49" t="s">
        <v>93</v>
      </c>
      <c r="G1318" s="101" t="s">
        <v>138</v>
      </c>
    </row>
    <row r="1319" spans="1:7" hidden="1">
      <c r="A1319" s="68" t="s">
        <v>1528</v>
      </c>
      <c r="B1319" s="36" t="s">
        <v>826</v>
      </c>
      <c r="C1319" s="36" t="str">
        <f>_xlfn.CONCAT(Table4[[#This Row],[Ledger Name]],Table4[[#This Row],[Entity Name]])</f>
        <v>AGT/RCN/24-25/029Arha General Trading Co (AGT)</v>
      </c>
      <c r="D1319" s="36" t="s">
        <v>936</v>
      </c>
      <c r="E1319" s="49" t="s">
        <v>152</v>
      </c>
      <c r="F1319" s="49" t="s">
        <v>93</v>
      </c>
      <c r="G1319" s="101" t="s">
        <v>138</v>
      </c>
    </row>
    <row r="1320" spans="1:7" hidden="1">
      <c r="A1320" s="68" t="s">
        <v>1529</v>
      </c>
      <c r="B1320" s="36" t="s">
        <v>826</v>
      </c>
      <c r="C1320" s="36" t="str">
        <f>_xlfn.CONCAT(Table4[[#This Row],[Ledger Name]],Table4[[#This Row],[Entity Name]])</f>
        <v>AGT/RCN/24-25/030Arha General Trading Co (AGT)</v>
      </c>
      <c r="D1320" s="36" t="s">
        <v>936</v>
      </c>
      <c r="E1320" s="49" t="s">
        <v>152</v>
      </c>
      <c r="F1320" s="49" t="s">
        <v>93</v>
      </c>
      <c r="G1320" s="101" t="s">
        <v>138</v>
      </c>
    </row>
    <row r="1321" spans="1:7" hidden="1">
      <c r="A1321" s="68" t="s">
        <v>1530</v>
      </c>
      <c r="B1321" s="36" t="s">
        <v>826</v>
      </c>
      <c r="C1321" s="36" t="str">
        <f>_xlfn.CONCAT(Table4[[#This Row],[Ledger Name]],Table4[[#This Row],[Entity Name]])</f>
        <v>AGT/RCN/24-25/031Arha General Trading Co (AGT)</v>
      </c>
      <c r="D1321" s="36" t="s">
        <v>936</v>
      </c>
      <c r="E1321" s="49" t="s">
        <v>152</v>
      </c>
      <c r="F1321" s="49" t="s">
        <v>93</v>
      </c>
      <c r="G1321" s="101" t="s">
        <v>138</v>
      </c>
    </row>
    <row r="1322" spans="1:7" hidden="1">
      <c r="A1322" s="68" t="s">
        <v>1531</v>
      </c>
      <c r="B1322" s="36" t="s">
        <v>826</v>
      </c>
      <c r="C1322" s="36" t="str">
        <f>_xlfn.CONCAT(Table4[[#This Row],[Ledger Name]],Table4[[#This Row],[Entity Name]])</f>
        <v>AGT/RCN/24-25/032Arha General Trading Co (AGT)</v>
      </c>
      <c r="D1322" s="36" t="s">
        <v>936</v>
      </c>
      <c r="E1322" s="49" t="s">
        <v>152</v>
      </c>
      <c r="F1322" s="49" t="s">
        <v>93</v>
      </c>
      <c r="G1322" s="101" t="s">
        <v>138</v>
      </c>
    </row>
    <row r="1323" spans="1:7" hidden="1">
      <c r="A1323" s="68" t="s">
        <v>1532</v>
      </c>
      <c r="B1323" s="36" t="s">
        <v>826</v>
      </c>
      <c r="C1323" s="36" t="str">
        <f>_xlfn.CONCAT(Table4[[#This Row],[Ledger Name]],Table4[[#This Row],[Entity Name]])</f>
        <v>AGT/RCN/24-25/033Arha General Trading Co (AGT)</v>
      </c>
      <c r="D1323" s="36" t="s">
        <v>936</v>
      </c>
      <c r="E1323" s="49" t="s">
        <v>152</v>
      </c>
      <c r="F1323" s="49" t="s">
        <v>93</v>
      </c>
      <c r="G1323" s="101" t="s">
        <v>138</v>
      </c>
    </row>
    <row r="1324" spans="1:7" hidden="1">
      <c r="A1324" s="68" t="s">
        <v>1533</v>
      </c>
      <c r="B1324" s="36" t="s">
        <v>826</v>
      </c>
      <c r="C1324" s="36" t="str">
        <f>_xlfn.CONCAT(Table4[[#This Row],[Ledger Name]],Table4[[#This Row],[Entity Name]])</f>
        <v>AGT/RCN/24-25/034Arha General Trading Co (AGT)</v>
      </c>
      <c r="D1324" s="36" t="s">
        <v>936</v>
      </c>
      <c r="E1324" s="49" t="s">
        <v>152</v>
      </c>
      <c r="F1324" s="49" t="s">
        <v>93</v>
      </c>
      <c r="G1324" s="101" t="s">
        <v>138</v>
      </c>
    </row>
    <row r="1325" spans="1:7" hidden="1">
      <c r="A1325" s="68" t="s">
        <v>1534</v>
      </c>
      <c r="B1325" s="36" t="s">
        <v>826</v>
      </c>
      <c r="C1325" s="36" t="str">
        <f>_xlfn.CONCAT(Table4[[#This Row],[Ledger Name]],Table4[[#This Row],[Entity Name]])</f>
        <v>AGT/RCN/24-25/035Arha General Trading Co (AGT)</v>
      </c>
      <c r="D1325" s="36" t="s">
        <v>936</v>
      </c>
      <c r="E1325" s="49" t="s">
        <v>152</v>
      </c>
      <c r="F1325" s="49" t="s">
        <v>93</v>
      </c>
      <c r="G1325" s="101" t="s">
        <v>138</v>
      </c>
    </row>
    <row r="1326" spans="1:7" hidden="1">
      <c r="A1326" s="68" t="s">
        <v>1535</v>
      </c>
      <c r="B1326" s="36" t="s">
        <v>826</v>
      </c>
      <c r="C1326" s="36" t="str">
        <f>_xlfn.CONCAT(Table4[[#This Row],[Ledger Name]],Table4[[#This Row],[Entity Name]])</f>
        <v>AGT/RCN/24-25/036Arha General Trading Co (AGT)</v>
      </c>
      <c r="D1326" s="36" t="s">
        <v>936</v>
      </c>
      <c r="E1326" s="49" t="s">
        <v>152</v>
      </c>
      <c r="F1326" s="49" t="s">
        <v>93</v>
      </c>
      <c r="G1326" s="101" t="s">
        <v>138</v>
      </c>
    </row>
    <row r="1327" spans="1:7" hidden="1">
      <c r="A1327" s="68" t="s">
        <v>1536</v>
      </c>
      <c r="B1327" s="36" t="s">
        <v>826</v>
      </c>
      <c r="C1327" s="36" t="str">
        <f>_xlfn.CONCAT(Table4[[#This Row],[Ledger Name]],Table4[[#This Row],[Entity Name]])</f>
        <v>AGT/RCN/24-25/037Arha General Trading Co (AGT)</v>
      </c>
      <c r="D1327" s="36" t="s">
        <v>936</v>
      </c>
      <c r="E1327" s="49" t="s">
        <v>152</v>
      </c>
      <c r="F1327" s="49" t="s">
        <v>93</v>
      </c>
      <c r="G1327" s="101" t="s">
        <v>138</v>
      </c>
    </row>
    <row r="1328" spans="1:7" hidden="1">
      <c r="A1328" s="68" t="s">
        <v>853</v>
      </c>
      <c r="B1328" s="36" t="s">
        <v>826</v>
      </c>
      <c r="C1328" s="36" t="str">
        <f>_xlfn.CONCAT(Table4[[#This Row],[Ledger Name]],Table4[[#This Row],[Entity Name]])</f>
        <v>ARGT/LOC/2023/80Arha General Trading Co (AGT)</v>
      </c>
      <c r="D1328" s="36" t="s">
        <v>936</v>
      </c>
      <c r="E1328" s="49" t="s">
        <v>152</v>
      </c>
      <c r="F1328" s="49" t="s">
        <v>93</v>
      </c>
      <c r="G1328" s="101" t="s">
        <v>138</v>
      </c>
    </row>
    <row r="1329" spans="1:7" hidden="1">
      <c r="A1329" s="68" t="s">
        <v>887</v>
      </c>
      <c r="B1329" s="36" t="s">
        <v>826</v>
      </c>
      <c r="C1329" s="36" t="str">
        <f>_xlfn.CONCAT(Table4[[#This Row],[Ledger Name]],Table4[[#This Row],[Entity Name]])</f>
        <v>ARGT/LOC/2024/003Arha General Trading Co (AGT)</v>
      </c>
      <c r="D1329" s="36" t="s">
        <v>936</v>
      </c>
      <c r="E1329" s="49" t="s">
        <v>152</v>
      </c>
      <c r="F1329" s="49" t="s">
        <v>93</v>
      </c>
      <c r="G1329" s="101" t="s">
        <v>138</v>
      </c>
    </row>
    <row r="1330" spans="1:7" hidden="1">
      <c r="A1330" s="68" t="s">
        <v>888</v>
      </c>
      <c r="B1330" s="36" t="s">
        <v>826</v>
      </c>
      <c r="C1330" s="36" t="str">
        <f>_xlfn.CONCAT(Table4[[#This Row],[Ledger Name]],Table4[[#This Row],[Entity Name]])</f>
        <v>ARGT/LOC/2024/004Arha General Trading Co (AGT)</v>
      </c>
      <c r="D1330" s="36" t="s">
        <v>936</v>
      </c>
      <c r="E1330" s="49" t="s">
        <v>152</v>
      </c>
      <c r="F1330" s="49" t="s">
        <v>93</v>
      </c>
      <c r="G1330" s="101" t="s">
        <v>138</v>
      </c>
    </row>
    <row r="1331" spans="1:7" hidden="1">
      <c r="A1331" s="68" t="s">
        <v>889</v>
      </c>
      <c r="B1331" s="36" t="s">
        <v>826</v>
      </c>
      <c r="C1331" s="36" t="str">
        <f>_xlfn.CONCAT(Table4[[#This Row],[Ledger Name]],Table4[[#This Row],[Entity Name]])</f>
        <v>ARGT/LOC/2024/005Arha General Trading Co (AGT)</v>
      </c>
      <c r="D1331" s="36" t="s">
        <v>936</v>
      </c>
      <c r="E1331" s="49" t="s">
        <v>152</v>
      </c>
      <c r="F1331" s="49" t="s">
        <v>93</v>
      </c>
      <c r="G1331" s="101" t="s">
        <v>138</v>
      </c>
    </row>
    <row r="1332" spans="1:7" hidden="1">
      <c r="A1332" s="68" t="s">
        <v>938</v>
      </c>
      <c r="B1332" s="36" t="s">
        <v>826</v>
      </c>
      <c r="C1332" s="36" t="str">
        <f>_xlfn.CONCAT(Table4[[#This Row],[Ledger Name]],Table4[[#This Row],[Entity Name]])</f>
        <v>ARGT/LOC/2024/007Arha General Trading Co (AGT)</v>
      </c>
      <c r="D1332" s="36" t="s">
        <v>936</v>
      </c>
      <c r="E1332" s="49" t="s">
        <v>152</v>
      </c>
      <c r="F1332" s="49" t="s">
        <v>93</v>
      </c>
      <c r="G1332" s="101" t="s">
        <v>138</v>
      </c>
    </row>
    <row r="1333" spans="1:7" hidden="1">
      <c r="A1333" s="68" t="s">
        <v>939</v>
      </c>
      <c r="B1333" s="36" t="s">
        <v>826</v>
      </c>
      <c r="C1333" s="36" t="str">
        <f>_xlfn.CONCAT(Table4[[#This Row],[Ledger Name]],Table4[[#This Row],[Entity Name]])</f>
        <v>ARGT/LOC/2024/008Arha General Trading Co (AGT)</v>
      </c>
      <c r="D1333" s="36" t="s">
        <v>936</v>
      </c>
      <c r="E1333" s="49" t="s">
        <v>152</v>
      </c>
      <c r="F1333" s="49" t="s">
        <v>93</v>
      </c>
      <c r="G1333" s="101" t="s">
        <v>138</v>
      </c>
    </row>
    <row r="1334" spans="1:7" hidden="1">
      <c r="A1334" s="68" t="s">
        <v>940</v>
      </c>
      <c r="B1334" s="36" t="s">
        <v>826</v>
      </c>
      <c r="C1334" s="36" t="str">
        <f>_xlfn.CONCAT(Table4[[#This Row],[Ledger Name]],Table4[[#This Row],[Entity Name]])</f>
        <v>ARGT/LOC/2024/012Arha General Trading Co (AGT)</v>
      </c>
      <c r="D1334" s="36" t="s">
        <v>936</v>
      </c>
      <c r="E1334" s="49" t="s">
        <v>152</v>
      </c>
      <c r="F1334" s="49" t="s">
        <v>93</v>
      </c>
      <c r="G1334" s="101" t="s">
        <v>138</v>
      </c>
    </row>
    <row r="1335" spans="1:7" hidden="1">
      <c r="A1335" s="68" t="s">
        <v>941</v>
      </c>
      <c r="B1335" s="36" t="s">
        <v>826</v>
      </c>
      <c r="C1335" s="36" t="str">
        <f>_xlfn.CONCAT(Table4[[#This Row],[Ledger Name]],Table4[[#This Row],[Entity Name]])</f>
        <v>ARGT/LOC/2024/013Arha General Trading Co (AGT)</v>
      </c>
      <c r="D1335" s="36" t="s">
        <v>936</v>
      </c>
      <c r="E1335" s="49" t="s">
        <v>152</v>
      </c>
      <c r="F1335" s="49" t="s">
        <v>93</v>
      </c>
      <c r="G1335" s="101" t="s">
        <v>138</v>
      </c>
    </row>
    <row r="1336" spans="1:7" hidden="1">
      <c r="A1336" s="68" t="s">
        <v>942</v>
      </c>
      <c r="B1336" s="36" t="s">
        <v>826</v>
      </c>
      <c r="C1336" s="36" t="str">
        <f>_xlfn.CONCAT(Table4[[#This Row],[Ledger Name]],Table4[[#This Row],[Entity Name]])</f>
        <v>ARGT/LOC/2024/014Arha General Trading Co (AGT)</v>
      </c>
      <c r="D1336" s="36" t="s">
        <v>936</v>
      </c>
      <c r="E1336" s="49" t="s">
        <v>152</v>
      </c>
      <c r="F1336" s="49" t="s">
        <v>93</v>
      </c>
      <c r="G1336" s="101" t="s">
        <v>138</v>
      </c>
    </row>
    <row r="1337" spans="1:7" hidden="1">
      <c r="A1337" s="68" t="s">
        <v>943</v>
      </c>
      <c r="B1337" s="36" t="s">
        <v>826</v>
      </c>
      <c r="C1337" s="36" t="str">
        <f>_xlfn.CONCAT(Table4[[#This Row],[Ledger Name]],Table4[[#This Row],[Entity Name]])</f>
        <v>ARGT/LOC/2024/016Arha General Trading Co (AGT)</v>
      </c>
      <c r="D1337" s="36" t="s">
        <v>936</v>
      </c>
      <c r="E1337" s="49" t="s">
        <v>152</v>
      </c>
      <c r="F1337" s="49" t="s">
        <v>93</v>
      </c>
      <c r="G1337" s="101" t="s">
        <v>138</v>
      </c>
    </row>
    <row r="1338" spans="1:7" hidden="1">
      <c r="A1338" s="68" t="s">
        <v>944</v>
      </c>
      <c r="B1338" s="36" t="s">
        <v>826</v>
      </c>
      <c r="C1338" s="36" t="str">
        <f>_xlfn.CONCAT(Table4[[#This Row],[Ledger Name]],Table4[[#This Row],[Entity Name]])</f>
        <v>ARGT/LOC/2024/017Arha General Trading Co (AGT)</v>
      </c>
      <c r="D1338" s="36" t="s">
        <v>936</v>
      </c>
      <c r="E1338" s="49" t="s">
        <v>152</v>
      </c>
      <c r="F1338" s="49" t="s">
        <v>93</v>
      </c>
      <c r="G1338" s="101" t="s">
        <v>138</v>
      </c>
    </row>
    <row r="1339" spans="1:7" hidden="1">
      <c r="A1339" s="68" t="s">
        <v>945</v>
      </c>
      <c r="B1339" s="36" t="s">
        <v>826</v>
      </c>
      <c r="C1339" s="36" t="str">
        <f>_xlfn.CONCAT(Table4[[#This Row],[Ledger Name]],Table4[[#This Row],[Entity Name]])</f>
        <v>ARGT/LOC/2024/018Arha General Trading Co (AGT)</v>
      </c>
      <c r="D1339" s="36" t="s">
        <v>936</v>
      </c>
      <c r="E1339" s="49" t="s">
        <v>152</v>
      </c>
      <c r="F1339" s="49" t="s">
        <v>93</v>
      </c>
      <c r="G1339" s="101" t="s">
        <v>138</v>
      </c>
    </row>
    <row r="1340" spans="1:7" hidden="1">
      <c r="A1340" s="68" t="s">
        <v>946</v>
      </c>
      <c r="B1340" s="36" t="s">
        <v>826</v>
      </c>
      <c r="C1340" s="36" t="str">
        <f>_xlfn.CONCAT(Table4[[#This Row],[Ledger Name]],Table4[[#This Row],[Entity Name]])</f>
        <v>ARGT/LOC/2024/020Arha General Trading Co (AGT)</v>
      </c>
      <c r="D1340" s="36" t="s">
        <v>936</v>
      </c>
      <c r="E1340" s="49" t="s">
        <v>152</v>
      </c>
      <c r="F1340" s="49" t="s">
        <v>93</v>
      </c>
      <c r="G1340" s="101" t="s">
        <v>138</v>
      </c>
    </row>
    <row r="1341" spans="1:7" hidden="1">
      <c r="A1341" s="68" t="s">
        <v>947</v>
      </c>
      <c r="B1341" s="36" t="s">
        <v>826</v>
      </c>
      <c r="C1341" s="36" t="str">
        <f>_xlfn.CONCAT(Table4[[#This Row],[Ledger Name]],Table4[[#This Row],[Entity Name]])</f>
        <v>ARGT/LOC/2024/023Arha General Trading Co (AGT)</v>
      </c>
      <c r="D1341" s="36" t="s">
        <v>936</v>
      </c>
      <c r="E1341" s="49" t="s">
        <v>152</v>
      </c>
      <c r="F1341" s="49" t="s">
        <v>93</v>
      </c>
      <c r="G1341" s="101" t="s">
        <v>138</v>
      </c>
    </row>
    <row r="1342" spans="1:7" hidden="1">
      <c r="A1342" s="68" t="s">
        <v>948</v>
      </c>
      <c r="B1342" s="36" t="s">
        <v>826</v>
      </c>
      <c r="C1342" s="36" t="str">
        <f>_xlfn.CONCAT(Table4[[#This Row],[Ledger Name]],Table4[[#This Row],[Entity Name]])</f>
        <v>ARGT/LOC/2024/026Arha General Trading Co (AGT)</v>
      </c>
      <c r="D1342" s="36" t="s">
        <v>936</v>
      </c>
      <c r="E1342" s="49" t="s">
        <v>152</v>
      </c>
      <c r="F1342" s="49" t="s">
        <v>93</v>
      </c>
      <c r="G1342" s="101" t="s">
        <v>138</v>
      </c>
    </row>
    <row r="1343" spans="1:7" hidden="1">
      <c r="A1343" s="68" t="s">
        <v>949</v>
      </c>
      <c r="B1343" s="36" t="s">
        <v>826</v>
      </c>
      <c r="C1343" s="36" t="str">
        <f>_xlfn.CONCAT(Table4[[#This Row],[Ledger Name]],Table4[[#This Row],[Entity Name]])</f>
        <v>ARGT/LOC/2024/027Arha General Trading Co (AGT)</v>
      </c>
      <c r="D1343" s="36" t="s">
        <v>936</v>
      </c>
      <c r="E1343" s="49" t="s">
        <v>152</v>
      </c>
      <c r="F1343" s="49" t="s">
        <v>93</v>
      </c>
      <c r="G1343" s="101" t="s">
        <v>138</v>
      </c>
    </row>
    <row r="1344" spans="1:7" hidden="1">
      <c r="A1344" s="68" t="s">
        <v>950</v>
      </c>
      <c r="B1344" s="36" t="s">
        <v>826</v>
      </c>
      <c r="C1344" s="36" t="str">
        <f>_xlfn.CONCAT(Table4[[#This Row],[Ledger Name]],Table4[[#This Row],[Entity Name]])</f>
        <v>ARGT/LOC/2024/028Arha General Trading Co (AGT)</v>
      </c>
      <c r="D1344" s="36" t="s">
        <v>936</v>
      </c>
      <c r="E1344" s="49" t="s">
        <v>152</v>
      </c>
      <c r="F1344" s="49" t="s">
        <v>93</v>
      </c>
      <c r="G1344" s="101" t="s">
        <v>138</v>
      </c>
    </row>
    <row r="1345" spans="1:7" hidden="1">
      <c r="A1345" s="68" t="s">
        <v>1096</v>
      </c>
      <c r="B1345" s="36" t="s">
        <v>826</v>
      </c>
      <c r="C1345" s="36" t="str">
        <f>_xlfn.CONCAT(Table4[[#This Row],[Ledger Name]],Table4[[#This Row],[Entity Name]])</f>
        <v>ARGT/LOC/2024/032Arha General Trading Co (AGT)</v>
      </c>
      <c r="D1345" s="36" t="s">
        <v>936</v>
      </c>
      <c r="E1345" s="49" t="s">
        <v>152</v>
      </c>
      <c r="F1345" s="49" t="s">
        <v>93</v>
      </c>
      <c r="G1345" s="101" t="s">
        <v>138</v>
      </c>
    </row>
    <row r="1346" spans="1:7" hidden="1">
      <c r="A1346" s="68" t="s">
        <v>1097</v>
      </c>
      <c r="B1346" s="36" t="s">
        <v>826</v>
      </c>
      <c r="C1346" s="36" t="str">
        <f>_xlfn.CONCAT(Table4[[#This Row],[Ledger Name]],Table4[[#This Row],[Entity Name]])</f>
        <v>ARGT/LOC/2024/033Arha General Trading Co (AGT)</v>
      </c>
      <c r="D1346" s="36" t="s">
        <v>936</v>
      </c>
      <c r="E1346" s="49" t="s">
        <v>152</v>
      </c>
      <c r="F1346" s="49" t="s">
        <v>93</v>
      </c>
      <c r="G1346" s="101" t="s">
        <v>138</v>
      </c>
    </row>
    <row r="1347" spans="1:7" hidden="1">
      <c r="A1347" s="68" t="s">
        <v>1098</v>
      </c>
      <c r="B1347" s="36" t="s">
        <v>826</v>
      </c>
      <c r="C1347" s="36" t="str">
        <f>_xlfn.CONCAT(Table4[[#This Row],[Ledger Name]],Table4[[#This Row],[Entity Name]])</f>
        <v>ARGT/LOC/2024/034Arha General Trading Co (AGT)</v>
      </c>
      <c r="D1347" s="36" t="s">
        <v>936</v>
      </c>
      <c r="E1347" s="49" t="s">
        <v>152</v>
      </c>
      <c r="F1347" s="49" t="s">
        <v>93</v>
      </c>
      <c r="G1347" s="101" t="s">
        <v>138</v>
      </c>
    </row>
    <row r="1348" spans="1:7" hidden="1">
      <c r="A1348" s="68" t="s">
        <v>1099</v>
      </c>
      <c r="B1348" s="36" t="s">
        <v>826</v>
      </c>
      <c r="C1348" s="36" t="str">
        <f>_xlfn.CONCAT(Table4[[#This Row],[Ledger Name]],Table4[[#This Row],[Entity Name]])</f>
        <v>ARGT/LOC/2024/037Arha General Trading Co (AGT)</v>
      </c>
      <c r="D1348" s="36" t="s">
        <v>936</v>
      </c>
      <c r="E1348" s="49" t="s">
        <v>152</v>
      </c>
      <c r="F1348" s="49" t="s">
        <v>93</v>
      </c>
      <c r="G1348" s="101" t="s">
        <v>138</v>
      </c>
    </row>
    <row r="1349" spans="1:7" hidden="1">
      <c r="A1349" s="68" t="s">
        <v>1100</v>
      </c>
      <c r="B1349" s="36" t="s">
        <v>826</v>
      </c>
      <c r="C1349" s="36" t="str">
        <f>_xlfn.CONCAT(Table4[[#This Row],[Ledger Name]],Table4[[#This Row],[Entity Name]])</f>
        <v>ARGT/LOC/2024/039Arha General Trading Co (AGT)</v>
      </c>
      <c r="D1349" s="36" t="s">
        <v>936</v>
      </c>
      <c r="E1349" s="49" t="s">
        <v>152</v>
      </c>
      <c r="F1349" s="49" t="s">
        <v>93</v>
      </c>
      <c r="G1349" s="101" t="s">
        <v>138</v>
      </c>
    </row>
    <row r="1350" spans="1:7" hidden="1">
      <c r="A1350" s="68" t="s">
        <v>1101</v>
      </c>
      <c r="B1350" s="36" t="s">
        <v>826</v>
      </c>
      <c r="C1350" s="36" t="str">
        <f>_xlfn.CONCAT(Table4[[#This Row],[Ledger Name]],Table4[[#This Row],[Entity Name]])</f>
        <v>ARGT/LOC/2024/045Arha General Trading Co (AGT)</v>
      </c>
      <c r="D1350" s="36" t="s">
        <v>936</v>
      </c>
      <c r="E1350" s="49" t="s">
        <v>152</v>
      </c>
      <c r="F1350" s="49" t="s">
        <v>93</v>
      </c>
      <c r="G1350" s="101" t="s">
        <v>138</v>
      </c>
    </row>
    <row r="1351" spans="1:7" hidden="1">
      <c r="A1351" s="68" t="s">
        <v>1188</v>
      </c>
      <c r="B1351" s="36" t="s">
        <v>826</v>
      </c>
      <c r="C1351" s="36" t="str">
        <f>_xlfn.CONCAT(Table4[[#This Row],[Ledger Name]],Table4[[#This Row],[Entity Name]])</f>
        <v>ARGT/LOC/2024/126Arha General Trading Co (AGT)</v>
      </c>
      <c r="D1351" s="36" t="s">
        <v>936</v>
      </c>
      <c r="E1351" s="49" t="s">
        <v>152</v>
      </c>
      <c r="F1351" s="49" t="s">
        <v>93</v>
      </c>
      <c r="G1351" s="101" t="s">
        <v>138</v>
      </c>
    </row>
    <row r="1352" spans="1:7" hidden="1">
      <c r="A1352" s="68" t="s">
        <v>1189</v>
      </c>
      <c r="B1352" s="36" t="s">
        <v>826</v>
      </c>
      <c r="C1352" s="36" t="str">
        <f>_xlfn.CONCAT(Table4[[#This Row],[Ledger Name]],Table4[[#This Row],[Entity Name]])</f>
        <v>ARGT/LOC/2024/127Arha General Trading Co (AGT)</v>
      </c>
      <c r="D1352" s="36" t="s">
        <v>936</v>
      </c>
      <c r="E1352" s="49" t="s">
        <v>152</v>
      </c>
      <c r="F1352" s="49" t="s">
        <v>93</v>
      </c>
      <c r="G1352" s="101" t="s">
        <v>138</v>
      </c>
    </row>
    <row r="1353" spans="1:7" hidden="1">
      <c r="A1353" s="68" t="s">
        <v>1190</v>
      </c>
      <c r="B1353" s="36" t="s">
        <v>826</v>
      </c>
      <c r="C1353" s="36" t="str">
        <f>_xlfn.CONCAT(Table4[[#This Row],[Ledger Name]],Table4[[#This Row],[Entity Name]])</f>
        <v>ARGT/LOC/2024/149Arha General Trading Co (AGT)</v>
      </c>
      <c r="D1353" s="36" t="s">
        <v>936</v>
      </c>
      <c r="E1353" s="49" t="s">
        <v>152</v>
      </c>
      <c r="F1353" s="49" t="s">
        <v>93</v>
      </c>
      <c r="G1353" s="101" t="s">
        <v>138</v>
      </c>
    </row>
    <row r="1354" spans="1:7" hidden="1">
      <c r="A1354" s="68" t="s">
        <v>1223</v>
      </c>
      <c r="B1354" s="36" t="s">
        <v>826</v>
      </c>
      <c r="C1354" s="36" t="str">
        <f>_xlfn.CONCAT(Table4[[#This Row],[Ledger Name]],Table4[[#This Row],[Entity Name]])</f>
        <v>ARGT/LOC/2024/160Arha General Trading Co (AGT)</v>
      </c>
      <c r="D1354" s="36" t="s">
        <v>936</v>
      </c>
      <c r="E1354" s="49" t="s">
        <v>152</v>
      </c>
      <c r="F1354" s="49" t="s">
        <v>93</v>
      </c>
      <c r="G1354" s="101" t="s">
        <v>138</v>
      </c>
    </row>
    <row r="1355" spans="1:7" hidden="1">
      <c r="A1355" s="68" t="s">
        <v>1224</v>
      </c>
      <c r="B1355" s="36" t="s">
        <v>826</v>
      </c>
      <c r="C1355" s="36" t="str">
        <f>_xlfn.CONCAT(Table4[[#This Row],[Ledger Name]],Table4[[#This Row],[Entity Name]])</f>
        <v>ARGT/LOC/2024/169Arha General Trading Co (AGT)</v>
      </c>
      <c r="D1355" s="36" t="s">
        <v>936</v>
      </c>
      <c r="E1355" s="49" t="s">
        <v>152</v>
      </c>
      <c r="F1355" s="49" t="s">
        <v>93</v>
      </c>
      <c r="G1355" s="101" t="s">
        <v>138</v>
      </c>
    </row>
    <row r="1356" spans="1:7" hidden="1">
      <c r="A1356" s="68" t="s">
        <v>1225</v>
      </c>
      <c r="B1356" s="36" t="s">
        <v>826</v>
      </c>
      <c r="C1356" s="36" t="str">
        <f>_xlfn.CONCAT(Table4[[#This Row],[Ledger Name]],Table4[[#This Row],[Entity Name]])</f>
        <v>ARGT/LOC/2024/174Arha General Trading Co (AGT)</v>
      </c>
      <c r="D1356" s="36" t="s">
        <v>936</v>
      </c>
      <c r="E1356" s="49" t="s">
        <v>152</v>
      </c>
      <c r="F1356" s="49" t="s">
        <v>93</v>
      </c>
      <c r="G1356" s="101" t="s">
        <v>138</v>
      </c>
    </row>
    <row r="1357" spans="1:7" hidden="1">
      <c r="A1357" s="68" t="s">
        <v>1226</v>
      </c>
      <c r="B1357" s="36" t="s">
        <v>826</v>
      </c>
      <c r="C1357" s="36" t="str">
        <f>_xlfn.CONCAT(Table4[[#This Row],[Ledger Name]],Table4[[#This Row],[Entity Name]])</f>
        <v>ARGT/LOC/2024/185Arha General Trading Co (AGT)</v>
      </c>
      <c r="D1357" s="36" t="s">
        <v>936</v>
      </c>
      <c r="E1357" s="49" t="s">
        <v>152</v>
      </c>
      <c r="F1357" s="49" t="s">
        <v>93</v>
      </c>
      <c r="G1357" s="101" t="s">
        <v>138</v>
      </c>
    </row>
    <row r="1358" spans="1:7" hidden="1">
      <c r="A1358" s="68" t="s">
        <v>1227</v>
      </c>
      <c r="B1358" s="36" t="s">
        <v>826</v>
      </c>
      <c r="C1358" s="36" t="str">
        <f>_xlfn.CONCAT(Table4[[#This Row],[Ledger Name]],Table4[[#This Row],[Entity Name]])</f>
        <v>ARGT/LOC/2024/194Arha General Trading Co (AGT)</v>
      </c>
      <c r="D1358" s="36" t="s">
        <v>936</v>
      </c>
      <c r="E1358" s="49" t="s">
        <v>152</v>
      </c>
      <c r="F1358" s="49" t="s">
        <v>93</v>
      </c>
      <c r="G1358" s="101" t="s">
        <v>138</v>
      </c>
    </row>
    <row r="1359" spans="1:7" hidden="1">
      <c r="A1359" s="68" t="s">
        <v>1228</v>
      </c>
      <c r="B1359" s="36" t="s">
        <v>826</v>
      </c>
      <c r="C1359" s="36" t="str">
        <f>_xlfn.CONCAT(Table4[[#This Row],[Ledger Name]],Table4[[#This Row],[Entity Name]])</f>
        <v>ARGT/LOC/2024/195Arha General Trading Co (AGT)</v>
      </c>
      <c r="D1359" s="36" t="s">
        <v>936</v>
      </c>
      <c r="E1359" s="49" t="s">
        <v>152</v>
      </c>
      <c r="F1359" s="49" t="s">
        <v>93</v>
      </c>
      <c r="G1359" s="101" t="s">
        <v>138</v>
      </c>
    </row>
    <row r="1360" spans="1:7" hidden="1">
      <c r="A1360" s="68" t="s">
        <v>1229</v>
      </c>
      <c r="B1360" s="36" t="s">
        <v>826</v>
      </c>
      <c r="C1360" s="36" t="str">
        <f>_xlfn.CONCAT(Table4[[#This Row],[Ledger Name]],Table4[[#This Row],[Entity Name]])</f>
        <v>ARGT/LOC/2024/200Arha General Trading Co (AGT)</v>
      </c>
      <c r="D1360" s="36" t="s">
        <v>936</v>
      </c>
      <c r="E1360" s="49" t="s">
        <v>152</v>
      </c>
      <c r="F1360" s="49" t="s">
        <v>93</v>
      </c>
      <c r="G1360" s="101" t="s">
        <v>138</v>
      </c>
    </row>
    <row r="1361" spans="1:7" hidden="1">
      <c r="A1361" s="68" t="s">
        <v>1230</v>
      </c>
      <c r="B1361" s="36" t="s">
        <v>826</v>
      </c>
      <c r="C1361" s="36" t="str">
        <f>_xlfn.CONCAT(Table4[[#This Row],[Ledger Name]],Table4[[#This Row],[Entity Name]])</f>
        <v>ARGT/LOC/2024/203Arha General Trading Co (AGT)</v>
      </c>
      <c r="D1361" s="36" t="s">
        <v>936</v>
      </c>
      <c r="E1361" s="49" t="s">
        <v>152</v>
      </c>
      <c r="F1361" s="49" t="s">
        <v>93</v>
      </c>
      <c r="G1361" s="101" t="s">
        <v>138</v>
      </c>
    </row>
    <row r="1362" spans="1:7" hidden="1">
      <c r="A1362" s="68" t="s">
        <v>1231</v>
      </c>
      <c r="B1362" s="36" t="s">
        <v>826</v>
      </c>
      <c r="C1362" s="36" t="str">
        <f>_xlfn.CONCAT(Table4[[#This Row],[Ledger Name]],Table4[[#This Row],[Entity Name]])</f>
        <v>ARGT/LOC/2024/208Arha General Trading Co (AGT)</v>
      </c>
      <c r="D1362" s="36" t="s">
        <v>936</v>
      </c>
      <c r="E1362" s="49" t="s">
        <v>152</v>
      </c>
      <c r="F1362" s="49" t="s">
        <v>93</v>
      </c>
      <c r="G1362" s="101" t="s">
        <v>138</v>
      </c>
    </row>
    <row r="1363" spans="1:7" hidden="1">
      <c r="A1363" s="68" t="s">
        <v>1232</v>
      </c>
      <c r="B1363" s="36" t="s">
        <v>826</v>
      </c>
      <c r="C1363" s="36" t="str">
        <f>_xlfn.CONCAT(Table4[[#This Row],[Ledger Name]],Table4[[#This Row],[Entity Name]])</f>
        <v>ARGT/LOC/2024/211Arha General Trading Co (AGT)</v>
      </c>
      <c r="D1363" s="36" t="s">
        <v>936</v>
      </c>
      <c r="E1363" s="49" t="s">
        <v>152</v>
      </c>
      <c r="F1363" s="49" t="s">
        <v>93</v>
      </c>
      <c r="G1363" s="101" t="s">
        <v>138</v>
      </c>
    </row>
    <row r="1364" spans="1:7" hidden="1">
      <c r="A1364" s="68" t="s">
        <v>1537</v>
      </c>
      <c r="B1364" s="36" t="s">
        <v>826</v>
      </c>
      <c r="C1364" s="36" t="str">
        <f>_xlfn.CONCAT(Table4[[#This Row],[Ledger Name]],Table4[[#This Row],[Entity Name]])</f>
        <v>ARGT/LOC/2024/226Arha General Trading Co (AGT)</v>
      </c>
      <c r="D1364" s="36" t="s">
        <v>936</v>
      </c>
      <c r="E1364" s="49" t="s">
        <v>152</v>
      </c>
      <c r="F1364" s="49" t="s">
        <v>93</v>
      </c>
      <c r="G1364" s="101" t="s">
        <v>138</v>
      </c>
    </row>
    <row r="1365" spans="1:7" hidden="1">
      <c r="A1365" s="68" t="s">
        <v>1538</v>
      </c>
      <c r="B1365" s="36" t="s">
        <v>826</v>
      </c>
      <c r="C1365" s="36" t="str">
        <f>_xlfn.CONCAT(Table4[[#This Row],[Ledger Name]],Table4[[#This Row],[Entity Name]])</f>
        <v>ARGT/LOC/2024/294Arha General Trading Co (AGT)</v>
      </c>
      <c r="D1365" s="36" t="s">
        <v>936</v>
      </c>
      <c r="E1365" s="49" t="s">
        <v>152</v>
      </c>
      <c r="F1365" s="49" t="s">
        <v>93</v>
      </c>
      <c r="G1365" s="101" t="s">
        <v>138</v>
      </c>
    </row>
    <row r="1366" spans="1:7" hidden="1">
      <c r="A1366" s="68" t="s">
        <v>1539</v>
      </c>
      <c r="B1366" s="36" t="s">
        <v>826</v>
      </c>
      <c r="C1366" s="36" t="str">
        <f>_xlfn.CONCAT(Table4[[#This Row],[Ledger Name]],Table4[[#This Row],[Entity Name]])</f>
        <v>ARGT/LOC/2024/319Arha General Trading Co (AGT)</v>
      </c>
      <c r="D1366" s="36" t="s">
        <v>936</v>
      </c>
      <c r="E1366" s="49" t="s">
        <v>152</v>
      </c>
      <c r="F1366" s="49" t="s">
        <v>93</v>
      </c>
      <c r="G1366" s="101" t="s">
        <v>138</v>
      </c>
    </row>
    <row r="1367" spans="1:7" hidden="1">
      <c r="A1367" s="68" t="s">
        <v>1540</v>
      </c>
      <c r="B1367" s="36" t="s">
        <v>826</v>
      </c>
      <c r="C1367" s="36" t="str">
        <f>_xlfn.CONCAT(Table4[[#This Row],[Ledger Name]],Table4[[#This Row],[Entity Name]])</f>
        <v>ARGT/LOC/2024/320Arha General Trading Co (AGT)</v>
      </c>
      <c r="D1367" s="36" t="s">
        <v>936</v>
      </c>
      <c r="E1367" s="49" t="s">
        <v>152</v>
      </c>
      <c r="F1367" s="49" t="s">
        <v>93</v>
      </c>
      <c r="G1367" s="101" t="s">
        <v>138</v>
      </c>
    </row>
    <row r="1368" spans="1:7" hidden="1">
      <c r="A1368" s="68" t="s">
        <v>1077</v>
      </c>
      <c r="B1368" s="36" t="s">
        <v>826</v>
      </c>
      <c r="C1368" s="36" t="str">
        <f>_xlfn.CONCAT(Table4[[#This Row],[Ledger Name]],Table4[[#This Row],[Entity Name]])</f>
        <v>Employment Visa ExpArha General Trading Co (AGT)</v>
      </c>
      <c r="D1368" s="36" t="s">
        <v>936</v>
      </c>
      <c r="E1368" s="49" t="s">
        <v>152</v>
      </c>
      <c r="F1368" s="49" t="s">
        <v>8</v>
      </c>
      <c r="G1368" s="101" t="s">
        <v>84</v>
      </c>
    </row>
    <row r="1369" spans="1:7" hidden="1">
      <c r="A1369" s="36" t="s">
        <v>1546</v>
      </c>
      <c r="B1369" s="36" t="s">
        <v>314</v>
      </c>
      <c r="C1369" s="36" t="str">
        <f>_xlfn.CONCAT(Table4[[#This Row],[Ledger Name]],Table4[[#This Row],[Entity Name]])</f>
        <v>Advance salary to Avdhut GhevdekarExpora</v>
      </c>
      <c r="D1369" s="162" t="s">
        <v>936</v>
      </c>
      <c r="E1369" s="163" t="s">
        <v>746</v>
      </c>
      <c r="F1369" s="163" t="s">
        <v>195</v>
      </c>
      <c r="G1369" s="24" t="s">
        <v>1608</v>
      </c>
    </row>
    <row r="1370" spans="1:7" hidden="1">
      <c r="A1370" s="36" t="s">
        <v>1547</v>
      </c>
      <c r="B1370" s="36" t="s">
        <v>314</v>
      </c>
      <c r="C1370" s="36" t="str">
        <f>_xlfn.CONCAT(Table4[[#This Row],[Ledger Name]],Table4[[#This Row],[Entity Name]])</f>
        <v>F02EOBU250075002Expora</v>
      </c>
      <c r="D1370" s="36"/>
      <c r="E1370" s="49" t="s">
        <v>746</v>
      </c>
      <c r="F1370" s="49" t="s">
        <v>345</v>
      </c>
      <c r="G1370" s="101" t="s">
        <v>278</v>
      </c>
    </row>
    <row r="1371" spans="1:7" hidden="1">
      <c r="A1371" s="36" t="s">
        <v>1548</v>
      </c>
      <c r="B1371" s="36" t="s">
        <v>314</v>
      </c>
      <c r="C1371" s="36" t="str">
        <f>_xlfn.CONCAT(Table4[[#This Row],[Ledger Name]],Table4[[#This Row],[Entity Name]])</f>
        <v>MLWB (Maharashtra Labour Welfare Board)Expora</v>
      </c>
      <c r="D1371" s="162" t="s">
        <v>936</v>
      </c>
      <c r="E1371" s="163" t="s">
        <v>746</v>
      </c>
      <c r="F1371" s="163" t="s">
        <v>195</v>
      </c>
      <c r="G1371" s="24" t="s">
        <v>1624</v>
      </c>
    </row>
    <row r="1372" spans="1:7" hidden="1">
      <c r="A1372" s="36" t="s">
        <v>1549</v>
      </c>
      <c r="B1372" s="36" t="s">
        <v>314</v>
      </c>
      <c r="C1372" s="36" t="str">
        <f>_xlfn.CONCAT(Table4[[#This Row],[Ledger Name]],Table4[[#This Row],[Entity Name]])</f>
        <v>Cash Discount receivedExpora</v>
      </c>
      <c r="D1372" s="36" t="s">
        <v>936</v>
      </c>
      <c r="E1372" s="49" t="s">
        <v>152</v>
      </c>
      <c r="F1372" s="49" t="s">
        <v>1</v>
      </c>
      <c r="G1372" s="101" t="s">
        <v>235</v>
      </c>
    </row>
    <row r="1373" spans="1:7" hidden="1">
      <c r="A1373" s="36" t="s">
        <v>1550</v>
      </c>
      <c r="B1373" s="36" t="s">
        <v>314</v>
      </c>
      <c r="C1373" s="36" t="str">
        <f>_xlfn.CONCAT(Table4[[#This Row],[Ledger Name]],Table4[[#This Row],[Entity Name]])</f>
        <v>DISCOUNT ALLOWEDExpora</v>
      </c>
      <c r="D1373" s="36" t="s">
        <v>936</v>
      </c>
      <c r="E1373" s="49" t="s">
        <v>152</v>
      </c>
      <c r="F1373" s="49" t="s">
        <v>1</v>
      </c>
      <c r="G1373" s="101" t="s">
        <v>235</v>
      </c>
    </row>
    <row r="1374" spans="1:7" hidden="1">
      <c r="A1374" s="36" t="s">
        <v>1551</v>
      </c>
      <c r="B1374" s="36" t="s">
        <v>314</v>
      </c>
      <c r="C1374" s="36" t="str">
        <f>_xlfn.CONCAT(Table4[[#This Row],[Ledger Name]],Table4[[#This Row],[Entity Name]])</f>
        <v>TALOC2425023 CDAExpora</v>
      </c>
      <c r="D1374" s="36" t="s">
        <v>936</v>
      </c>
      <c r="E1374" s="49" t="s">
        <v>152</v>
      </c>
      <c r="F1374" s="49" t="s">
        <v>1</v>
      </c>
      <c r="G1374" s="101" t="s">
        <v>235</v>
      </c>
    </row>
    <row r="1375" spans="1:7" hidden="1">
      <c r="A1375" s="36" t="s">
        <v>1552</v>
      </c>
      <c r="B1375" s="36" t="s">
        <v>314</v>
      </c>
      <c r="C1375" s="36" t="str">
        <f>_xlfn.CONCAT(Table4[[#This Row],[Ledger Name]],Table4[[#This Row],[Entity Name]])</f>
        <v>TALOC2425034 CDAExpora</v>
      </c>
      <c r="D1375" s="36" t="s">
        <v>936</v>
      </c>
      <c r="E1375" s="49" t="s">
        <v>152</v>
      </c>
      <c r="F1375" s="49" t="s">
        <v>1</v>
      </c>
      <c r="G1375" s="101" t="s">
        <v>235</v>
      </c>
    </row>
    <row r="1376" spans="1:7" hidden="1">
      <c r="A1376" s="36" t="s">
        <v>1553</v>
      </c>
      <c r="B1376" s="36" t="s">
        <v>314</v>
      </c>
      <c r="C1376" s="36" t="str">
        <f>_xlfn.CONCAT(Table4[[#This Row],[Ledger Name]],Table4[[#This Row],[Entity Name]])</f>
        <v>TALOC2425040 CDAExpora</v>
      </c>
      <c r="D1376" s="36" t="s">
        <v>936</v>
      </c>
      <c r="E1376" s="49" t="s">
        <v>152</v>
      </c>
      <c r="F1376" s="49" t="s">
        <v>1</v>
      </c>
      <c r="G1376" s="101" t="s">
        <v>235</v>
      </c>
    </row>
    <row r="1377" spans="1:7" hidden="1">
      <c r="A1377" s="36" t="s">
        <v>1554</v>
      </c>
      <c r="B1377" s="36" t="s">
        <v>314</v>
      </c>
      <c r="C1377" s="36" t="str">
        <f>_xlfn.CONCAT(Table4[[#This Row],[Ledger Name]],Table4[[#This Row],[Entity Name]])</f>
        <v>TALOC2425043 CDAExpora</v>
      </c>
      <c r="D1377" s="36" t="s">
        <v>936</v>
      </c>
      <c r="E1377" s="49" t="s">
        <v>152</v>
      </c>
      <c r="F1377" s="49" t="s">
        <v>1</v>
      </c>
      <c r="G1377" s="101" t="s">
        <v>235</v>
      </c>
    </row>
    <row r="1378" spans="1:7" hidden="1">
      <c r="A1378" s="36" t="s">
        <v>1555</v>
      </c>
      <c r="B1378" s="36" t="s">
        <v>314</v>
      </c>
      <c r="C1378" s="36" t="str">
        <f>_xlfn.CONCAT(Table4[[#This Row],[Ledger Name]],Table4[[#This Row],[Entity Name]])</f>
        <v>TALOC2425044 CDAExpora</v>
      </c>
      <c r="D1378" s="36" t="s">
        <v>936</v>
      </c>
      <c r="E1378" s="49" t="s">
        <v>152</v>
      </c>
      <c r="F1378" s="49" t="s">
        <v>1</v>
      </c>
      <c r="G1378" s="101" t="s">
        <v>235</v>
      </c>
    </row>
    <row r="1379" spans="1:7" hidden="1">
      <c r="A1379" s="36" t="s">
        <v>1556</v>
      </c>
      <c r="B1379" s="36" t="s">
        <v>314</v>
      </c>
      <c r="C1379" s="36" t="str">
        <f>_xlfn.CONCAT(Table4[[#This Row],[Ledger Name]],Table4[[#This Row],[Entity Name]])</f>
        <v>TALOC2425045 CDAExpora</v>
      </c>
      <c r="D1379" s="36" t="s">
        <v>936</v>
      </c>
      <c r="E1379" s="49" t="s">
        <v>152</v>
      </c>
      <c r="F1379" s="49" t="s">
        <v>1</v>
      </c>
      <c r="G1379" s="101" t="s">
        <v>235</v>
      </c>
    </row>
    <row r="1380" spans="1:7" hidden="1">
      <c r="A1380" s="36" t="s">
        <v>1557</v>
      </c>
      <c r="B1380" s="36" t="s">
        <v>314</v>
      </c>
      <c r="C1380" s="36" t="str">
        <f>_xlfn.CONCAT(Table4[[#This Row],[Ledger Name]],Table4[[#This Row],[Entity Name]])</f>
        <v>TALOC2425046 CDAExpora</v>
      </c>
      <c r="D1380" s="36" t="s">
        <v>936</v>
      </c>
      <c r="E1380" s="49" t="s">
        <v>152</v>
      </c>
      <c r="F1380" s="49" t="s">
        <v>1</v>
      </c>
      <c r="G1380" s="101" t="s">
        <v>235</v>
      </c>
    </row>
    <row r="1381" spans="1:7" hidden="1">
      <c r="A1381" s="36" t="s">
        <v>1558</v>
      </c>
      <c r="B1381" s="36" t="s">
        <v>314</v>
      </c>
      <c r="C1381" s="36" t="str">
        <f>_xlfn.CONCAT(Table4[[#This Row],[Ledger Name]],Table4[[#This Row],[Entity Name]])</f>
        <v>TALOC2425047 CDAExpora</v>
      </c>
      <c r="D1381" s="36" t="s">
        <v>936</v>
      </c>
      <c r="E1381" s="49" t="s">
        <v>152</v>
      </c>
      <c r="F1381" s="49" t="s">
        <v>1</v>
      </c>
      <c r="G1381" s="101" t="s">
        <v>235</v>
      </c>
    </row>
    <row r="1382" spans="1:7" hidden="1">
      <c r="A1382" s="36" t="s">
        <v>1559</v>
      </c>
      <c r="B1382" s="36" t="s">
        <v>314</v>
      </c>
      <c r="C1382" s="36" t="str">
        <f>_xlfn.CONCAT(Table4[[#This Row],[Ledger Name]],Table4[[#This Row],[Entity Name]])</f>
        <v>TALOC2425049 CDAExpora</v>
      </c>
      <c r="D1382" s="36" t="s">
        <v>936</v>
      </c>
      <c r="E1382" s="49" t="s">
        <v>152</v>
      </c>
      <c r="F1382" s="49" t="s">
        <v>1</v>
      </c>
      <c r="G1382" s="101" t="s">
        <v>235</v>
      </c>
    </row>
    <row r="1383" spans="1:7" hidden="1">
      <c r="A1383" s="36" t="s">
        <v>1560</v>
      </c>
      <c r="B1383" s="36" t="s">
        <v>314</v>
      </c>
      <c r="C1383" s="36" t="str">
        <f>_xlfn.CONCAT(Table4[[#This Row],[Ledger Name]],Table4[[#This Row],[Entity Name]])</f>
        <v>TALOC2425050 CDAExpora</v>
      </c>
      <c r="D1383" s="36" t="s">
        <v>936</v>
      </c>
      <c r="E1383" s="49" t="s">
        <v>152</v>
      </c>
      <c r="F1383" s="49" t="s">
        <v>1</v>
      </c>
      <c r="G1383" s="101" t="s">
        <v>235</v>
      </c>
    </row>
    <row r="1384" spans="1:7" hidden="1">
      <c r="A1384" s="36" t="s">
        <v>1561</v>
      </c>
      <c r="B1384" s="36" t="s">
        <v>314</v>
      </c>
      <c r="C1384" s="36" t="str">
        <f>_xlfn.CONCAT(Table4[[#This Row],[Ledger Name]],Table4[[#This Row],[Entity Name]])</f>
        <v>TALOC2425051 CDAExpora</v>
      </c>
      <c r="D1384" s="36" t="s">
        <v>936</v>
      </c>
      <c r="E1384" s="49" t="s">
        <v>152</v>
      </c>
      <c r="F1384" s="49" t="s">
        <v>1</v>
      </c>
      <c r="G1384" s="101" t="s">
        <v>235</v>
      </c>
    </row>
    <row r="1385" spans="1:7" hidden="1">
      <c r="A1385" s="36" t="s">
        <v>1562</v>
      </c>
      <c r="B1385" s="36" t="s">
        <v>314</v>
      </c>
      <c r="C1385" s="36" t="str">
        <f>_xlfn.CONCAT(Table4[[#This Row],[Ledger Name]],Table4[[#This Row],[Entity Name]])</f>
        <v>TALOC2425053 CDAExpora</v>
      </c>
      <c r="D1385" s="36" t="s">
        <v>936</v>
      </c>
      <c r="E1385" s="49" t="s">
        <v>152</v>
      </c>
      <c r="F1385" s="49" t="s">
        <v>1</v>
      </c>
      <c r="G1385" s="101" t="s">
        <v>235</v>
      </c>
    </row>
    <row r="1386" spans="1:7" hidden="1">
      <c r="A1386" s="36" t="s">
        <v>1563</v>
      </c>
      <c r="B1386" s="36" t="s">
        <v>314</v>
      </c>
      <c r="C1386" s="36" t="str">
        <f>_xlfn.CONCAT(Table4[[#This Row],[Ledger Name]],Table4[[#This Row],[Entity Name]])</f>
        <v>TALOC2425054 CDAExpora</v>
      </c>
      <c r="D1386" s="36" t="s">
        <v>936</v>
      </c>
      <c r="E1386" s="49" t="s">
        <v>152</v>
      </c>
      <c r="F1386" s="49" t="s">
        <v>1</v>
      </c>
      <c r="G1386" s="101" t="s">
        <v>235</v>
      </c>
    </row>
    <row r="1387" spans="1:7" hidden="1">
      <c r="A1387" s="36" t="s">
        <v>1564</v>
      </c>
      <c r="B1387" s="36" t="s">
        <v>314</v>
      </c>
      <c r="C1387" s="36" t="str">
        <f>_xlfn.CONCAT(Table4[[#This Row],[Ledger Name]],Table4[[#This Row],[Entity Name]])</f>
        <v>TALOC2425057 CDAExpora</v>
      </c>
      <c r="D1387" s="36" t="s">
        <v>936</v>
      </c>
      <c r="E1387" s="49" t="s">
        <v>152</v>
      </c>
      <c r="F1387" s="49" t="s">
        <v>1</v>
      </c>
      <c r="G1387" s="101" t="s">
        <v>235</v>
      </c>
    </row>
    <row r="1388" spans="1:7" hidden="1">
      <c r="A1388" s="36" t="s">
        <v>1565</v>
      </c>
      <c r="B1388" s="36" t="s">
        <v>314</v>
      </c>
      <c r="C1388" s="36" t="str">
        <f>_xlfn.CONCAT(Table4[[#This Row],[Ledger Name]],Table4[[#This Row],[Entity Name]])</f>
        <v>TALOC2425066 CDAExpora</v>
      </c>
      <c r="D1388" s="36" t="s">
        <v>936</v>
      </c>
      <c r="E1388" s="49" t="s">
        <v>152</v>
      </c>
      <c r="F1388" s="49" t="s">
        <v>1</v>
      </c>
      <c r="G1388" s="101" t="s">
        <v>235</v>
      </c>
    </row>
    <row r="1389" spans="1:7" hidden="1">
      <c r="A1389" s="36" t="s">
        <v>1566</v>
      </c>
      <c r="B1389" s="36" t="s">
        <v>314</v>
      </c>
      <c r="C1389" s="36" t="str">
        <f>_xlfn.CONCAT(Table4[[#This Row],[Ledger Name]],Table4[[#This Row],[Entity Name]])</f>
        <v>TALOC2425067 CDAExpora</v>
      </c>
      <c r="D1389" s="36" t="s">
        <v>936</v>
      </c>
      <c r="E1389" s="49" t="s">
        <v>152</v>
      </c>
      <c r="F1389" s="49" t="s">
        <v>1</v>
      </c>
      <c r="G1389" s="101" t="s">
        <v>235</v>
      </c>
    </row>
    <row r="1390" spans="1:7" hidden="1">
      <c r="A1390" s="36" t="s">
        <v>1567</v>
      </c>
      <c r="B1390" s="36" t="s">
        <v>314</v>
      </c>
      <c r="C1390" s="36" t="str">
        <f>_xlfn.CONCAT(Table4[[#This Row],[Ledger Name]],Table4[[#This Row],[Entity Name]])</f>
        <v>TALOC2425069 CDAExpora</v>
      </c>
      <c r="D1390" s="36" t="s">
        <v>936</v>
      </c>
      <c r="E1390" s="49" t="s">
        <v>152</v>
      </c>
      <c r="F1390" s="49" t="s">
        <v>1</v>
      </c>
      <c r="G1390" s="101" t="s">
        <v>235</v>
      </c>
    </row>
    <row r="1391" spans="1:7" hidden="1">
      <c r="A1391" s="36" t="s">
        <v>1568</v>
      </c>
      <c r="B1391" s="36" t="s">
        <v>314</v>
      </c>
      <c r="C1391" s="36" t="str">
        <f>_xlfn.CONCAT(Table4[[#This Row],[Ledger Name]],Table4[[#This Row],[Entity Name]])</f>
        <v>TALOC2425072 CDAExpora</v>
      </c>
      <c r="D1391" s="36" t="s">
        <v>936</v>
      </c>
      <c r="E1391" s="49" t="s">
        <v>152</v>
      </c>
      <c r="F1391" s="49" t="s">
        <v>1</v>
      </c>
      <c r="G1391" s="101" t="s">
        <v>235</v>
      </c>
    </row>
    <row r="1392" spans="1:7" hidden="1">
      <c r="A1392" s="36" t="s">
        <v>1569</v>
      </c>
      <c r="B1392" s="36" t="s">
        <v>314</v>
      </c>
      <c r="C1392" s="36" t="str">
        <f>_xlfn.CONCAT(Table4[[#This Row],[Ledger Name]],Table4[[#This Row],[Entity Name]])</f>
        <v>TALOC2425073 CDAExpora</v>
      </c>
      <c r="D1392" s="36" t="s">
        <v>936</v>
      </c>
      <c r="E1392" s="49" t="s">
        <v>152</v>
      </c>
      <c r="F1392" s="49" t="s">
        <v>1</v>
      </c>
      <c r="G1392" s="101" t="s">
        <v>235</v>
      </c>
    </row>
    <row r="1393" spans="1:7" hidden="1">
      <c r="A1393" s="36" t="s">
        <v>1570</v>
      </c>
      <c r="B1393" s="36" t="s">
        <v>314</v>
      </c>
      <c r="C1393" s="36" t="str">
        <f>_xlfn.CONCAT(Table4[[#This Row],[Ledger Name]],Table4[[#This Row],[Entity Name]])</f>
        <v>TALOC2425074 CDAExpora</v>
      </c>
      <c r="D1393" s="36" t="s">
        <v>936</v>
      </c>
      <c r="E1393" s="49" t="s">
        <v>152</v>
      </c>
      <c r="F1393" s="49" t="s">
        <v>1</v>
      </c>
      <c r="G1393" s="101" t="s">
        <v>235</v>
      </c>
    </row>
    <row r="1394" spans="1:7" hidden="1">
      <c r="A1394" s="36" t="s">
        <v>1571</v>
      </c>
      <c r="B1394" s="36" t="s">
        <v>314</v>
      </c>
      <c r="C1394" s="36" t="str">
        <f>_xlfn.CONCAT(Table4[[#This Row],[Ledger Name]],Table4[[#This Row],[Entity Name]])</f>
        <v>TALOC2425075 CDAExpora</v>
      </c>
      <c r="D1394" s="36" t="s">
        <v>936</v>
      </c>
      <c r="E1394" s="49" t="s">
        <v>152</v>
      </c>
      <c r="F1394" s="49" t="s">
        <v>1</v>
      </c>
      <c r="G1394" s="101" t="s">
        <v>235</v>
      </c>
    </row>
    <row r="1395" spans="1:7" hidden="1">
      <c r="A1395" s="36" t="s">
        <v>1572</v>
      </c>
      <c r="B1395" s="36" t="s">
        <v>314</v>
      </c>
      <c r="C1395" s="36" t="str">
        <f>_xlfn.CONCAT(Table4[[#This Row],[Ledger Name]],Table4[[#This Row],[Entity Name]])</f>
        <v>TAEXP2425052 DDBExpora</v>
      </c>
      <c r="D1395" s="36" t="s">
        <v>936</v>
      </c>
      <c r="E1395" s="49" t="s">
        <v>152</v>
      </c>
      <c r="F1395" s="49" t="s">
        <v>189</v>
      </c>
      <c r="G1395" s="101" t="s">
        <v>163</v>
      </c>
    </row>
    <row r="1396" spans="1:7" hidden="1">
      <c r="A1396" s="36" t="s">
        <v>1573</v>
      </c>
      <c r="B1396" s="36" t="s">
        <v>314</v>
      </c>
      <c r="C1396" s="36" t="str">
        <f>_xlfn.CONCAT(Table4[[#This Row],[Ledger Name]],Table4[[#This Row],[Entity Name]])</f>
        <v>TAEXP2425059 DDBExpora</v>
      </c>
      <c r="D1396" s="36" t="s">
        <v>936</v>
      </c>
      <c r="E1396" s="49" t="s">
        <v>152</v>
      </c>
      <c r="F1396" s="49" t="s">
        <v>189</v>
      </c>
      <c r="G1396" s="101" t="s">
        <v>163</v>
      </c>
    </row>
    <row r="1397" spans="1:7" hidden="1">
      <c r="A1397" s="36" t="s">
        <v>1574</v>
      </c>
      <c r="B1397" s="36" t="s">
        <v>314</v>
      </c>
      <c r="C1397" s="36" t="str">
        <f>_xlfn.CONCAT(Table4[[#This Row],[Ledger Name]],Table4[[#This Row],[Entity Name]])</f>
        <v>TAEXP2425061 DDBExpora</v>
      </c>
      <c r="D1397" s="36" t="s">
        <v>936</v>
      </c>
      <c r="E1397" s="49" t="s">
        <v>152</v>
      </c>
      <c r="F1397" s="49" t="s">
        <v>189</v>
      </c>
      <c r="G1397" s="101" t="s">
        <v>163</v>
      </c>
    </row>
    <row r="1398" spans="1:7" hidden="1">
      <c r="A1398" s="36" t="s">
        <v>1575</v>
      </c>
      <c r="B1398" s="36" t="s">
        <v>314</v>
      </c>
      <c r="C1398" s="36" t="str">
        <f>_xlfn.CONCAT(Table4[[#This Row],[Ledger Name]],Table4[[#This Row],[Entity Name]])</f>
        <v>TAEXP2425062 DDBExpora</v>
      </c>
      <c r="D1398" s="36" t="s">
        <v>936</v>
      </c>
      <c r="E1398" s="49" t="s">
        <v>152</v>
      </c>
      <c r="F1398" s="49" t="s">
        <v>189</v>
      </c>
      <c r="G1398" s="101" t="s">
        <v>163</v>
      </c>
    </row>
    <row r="1399" spans="1:7" hidden="1">
      <c r="A1399" s="36" t="s">
        <v>1576</v>
      </c>
      <c r="B1399" s="36" t="s">
        <v>314</v>
      </c>
      <c r="C1399" s="36" t="str">
        <f>_xlfn.CONCAT(Table4[[#This Row],[Ledger Name]],Table4[[#This Row],[Entity Name]])</f>
        <v>TAEXP-2425044 RODTEP.Expora</v>
      </c>
      <c r="D1399" s="36" t="s">
        <v>936</v>
      </c>
      <c r="E1399" s="49" t="s">
        <v>152</v>
      </c>
      <c r="F1399" s="49" t="s">
        <v>189</v>
      </c>
      <c r="G1399" s="101" t="s">
        <v>313</v>
      </c>
    </row>
    <row r="1400" spans="1:7" hidden="1">
      <c r="A1400" s="36" t="s">
        <v>1577</v>
      </c>
      <c r="B1400" s="36" t="s">
        <v>314</v>
      </c>
      <c r="C1400" s="36" t="str">
        <f>_xlfn.CONCAT(Table4[[#This Row],[Ledger Name]],Table4[[#This Row],[Entity Name]])</f>
        <v>TAEXP-2425058 RODTEP.Expora</v>
      </c>
      <c r="D1400" s="36" t="s">
        <v>936</v>
      </c>
      <c r="E1400" s="49" t="s">
        <v>152</v>
      </c>
      <c r="F1400" s="49" t="s">
        <v>189</v>
      </c>
      <c r="G1400" s="101" t="s">
        <v>313</v>
      </c>
    </row>
    <row r="1401" spans="1:7" hidden="1">
      <c r="A1401" s="36" t="s">
        <v>1578</v>
      </c>
      <c r="B1401" s="36" t="s">
        <v>314</v>
      </c>
      <c r="C1401" s="36" t="str">
        <f>_xlfn.CONCAT(Table4[[#This Row],[Ledger Name]],Table4[[#This Row],[Entity Name]])</f>
        <v>BA -165Expora</v>
      </c>
      <c r="D1401" s="36" t="s">
        <v>936</v>
      </c>
      <c r="E1401" s="49" t="s">
        <v>152</v>
      </c>
      <c r="F1401" s="49" t="s">
        <v>93</v>
      </c>
      <c r="G1401" s="101" t="s">
        <v>138</v>
      </c>
    </row>
    <row r="1402" spans="1:7" hidden="1">
      <c r="A1402" s="36" t="s">
        <v>1579</v>
      </c>
      <c r="B1402" s="36" t="s">
        <v>314</v>
      </c>
      <c r="C1402" s="36" t="str">
        <f>_xlfn.CONCAT(Table4[[#This Row],[Ledger Name]],Table4[[#This Row],[Entity Name]])</f>
        <v>BA 288Expora</v>
      </c>
      <c r="D1402" s="36" t="s">
        <v>936</v>
      </c>
      <c r="E1402" s="49" t="s">
        <v>152</v>
      </c>
      <c r="F1402" s="49" t="s">
        <v>93</v>
      </c>
      <c r="G1402" s="101" t="s">
        <v>138</v>
      </c>
    </row>
    <row r="1403" spans="1:7" hidden="1">
      <c r="A1403" s="36" t="s">
        <v>1580</v>
      </c>
      <c r="B1403" s="36" t="s">
        <v>314</v>
      </c>
      <c r="C1403" s="36" t="str">
        <f>_xlfn.CONCAT(Table4[[#This Row],[Ledger Name]],Table4[[#This Row],[Entity Name]])</f>
        <v>BA-448Expora</v>
      </c>
      <c r="D1403" s="36" t="s">
        <v>936</v>
      </c>
      <c r="E1403" s="49" t="s">
        <v>152</v>
      </c>
      <c r="F1403" s="49" t="s">
        <v>93</v>
      </c>
      <c r="G1403" s="101" t="s">
        <v>138</v>
      </c>
    </row>
    <row r="1404" spans="1:7" hidden="1">
      <c r="A1404" s="36" t="s">
        <v>1581</v>
      </c>
      <c r="B1404" s="36" t="s">
        <v>314</v>
      </c>
      <c r="C1404" s="36" t="str">
        <f>_xlfn.CONCAT(Table4[[#This Row],[Ledger Name]],Table4[[#This Row],[Entity Name]])</f>
        <v>BA-449Expora</v>
      </c>
      <c r="D1404" s="36" t="s">
        <v>936</v>
      </c>
      <c r="E1404" s="49" t="s">
        <v>152</v>
      </c>
      <c r="F1404" s="49" t="s">
        <v>93</v>
      </c>
      <c r="G1404" s="101" t="s">
        <v>138</v>
      </c>
    </row>
    <row r="1405" spans="1:7" hidden="1">
      <c r="A1405" s="36" t="s">
        <v>1582</v>
      </c>
      <c r="B1405" s="36" t="s">
        <v>314</v>
      </c>
      <c r="C1405" s="36" t="str">
        <f>_xlfn.CONCAT(Table4[[#This Row],[Ledger Name]],Table4[[#This Row],[Entity Name]])</f>
        <v>BA-552Expora</v>
      </c>
      <c r="D1405" s="36" t="s">
        <v>936</v>
      </c>
      <c r="E1405" s="49" t="s">
        <v>152</v>
      </c>
      <c r="F1405" s="49" t="s">
        <v>93</v>
      </c>
      <c r="G1405" s="101" t="s">
        <v>138</v>
      </c>
    </row>
    <row r="1406" spans="1:7" hidden="1">
      <c r="A1406" s="36" t="s">
        <v>541</v>
      </c>
      <c r="B1406" s="36" t="s">
        <v>314</v>
      </c>
      <c r="C1406" s="36" t="str">
        <f>_xlfn.CONCAT(Table4[[#This Row],[Ledger Name]],Table4[[#This Row],[Entity Name]])</f>
        <v>Employer Contribution PF.Expora</v>
      </c>
      <c r="D1406" s="36" t="s">
        <v>936</v>
      </c>
      <c r="E1406" s="49" t="s">
        <v>152</v>
      </c>
      <c r="F1406" s="49" t="s">
        <v>2</v>
      </c>
      <c r="G1406" s="101" t="s">
        <v>73</v>
      </c>
    </row>
    <row r="1407" spans="1:7" hidden="1">
      <c r="A1407" s="36" t="s">
        <v>1583</v>
      </c>
      <c r="B1407" s="36" t="s">
        <v>314</v>
      </c>
      <c r="C1407" s="36" t="str">
        <f>_xlfn.CONCAT(Table4[[#This Row],[Ledger Name]],Table4[[#This Row],[Entity Name]])</f>
        <v>TAEXP-2425044Expora</v>
      </c>
      <c r="D1407" s="36" t="s">
        <v>936</v>
      </c>
      <c r="E1407" s="49" t="s">
        <v>152</v>
      </c>
      <c r="F1407" s="49" t="s">
        <v>93</v>
      </c>
      <c r="G1407" s="101" t="s">
        <v>138</v>
      </c>
    </row>
    <row r="1408" spans="1:7" hidden="1">
      <c r="A1408" s="36" t="s">
        <v>1584</v>
      </c>
      <c r="B1408" s="36" t="s">
        <v>314</v>
      </c>
      <c r="C1408" s="36" t="str">
        <f>_xlfn.CONCAT(Table4[[#This Row],[Ledger Name]],Table4[[#This Row],[Entity Name]])</f>
        <v>TAEXP-2425058Expora</v>
      </c>
      <c r="D1408" s="36" t="s">
        <v>936</v>
      </c>
      <c r="E1408" s="49" t="s">
        <v>152</v>
      </c>
      <c r="F1408" s="49" t="s">
        <v>93</v>
      </c>
      <c r="G1408" s="101" t="s">
        <v>138</v>
      </c>
    </row>
    <row r="1409" spans="1:7" hidden="1">
      <c r="A1409" s="36" t="s">
        <v>1585</v>
      </c>
      <c r="B1409" s="36" t="s">
        <v>314</v>
      </c>
      <c r="C1409" s="36" t="str">
        <f>_xlfn.CONCAT(Table4[[#This Row],[Ledger Name]],Table4[[#This Row],[Entity Name]])</f>
        <v>TAEXP2425-044Expora</v>
      </c>
      <c r="D1409" s="36" t="s">
        <v>936</v>
      </c>
      <c r="E1409" s="49" t="s">
        <v>152</v>
      </c>
      <c r="F1409" s="49" t="s">
        <v>93</v>
      </c>
      <c r="G1409" s="101" t="s">
        <v>138</v>
      </c>
    </row>
    <row r="1410" spans="1:7" hidden="1">
      <c r="A1410" s="36" t="s">
        <v>1586</v>
      </c>
      <c r="B1410" s="36" t="s">
        <v>314</v>
      </c>
      <c r="C1410" s="36" t="str">
        <f>_xlfn.CONCAT(Table4[[#This Row],[Ledger Name]],Table4[[#This Row],[Entity Name]])</f>
        <v>TAEXP2425-061Expora</v>
      </c>
      <c r="D1410" s="36" t="s">
        <v>936</v>
      </c>
      <c r="E1410" s="49" t="s">
        <v>152</v>
      </c>
      <c r="F1410" s="49" t="s">
        <v>93</v>
      </c>
      <c r="G1410" s="101" t="s">
        <v>138</v>
      </c>
    </row>
    <row r="1411" spans="1:7" hidden="1">
      <c r="A1411" s="36" t="s">
        <v>1587</v>
      </c>
      <c r="B1411" s="36" t="s">
        <v>314</v>
      </c>
      <c r="C1411" s="36" t="str">
        <f>_xlfn.CONCAT(Table4[[#This Row],[Ledger Name]],Table4[[#This Row],[Entity Name]])</f>
        <v>TAEXP2425029 ( Int PCFC)Expora</v>
      </c>
      <c r="D1411" s="36" t="s">
        <v>936</v>
      </c>
      <c r="E1411" s="49" t="s">
        <v>152</v>
      </c>
      <c r="F1411" s="49" t="s">
        <v>315</v>
      </c>
      <c r="G1411" s="101" t="s">
        <v>282</v>
      </c>
    </row>
    <row r="1412" spans="1:7" hidden="1">
      <c r="A1412" s="36" t="s">
        <v>1588</v>
      </c>
      <c r="B1412" s="36" t="s">
        <v>314</v>
      </c>
      <c r="C1412" s="36" t="str">
        <f>_xlfn.CONCAT(Table4[[#This Row],[Ledger Name]],Table4[[#This Row],[Entity Name]])</f>
        <v>TAEXP2425031 ( Int PCFC )Expora</v>
      </c>
      <c r="D1412" s="36" t="s">
        <v>936</v>
      </c>
      <c r="E1412" s="49" t="s">
        <v>152</v>
      </c>
      <c r="F1412" s="49" t="s">
        <v>315</v>
      </c>
      <c r="G1412" s="101" t="s">
        <v>282</v>
      </c>
    </row>
    <row r="1413" spans="1:7" hidden="1">
      <c r="A1413" s="36" t="s">
        <v>1589</v>
      </c>
      <c r="B1413" s="36" t="s">
        <v>314</v>
      </c>
      <c r="C1413" s="36" t="str">
        <f>_xlfn.CONCAT(Table4[[#This Row],[Ledger Name]],Table4[[#This Row],[Entity Name]])</f>
        <v>TAEXP2425032 ( Int PCFC)Expora</v>
      </c>
      <c r="D1413" s="36" t="s">
        <v>936</v>
      </c>
      <c r="E1413" s="49" t="s">
        <v>152</v>
      </c>
      <c r="F1413" s="49" t="s">
        <v>315</v>
      </c>
      <c r="G1413" s="101" t="s">
        <v>282</v>
      </c>
    </row>
    <row r="1414" spans="1:7" hidden="1">
      <c r="A1414" s="36" t="s">
        <v>1590</v>
      </c>
      <c r="B1414" s="36" t="s">
        <v>314</v>
      </c>
      <c r="C1414" s="36" t="str">
        <f>_xlfn.CONCAT(Table4[[#This Row],[Ledger Name]],Table4[[#This Row],[Entity Name]])</f>
        <v>TAEXP2425033 ( Int PCFC)Expora</v>
      </c>
      <c r="D1414" s="36" t="s">
        <v>936</v>
      </c>
      <c r="E1414" s="49" t="s">
        <v>152</v>
      </c>
      <c r="F1414" s="49" t="s">
        <v>315</v>
      </c>
      <c r="G1414" s="101" t="s">
        <v>282</v>
      </c>
    </row>
    <row r="1415" spans="1:7" hidden="1">
      <c r="A1415" s="36" t="s">
        <v>1591</v>
      </c>
      <c r="B1415" s="36" t="s">
        <v>314</v>
      </c>
      <c r="C1415" s="36" t="str">
        <f>_xlfn.CONCAT(Table4[[#This Row],[Ledger Name]],Table4[[#This Row],[Entity Name]])</f>
        <v>TAEXP2425034 ( Int PCFC )Expora</v>
      </c>
      <c r="D1415" s="36" t="s">
        <v>936</v>
      </c>
      <c r="E1415" s="49" t="s">
        <v>152</v>
      </c>
      <c r="F1415" s="49" t="s">
        <v>315</v>
      </c>
      <c r="G1415" s="101" t="s">
        <v>282</v>
      </c>
    </row>
    <row r="1416" spans="1:7" hidden="1">
      <c r="A1416" s="36" t="s">
        <v>1592</v>
      </c>
      <c r="B1416" s="36" t="s">
        <v>314</v>
      </c>
      <c r="C1416" s="36" t="str">
        <f>_xlfn.CONCAT(Table4[[#This Row],[Ledger Name]],Table4[[#This Row],[Entity Name]])</f>
        <v>TAEXP2425038 ( Int PCFC)Expora</v>
      </c>
      <c r="D1416" s="36" t="s">
        <v>936</v>
      </c>
      <c r="E1416" s="49" t="s">
        <v>152</v>
      </c>
      <c r="F1416" s="49" t="s">
        <v>315</v>
      </c>
      <c r="G1416" s="101" t="s">
        <v>282</v>
      </c>
    </row>
    <row r="1417" spans="1:7" hidden="1">
      <c r="A1417" s="36" t="s">
        <v>1593</v>
      </c>
      <c r="B1417" s="36" t="s">
        <v>314</v>
      </c>
      <c r="C1417" s="36" t="str">
        <f>_xlfn.CONCAT(Table4[[#This Row],[Ledger Name]],Table4[[#This Row],[Entity Name]])</f>
        <v>TAEXP2425039 ( Int PCFC )Expora</v>
      </c>
      <c r="D1417" s="36" t="s">
        <v>936</v>
      </c>
      <c r="E1417" s="49" t="s">
        <v>152</v>
      </c>
      <c r="F1417" s="49" t="s">
        <v>315</v>
      </c>
      <c r="G1417" s="101" t="s">
        <v>282</v>
      </c>
    </row>
    <row r="1418" spans="1:7" hidden="1">
      <c r="A1418" s="36" t="s">
        <v>1594</v>
      </c>
      <c r="B1418" s="36" t="s">
        <v>314</v>
      </c>
      <c r="C1418" s="36" t="str">
        <f>_xlfn.CONCAT(Table4[[#This Row],[Ledger Name]],Table4[[#This Row],[Entity Name]])</f>
        <v>TAEXP2425052Expora</v>
      </c>
      <c r="D1418" s="36" t="s">
        <v>936</v>
      </c>
      <c r="E1418" s="49" t="s">
        <v>152</v>
      </c>
      <c r="F1418" s="49" t="s">
        <v>93</v>
      </c>
      <c r="G1418" s="101" t="s">
        <v>138</v>
      </c>
    </row>
    <row r="1419" spans="1:7" hidden="1">
      <c r="A1419" s="36" t="s">
        <v>1595</v>
      </c>
      <c r="B1419" s="36" t="s">
        <v>314</v>
      </c>
      <c r="C1419" s="36" t="str">
        <f>_xlfn.CONCAT(Table4[[#This Row],[Ledger Name]],Table4[[#This Row],[Entity Name]])</f>
        <v>TAEXP2425055Expora</v>
      </c>
      <c r="D1419" s="36" t="s">
        <v>936</v>
      </c>
      <c r="E1419" s="49" t="s">
        <v>152</v>
      </c>
      <c r="F1419" s="49" t="s">
        <v>93</v>
      </c>
      <c r="G1419" s="101" t="s">
        <v>138</v>
      </c>
    </row>
    <row r="1420" spans="1:7" hidden="1">
      <c r="A1420" s="36" t="s">
        <v>1596</v>
      </c>
      <c r="B1420" s="36" t="s">
        <v>314</v>
      </c>
      <c r="C1420" s="36" t="str">
        <f>_xlfn.CONCAT(Table4[[#This Row],[Ledger Name]],Table4[[#This Row],[Entity Name]])</f>
        <v>TAEXP2425060Expora</v>
      </c>
      <c r="D1420" s="36" t="s">
        <v>936</v>
      </c>
      <c r="E1420" s="49" t="s">
        <v>152</v>
      </c>
      <c r="F1420" s="49" t="s">
        <v>93</v>
      </c>
      <c r="G1420" s="101" t="s">
        <v>138</v>
      </c>
    </row>
    <row r="1421" spans="1:7" hidden="1">
      <c r="A1421" s="36" t="s">
        <v>1498</v>
      </c>
      <c r="B1421" s="36" t="s">
        <v>314</v>
      </c>
      <c r="C1421" s="36" t="str">
        <f>_xlfn.CONCAT(Table4[[#This Row],[Ledger Name]],Table4[[#This Row],[Entity Name]])</f>
        <v>TALOC2425154Expora</v>
      </c>
      <c r="D1421" s="36" t="s">
        <v>936</v>
      </c>
      <c r="E1421" s="49" t="s">
        <v>152</v>
      </c>
      <c r="F1421" s="49" t="s">
        <v>93</v>
      </c>
      <c r="G1421" s="101" t="s">
        <v>138</v>
      </c>
    </row>
    <row r="1422" spans="1:7" hidden="1">
      <c r="A1422" s="36" t="s">
        <v>1597</v>
      </c>
      <c r="B1422" s="36" t="s">
        <v>314</v>
      </c>
      <c r="C1422" s="36" t="str">
        <f>_xlfn.CONCAT(Table4[[#This Row],[Ledger Name]],Table4[[#This Row],[Entity Name]])</f>
        <v>TALOC2425158Expora</v>
      </c>
      <c r="D1422" s="36" t="s">
        <v>936</v>
      </c>
      <c r="E1422" s="49" t="s">
        <v>152</v>
      </c>
      <c r="F1422" s="49" t="s">
        <v>93</v>
      </c>
      <c r="G1422" s="101" t="s">
        <v>138</v>
      </c>
    </row>
    <row r="1423" spans="1:7" hidden="1">
      <c r="A1423" s="187" t="s">
        <v>1632</v>
      </c>
      <c r="B1423" s="36" t="s">
        <v>826</v>
      </c>
      <c r="C1423" s="36" t="str">
        <f>_xlfn.CONCAT(Table4[[#This Row],[Ledger Name]],Table4[[#This Row],[Entity Name]])</f>
        <v>Deepak MotwaniArha General Trading Co (AGT)</v>
      </c>
      <c r="D1423" s="36" t="s">
        <v>936</v>
      </c>
      <c r="E1423" s="49" t="s">
        <v>746</v>
      </c>
      <c r="F1423" s="49" t="s">
        <v>195</v>
      </c>
      <c r="G1423" s="24" t="s">
        <v>1624</v>
      </c>
    </row>
    <row r="1424" spans="1:7" hidden="1">
      <c r="A1424" s="188" t="s">
        <v>1633</v>
      </c>
      <c r="B1424" s="36" t="s">
        <v>826</v>
      </c>
      <c r="C1424" s="36" t="str">
        <f>_xlfn.CONCAT(Table4[[#This Row],[Ledger Name]],Table4[[#This Row],[Entity Name]])</f>
        <v>Provision on RCN CommissionArha General Trading Co (AGT)</v>
      </c>
      <c r="D1424" s="36" t="s">
        <v>936</v>
      </c>
      <c r="E1424" s="49" t="s">
        <v>746</v>
      </c>
      <c r="F1424" s="49" t="s">
        <v>195</v>
      </c>
      <c r="G1424" s="24" t="s">
        <v>1624</v>
      </c>
    </row>
    <row r="1425" spans="1:7" hidden="1">
      <c r="A1425" s="188" t="s">
        <v>1634</v>
      </c>
      <c r="B1425" s="36" t="s">
        <v>826</v>
      </c>
      <c r="C1425" s="36" t="str">
        <f>_xlfn.CONCAT(Table4[[#This Row],[Ledger Name]],Table4[[#This Row],[Entity Name]])</f>
        <v>AGT/RCN/24-25/038Arha General Trading Co (AGT)</v>
      </c>
      <c r="D1425" s="36" t="s">
        <v>936</v>
      </c>
      <c r="E1425" s="49" t="s">
        <v>152</v>
      </c>
      <c r="F1425" s="49" t="s">
        <v>93</v>
      </c>
      <c r="G1425" s="101" t="s">
        <v>138</v>
      </c>
    </row>
    <row r="1426" spans="1:7" hidden="1">
      <c r="A1426" s="188" t="s">
        <v>1635</v>
      </c>
      <c r="B1426" s="36" t="s">
        <v>826</v>
      </c>
      <c r="C1426" s="36" t="str">
        <f>_xlfn.CONCAT(Table4[[#This Row],[Ledger Name]],Table4[[#This Row],[Entity Name]])</f>
        <v>AGT/RCN/24-25/039Arha General Trading Co (AGT)</v>
      </c>
      <c r="D1426" s="36" t="s">
        <v>936</v>
      </c>
      <c r="E1426" s="49" t="s">
        <v>152</v>
      </c>
      <c r="F1426" s="49" t="s">
        <v>93</v>
      </c>
      <c r="G1426" s="101" t="s">
        <v>138</v>
      </c>
    </row>
    <row r="1427" spans="1:7" hidden="1">
      <c r="A1427" s="188" t="s">
        <v>1636</v>
      </c>
      <c r="B1427" s="36" t="s">
        <v>826</v>
      </c>
      <c r="C1427" s="36" t="str">
        <f>_xlfn.CONCAT(Table4[[#This Row],[Ledger Name]],Table4[[#This Row],[Entity Name]])</f>
        <v>AGT/RCN/24-25/040Arha General Trading Co (AGT)</v>
      </c>
      <c r="D1427" s="36" t="s">
        <v>936</v>
      </c>
      <c r="E1427" s="49" t="s">
        <v>152</v>
      </c>
      <c r="F1427" s="49" t="s">
        <v>93</v>
      </c>
      <c r="G1427" s="101" t="s">
        <v>138</v>
      </c>
    </row>
    <row r="1428" spans="1:7" hidden="1">
      <c r="A1428" s="188" t="s">
        <v>1637</v>
      </c>
      <c r="B1428" s="36" t="s">
        <v>826</v>
      </c>
      <c r="C1428" s="36" t="str">
        <f>_xlfn.CONCAT(Table4[[#This Row],[Ledger Name]],Table4[[#This Row],[Entity Name]])</f>
        <v>ARGT/LOC/2024/356Arha General Trading Co (AGT)</v>
      </c>
      <c r="D1428" s="36" t="s">
        <v>936</v>
      </c>
      <c r="E1428" s="49" t="s">
        <v>152</v>
      </c>
      <c r="F1428" s="49" t="s">
        <v>93</v>
      </c>
      <c r="G1428" s="101" t="s">
        <v>138</v>
      </c>
    </row>
    <row r="1429" spans="1:7" hidden="1">
      <c r="A1429" s="188" t="s">
        <v>1638</v>
      </c>
      <c r="B1429" s="36" t="s">
        <v>826</v>
      </c>
      <c r="C1429" s="36" t="str">
        <f>_xlfn.CONCAT(Table4[[#This Row],[Ledger Name]],Table4[[#This Row],[Entity Name]])</f>
        <v>ARGT/LOC/2024/368Arha General Trading Co (AGT)</v>
      </c>
      <c r="D1429" s="36" t="s">
        <v>936</v>
      </c>
      <c r="E1429" s="49" t="s">
        <v>152</v>
      </c>
      <c r="F1429" s="49" t="s">
        <v>93</v>
      </c>
      <c r="G1429" s="101" t="s">
        <v>138</v>
      </c>
    </row>
    <row r="1430" spans="1:7" hidden="1">
      <c r="A1430" s="187" t="s">
        <v>453</v>
      </c>
      <c r="B1430" s="36" t="s">
        <v>826</v>
      </c>
      <c r="C1430" s="36" t="str">
        <f>_xlfn.CONCAT(Table4[[#This Row],[Ledger Name]],Table4[[#This Row],[Entity Name]])</f>
        <v>Clearing GLArha General Trading Co (AGT)</v>
      </c>
      <c r="D1430" s="36" t="s">
        <v>936</v>
      </c>
      <c r="E1430" s="49" t="s">
        <v>746</v>
      </c>
      <c r="F1430" s="49" t="s">
        <v>195</v>
      </c>
      <c r="G1430" s="24" t="s">
        <v>1624</v>
      </c>
    </row>
    <row r="1431" spans="1:7" hidden="1">
      <c r="A1431" s="189" t="s">
        <v>1639</v>
      </c>
      <c r="B1431" s="36" t="s">
        <v>314</v>
      </c>
      <c r="C1431" s="36" t="str">
        <f>_xlfn.CONCAT(Table4[[#This Row],[Ledger Name]],Table4[[#This Row],[Entity Name]])</f>
        <v>Ineligible GST ToorExpora</v>
      </c>
      <c r="D1431" s="36" t="s">
        <v>936</v>
      </c>
      <c r="E1431" s="49" t="s">
        <v>152</v>
      </c>
      <c r="F1431" s="49" t="s">
        <v>93</v>
      </c>
      <c r="G1431" s="101" t="s">
        <v>138</v>
      </c>
    </row>
    <row r="1432" spans="1:7" hidden="1">
      <c r="A1432" s="189" t="s">
        <v>1641</v>
      </c>
      <c r="B1432" s="36"/>
      <c r="C1432" s="36" t="str">
        <f>_xlfn.CONCAT(Table4[[#This Row],[Ledger Name]],Table4[[#This Row],[Entity Name]])</f>
        <v>Foreign Exchange Gain/(Loss) toor</v>
      </c>
      <c r="D1432" s="36" t="s">
        <v>936</v>
      </c>
      <c r="E1432" s="49" t="s">
        <v>152</v>
      </c>
      <c r="F1432" s="49" t="s">
        <v>93</v>
      </c>
      <c r="G1432" s="101" t="s">
        <v>138</v>
      </c>
    </row>
    <row r="1433" spans="1:7" hidden="1">
      <c r="A1433" s="176" t="s">
        <v>1641</v>
      </c>
      <c r="B1433" s="36" t="s">
        <v>314</v>
      </c>
      <c r="C1433" s="36" t="str">
        <f>_xlfn.CONCAT(Table4[[#This Row],[Ledger Name]],Table4[[#This Row],[Entity Name]])</f>
        <v>Foreign Exchange Gain/(Loss) toorExpora</v>
      </c>
      <c r="D1433" s="36" t="s">
        <v>936</v>
      </c>
      <c r="E1433" s="49" t="s">
        <v>152</v>
      </c>
      <c r="F1433" s="49" t="s">
        <v>93</v>
      </c>
      <c r="G1433" s="101" t="s">
        <v>138</v>
      </c>
    </row>
    <row r="1434" spans="1:7" hidden="1">
      <c r="A1434" s="189" t="s">
        <v>1646</v>
      </c>
      <c r="B1434" s="36" t="s">
        <v>314</v>
      </c>
      <c r="C1434" s="36" t="str">
        <f>_xlfn.CONCAT(Table4[[#This Row],[Ledger Name]],Table4[[#This Row],[Entity Name]])</f>
        <v>ECL CGSTExpora</v>
      </c>
      <c r="D1434" s="36" t="s">
        <v>936</v>
      </c>
      <c r="E1434" s="49" t="s">
        <v>746</v>
      </c>
      <c r="F1434" s="49" t="s">
        <v>52</v>
      </c>
      <c r="G1434" s="24" t="s">
        <v>1604</v>
      </c>
    </row>
    <row r="1435" spans="1:7" hidden="1">
      <c r="A1435" s="189" t="s">
        <v>1647</v>
      </c>
      <c r="B1435" s="36" t="s">
        <v>314</v>
      </c>
      <c r="C1435" s="36" t="str">
        <f>_xlfn.CONCAT(Table4[[#This Row],[Ledger Name]],Table4[[#This Row],[Entity Name]])</f>
        <v>ECL IGSTExpora</v>
      </c>
      <c r="D1435" s="36" t="s">
        <v>936</v>
      </c>
      <c r="E1435" s="49" t="s">
        <v>746</v>
      </c>
      <c r="F1435" s="49" t="s">
        <v>52</v>
      </c>
      <c r="G1435" s="24" t="s">
        <v>1604</v>
      </c>
    </row>
    <row r="1436" spans="1:7" hidden="1">
      <c r="A1436" s="189" t="s">
        <v>1648</v>
      </c>
      <c r="B1436" s="36" t="s">
        <v>314</v>
      </c>
      <c r="C1436" s="36" t="str">
        <f>_xlfn.CONCAT(Table4[[#This Row],[Ledger Name]],Table4[[#This Row],[Entity Name]])</f>
        <v>ECL SGSTExpora</v>
      </c>
      <c r="D1436" s="36" t="s">
        <v>936</v>
      </c>
      <c r="E1436" s="49" t="s">
        <v>746</v>
      </c>
      <c r="F1436" s="49" t="s">
        <v>52</v>
      </c>
      <c r="G1436" s="24" t="s">
        <v>1604</v>
      </c>
    </row>
    <row r="1437" spans="1:7" hidden="1">
      <c r="A1437" s="189" t="s">
        <v>178</v>
      </c>
      <c r="B1437" s="36" t="s">
        <v>314</v>
      </c>
      <c r="C1437" s="36" t="str">
        <f>_xlfn.CONCAT(Table4[[#This Row],[Ledger Name]],Table4[[#This Row],[Entity Name]])</f>
        <v>Advance SalaryExpora</v>
      </c>
      <c r="D1437" s="36" t="s">
        <v>936</v>
      </c>
      <c r="E1437" s="49" t="s">
        <v>746</v>
      </c>
      <c r="F1437" s="49" t="s">
        <v>52</v>
      </c>
      <c r="G1437" s="24" t="s">
        <v>1608</v>
      </c>
    </row>
    <row r="1438" spans="1:7" hidden="1">
      <c r="A1438" s="189" t="s">
        <v>1649</v>
      </c>
      <c r="B1438" s="36" t="s">
        <v>314</v>
      </c>
      <c r="C1438" s="36" t="str">
        <f>_xlfn.CONCAT(Table4[[#This Row],[Ledger Name]],Table4[[#This Row],[Entity Name]])</f>
        <v>FD - Shriram Finance Ltd.Expora</v>
      </c>
      <c r="D1438" s="36" t="s">
        <v>936</v>
      </c>
      <c r="E1438" s="49" t="s">
        <v>746</v>
      </c>
      <c r="F1438" s="49" t="s">
        <v>42</v>
      </c>
      <c r="G1438" s="101" t="s">
        <v>42</v>
      </c>
    </row>
    <row r="1439" spans="1:7" hidden="1">
      <c r="A1439" s="189" t="s">
        <v>1650</v>
      </c>
      <c r="B1439" s="36" t="s">
        <v>314</v>
      </c>
      <c r="C1439" s="36" t="str">
        <f>_xlfn.CONCAT(Table4[[#This Row],[Ledger Name]],Table4[[#This Row],[Entity Name]])</f>
        <v>FD against AMC LicenseExpora</v>
      </c>
      <c r="D1439" s="36" t="s">
        <v>936</v>
      </c>
      <c r="E1439" s="49" t="s">
        <v>746</v>
      </c>
      <c r="F1439" s="49" t="s">
        <v>42</v>
      </c>
      <c r="G1439" s="101" t="s">
        <v>42</v>
      </c>
    </row>
    <row r="1440" spans="1:7" hidden="1">
      <c r="A1440" s="189" t="s">
        <v>1651</v>
      </c>
      <c r="B1440" s="36" t="s">
        <v>314</v>
      </c>
      <c r="C1440" s="36" t="str">
        <f>_xlfn.CONCAT(Table4[[#This Row],[Ledger Name]],Table4[[#This Row],[Entity Name]])</f>
        <v>Aashima Kapoor - Flexi ReimbursementExpora</v>
      </c>
      <c r="D1440" s="36" t="s">
        <v>936</v>
      </c>
      <c r="E1440" s="49" t="s">
        <v>746</v>
      </c>
      <c r="F1440" s="49" t="s">
        <v>195</v>
      </c>
      <c r="G1440" s="6" t="s">
        <v>1626</v>
      </c>
    </row>
    <row r="1441" spans="1:7" hidden="1">
      <c r="A1441" s="189" t="s">
        <v>1652</v>
      </c>
      <c r="B1441" s="36" t="s">
        <v>314</v>
      </c>
      <c r="C1441" s="36" t="str">
        <f>_xlfn.CONCAT(Table4[[#This Row],[Ledger Name]],Table4[[#This Row],[Entity Name]])</f>
        <v>Niket Karia - Flexi ReimbursementExpora</v>
      </c>
      <c r="D1441" s="36" t="s">
        <v>936</v>
      </c>
      <c r="E1441" s="49" t="s">
        <v>746</v>
      </c>
      <c r="F1441" s="49" t="s">
        <v>195</v>
      </c>
      <c r="G1441" s="6" t="s">
        <v>1626</v>
      </c>
    </row>
    <row r="1442" spans="1:7" hidden="1">
      <c r="A1442" s="189" t="s">
        <v>1653</v>
      </c>
      <c r="B1442" s="36" t="s">
        <v>314</v>
      </c>
      <c r="C1442" s="36" t="str">
        <f>_xlfn.CONCAT(Table4[[#This Row],[Ledger Name]],Table4[[#This Row],[Entity Name]])</f>
        <v>Interest on Unsecured Loan Payable - Shriram FinanceExpora</v>
      </c>
      <c r="D1442" s="36" t="s">
        <v>936</v>
      </c>
      <c r="E1442" s="49" t="s">
        <v>746</v>
      </c>
      <c r="F1442" s="49" t="s">
        <v>48</v>
      </c>
      <c r="G1442" s="101" t="s">
        <v>48</v>
      </c>
    </row>
    <row r="1443" spans="1:7" hidden="1">
      <c r="A1443" s="189" t="s">
        <v>1654</v>
      </c>
      <c r="B1443" s="36" t="s">
        <v>314</v>
      </c>
      <c r="C1443" s="36" t="str">
        <f>_xlfn.CONCAT(Table4[[#This Row],[Ledger Name]],Table4[[#This Row],[Entity Name]])</f>
        <v>F02PCFC251155002Expora</v>
      </c>
      <c r="D1443" s="36" t="s">
        <v>936</v>
      </c>
      <c r="E1443" s="49" t="s">
        <v>746</v>
      </c>
      <c r="F1443" s="49" t="s">
        <v>345</v>
      </c>
      <c r="G1443" s="101" t="s">
        <v>278</v>
      </c>
    </row>
    <row r="1444" spans="1:7" hidden="1">
      <c r="A1444" s="189" t="s">
        <v>1655</v>
      </c>
      <c r="B1444" s="36" t="s">
        <v>314</v>
      </c>
      <c r="C1444" s="36" t="str">
        <f>_xlfn.CONCAT(Table4[[#This Row],[Ledger Name]],Table4[[#This Row],[Entity Name]])</f>
        <v>PC:D13657436Expora</v>
      </c>
      <c r="D1444" s="36" t="s">
        <v>936</v>
      </c>
      <c r="E1444" s="49" t="s">
        <v>746</v>
      </c>
      <c r="F1444" s="49" t="s">
        <v>345</v>
      </c>
      <c r="G1444" s="101" t="s">
        <v>278</v>
      </c>
    </row>
    <row r="1445" spans="1:7" hidden="1">
      <c r="A1445" s="189" t="s">
        <v>1656</v>
      </c>
      <c r="B1445" s="36" t="s">
        <v>314</v>
      </c>
      <c r="C1445" s="36" t="str">
        <f>_xlfn.CONCAT(Table4[[#This Row],[Ledger Name]],Table4[[#This Row],[Entity Name]])</f>
        <v>PC:D13697581Expora</v>
      </c>
      <c r="D1445" s="36" t="s">
        <v>936</v>
      </c>
      <c r="E1445" s="49" t="s">
        <v>746</v>
      </c>
      <c r="F1445" s="49" t="s">
        <v>345</v>
      </c>
      <c r="G1445" s="101" t="s">
        <v>278</v>
      </c>
    </row>
    <row r="1446" spans="1:7" hidden="1">
      <c r="A1446" s="189" t="s">
        <v>1657</v>
      </c>
      <c r="B1446" s="36" t="s">
        <v>314</v>
      </c>
      <c r="C1446" s="36" t="str">
        <f>_xlfn.CONCAT(Table4[[#This Row],[Ledger Name]],Table4[[#This Row],[Entity Name]])</f>
        <v>PC:D13804904Expora</v>
      </c>
      <c r="D1446" s="36" t="s">
        <v>936</v>
      </c>
      <c r="E1446" s="49" t="s">
        <v>746</v>
      </c>
      <c r="F1446" s="49" t="s">
        <v>345</v>
      </c>
      <c r="G1446" s="101" t="s">
        <v>278</v>
      </c>
    </row>
    <row r="1447" spans="1:7" hidden="1">
      <c r="A1447" s="189" t="s">
        <v>1658</v>
      </c>
      <c r="B1447" s="36" t="s">
        <v>314</v>
      </c>
      <c r="C1447" s="36" t="str">
        <f>_xlfn.CONCAT(Table4[[#This Row],[Ledger Name]],Table4[[#This Row],[Entity Name]])</f>
        <v>Jasper Build-Tech Solutions Pvt. Ltd.Expora</v>
      </c>
      <c r="D1447" s="36" t="s">
        <v>936</v>
      </c>
      <c r="E1447" s="49" t="s">
        <v>746</v>
      </c>
      <c r="F1447" s="49" t="s">
        <v>345</v>
      </c>
      <c r="G1447" s="6" t="s">
        <v>1619</v>
      </c>
    </row>
    <row r="1448" spans="1:7" hidden="1">
      <c r="A1448" s="189" t="s">
        <v>1659</v>
      </c>
      <c r="B1448" s="36" t="s">
        <v>314</v>
      </c>
      <c r="C1448" s="36" t="str">
        <f>_xlfn.CONCAT(Table4[[#This Row],[Ledger Name]],Table4[[#This Row],[Entity Name]])</f>
        <v>Shriram Finance -unsecure loanExpora</v>
      </c>
      <c r="D1448" s="36" t="s">
        <v>936</v>
      </c>
      <c r="E1448" s="49" t="s">
        <v>746</v>
      </c>
      <c r="F1448" s="49" t="s">
        <v>345</v>
      </c>
      <c r="G1448" s="6" t="s">
        <v>279</v>
      </c>
    </row>
    <row r="1449" spans="1:7" hidden="1">
      <c r="A1449" s="189" t="s">
        <v>1660</v>
      </c>
      <c r="B1449" s="36" t="s">
        <v>314</v>
      </c>
      <c r="C1449" s="36" t="str">
        <f>_xlfn.CONCAT(Table4[[#This Row],[Ledger Name]],Table4[[#This Row],[Entity Name]])</f>
        <v>TAEXP25262 DDBExpora</v>
      </c>
      <c r="D1449" s="36" t="s">
        <v>936</v>
      </c>
      <c r="E1449" s="49" t="s">
        <v>152</v>
      </c>
      <c r="F1449" s="49" t="s">
        <v>189</v>
      </c>
      <c r="G1449" s="101" t="s">
        <v>163</v>
      </c>
    </row>
    <row r="1450" spans="1:7" hidden="1">
      <c r="A1450" s="189" t="s">
        <v>1661</v>
      </c>
      <c r="B1450" s="36" t="s">
        <v>314</v>
      </c>
      <c r="C1450" s="36" t="str">
        <f>_xlfn.CONCAT(Table4[[#This Row],[Ledger Name]],Table4[[#This Row],[Entity Name]])</f>
        <v>TAEXP25263 DDBExpora</v>
      </c>
      <c r="D1450" s="36" t="s">
        <v>936</v>
      </c>
      <c r="E1450" s="49" t="s">
        <v>152</v>
      </c>
      <c r="F1450" s="49" t="s">
        <v>189</v>
      </c>
      <c r="G1450" s="101" t="s">
        <v>163</v>
      </c>
    </row>
    <row r="1451" spans="1:7" hidden="1">
      <c r="A1451" s="189" t="s">
        <v>1662</v>
      </c>
      <c r="B1451" s="36" t="s">
        <v>314</v>
      </c>
      <c r="C1451" s="36" t="str">
        <f>_xlfn.CONCAT(Table4[[#This Row],[Ledger Name]],Table4[[#This Row],[Entity Name]])</f>
        <v>TAEXP25261 RODTEPExpora</v>
      </c>
      <c r="D1451" s="36" t="s">
        <v>936</v>
      </c>
      <c r="E1451" s="49" t="s">
        <v>152</v>
      </c>
      <c r="F1451" s="49" t="s">
        <v>189</v>
      </c>
      <c r="G1451" s="101" t="s">
        <v>313</v>
      </c>
    </row>
    <row r="1452" spans="1:7" hidden="1">
      <c r="A1452" s="189" t="s">
        <v>1663</v>
      </c>
      <c r="B1452" s="36" t="s">
        <v>314</v>
      </c>
      <c r="C1452" s="36" t="str">
        <f>_xlfn.CONCAT(Table4[[#This Row],[Ledger Name]],Table4[[#This Row],[Entity Name]])</f>
        <v>TAEXP25262 RODTEPExpora</v>
      </c>
      <c r="D1452" s="36" t="s">
        <v>936</v>
      </c>
      <c r="E1452" s="49" t="s">
        <v>152</v>
      </c>
      <c r="F1452" s="49" t="s">
        <v>189</v>
      </c>
      <c r="G1452" s="101" t="s">
        <v>313</v>
      </c>
    </row>
    <row r="1453" spans="1:7" hidden="1">
      <c r="A1453" s="189" t="s">
        <v>1664</v>
      </c>
      <c r="B1453" s="36" t="s">
        <v>314</v>
      </c>
      <c r="C1453" s="36" t="str">
        <f>_xlfn.CONCAT(Table4[[#This Row],[Ledger Name]],Table4[[#This Row],[Entity Name]])</f>
        <v>TAEXP25263 RODTEPExpora</v>
      </c>
      <c r="D1453" s="36" t="s">
        <v>936</v>
      </c>
      <c r="E1453" s="49" t="s">
        <v>152</v>
      </c>
      <c r="F1453" s="49" t="s">
        <v>189</v>
      </c>
      <c r="G1453" s="101" t="s">
        <v>313</v>
      </c>
    </row>
    <row r="1454" spans="1:7" hidden="1">
      <c r="A1454" s="189" t="s">
        <v>1665</v>
      </c>
      <c r="B1454" s="36" t="s">
        <v>314</v>
      </c>
      <c r="C1454" s="36" t="str">
        <f>_xlfn.CONCAT(Table4[[#This Row],[Ledger Name]],Table4[[#This Row],[Entity Name]])</f>
        <v>BA 631Expora</v>
      </c>
      <c r="D1454" s="36" t="s">
        <v>936</v>
      </c>
      <c r="E1454" s="49" t="s">
        <v>152</v>
      </c>
      <c r="F1454" s="49" t="s">
        <v>93</v>
      </c>
      <c r="G1454" s="101" t="s">
        <v>138</v>
      </c>
    </row>
    <row r="1455" spans="1:7" hidden="1">
      <c r="A1455" s="189" t="s">
        <v>1666</v>
      </c>
      <c r="B1455" s="36" t="s">
        <v>314</v>
      </c>
      <c r="C1455" s="36" t="str">
        <f>_xlfn.CONCAT(Table4[[#This Row],[Ledger Name]],Table4[[#This Row],[Entity Name]])</f>
        <v>BA 634Expora</v>
      </c>
      <c r="D1455" s="36" t="s">
        <v>936</v>
      </c>
      <c r="E1455" s="49" t="s">
        <v>152</v>
      </c>
      <c r="F1455" s="49" t="s">
        <v>93</v>
      </c>
      <c r="G1455" s="101" t="s">
        <v>138</v>
      </c>
    </row>
    <row r="1456" spans="1:7" hidden="1">
      <c r="A1456" s="189" t="s">
        <v>1667</v>
      </c>
      <c r="B1456" s="36" t="s">
        <v>314</v>
      </c>
      <c r="C1456" s="36" t="str">
        <f>_xlfn.CONCAT(Table4[[#This Row],[Ledger Name]],Table4[[#This Row],[Entity Name]])</f>
        <v>BA-150Expora</v>
      </c>
      <c r="D1456" s="36" t="s">
        <v>936</v>
      </c>
      <c r="E1456" s="49" t="s">
        <v>152</v>
      </c>
      <c r="F1456" s="49" t="s">
        <v>93</v>
      </c>
      <c r="G1456" s="101" t="s">
        <v>138</v>
      </c>
    </row>
    <row r="1457" spans="1:7" hidden="1">
      <c r="A1457" s="189" t="s">
        <v>1668</v>
      </c>
      <c r="B1457" s="36" t="s">
        <v>314</v>
      </c>
      <c r="C1457" s="36" t="str">
        <f>_xlfn.CONCAT(Table4[[#This Row],[Ledger Name]],Table4[[#This Row],[Entity Name]])</f>
        <v>BA-177 &amp; 186Expora</v>
      </c>
      <c r="D1457" s="36" t="s">
        <v>936</v>
      </c>
      <c r="E1457" s="49" t="s">
        <v>152</v>
      </c>
      <c r="F1457" s="49" t="s">
        <v>93</v>
      </c>
      <c r="G1457" s="101" t="s">
        <v>138</v>
      </c>
    </row>
    <row r="1458" spans="1:7" hidden="1">
      <c r="A1458" s="189" t="s">
        <v>1669</v>
      </c>
      <c r="B1458" s="36" t="s">
        <v>314</v>
      </c>
      <c r="C1458" s="36" t="str">
        <f>_xlfn.CONCAT(Table4[[#This Row],[Ledger Name]],Table4[[#This Row],[Entity Name]])</f>
        <v>BA-186Expora</v>
      </c>
      <c r="D1458" s="36" t="s">
        <v>936</v>
      </c>
      <c r="E1458" s="49" t="s">
        <v>152</v>
      </c>
      <c r="F1458" s="49" t="s">
        <v>93</v>
      </c>
      <c r="G1458" s="101" t="s">
        <v>138</v>
      </c>
    </row>
    <row r="1459" spans="1:7" hidden="1">
      <c r="A1459" s="189" t="s">
        <v>1670</v>
      </c>
      <c r="B1459" s="36" t="s">
        <v>314</v>
      </c>
      <c r="C1459" s="36" t="str">
        <f>_xlfn.CONCAT(Table4[[#This Row],[Ledger Name]],Table4[[#This Row],[Entity Name]])</f>
        <v>BA-569Expora</v>
      </c>
      <c r="D1459" s="36" t="s">
        <v>936</v>
      </c>
      <c r="E1459" s="49" t="s">
        <v>152</v>
      </c>
      <c r="F1459" s="49" t="s">
        <v>93</v>
      </c>
      <c r="G1459" s="101" t="s">
        <v>138</v>
      </c>
    </row>
    <row r="1460" spans="1:7" hidden="1">
      <c r="A1460" s="189" t="s">
        <v>1671</v>
      </c>
      <c r="B1460" s="36" t="s">
        <v>314</v>
      </c>
      <c r="C1460" s="36" t="str">
        <f>_xlfn.CONCAT(Table4[[#This Row],[Ledger Name]],Table4[[#This Row],[Entity Name]])</f>
        <v>BA-606Expora</v>
      </c>
      <c r="D1460" s="36" t="s">
        <v>936</v>
      </c>
      <c r="E1460" s="49" t="s">
        <v>152</v>
      </c>
      <c r="F1460" s="49" t="s">
        <v>93</v>
      </c>
      <c r="G1460" s="101" t="s">
        <v>138</v>
      </c>
    </row>
    <row r="1461" spans="1:7" hidden="1">
      <c r="A1461" s="189" t="s">
        <v>1672</v>
      </c>
      <c r="B1461" s="36" t="s">
        <v>314</v>
      </c>
      <c r="C1461" s="36" t="str">
        <f>_xlfn.CONCAT(Table4[[#This Row],[Ledger Name]],Table4[[#This Row],[Entity Name]])</f>
        <v>BA-629Expora</v>
      </c>
      <c r="D1461" s="36" t="s">
        <v>936</v>
      </c>
      <c r="E1461" s="49" t="s">
        <v>152</v>
      </c>
      <c r="F1461" s="49" t="s">
        <v>93</v>
      </c>
      <c r="G1461" s="101" t="s">
        <v>138</v>
      </c>
    </row>
    <row r="1462" spans="1:7" hidden="1">
      <c r="A1462" s="189" t="s">
        <v>1673</v>
      </c>
      <c r="B1462" s="36" t="s">
        <v>314</v>
      </c>
      <c r="C1462" s="36" t="str">
        <f>_xlfn.CONCAT(Table4[[#This Row],[Ledger Name]],Table4[[#This Row],[Entity Name]])</f>
        <v>BA-643Expora</v>
      </c>
      <c r="D1462" s="36" t="s">
        <v>936</v>
      </c>
      <c r="E1462" s="49" t="s">
        <v>152</v>
      </c>
      <c r="F1462" s="49" t="s">
        <v>93</v>
      </c>
      <c r="G1462" s="101" t="s">
        <v>138</v>
      </c>
    </row>
    <row r="1463" spans="1:7" hidden="1">
      <c r="A1463" s="189" t="s">
        <v>1674</v>
      </c>
      <c r="B1463" s="36" t="s">
        <v>314</v>
      </c>
      <c r="C1463" s="36" t="str">
        <f>_xlfn.CONCAT(Table4[[#This Row],[Ledger Name]],Table4[[#This Row],[Entity Name]])</f>
        <v>SE/2081/2370Expora</v>
      </c>
      <c r="D1463" s="36" t="s">
        <v>936</v>
      </c>
      <c r="E1463" s="49" t="s">
        <v>152</v>
      </c>
      <c r="F1463" s="49" t="s">
        <v>93</v>
      </c>
      <c r="G1463" s="101" t="s">
        <v>138</v>
      </c>
    </row>
    <row r="1464" spans="1:7" hidden="1">
      <c r="A1464" s="189" t="s">
        <v>1675</v>
      </c>
      <c r="B1464" s="36" t="s">
        <v>314</v>
      </c>
      <c r="C1464" s="36" t="str">
        <f>_xlfn.CONCAT(Table4[[#This Row],[Ledger Name]],Table4[[#This Row],[Entity Name]])</f>
        <v>TAEXP-2425068Expora</v>
      </c>
      <c r="D1464" s="36" t="s">
        <v>936</v>
      </c>
      <c r="E1464" s="49" t="s">
        <v>152</v>
      </c>
      <c r="F1464" s="49" t="s">
        <v>93</v>
      </c>
      <c r="G1464" s="101" t="s">
        <v>138</v>
      </c>
    </row>
    <row r="1465" spans="1:7" hidden="1">
      <c r="A1465" s="189" t="s">
        <v>1676</v>
      </c>
      <c r="B1465" s="36" t="s">
        <v>314</v>
      </c>
      <c r="C1465" s="36" t="str">
        <f>_xlfn.CONCAT(Table4[[#This Row],[Ledger Name]],Table4[[#This Row],[Entity Name]])</f>
        <v>TAEXP2425063Expora</v>
      </c>
      <c r="D1465" s="36" t="s">
        <v>936</v>
      </c>
      <c r="E1465" s="49" t="s">
        <v>152</v>
      </c>
      <c r="F1465" s="49" t="s">
        <v>93</v>
      </c>
      <c r="G1465" s="101" t="s">
        <v>138</v>
      </c>
    </row>
    <row r="1466" spans="1:7" hidden="1">
      <c r="A1466" s="189" t="s">
        <v>1677</v>
      </c>
      <c r="B1466" s="36" t="s">
        <v>314</v>
      </c>
      <c r="C1466" s="36" t="str">
        <f>_xlfn.CONCAT(Table4[[#This Row],[Ledger Name]],Table4[[#This Row],[Entity Name]])</f>
        <v>TAEXP2425065Expora</v>
      </c>
      <c r="D1466" s="36" t="s">
        <v>936</v>
      </c>
      <c r="E1466" s="49" t="s">
        <v>152</v>
      </c>
      <c r="F1466" s="49" t="s">
        <v>93</v>
      </c>
      <c r="G1466" s="101" t="s">
        <v>138</v>
      </c>
    </row>
    <row r="1467" spans="1:7" hidden="1">
      <c r="A1467" s="189" t="s">
        <v>1678</v>
      </c>
      <c r="B1467" s="36" t="s">
        <v>314</v>
      </c>
      <c r="C1467" s="36" t="str">
        <f>_xlfn.CONCAT(Table4[[#This Row],[Ledger Name]],Table4[[#This Row],[Entity Name]])</f>
        <v>TAEXP2425066Expora</v>
      </c>
      <c r="D1467" s="36" t="s">
        <v>936</v>
      </c>
      <c r="E1467" s="49" t="s">
        <v>152</v>
      </c>
      <c r="F1467" s="49" t="s">
        <v>93</v>
      </c>
      <c r="G1467" s="101" t="s">
        <v>138</v>
      </c>
    </row>
    <row r="1468" spans="1:7" hidden="1">
      <c r="A1468" s="189" t="s">
        <v>1679</v>
      </c>
      <c r="B1468" s="36" t="s">
        <v>314</v>
      </c>
      <c r="C1468" s="36" t="str">
        <f>_xlfn.CONCAT(Table4[[#This Row],[Ledger Name]],Table4[[#This Row],[Entity Name]])</f>
        <v>TAEXP2425067Expora</v>
      </c>
      <c r="D1468" s="36" t="s">
        <v>936</v>
      </c>
      <c r="E1468" s="49" t="s">
        <v>152</v>
      </c>
      <c r="F1468" s="49" t="s">
        <v>93</v>
      </c>
      <c r="G1468" s="101" t="s">
        <v>138</v>
      </c>
    </row>
    <row r="1469" spans="1:7" hidden="1">
      <c r="A1469" s="189" t="s">
        <v>1680</v>
      </c>
      <c r="B1469" s="36" t="s">
        <v>314</v>
      </c>
      <c r="C1469" s="36" t="str">
        <f>_xlfn.CONCAT(Table4[[#This Row],[Ledger Name]],Table4[[#This Row],[Entity Name]])</f>
        <v>TAEXP2425070Expora</v>
      </c>
      <c r="D1469" s="36" t="s">
        <v>936</v>
      </c>
      <c r="E1469" s="49" t="s">
        <v>152</v>
      </c>
      <c r="F1469" s="49" t="s">
        <v>93</v>
      </c>
      <c r="G1469" s="101" t="s">
        <v>138</v>
      </c>
    </row>
    <row r="1470" spans="1:7" hidden="1">
      <c r="A1470" s="189" t="s">
        <v>1681</v>
      </c>
      <c r="B1470" s="36" t="s">
        <v>314</v>
      </c>
      <c r="C1470" s="36" t="str">
        <f>_xlfn.CONCAT(Table4[[#This Row],[Ledger Name]],Table4[[#This Row],[Entity Name]])</f>
        <v>TAEXP2425072Expora</v>
      </c>
      <c r="D1470" s="36" t="s">
        <v>936</v>
      </c>
      <c r="E1470" s="49" t="s">
        <v>152</v>
      </c>
      <c r="F1470" s="49" t="s">
        <v>93</v>
      </c>
      <c r="G1470" s="101" t="s">
        <v>138</v>
      </c>
    </row>
    <row r="1471" spans="1:7" hidden="1">
      <c r="A1471" s="189" t="s">
        <v>1682</v>
      </c>
      <c r="B1471" s="36" t="s">
        <v>314</v>
      </c>
      <c r="C1471" s="36" t="str">
        <f>_xlfn.CONCAT(Table4[[#This Row],[Ledger Name]],Table4[[#This Row],[Entity Name]])</f>
        <v>TAEXP2425075Expora</v>
      </c>
      <c r="D1471" s="36" t="s">
        <v>936</v>
      </c>
      <c r="E1471" s="49" t="s">
        <v>152</v>
      </c>
      <c r="F1471" s="49" t="s">
        <v>93</v>
      </c>
      <c r="G1471" s="101" t="s">
        <v>138</v>
      </c>
    </row>
    <row r="1472" spans="1:7" hidden="1">
      <c r="A1472" s="189" t="s">
        <v>1683</v>
      </c>
      <c r="B1472" s="36" t="s">
        <v>314</v>
      </c>
      <c r="C1472" s="36" t="str">
        <f>_xlfn.CONCAT(Table4[[#This Row],[Ledger Name]],Table4[[#This Row],[Entity Name]])</f>
        <v>TAEXP2425076Expora</v>
      </c>
      <c r="D1472" s="36" t="s">
        <v>936</v>
      </c>
      <c r="E1472" s="49" t="s">
        <v>152</v>
      </c>
      <c r="F1472" s="49" t="s">
        <v>93</v>
      </c>
      <c r="G1472" s="101" t="s">
        <v>138</v>
      </c>
    </row>
    <row r="1473" spans="1:7" hidden="1">
      <c r="A1473" s="189" t="s">
        <v>1684</v>
      </c>
      <c r="B1473" s="36" t="s">
        <v>314</v>
      </c>
      <c r="C1473" s="36" t="str">
        <f>_xlfn.CONCAT(Table4[[#This Row],[Ledger Name]],Table4[[#This Row],[Entity Name]])</f>
        <v>TAEXP2425077Expora</v>
      </c>
      <c r="D1473" s="36" t="s">
        <v>936</v>
      </c>
      <c r="E1473" s="49" t="s">
        <v>152</v>
      </c>
      <c r="F1473" s="49" t="s">
        <v>93</v>
      </c>
      <c r="G1473" s="101" t="s">
        <v>138</v>
      </c>
    </row>
    <row r="1474" spans="1:7" hidden="1">
      <c r="A1474" s="189" t="s">
        <v>1685</v>
      </c>
      <c r="B1474" s="36" t="s">
        <v>314</v>
      </c>
      <c r="C1474" s="36" t="str">
        <f>_xlfn.CONCAT(Table4[[#This Row],[Ledger Name]],Table4[[#This Row],[Entity Name]])</f>
        <v>TAEXP2425080Expora</v>
      </c>
      <c r="D1474" s="36" t="s">
        <v>936</v>
      </c>
      <c r="E1474" s="49" t="s">
        <v>152</v>
      </c>
      <c r="F1474" s="49" t="s">
        <v>93</v>
      </c>
      <c r="G1474" s="101" t="s">
        <v>1759</v>
      </c>
    </row>
    <row r="1475" spans="1:7" hidden="1">
      <c r="A1475" s="189" t="s">
        <v>1686</v>
      </c>
      <c r="B1475" s="36" t="s">
        <v>314</v>
      </c>
      <c r="C1475" s="36" t="str">
        <f>_xlfn.CONCAT(Table4[[#This Row],[Ledger Name]],Table4[[#This Row],[Entity Name]])</f>
        <v>TAEXP2425081Expora</v>
      </c>
      <c r="D1475" s="36" t="s">
        <v>936</v>
      </c>
      <c r="E1475" s="49" t="s">
        <v>152</v>
      </c>
      <c r="F1475" s="49" t="s">
        <v>93</v>
      </c>
      <c r="G1475" s="101" t="s">
        <v>1759</v>
      </c>
    </row>
    <row r="1476" spans="1:7" hidden="1">
      <c r="A1476" s="189" t="s">
        <v>1687</v>
      </c>
      <c r="B1476" s="36" t="s">
        <v>314</v>
      </c>
      <c r="C1476" s="36" t="str">
        <f>_xlfn.CONCAT(Table4[[#This Row],[Ledger Name]],Table4[[#This Row],[Entity Name]])</f>
        <v>TAEXP25261Expora</v>
      </c>
      <c r="D1476" s="36" t="s">
        <v>936</v>
      </c>
      <c r="E1476" s="49" t="s">
        <v>152</v>
      </c>
      <c r="F1476" s="49" t="s">
        <v>93</v>
      </c>
      <c r="G1476" s="101" t="s">
        <v>138</v>
      </c>
    </row>
    <row r="1477" spans="1:7" hidden="1">
      <c r="A1477" s="189" t="s">
        <v>1688</v>
      </c>
      <c r="B1477" s="36" t="s">
        <v>314</v>
      </c>
      <c r="C1477" s="36" t="str">
        <f>_xlfn.CONCAT(Table4[[#This Row],[Ledger Name]],Table4[[#This Row],[Entity Name]])</f>
        <v>TAEXP25262Expora</v>
      </c>
      <c r="D1477" s="36" t="s">
        <v>936</v>
      </c>
      <c r="E1477" s="49" t="s">
        <v>152</v>
      </c>
      <c r="F1477" s="49" t="s">
        <v>93</v>
      </c>
      <c r="G1477" s="101" t="s">
        <v>138</v>
      </c>
    </row>
    <row r="1478" spans="1:7" hidden="1">
      <c r="A1478" s="189" t="s">
        <v>1689</v>
      </c>
      <c r="B1478" s="36" t="s">
        <v>314</v>
      </c>
      <c r="C1478" s="36" t="str">
        <f>_xlfn.CONCAT(Table4[[#This Row],[Ledger Name]],Table4[[#This Row],[Entity Name]])</f>
        <v>TAEXP25263Expora</v>
      </c>
      <c r="D1478" s="36" t="s">
        <v>936</v>
      </c>
      <c r="E1478" s="49" t="s">
        <v>152</v>
      </c>
      <c r="F1478" s="49" t="s">
        <v>93</v>
      </c>
      <c r="G1478" s="101" t="s">
        <v>138</v>
      </c>
    </row>
    <row r="1479" spans="1:7" hidden="1">
      <c r="A1479" s="189" t="s">
        <v>1690</v>
      </c>
      <c r="B1479" s="36" t="s">
        <v>314</v>
      </c>
      <c r="C1479" s="36" t="str">
        <f>_xlfn.CONCAT(Table4[[#This Row],[Ledger Name]],Table4[[#This Row],[Entity Name]])</f>
        <v>TAEXP25264Expora</v>
      </c>
      <c r="D1479" s="36" t="s">
        <v>936</v>
      </c>
      <c r="E1479" s="49" t="s">
        <v>152</v>
      </c>
      <c r="F1479" s="49" t="s">
        <v>93</v>
      </c>
      <c r="G1479" s="101" t="s">
        <v>138</v>
      </c>
    </row>
    <row r="1480" spans="1:7" hidden="1">
      <c r="A1480" s="36" t="s">
        <v>1123</v>
      </c>
      <c r="B1480" s="36" t="s">
        <v>825</v>
      </c>
      <c r="C1480" s="36" t="str">
        <f>_xlfn.CONCAT(Table4[[#This Row],[Ledger Name]],Table4[[#This Row],[Entity Name]])</f>
        <v>97/24-25Aspirach Lanka</v>
      </c>
      <c r="D1480" s="36" t="s">
        <v>936</v>
      </c>
      <c r="E1480" s="49" t="s">
        <v>152</v>
      </c>
      <c r="F1480" s="49" t="s">
        <v>93</v>
      </c>
      <c r="G1480" s="101" t="s">
        <v>138</v>
      </c>
    </row>
    <row r="1481" spans="1:7" hidden="1">
      <c r="A1481" s="36" t="s">
        <v>1124</v>
      </c>
      <c r="B1481" s="36" t="s">
        <v>825</v>
      </c>
      <c r="C1481" s="36" t="str">
        <f>_xlfn.CONCAT(Table4[[#This Row],[Ledger Name]],Table4[[#This Row],[Entity Name]])</f>
        <v>99/24-25Aspirach Lanka</v>
      </c>
      <c r="D1481" s="36" t="s">
        <v>936</v>
      </c>
      <c r="E1481" s="49" t="s">
        <v>152</v>
      </c>
      <c r="F1481" s="49" t="s">
        <v>93</v>
      </c>
      <c r="G1481" s="101" t="s">
        <v>138</v>
      </c>
    </row>
    <row r="1482" spans="1:7" hidden="1">
      <c r="A1482" s="36" t="s">
        <v>1088</v>
      </c>
      <c r="B1482" s="36" t="s">
        <v>825</v>
      </c>
      <c r="C1482" s="36" t="str">
        <f>_xlfn.CONCAT(Table4[[#This Row],[Ledger Name]],Table4[[#This Row],[Entity Name]])</f>
        <v>Total for COGSAspirach Lanka</v>
      </c>
      <c r="D1482" s="36" t="s">
        <v>952</v>
      </c>
      <c r="E1482" s="49">
        <v>0</v>
      </c>
      <c r="F1482" s="49">
        <v>0</v>
      </c>
      <c r="G1482" s="101">
        <v>0</v>
      </c>
    </row>
    <row r="1483" spans="1:7" hidden="1">
      <c r="A1483" s="36" t="s">
        <v>50</v>
      </c>
      <c r="B1483" s="36" t="s">
        <v>825</v>
      </c>
      <c r="C1483" s="36" t="str">
        <f>_xlfn.CONCAT(Table4[[#This Row],[Ledger Name]],Table4[[#This Row],[Entity Name]])</f>
        <v>COGSAspirach Lanka</v>
      </c>
      <c r="D1483" s="36" t="s">
        <v>952</v>
      </c>
      <c r="E1483" s="49">
        <v>0</v>
      </c>
      <c r="F1483" s="49">
        <v>0</v>
      </c>
      <c r="G1483" s="101">
        <v>0</v>
      </c>
    </row>
    <row r="1484" spans="1:7" hidden="1">
      <c r="A1484" s="36" t="s">
        <v>1183</v>
      </c>
      <c r="B1484" s="36" t="s">
        <v>825</v>
      </c>
      <c r="C1484" s="36" t="str">
        <f>_xlfn.CONCAT(Table4[[#This Row],[Ledger Name]],Table4[[#This Row],[Entity Name]])</f>
        <v>Furniture and EquipmentAspirach Lanka</v>
      </c>
      <c r="D1484" s="36" t="s">
        <v>936</v>
      </c>
      <c r="E1484" s="49" t="s">
        <v>746</v>
      </c>
      <c r="F1484" s="49" t="s">
        <v>346</v>
      </c>
      <c r="G1484" s="49" t="s">
        <v>346</v>
      </c>
    </row>
    <row r="1485" spans="1:7" hidden="1">
      <c r="A1485" s="36" t="s">
        <v>1182</v>
      </c>
      <c r="B1485" s="36" t="s">
        <v>825</v>
      </c>
      <c r="C1485" s="36" t="str">
        <f>_xlfn.CONCAT(Table4[[#This Row],[Ledger Name]],Table4[[#This Row],[Entity Name]])</f>
        <v>Security deposit- Comm Bank Locker openingAspirach Lanka</v>
      </c>
      <c r="D1485" s="36" t="s">
        <v>936</v>
      </c>
      <c r="E1485" s="49" t="s">
        <v>746</v>
      </c>
      <c r="F1485" s="49" t="s">
        <v>52</v>
      </c>
      <c r="G1485" s="24" t="s">
        <v>1602</v>
      </c>
    </row>
    <row r="1486" spans="1:7" hidden="1">
      <c r="A1486" s="36" t="s">
        <v>1181</v>
      </c>
      <c r="B1486" s="36" t="s">
        <v>825</v>
      </c>
      <c r="C1486" s="36" t="str">
        <f>_xlfn.CONCAT(Table4[[#This Row],[Ledger Name]],Table4[[#This Row],[Entity Name]])</f>
        <v>Security Deposit- OfficeAspirach Lanka</v>
      </c>
      <c r="D1486" s="36" t="s">
        <v>936</v>
      </c>
      <c r="E1486" s="49" t="s">
        <v>746</v>
      </c>
      <c r="F1486" s="49" t="s">
        <v>52</v>
      </c>
      <c r="G1486" s="24" t="s">
        <v>1602</v>
      </c>
    </row>
    <row r="1487" spans="1:7" hidden="1">
      <c r="A1487" s="36" t="s">
        <v>1180</v>
      </c>
      <c r="B1487" s="36" t="s">
        <v>825</v>
      </c>
      <c r="C1487" s="36" t="str">
        <f>_xlfn.CONCAT(Table4[[#This Row],[Ledger Name]],Table4[[#This Row],[Entity Name]])</f>
        <v>Loan From Tradearch Market Platform Pvt LtdAspirach Lanka</v>
      </c>
      <c r="D1487" s="36" t="s">
        <v>936</v>
      </c>
      <c r="E1487" s="49" t="s">
        <v>746</v>
      </c>
      <c r="F1487" s="49" t="s">
        <v>23</v>
      </c>
      <c r="G1487" s="24" t="s">
        <v>1619</v>
      </c>
    </row>
    <row r="1488" spans="1:7" hidden="1">
      <c r="A1488" s="36" t="s">
        <v>1179</v>
      </c>
      <c r="B1488" s="36" t="s">
        <v>825</v>
      </c>
      <c r="C1488" s="36" t="str">
        <f>_xlfn.CONCAT(Table4[[#This Row],[Ledger Name]],Table4[[#This Row],[Entity Name]])</f>
        <v>Interest on Loan Payable to TMPPLAspirach Lanka</v>
      </c>
      <c r="D1488" s="36" t="s">
        <v>936</v>
      </c>
      <c r="E1488" s="49" t="s">
        <v>746</v>
      </c>
      <c r="F1488" s="49" t="s">
        <v>48</v>
      </c>
      <c r="G1488" s="24" t="s">
        <v>1619</v>
      </c>
    </row>
    <row r="1489" spans="1:7" hidden="1">
      <c r="A1489" s="36" t="s">
        <v>1178</v>
      </c>
      <c r="B1489" s="36" t="s">
        <v>825</v>
      </c>
      <c r="C1489" s="36" t="str">
        <f>_xlfn.CONCAT(Table4[[#This Row],[Ledger Name]],Table4[[#This Row],[Entity Name]])</f>
        <v>101/24-25Aspirach Lanka</v>
      </c>
      <c r="D1489" s="36" t="s">
        <v>936</v>
      </c>
      <c r="E1489" s="49" t="s">
        <v>152</v>
      </c>
      <c r="F1489" s="49" t="s">
        <v>93</v>
      </c>
      <c r="G1489" s="101" t="s">
        <v>184</v>
      </c>
    </row>
    <row r="1490" spans="1:7" hidden="1">
      <c r="A1490" s="36" t="s">
        <v>1177</v>
      </c>
      <c r="B1490" s="36" t="s">
        <v>825</v>
      </c>
      <c r="C1490" s="36" t="str">
        <f>_xlfn.CONCAT(Table4[[#This Row],[Ledger Name]],Table4[[#This Row],[Entity Name]])</f>
        <v>100/24-25Aspirach Lanka</v>
      </c>
      <c r="D1490" s="36" t="s">
        <v>936</v>
      </c>
      <c r="E1490" s="49" t="s">
        <v>152</v>
      </c>
      <c r="F1490" s="49" t="s">
        <v>93</v>
      </c>
      <c r="G1490" s="101" t="s">
        <v>184</v>
      </c>
    </row>
    <row r="1491" spans="1:7" hidden="1">
      <c r="A1491" s="36" t="s">
        <v>1176</v>
      </c>
      <c r="B1491" s="36" t="s">
        <v>825</v>
      </c>
      <c r="C1491" s="36" t="str">
        <f>_xlfn.CONCAT(Table4[[#This Row],[Ledger Name]],Table4[[#This Row],[Entity Name]])</f>
        <v>103/24-25Aspirach Lanka</v>
      </c>
      <c r="D1491" s="36" t="s">
        <v>936</v>
      </c>
      <c r="E1491" s="49" t="s">
        <v>152</v>
      </c>
      <c r="F1491" s="49" t="s">
        <v>93</v>
      </c>
      <c r="G1491" s="101" t="s">
        <v>184</v>
      </c>
    </row>
    <row r="1492" spans="1:7" hidden="1">
      <c r="A1492" s="36" t="s">
        <v>1175</v>
      </c>
      <c r="B1492" s="36" t="s">
        <v>825</v>
      </c>
      <c r="C1492" s="36" t="str">
        <f>_xlfn.CONCAT(Table4[[#This Row],[Ledger Name]],Table4[[#This Row],[Entity Name]])</f>
        <v>104/24-25Aspirach Lanka</v>
      </c>
      <c r="D1492" s="36" t="s">
        <v>936</v>
      </c>
      <c r="E1492" s="49" t="s">
        <v>152</v>
      </c>
      <c r="F1492" s="49" t="s">
        <v>93</v>
      </c>
      <c r="G1492" s="101" t="s">
        <v>184</v>
      </c>
    </row>
    <row r="1493" spans="1:7" hidden="1">
      <c r="A1493" s="36" t="s">
        <v>1174</v>
      </c>
      <c r="B1493" s="36" t="s">
        <v>825</v>
      </c>
      <c r="C1493" s="36" t="str">
        <f>_xlfn.CONCAT(Table4[[#This Row],[Ledger Name]],Table4[[#This Row],[Entity Name]])</f>
        <v>106/24-25Aspirach Lanka</v>
      </c>
      <c r="D1493" s="36" t="s">
        <v>936</v>
      </c>
      <c r="E1493" s="49" t="s">
        <v>152</v>
      </c>
      <c r="F1493" s="49" t="s">
        <v>93</v>
      </c>
      <c r="G1493" s="101" t="s">
        <v>184</v>
      </c>
    </row>
    <row r="1494" spans="1:7" hidden="1">
      <c r="A1494" s="36" t="s">
        <v>1173</v>
      </c>
      <c r="B1494" s="36" t="s">
        <v>825</v>
      </c>
      <c r="C1494" s="36" t="str">
        <f>_xlfn.CONCAT(Table4[[#This Row],[Ledger Name]],Table4[[#This Row],[Entity Name]])</f>
        <v>107/24-25Aspirach Lanka</v>
      </c>
      <c r="D1494" s="36" t="s">
        <v>936</v>
      </c>
      <c r="E1494" s="49" t="s">
        <v>152</v>
      </c>
      <c r="F1494" s="49" t="s">
        <v>93</v>
      </c>
      <c r="G1494" s="101" t="s">
        <v>184</v>
      </c>
    </row>
    <row r="1495" spans="1:7" hidden="1">
      <c r="A1495" s="36" t="s">
        <v>1172</v>
      </c>
      <c r="B1495" s="36" t="s">
        <v>825</v>
      </c>
      <c r="C1495" s="36" t="str">
        <f>_xlfn.CONCAT(Table4[[#This Row],[Ledger Name]],Table4[[#This Row],[Entity Name]])</f>
        <v>109/24-25Aspirach Lanka</v>
      </c>
      <c r="D1495" s="36" t="s">
        <v>936</v>
      </c>
      <c r="E1495" s="49" t="s">
        <v>152</v>
      </c>
      <c r="F1495" s="49" t="s">
        <v>93</v>
      </c>
      <c r="G1495" s="101" t="s">
        <v>184</v>
      </c>
    </row>
    <row r="1496" spans="1:7" hidden="1">
      <c r="A1496" s="36" t="s">
        <v>1171</v>
      </c>
      <c r="B1496" s="36" t="s">
        <v>825</v>
      </c>
      <c r="C1496" s="36" t="str">
        <f>_xlfn.CONCAT(Table4[[#This Row],[Ledger Name]],Table4[[#This Row],[Entity Name]])</f>
        <v>110/24-25Aspirach Lanka</v>
      </c>
      <c r="D1496" s="36" t="s">
        <v>936</v>
      </c>
      <c r="E1496" s="49" t="s">
        <v>152</v>
      </c>
      <c r="F1496" s="49" t="s">
        <v>93</v>
      </c>
      <c r="G1496" s="101" t="s">
        <v>184</v>
      </c>
    </row>
    <row r="1497" spans="1:7" hidden="1">
      <c r="A1497" s="36" t="s">
        <v>1170</v>
      </c>
      <c r="B1497" s="36" t="s">
        <v>825</v>
      </c>
      <c r="C1497" s="36" t="str">
        <f>_xlfn.CONCAT(Table4[[#This Row],[Ledger Name]],Table4[[#This Row],[Entity Name]])</f>
        <v>57/23-24Aspirach Lanka</v>
      </c>
      <c r="D1497" s="36" t="s">
        <v>936</v>
      </c>
      <c r="E1497" s="49" t="s">
        <v>152</v>
      </c>
      <c r="F1497" s="49" t="s">
        <v>93</v>
      </c>
      <c r="G1497" s="101" t="s">
        <v>184</v>
      </c>
    </row>
    <row r="1498" spans="1:7" hidden="1">
      <c r="A1498" s="36" t="s">
        <v>860</v>
      </c>
      <c r="B1498" s="36" t="s">
        <v>825</v>
      </c>
      <c r="C1498" s="36" t="str">
        <f>_xlfn.CONCAT(Table4[[#This Row],[Ledger Name]],Table4[[#This Row],[Entity Name]])</f>
        <v>Parking ExpenseAspirach Lanka</v>
      </c>
      <c r="D1498" s="36" t="s">
        <v>936</v>
      </c>
      <c r="E1498" s="49" t="s">
        <v>152</v>
      </c>
      <c r="F1498" s="49" t="s">
        <v>5</v>
      </c>
      <c r="G1498" s="101" t="s">
        <v>35</v>
      </c>
    </row>
    <row r="1499" spans="1:7" hidden="1">
      <c r="A1499" s="36" t="s">
        <v>1192</v>
      </c>
      <c r="B1499" s="36" t="s">
        <v>825</v>
      </c>
      <c r="C1499" s="36" t="str">
        <f>_xlfn.CONCAT(Table4[[#This Row],[Ledger Name]],Table4[[#This Row],[Entity Name]])</f>
        <v>105/24-25Aspirach Lanka</v>
      </c>
      <c r="D1499" s="36" t="s">
        <v>936</v>
      </c>
      <c r="E1499" s="49" t="s">
        <v>152</v>
      </c>
      <c r="F1499" s="49" t="s">
        <v>93</v>
      </c>
      <c r="G1499" s="101" t="s">
        <v>138</v>
      </c>
    </row>
    <row r="1500" spans="1:7" hidden="1">
      <c r="A1500" s="156" t="s">
        <v>1251</v>
      </c>
      <c r="B1500" s="36" t="s">
        <v>825</v>
      </c>
      <c r="C1500" s="36" t="str">
        <f>_xlfn.CONCAT(Table4[[#This Row],[Ledger Name]],Table4[[#This Row],[Entity Name]])</f>
        <v>111/2024-25Aspirach Lanka</v>
      </c>
      <c r="D1500" s="36" t="s">
        <v>936</v>
      </c>
      <c r="E1500" s="49" t="s">
        <v>152</v>
      </c>
      <c r="F1500" s="49" t="s">
        <v>93</v>
      </c>
      <c r="G1500" s="101" t="s">
        <v>138</v>
      </c>
    </row>
    <row r="1501" spans="1:7" hidden="1">
      <c r="A1501" s="156" t="s">
        <v>1252</v>
      </c>
      <c r="B1501" s="36" t="s">
        <v>825</v>
      </c>
      <c r="C1501" s="36" t="str">
        <f>_xlfn.CONCAT(Table4[[#This Row],[Ledger Name]],Table4[[#This Row],[Entity Name]])</f>
        <v>113/24-25Aspirach Lanka</v>
      </c>
      <c r="D1501" s="36" t="s">
        <v>936</v>
      </c>
      <c r="E1501" s="49" t="s">
        <v>152</v>
      </c>
      <c r="F1501" s="49" t="s">
        <v>93</v>
      </c>
      <c r="G1501" s="101" t="s">
        <v>138</v>
      </c>
    </row>
    <row r="1502" spans="1:7" hidden="1">
      <c r="A1502" s="156" t="s">
        <v>1253</v>
      </c>
      <c r="B1502" s="36" t="s">
        <v>825</v>
      </c>
      <c r="C1502" s="36" t="str">
        <f>_xlfn.CONCAT(Table4[[#This Row],[Ledger Name]],Table4[[#This Row],[Entity Name]])</f>
        <v>114/24-25Aspirach Lanka</v>
      </c>
      <c r="D1502" s="36" t="s">
        <v>936</v>
      </c>
      <c r="E1502" s="49" t="s">
        <v>152</v>
      </c>
      <c r="F1502" s="49" t="s">
        <v>93</v>
      </c>
      <c r="G1502" s="101" t="s">
        <v>138</v>
      </c>
    </row>
    <row r="1503" spans="1:7" hidden="1">
      <c r="A1503" s="156" t="s">
        <v>1254</v>
      </c>
      <c r="B1503" s="36" t="s">
        <v>825</v>
      </c>
      <c r="C1503" s="36" t="str">
        <f>_xlfn.CONCAT(Table4[[#This Row],[Ledger Name]],Table4[[#This Row],[Entity Name]])</f>
        <v>115/24025Aspirach Lanka</v>
      </c>
      <c r="D1503" s="36" t="s">
        <v>936</v>
      </c>
      <c r="E1503" s="49" t="s">
        <v>152</v>
      </c>
      <c r="F1503" s="49" t="s">
        <v>93</v>
      </c>
      <c r="G1503" s="101" t="s">
        <v>138</v>
      </c>
    </row>
    <row r="1504" spans="1:7" hidden="1">
      <c r="A1504" s="156" t="s">
        <v>1255</v>
      </c>
      <c r="B1504" s="36" t="s">
        <v>825</v>
      </c>
      <c r="C1504" s="36" t="str">
        <f>_xlfn.CONCAT(Table4[[#This Row],[Ledger Name]],Table4[[#This Row],[Entity Name]])</f>
        <v>116/24-25Aspirach Lanka</v>
      </c>
      <c r="D1504" s="36" t="s">
        <v>936</v>
      </c>
      <c r="E1504" s="49" t="s">
        <v>152</v>
      </c>
      <c r="F1504" s="49" t="s">
        <v>93</v>
      </c>
      <c r="G1504" s="101" t="s">
        <v>138</v>
      </c>
    </row>
    <row r="1505" spans="1:7" hidden="1">
      <c r="A1505" s="156" t="s">
        <v>1256</v>
      </c>
      <c r="B1505" s="36" t="s">
        <v>825</v>
      </c>
      <c r="C1505" s="36" t="str">
        <f>_xlfn.CONCAT(Table4[[#This Row],[Ledger Name]],Table4[[#This Row],[Entity Name]])</f>
        <v>117/24-25Aspirach Lanka</v>
      </c>
      <c r="D1505" s="36" t="s">
        <v>936</v>
      </c>
      <c r="E1505" s="49" t="s">
        <v>152</v>
      </c>
      <c r="F1505" s="49" t="s">
        <v>93</v>
      </c>
      <c r="G1505" s="101" t="s">
        <v>138</v>
      </c>
    </row>
    <row r="1506" spans="1:7" hidden="1">
      <c r="A1506" s="156" t="s">
        <v>1257</v>
      </c>
      <c r="B1506" s="36" t="s">
        <v>825</v>
      </c>
      <c r="C1506" s="36" t="str">
        <f>_xlfn.CONCAT(Table4[[#This Row],[Ledger Name]],Table4[[#This Row],[Entity Name]])</f>
        <v>118/24-25Aspirach Lanka</v>
      </c>
      <c r="D1506" s="36" t="s">
        <v>936</v>
      </c>
      <c r="E1506" s="49" t="s">
        <v>152</v>
      </c>
      <c r="F1506" s="49" t="s">
        <v>93</v>
      </c>
      <c r="G1506" s="101" t="s">
        <v>138</v>
      </c>
    </row>
    <row r="1507" spans="1:7" hidden="1">
      <c r="A1507" s="156" t="s">
        <v>1258</v>
      </c>
      <c r="B1507" s="36" t="s">
        <v>825</v>
      </c>
      <c r="C1507" s="36" t="str">
        <f>_xlfn.CONCAT(Table4[[#This Row],[Ledger Name]],Table4[[#This Row],[Entity Name]])</f>
        <v>119/24-25Aspirach Lanka</v>
      </c>
      <c r="D1507" s="36" t="s">
        <v>936</v>
      </c>
      <c r="E1507" s="49" t="s">
        <v>152</v>
      </c>
      <c r="F1507" s="49" t="s">
        <v>93</v>
      </c>
      <c r="G1507" s="101" t="s">
        <v>138</v>
      </c>
    </row>
    <row r="1508" spans="1:7" hidden="1">
      <c r="A1508" s="156" t="s">
        <v>1259</v>
      </c>
      <c r="B1508" s="36" t="s">
        <v>825</v>
      </c>
      <c r="C1508" s="36" t="str">
        <f>_xlfn.CONCAT(Table4[[#This Row],[Ledger Name]],Table4[[#This Row],[Entity Name]])</f>
        <v>120/24-25Aspirach Lanka</v>
      </c>
      <c r="D1508" s="36" t="s">
        <v>936</v>
      </c>
      <c r="E1508" s="49" t="s">
        <v>152</v>
      </c>
      <c r="F1508" s="49" t="s">
        <v>93</v>
      </c>
      <c r="G1508" s="101" t="s">
        <v>138</v>
      </c>
    </row>
    <row r="1509" spans="1:7" hidden="1">
      <c r="A1509" s="156" t="s">
        <v>1260</v>
      </c>
      <c r="B1509" s="36" t="s">
        <v>825</v>
      </c>
      <c r="C1509" s="36" t="str">
        <f>_xlfn.CONCAT(Table4[[#This Row],[Ledger Name]],Table4[[#This Row],[Entity Name]])</f>
        <v>98/24-25Aspirach Lanka</v>
      </c>
      <c r="D1509" s="36" t="s">
        <v>936</v>
      </c>
      <c r="E1509" s="49" t="s">
        <v>152</v>
      </c>
      <c r="F1509" s="49" t="s">
        <v>93</v>
      </c>
      <c r="G1509" s="101" t="s">
        <v>138</v>
      </c>
    </row>
    <row r="1510" spans="1:7" hidden="1">
      <c r="A1510" s="187" t="s">
        <v>1724</v>
      </c>
      <c r="B1510" s="36" t="s">
        <v>826</v>
      </c>
      <c r="C1510" s="36" t="str">
        <f>_xlfn.CONCAT(Table4[[#This Row],[Ledger Name]],Table4[[#This Row],[Entity Name]])</f>
        <v>Deepak Motwani ( Cash Sales)Arha General Trading Co (AGT)</v>
      </c>
      <c r="D1510" s="36" t="s">
        <v>936</v>
      </c>
      <c r="E1510" s="49" t="s">
        <v>746</v>
      </c>
      <c r="F1510" s="49" t="s">
        <v>24</v>
      </c>
      <c r="G1510" s="24" t="s">
        <v>1612</v>
      </c>
    </row>
    <row r="1511" spans="1:7" hidden="1">
      <c r="A1511" s="187" t="s">
        <v>1725</v>
      </c>
      <c r="B1511" s="36" t="s">
        <v>826</v>
      </c>
      <c r="C1511" s="36" t="str">
        <f>_xlfn.CONCAT(Table4[[#This Row],[Ledger Name]],Table4[[#This Row],[Entity Name]])</f>
        <v>Loan To Avoca (Hiten Bhai )Arha General Trading Co (AGT)</v>
      </c>
      <c r="D1511" s="36" t="s">
        <v>936</v>
      </c>
      <c r="E1511" s="49" t="s">
        <v>746</v>
      </c>
      <c r="F1511" s="36" t="s">
        <v>52</v>
      </c>
      <c r="G1511" s="24" t="s">
        <v>658</v>
      </c>
    </row>
    <row r="1512" spans="1:7">
      <c r="A1512" s="187" t="s">
        <v>1726</v>
      </c>
      <c r="B1512" s="36" t="s">
        <v>826</v>
      </c>
      <c r="C1512" s="36" t="str">
        <f>_xlfn.CONCAT(Table4[[#This Row],[Ledger Name]],Table4[[#This Row],[Entity Name]])</f>
        <v>Loan To Avoca (ODI)Arha General Trading Co (AGT)</v>
      </c>
      <c r="D1512" s="36" t="s">
        <v>936</v>
      </c>
      <c r="E1512" s="49" t="s">
        <v>746</v>
      </c>
      <c r="F1512" s="36" t="s">
        <v>52</v>
      </c>
      <c r="G1512" s="24" t="s">
        <v>658</v>
      </c>
    </row>
    <row r="1513" spans="1:7" hidden="1">
      <c r="A1513" s="187" t="s">
        <v>1727</v>
      </c>
      <c r="B1513" s="36" t="s">
        <v>826</v>
      </c>
      <c r="C1513" s="36" t="str">
        <f>_xlfn.CONCAT(Table4[[#This Row],[Ledger Name]],Table4[[#This Row],[Entity Name]])</f>
        <v>Manish Petty CashArha General Trading Co (AGT)</v>
      </c>
      <c r="D1513" s="36" t="s">
        <v>936</v>
      </c>
      <c r="E1513" s="49" t="s">
        <v>746</v>
      </c>
      <c r="F1513" s="49" t="s">
        <v>24</v>
      </c>
      <c r="G1513" s="24" t="s">
        <v>1612</v>
      </c>
    </row>
    <row r="1514" spans="1:7" hidden="1">
      <c r="A1514" s="188" t="s">
        <v>1728</v>
      </c>
      <c r="B1514" s="36" t="s">
        <v>826</v>
      </c>
      <c r="C1514" s="36" t="str">
        <f>_xlfn.CONCAT(Table4[[#This Row],[Ledger Name]],Table4[[#This Row],[Entity Name]])</f>
        <v>ARGT/LOC/2024/458Arha General Trading Co (AGT)</v>
      </c>
      <c r="D1514" s="36" t="s">
        <v>936</v>
      </c>
      <c r="E1514" s="49" t="s">
        <v>152</v>
      </c>
      <c r="F1514" s="49" t="s">
        <v>93</v>
      </c>
      <c r="G1514" s="76" t="s">
        <v>1759</v>
      </c>
    </row>
    <row r="1515" spans="1:7" hidden="1">
      <c r="A1515" s="188" t="s">
        <v>1729</v>
      </c>
      <c r="B1515" s="36" t="s">
        <v>826</v>
      </c>
      <c r="C1515" s="36" t="str">
        <f>_xlfn.CONCAT(Table4[[#This Row],[Ledger Name]],Table4[[#This Row],[Entity Name]])</f>
        <v>ARGT/LOC/2024/460Arha General Trading Co (AGT)</v>
      </c>
      <c r="D1515" s="36" t="s">
        <v>936</v>
      </c>
      <c r="E1515" s="49" t="s">
        <v>152</v>
      </c>
      <c r="F1515" s="49" t="s">
        <v>93</v>
      </c>
      <c r="G1515" s="76" t="s">
        <v>1759</v>
      </c>
    </row>
    <row r="1516" spans="1:7" hidden="1">
      <c r="A1516" s="188" t="s">
        <v>1730</v>
      </c>
      <c r="B1516" s="36" t="s">
        <v>826</v>
      </c>
      <c r="C1516" s="36" t="str">
        <f>_xlfn.CONCAT(Table4[[#This Row],[Ledger Name]],Table4[[#This Row],[Entity Name]])</f>
        <v>ARGT/LOC/2024/463Arha General Trading Co (AGT)</v>
      </c>
      <c r="D1516" s="36" t="s">
        <v>936</v>
      </c>
      <c r="E1516" s="49" t="s">
        <v>152</v>
      </c>
      <c r="F1516" s="49" t="s">
        <v>93</v>
      </c>
      <c r="G1516" s="76" t="s">
        <v>1759</v>
      </c>
    </row>
    <row r="1517" spans="1:7" hidden="1">
      <c r="A1517" s="188" t="s">
        <v>1731</v>
      </c>
      <c r="B1517" s="36" t="s">
        <v>826</v>
      </c>
      <c r="C1517" s="36" t="str">
        <f>_xlfn.CONCAT(Table4[[#This Row],[Ledger Name]],Table4[[#This Row],[Entity Name]])</f>
        <v>ARGT/LOC/2025/020Arha General Trading Co (AGT)</v>
      </c>
      <c r="D1517" s="36" t="s">
        <v>936</v>
      </c>
      <c r="E1517" s="49" t="s">
        <v>152</v>
      </c>
      <c r="F1517" s="49" t="s">
        <v>93</v>
      </c>
      <c r="G1517" s="101" t="s">
        <v>138</v>
      </c>
    </row>
    <row r="1518" spans="1:7" hidden="1">
      <c r="A1518" s="188" t="s">
        <v>1732</v>
      </c>
      <c r="B1518" s="36" t="s">
        <v>826</v>
      </c>
      <c r="C1518" s="36" t="str">
        <f>_xlfn.CONCAT(Table4[[#This Row],[Ledger Name]],Table4[[#This Row],[Entity Name]])</f>
        <v>RIC-0237Arha General Trading Co (AGT)</v>
      </c>
      <c r="D1518" s="36" t="s">
        <v>936</v>
      </c>
      <c r="E1518" s="49" t="s">
        <v>152</v>
      </c>
      <c r="F1518" s="49" t="s">
        <v>93</v>
      </c>
      <c r="G1518" s="101" t="s">
        <v>138</v>
      </c>
    </row>
    <row r="1519" spans="1:7" hidden="1">
      <c r="A1519" s="188" t="s">
        <v>1733</v>
      </c>
      <c r="B1519" s="36" t="s">
        <v>826</v>
      </c>
      <c r="C1519" s="36" t="str">
        <f>_xlfn.CONCAT(Table4[[#This Row],[Ledger Name]],Table4[[#This Row],[Entity Name]])</f>
        <v>TAEXP2425078Arha General Trading Co (AGT)</v>
      </c>
      <c r="D1519" s="36" t="s">
        <v>936</v>
      </c>
      <c r="E1519" s="49" t="s">
        <v>152</v>
      </c>
      <c r="F1519" s="49" t="s">
        <v>93</v>
      </c>
      <c r="G1519" s="101" t="s">
        <v>138</v>
      </c>
    </row>
    <row r="1520" spans="1:7" hidden="1">
      <c r="A1520" s="188" t="s">
        <v>1686</v>
      </c>
      <c r="B1520" s="36" t="s">
        <v>826</v>
      </c>
      <c r="C1520" s="36" t="str">
        <f>_xlfn.CONCAT(Table4[[#This Row],[Ledger Name]],Table4[[#This Row],[Entity Name]])</f>
        <v>TAEXP2425081Arha General Trading Co (AGT)</v>
      </c>
      <c r="D1520" s="36" t="s">
        <v>936</v>
      </c>
      <c r="E1520" s="49" t="s">
        <v>152</v>
      </c>
      <c r="F1520" s="49" t="s">
        <v>93</v>
      </c>
      <c r="G1520" s="101" t="s">
        <v>138</v>
      </c>
    </row>
    <row r="1521" spans="1:7" hidden="1">
      <c r="A1521" s="188" t="s">
        <v>1687</v>
      </c>
      <c r="B1521" s="36" t="s">
        <v>826</v>
      </c>
      <c r="C1521" s="36" t="str">
        <f>_xlfn.CONCAT(Table4[[#This Row],[Ledger Name]],Table4[[#This Row],[Entity Name]])</f>
        <v>TAEXP25261Arha General Trading Co (AGT)</v>
      </c>
      <c r="D1521" s="36" t="s">
        <v>936</v>
      </c>
      <c r="E1521" s="49" t="s">
        <v>152</v>
      </c>
      <c r="F1521" s="49" t="s">
        <v>93</v>
      </c>
      <c r="G1521" s="101" t="s">
        <v>138</v>
      </c>
    </row>
    <row r="1522" spans="1:7" hidden="1">
      <c r="A1522" s="189" t="s">
        <v>1735</v>
      </c>
      <c r="B1522" s="36" t="s">
        <v>314</v>
      </c>
      <c r="C1522" s="36" t="str">
        <f>_xlfn.CONCAT(Table4[[#This Row],[Ledger Name]],Table4[[#This Row],[Entity Name]])</f>
        <v>AXIS BANKExpora</v>
      </c>
      <c r="D1522" s="36" t="s">
        <v>936</v>
      </c>
      <c r="E1522" s="49" t="s">
        <v>746</v>
      </c>
      <c r="F1522" s="49" t="s">
        <v>24</v>
      </c>
      <c r="G1522" s="24" t="s">
        <v>1613</v>
      </c>
    </row>
    <row r="1523" spans="1:7" hidden="1">
      <c r="A1523" s="189" t="s">
        <v>1736</v>
      </c>
      <c r="B1523" s="36" t="s">
        <v>314</v>
      </c>
      <c r="C1523" s="36" t="str">
        <f>_xlfn.CONCAT(Table4[[#This Row],[Ledger Name]],Table4[[#This Row],[Entity Name]])</f>
        <v>BOPP BAGSExpora</v>
      </c>
      <c r="D1523" s="36" t="s">
        <v>936</v>
      </c>
      <c r="E1523" s="49" t="s">
        <v>746</v>
      </c>
      <c r="F1523" s="49" t="s">
        <v>47</v>
      </c>
      <c r="G1523" s="101" t="s">
        <v>47</v>
      </c>
    </row>
    <row r="1524" spans="1:7" hidden="1">
      <c r="A1524" s="189" t="s">
        <v>1737</v>
      </c>
      <c r="B1524" s="36" t="s">
        <v>314</v>
      </c>
      <c r="C1524" s="36" t="str">
        <f>_xlfn.CONCAT(Table4[[#This Row],[Ledger Name]],Table4[[#This Row],[Entity Name]])</f>
        <v>PACKAGING CYLINDERExpora</v>
      </c>
      <c r="D1524" s="36" t="s">
        <v>936</v>
      </c>
      <c r="E1524" s="49" t="s">
        <v>746</v>
      </c>
      <c r="F1524" s="49" t="s">
        <v>346</v>
      </c>
      <c r="G1524" s="182" t="s">
        <v>346</v>
      </c>
    </row>
    <row r="1525" spans="1:7" hidden="1">
      <c r="A1525" s="189" t="s">
        <v>1738</v>
      </c>
      <c r="B1525" s="36" t="s">
        <v>314</v>
      </c>
      <c r="C1525" s="36" t="str">
        <f>_xlfn.CONCAT(Table4[[#This Row],[Ledger Name]],Table4[[#This Row],[Entity Name]])</f>
        <v>Provision Payable flexi payExpora</v>
      </c>
      <c r="D1525" s="36" t="s">
        <v>936</v>
      </c>
      <c r="E1525" s="49" t="s">
        <v>746</v>
      </c>
      <c r="F1525" s="49" t="s">
        <v>195</v>
      </c>
      <c r="G1525" s="6" t="s">
        <v>1626</v>
      </c>
    </row>
    <row r="1526" spans="1:7" hidden="1">
      <c r="A1526" s="189" t="s">
        <v>1739</v>
      </c>
      <c r="B1526" s="36" t="s">
        <v>314</v>
      </c>
      <c r="C1526" s="36" t="str">
        <f>_xlfn.CONCAT(Table4[[#This Row],[Ledger Name]],Table4[[#This Row],[Entity Name]])</f>
        <v>TAEXP25260001 RODTEPExpora</v>
      </c>
      <c r="D1526" s="36" t="s">
        <v>936</v>
      </c>
      <c r="E1526" s="49" t="s">
        <v>152</v>
      </c>
      <c r="F1526" s="49" t="s">
        <v>189</v>
      </c>
      <c r="G1526" s="101" t="s">
        <v>313</v>
      </c>
    </row>
    <row r="1527" spans="1:7" hidden="1">
      <c r="A1527" s="189" t="s">
        <v>1740</v>
      </c>
      <c r="B1527" s="36" t="s">
        <v>314</v>
      </c>
      <c r="C1527" s="36" t="str">
        <f>_xlfn.CONCAT(Table4[[#This Row],[Ledger Name]],Table4[[#This Row],[Entity Name]])</f>
        <v>BA-630Expora</v>
      </c>
      <c r="D1527" s="36" t="s">
        <v>936</v>
      </c>
      <c r="E1527" s="49" t="s">
        <v>152</v>
      </c>
      <c r="F1527" s="49" t="s">
        <v>93</v>
      </c>
      <c r="G1527" s="101" t="s">
        <v>138</v>
      </c>
    </row>
    <row r="1528" spans="1:7" hidden="1">
      <c r="A1528" s="189" t="s">
        <v>1741</v>
      </c>
      <c r="B1528" s="36" t="s">
        <v>314</v>
      </c>
      <c r="C1528" s="36" t="str">
        <f>_xlfn.CONCAT(Table4[[#This Row],[Ledger Name]],Table4[[#This Row],[Entity Name]])</f>
        <v>BA-674Expora</v>
      </c>
      <c r="D1528" s="36" t="s">
        <v>936</v>
      </c>
      <c r="E1528" s="49" t="s">
        <v>152</v>
      </c>
      <c r="F1528" s="49" t="s">
        <v>93</v>
      </c>
      <c r="G1528" s="101" t="s">
        <v>138</v>
      </c>
    </row>
    <row r="1529" spans="1:7" hidden="1">
      <c r="A1529" s="189" t="s">
        <v>1742</v>
      </c>
      <c r="B1529" s="36" t="s">
        <v>314</v>
      </c>
      <c r="C1529" s="36" t="str">
        <f>_xlfn.CONCAT(Table4[[#This Row],[Ledger Name]],Table4[[#This Row],[Entity Name]])</f>
        <v>Gift AllowanceExpora</v>
      </c>
      <c r="D1529" s="36" t="s">
        <v>936</v>
      </c>
      <c r="E1529" s="49" t="s">
        <v>152</v>
      </c>
      <c r="F1529" s="49" t="s">
        <v>2</v>
      </c>
      <c r="G1529" s="101" t="s">
        <v>73</v>
      </c>
    </row>
    <row r="1530" spans="1:7" hidden="1">
      <c r="A1530" s="189" t="s">
        <v>1743</v>
      </c>
      <c r="B1530" s="36" t="s">
        <v>314</v>
      </c>
      <c r="C1530" s="36" t="str">
        <f>_xlfn.CONCAT(Table4[[#This Row],[Ledger Name]],Table4[[#This Row],[Entity Name]])</f>
        <v>Quality discount-Direct expExpora</v>
      </c>
      <c r="D1530" s="36" t="s">
        <v>936</v>
      </c>
      <c r="E1530" s="49" t="s">
        <v>152</v>
      </c>
      <c r="F1530" s="49" t="s">
        <v>93</v>
      </c>
      <c r="G1530" s="76" t="s">
        <v>1759</v>
      </c>
    </row>
    <row r="1531" spans="1:7" hidden="1">
      <c r="A1531" s="189" t="s">
        <v>1744</v>
      </c>
      <c r="B1531" s="36" t="s">
        <v>314</v>
      </c>
      <c r="C1531" s="36" t="str">
        <f>_xlfn.CONCAT(Table4[[#This Row],[Ledger Name]],Table4[[#This Row],[Entity Name]])</f>
        <v>TAEXP-25265Expora</v>
      </c>
      <c r="D1531" s="36" t="s">
        <v>936</v>
      </c>
      <c r="E1531" s="49" t="s">
        <v>152</v>
      </c>
      <c r="F1531" s="49" t="s">
        <v>93</v>
      </c>
      <c r="G1531" s="101" t="s">
        <v>138</v>
      </c>
    </row>
    <row r="1532" spans="1:7" hidden="1">
      <c r="A1532" s="189" t="s">
        <v>1745</v>
      </c>
      <c r="B1532" s="36" t="s">
        <v>314</v>
      </c>
      <c r="C1532" s="36" t="str">
        <f>_xlfn.CONCAT(Table4[[#This Row],[Ledger Name]],Table4[[#This Row],[Entity Name]])</f>
        <v>TAEXP25260001Expora</v>
      </c>
      <c r="D1532" s="36" t="s">
        <v>936</v>
      </c>
      <c r="E1532" s="49" t="s">
        <v>152</v>
      </c>
      <c r="F1532" s="49" t="s">
        <v>93</v>
      </c>
      <c r="G1532" s="101" t="s">
        <v>138</v>
      </c>
    </row>
    <row r="1533" spans="1:7" hidden="1">
      <c r="A1533" s="189" t="s">
        <v>1746</v>
      </c>
      <c r="B1533" s="36" t="s">
        <v>314</v>
      </c>
      <c r="C1533" s="36" t="str">
        <f>_xlfn.CONCAT(Table4[[#This Row],[Ledger Name]],Table4[[#This Row],[Entity Name]])</f>
        <v>TAEXP25269Expora</v>
      </c>
      <c r="D1533" s="36" t="s">
        <v>936</v>
      </c>
      <c r="E1533" s="49" t="s">
        <v>152</v>
      </c>
      <c r="F1533" s="49" t="s">
        <v>93</v>
      </c>
      <c r="G1533" s="101" t="s">
        <v>138</v>
      </c>
    </row>
    <row r="1534" spans="1:7" hidden="1">
      <c r="A1534" s="189" t="s">
        <v>1747</v>
      </c>
      <c r="B1534" s="36" t="s">
        <v>314</v>
      </c>
      <c r="C1534" s="36" t="str">
        <f>_xlfn.CONCAT(Table4[[#This Row],[Ledger Name]],Table4[[#This Row],[Entity Name]])</f>
        <v>TRAVEL EXP-INTERNATIONALExpora</v>
      </c>
      <c r="D1534" s="36" t="s">
        <v>936</v>
      </c>
      <c r="E1534" s="49" t="s">
        <v>152</v>
      </c>
      <c r="F1534" s="49" t="s">
        <v>8</v>
      </c>
      <c r="G1534" s="101" t="s">
        <v>84</v>
      </c>
    </row>
    <row r="1535" spans="1:7" hidden="1">
      <c r="A1535" s="189" t="s">
        <v>1751</v>
      </c>
      <c r="B1535" s="36" t="s">
        <v>314</v>
      </c>
      <c r="C1535" s="36" t="str">
        <f>_xlfn.CONCAT(Table4[[#This Row],[Ledger Name]],Table4[[#This Row],[Entity Name]])</f>
        <v>Quality issueExpora</v>
      </c>
      <c r="D1535" s="36" t="s">
        <v>936</v>
      </c>
      <c r="E1535" s="49" t="s">
        <v>152</v>
      </c>
      <c r="F1535" s="49" t="s">
        <v>93</v>
      </c>
      <c r="G1535" s="101" t="s">
        <v>138</v>
      </c>
    </row>
    <row r="1536" spans="1:7" hidden="1">
      <c r="A1536" s="36" t="s">
        <v>1339</v>
      </c>
      <c r="B1536" s="36" t="s">
        <v>826</v>
      </c>
      <c r="C1536" s="36" t="str">
        <f>_xlfn.CONCAT(Table4[[#This Row],[Ledger Name]],Table4[[#This Row],[Entity Name]])</f>
        <v>Expenses InventorisationArha General Trading Co (AGT)</v>
      </c>
      <c r="D1536" s="36" t="s">
        <v>936</v>
      </c>
      <c r="E1536" s="49" t="s">
        <v>152</v>
      </c>
      <c r="F1536" s="49" t="s">
        <v>93</v>
      </c>
      <c r="G1536" s="101" t="s">
        <v>1542</v>
      </c>
    </row>
    <row r="1537" spans="1:7" hidden="1">
      <c r="A1537" s="244" t="s">
        <v>1261</v>
      </c>
      <c r="B1537" s="243" t="s">
        <v>825</v>
      </c>
      <c r="C1537" s="243" t="str">
        <f>_xlfn.CONCAT(Table4[[#This Row],[Ledger Name]],Table4[[#This Row],[Entity Name]])</f>
        <v>FOUNDERS VISIT EXPAspirach Lanka</v>
      </c>
      <c r="D1537" s="243" t="s">
        <v>936</v>
      </c>
      <c r="E1537" s="246" t="s">
        <v>152</v>
      </c>
      <c r="F1537" s="247" t="s">
        <v>13</v>
      </c>
      <c r="G1537" s="51" t="s">
        <v>1275</v>
      </c>
    </row>
    <row r="1538" spans="1:7" hidden="1">
      <c r="A1538" s="189" t="s">
        <v>1752</v>
      </c>
      <c r="B1538" s="36" t="s">
        <v>314</v>
      </c>
      <c r="C1538" s="36" t="str">
        <f>_xlfn.CONCAT(Table4[[#This Row],[Ledger Name]],Table4[[#This Row],[Entity Name]])</f>
        <v>Quality issue incomeExpora</v>
      </c>
      <c r="D1538" s="36" t="s">
        <v>936</v>
      </c>
      <c r="E1538" s="49" t="s">
        <v>152</v>
      </c>
      <c r="F1538" s="49" t="s">
        <v>93</v>
      </c>
      <c r="G1538" s="36" t="s">
        <v>138</v>
      </c>
    </row>
    <row r="1539" spans="1:7" hidden="1">
      <c r="A1539" s="240" t="s">
        <v>1760</v>
      </c>
      <c r="B1539" s="36" t="s">
        <v>314</v>
      </c>
      <c r="C1539" s="36" t="str">
        <f>_xlfn.CONCAT(Table4[[#This Row],[Ledger Name]],Table4[[#This Row],[Entity Name]])</f>
        <v>Interest receivable from Aspirarch Market Platforms Ltd. USAExpora</v>
      </c>
      <c r="D1539" s="36" t="s">
        <v>936</v>
      </c>
      <c r="E1539" s="49" t="s">
        <v>746</v>
      </c>
      <c r="F1539" s="49" t="s">
        <v>52</v>
      </c>
      <c r="G1539" s="24" t="s">
        <v>1606</v>
      </c>
    </row>
    <row r="1540" spans="1:7" hidden="1">
      <c r="A1540" s="240" t="s">
        <v>1762</v>
      </c>
      <c r="B1540" s="36" t="s">
        <v>314</v>
      </c>
      <c r="C1540" s="36" t="str">
        <f>_xlfn.CONCAT(Table4[[#This Row],[Ledger Name]],Table4[[#This Row],[Entity Name]])</f>
        <v>Foreign Exchange - Vishal ShahExpora</v>
      </c>
      <c r="D1540" s="36" t="s">
        <v>936</v>
      </c>
      <c r="E1540" s="49" t="s">
        <v>746</v>
      </c>
      <c r="F1540" s="49" t="s">
        <v>52</v>
      </c>
      <c r="G1540" s="101" t="s">
        <v>1613</v>
      </c>
    </row>
    <row r="1541" spans="1:7" hidden="1">
      <c r="A1541" s="240" t="s">
        <v>1763</v>
      </c>
      <c r="B1541" s="36" t="s">
        <v>314</v>
      </c>
      <c r="C1541" s="36" t="str">
        <f>_xlfn.CONCAT(Table4[[#This Row],[Ledger Name]],Table4[[#This Row],[Entity Name]])</f>
        <v>Interest on Unsecured Loan Payable - JasperExpora</v>
      </c>
      <c r="D1541" s="36" t="s">
        <v>936</v>
      </c>
      <c r="E1541" s="49" t="s">
        <v>746</v>
      </c>
      <c r="F1541" s="49" t="s">
        <v>48</v>
      </c>
      <c r="G1541" s="101" t="s">
        <v>48</v>
      </c>
    </row>
    <row r="1542" spans="1:7" hidden="1">
      <c r="A1542" s="240" t="s">
        <v>1764</v>
      </c>
      <c r="B1542" s="36" t="s">
        <v>314</v>
      </c>
      <c r="C1542" s="36" t="str">
        <f>_xlfn.CONCAT(Table4[[#This Row],[Ledger Name]],Table4[[#This Row],[Entity Name]])</f>
        <v>F02PCFC251415002Expora</v>
      </c>
      <c r="D1542" s="36" t="s">
        <v>936</v>
      </c>
      <c r="E1542" s="49" t="s">
        <v>746</v>
      </c>
      <c r="F1542" s="49" t="s">
        <v>345</v>
      </c>
      <c r="G1542" s="101" t="s">
        <v>278</v>
      </c>
    </row>
    <row r="1543" spans="1:7" hidden="1">
      <c r="A1543" s="240" t="s">
        <v>1765</v>
      </c>
      <c r="B1543" s="36" t="s">
        <v>314</v>
      </c>
      <c r="C1543" s="36" t="str">
        <f>_xlfn.CONCAT(Table4[[#This Row],[Ledger Name]],Table4[[#This Row],[Entity Name]])</f>
        <v>F02PCFC251505001Expora</v>
      </c>
      <c r="D1543" s="36" t="s">
        <v>936</v>
      </c>
      <c r="E1543" s="49" t="s">
        <v>746</v>
      </c>
      <c r="F1543" s="49" t="s">
        <v>345</v>
      </c>
      <c r="G1543" s="101" t="s">
        <v>278</v>
      </c>
    </row>
    <row r="1544" spans="1:7" hidden="1">
      <c r="A1544" s="240" t="s">
        <v>1766</v>
      </c>
      <c r="B1544" s="36" t="s">
        <v>314</v>
      </c>
      <c r="C1544" s="36" t="str">
        <f>_xlfn.CONCAT(Table4[[#This Row],[Ledger Name]],Table4[[#This Row],[Entity Name]])</f>
        <v>F02PCFC251555002Expora</v>
      </c>
      <c r="D1544" s="36" t="s">
        <v>936</v>
      </c>
      <c r="E1544" s="49" t="s">
        <v>746</v>
      </c>
      <c r="F1544" s="49" t="s">
        <v>345</v>
      </c>
      <c r="G1544" s="101" t="s">
        <v>278</v>
      </c>
    </row>
    <row r="1545" spans="1:7" hidden="1">
      <c r="A1545" s="240" t="s">
        <v>1767</v>
      </c>
      <c r="B1545" s="36" t="s">
        <v>314</v>
      </c>
      <c r="C1545" s="36" t="str">
        <f>_xlfn.CONCAT(Table4[[#This Row],[Ledger Name]],Table4[[#This Row],[Entity Name]])</f>
        <v>PC:D13812658Expora</v>
      </c>
      <c r="D1545" s="36" t="s">
        <v>936</v>
      </c>
      <c r="E1545" s="49" t="s">
        <v>746</v>
      </c>
      <c r="F1545" s="49" t="s">
        <v>345</v>
      </c>
      <c r="G1545" s="101" t="s">
        <v>278</v>
      </c>
    </row>
    <row r="1546" spans="1:7" hidden="1">
      <c r="A1546" s="240" t="s">
        <v>1768</v>
      </c>
      <c r="B1546" s="36" t="s">
        <v>314</v>
      </c>
      <c r="C1546" s="36" t="str">
        <f>_xlfn.CONCAT(Table4[[#This Row],[Ledger Name]],Table4[[#This Row],[Entity Name]])</f>
        <v>BBPS PAYMENT RECEIVED - EU015172T36722299038Expora</v>
      </c>
      <c r="D1546" s="36" t="s">
        <v>936</v>
      </c>
      <c r="E1546" s="49" t="s">
        <v>152</v>
      </c>
      <c r="F1546" s="49" t="s">
        <v>312</v>
      </c>
      <c r="G1546" s="101" t="s">
        <v>599</v>
      </c>
    </row>
    <row r="1547" spans="1:7" hidden="1">
      <c r="A1547" s="240" t="s">
        <v>1769</v>
      </c>
      <c r="B1547" s="36" t="s">
        <v>314</v>
      </c>
      <c r="C1547" s="36" t="str">
        <f>_xlfn.CONCAT(Table4[[#This Row],[Ledger Name]],Table4[[#This Row],[Entity Name]])</f>
        <v>TAEXP252610 DDBExpora</v>
      </c>
      <c r="D1547" s="36" t="s">
        <v>936</v>
      </c>
      <c r="E1547" s="49" t="s">
        <v>152</v>
      </c>
      <c r="F1547" s="49" t="s">
        <v>189</v>
      </c>
      <c r="G1547" s="101" t="s">
        <v>163</v>
      </c>
    </row>
    <row r="1548" spans="1:7" hidden="1">
      <c r="A1548" s="240" t="s">
        <v>1770</v>
      </c>
      <c r="B1548" s="36" t="s">
        <v>314</v>
      </c>
      <c r="C1548" s="36" t="str">
        <f>_xlfn.CONCAT(Table4[[#This Row],[Ledger Name]],Table4[[#This Row],[Entity Name]])</f>
        <v>TAEXP252611 DDBExpora</v>
      </c>
      <c r="D1548" s="36" t="s">
        <v>936</v>
      </c>
      <c r="E1548" s="49" t="s">
        <v>152</v>
      </c>
      <c r="F1548" s="49" t="s">
        <v>189</v>
      </c>
      <c r="G1548" s="101" t="s">
        <v>163</v>
      </c>
    </row>
    <row r="1549" spans="1:7" hidden="1">
      <c r="A1549" s="240" t="s">
        <v>1771</v>
      </c>
      <c r="B1549" s="36" t="s">
        <v>314</v>
      </c>
      <c r="C1549" s="36" t="str">
        <f>_xlfn.CONCAT(Table4[[#This Row],[Ledger Name]],Table4[[#This Row],[Entity Name]])</f>
        <v>TAEXP252618 DDBExpora</v>
      </c>
      <c r="D1549" s="36" t="s">
        <v>936</v>
      </c>
      <c r="E1549" s="49" t="s">
        <v>152</v>
      </c>
      <c r="F1549" s="49" t="s">
        <v>189</v>
      </c>
      <c r="G1549" s="101" t="s">
        <v>163</v>
      </c>
    </row>
    <row r="1550" spans="1:7" hidden="1">
      <c r="A1550" s="240" t="s">
        <v>1772</v>
      </c>
      <c r="B1550" s="36" t="s">
        <v>314</v>
      </c>
      <c r="C1550" s="36" t="str">
        <f>_xlfn.CONCAT(Table4[[#This Row],[Ledger Name]],Table4[[#This Row],[Entity Name]])</f>
        <v>TAEXP25266 DDBExpora</v>
      </c>
      <c r="D1550" s="36" t="s">
        <v>936</v>
      </c>
      <c r="E1550" s="49" t="s">
        <v>152</v>
      </c>
      <c r="F1550" s="49" t="s">
        <v>189</v>
      </c>
      <c r="G1550" s="101" t="s">
        <v>163</v>
      </c>
    </row>
    <row r="1551" spans="1:7" hidden="1">
      <c r="A1551" s="240" t="s">
        <v>1773</v>
      </c>
      <c r="B1551" s="36" t="s">
        <v>314</v>
      </c>
      <c r="C1551" s="36" t="str">
        <f>_xlfn.CONCAT(Table4[[#This Row],[Ledger Name]],Table4[[#This Row],[Entity Name]])</f>
        <v>TAEXP252610 RODTEPExpora</v>
      </c>
      <c r="D1551" s="36" t="s">
        <v>936</v>
      </c>
      <c r="E1551" s="49" t="s">
        <v>152</v>
      </c>
      <c r="F1551" s="49" t="s">
        <v>189</v>
      </c>
      <c r="G1551" s="101" t="s">
        <v>313</v>
      </c>
    </row>
    <row r="1552" spans="1:7" hidden="1">
      <c r="A1552" s="240" t="s">
        <v>1774</v>
      </c>
      <c r="B1552" s="36" t="s">
        <v>314</v>
      </c>
      <c r="C1552" s="36" t="str">
        <f>_xlfn.CONCAT(Table4[[#This Row],[Ledger Name]],Table4[[#This Row],[Entity Name]])</f>
        <v>TAEXP252611 RODTEPExpora</v>
      </c>
      <c r="D1552" s="36" t="s">
        <v>936</v>
      </c>
      <c r="E1552" s="49" t="s">
        <v>152</v>
      </c>
      <c r="F1552" s="49" t="s">
        <v>189</v>
      </c>
      <c r="G1552" s="101" t="s">
        <v>313</v>
      </c>
    </row>
    <row r="1553" spans="1:7" hidden="1">
      <c r="A1553" s="240" t="s">
        <v>1775</v>
      </c>
      <c r="B1553" s="36" t="s">
        <v>314</v>
      </c>
      <c r="C1553" s="36" t="str">
        <f>_xlfn.CONCAT(Table4[[#This Row],[Ledger Name]],Table4[[#This Row],[Entity Name]])</f>
        <v>TAEXP252612 RODTEPExpora</v>
      </c>
      <c r="D1553" s="36" t="s">
        <v>936</v>
      </c>
      <c r="E1553" s="49" t="s">
        <v>152</v>
      </c>
      <c r="F1553" s="49" t="s">
        <v>189</v>
      </c>
      <c r="G1553" s="101" t="s">
        <v>313</v>
      </c>
    </row>
    <row r="1554" spans="1:7" hidden="1">
      <c r="A1554" s="240" t="s">
        <v>1776</v>
      </c>
      <c r="B1554" s="36" t="s">
        <v>314</v>
      </c>
      <c r="C1554" s="36" t="str">
        <f>_xlfn.CONCAT(Table4[[#This Row],[Ledger Name]],Table4[[#This Row],[Entity Name]])</f>
        <v>TAEXP252613 RODTEPExpora</v>
      </c>
      <c r="D1554" s="36" t="s">
        <v>936</v>
      </c>
      <c r="E1554" s="49" t="s">
        <v>152</v>
      </c>
      <c r="F1554" s="49" t="s">
        <v>189</v>
      </c>
      <c r="G1554" s="101" t="s">
        <v>313</v>
      </c>
    </row>
    <row r="1555" spans="1:7" hidden="1">
      <c r="A1555" s="240" t="s">
        <v>1777</v>
      </c>
      <c r="B1555" s="36" t="s">
        <v>314</v>
      </c>
      <c r="C1555" s="36" t="str">
        <f>_xlfn.CONCAT(Table4[[#This Row],[Ledger Name]],Table4[[#This Row],[Entity Name]])</f>
        <v>TAEXP252614 RODTEPExpora</v>
      </c>
      <c r="D1555" s="36" t="s">
        <v>936</v>
      </c>
      <c r="E1555" s="49" t="s">
        <v>152</v>
      </c>
      <c r="F1555" s="49" t="s">
        <v>189</v>
      </c>
      <c r="G1555" s="101" t="s">
        <v>313</v>
      </c>
    </row>
    <row r="1556" spans="1:7" hidden="1">
      <c r="A1556" s="240" t="s">
        <v>1778</v>
      </c>
      <c r="B1556" s="36" t="s">
        <v>314</v>
      </c>
      <c r="C1556" s="36" t="str">
        <f>_xlfn.CONCAT(Table4[[#This Row],[Ledger Name]],Table4[[#This Row],[Entity Name]])</f>
        <v>TAEXP252615 RODTEPExpora</v>
      </c>
      <c r="D1556" s="36" t="s">
        <v>936</v>
      </c>
      <c r="E1556" s="49" t="s">
        <v>152</v>
      </c>
      <c r="F1556" s="49" t="s">
        <v>189</v>
      </c>
      <c r="G1556" s="101" t="s">
        <v>313</v>
      </c>
    </row>
    <row r="1557" spans="1:7" hidden="1">
      <c r="A1557" s="240" t="s">
        <v>1779</v>
      </c>
      <c r="B1557" s="36" t="s">
        <v>314</v>
      </c>
      <c r="C1557" s="36" t="str">
        <f>_xlfn.CONCAT(Table4[[#This Row],[Ledger Name]],Table4[[#This Row],[Entity Name]])</f>
        <v>TAEXP252617 RODTEPExpora</v>
      </c>
      <c r="D1557" s="36" t="s">
        <v>936</v>
      </c>
      <c r="E1557" s="49" t="s">
        <v>152</v>
      </c>
      <c r="F1557" s="49" t="s">
        <v>189</v>
      </c>
      <c r="G1557" s="101" t="s">
        <v>313</v>
      </c>
    </row>
    <row r="1558" spans="1:7" hidden="1">
      <c r="A1558" s="240" t="s">
        <v>1780</v>
      </c>
      <c r="B1558" s="36" t="s">
        <v>314</v>
      </c>
      <c r="C1558" s="36" t="str">
        <f>_xlfn.CONCAT(Table4[[#This Row],[Ledger Name]],Table4[[#This Row],[Entity Name]])</f>
        <v>TAEXP252618 RODTEPExpora</v>
      </c>
      <c r="D1558" s="36" t="s">
        <v>936</v>
      </c>
      <c r="E1558" s="49" t="s">
        <v>152</v>
      </c>
      <c r="F1558" s="49" t="s">
        <v>189</v>
      </c>
      <c r="G1558" s="101" t="s">
        <v>313</v>
      </c>
    </row>
    <row r="1559" spans="1:7" hidden="1">
      <c r="A1559" s="240" t="s">
        <v>1781</v>
      </c>
      <c r="B1559" s="36" t="s">
        <v>314</v>
      </c>
      <c r="C1559" s="36" t="str">
        <f>_xlfn.CONCAT(Table4[[#This Row],[Ledger Name]],Table4[[#This Row],[Entity Name]])</f>
        <v>TAEXP252619 RODTEPExpora</v>
      </c>
      <c r="D1559" s="36" t="s">
        <v>936</v>
      </c>
      <c r="E1559" s="49" t="s">
        <v>152</v>
      </c>
      <c r="F1559" s="49" t="s">
        <v>189</v>
      </c>
      <c r="G1559" s="101" t="s">
        <v>313</v>
      </c>
    </row>
    <row r="1560" spans="1:7" hidden="1">
      <c r="A1560" s="240" t="s">
        <v>1782</v>
      </c>
      <c r="B1560" s="36" t="s">
        <v>314</v>
      </c>
      <c r="C1560" s="36" t="str">
        <f>_xlfn.CONCAT(Table4[[#This Row],[Ledger Name]],Table4[[#This Row],[Entity Name]])</f>
        <v>TAEXP252620 RODTEPExpora</v>
      </c>
      <c r="D1560" s="36" t="s">
        <v>936</v>
      </c>
      <c r="E1560" s="49" t="s">
        <v>152</v>
      </c>
      <c r="F1560" s="49" t="s">
        <v>189</v>
      </c>
      <c r="G1560" s="101" t="s">
        <v>313</v>
      </c>
    </row>
    <row r="1561" spans="1:7" hidden="1">
      <c r="A1561" s="240" t="s">
        <v>1783</v>
      </c>
      <c r="B1561" s="36" t="s">
        <v>314</v>
      </c>
      <c r="C1561" s="36" t="str">
        <f>_xlfn.CONCAT(Table4[[#This Row],[Ledger Name]],Table4[[#This Row],[Entity Name]])</f>
        <v>TAEXP252621 RODTEPExpora</v>
      </c>
      <c r="D1561" s="36" t="s">
        <v>936</v>
      </c>
      <c r="E1561" s="49" t="s">
        <v>152</v>
      </c>
      <c r="F1561" s="49" t="s">
        <v>189</v>
      </c>
      <c r="G1561" s="101" t="s">
        <v>313</v>
      </c>
    </row>
    <row r="1562" spans="1:7" hidden="1">
      <c r="A1562" s="240" t="s">
        <v>1784</v>
      </c>
      <c r="B1562" s="36" t="s">
        <v>314</v>
      </c>
      <c r="C1562" s="36" t="str">
        <f>_xlfn.CONCAT(Table4[[#This Row],[Ledger Name]],Table4[[#This Row],[Entity Name]])</f>
        <v>TAEXP252622 RODTEPExpora</v>
      </c>
      <c r="D1562" s="36" t="s">
        <v>936</v>
      </c>
      <c r="E1562" s="49" t="s">
        <v>152</v>
      </c>
      <c r="F1562" s="49" t="s">
        <v>189</v>
      </c>
      <c r="G1562" s="101" t="s">
        <v>313</v>
      </c>
    </row>
    <row r="1563" spans="1:7" hidden="1">
      <c r="A1563" s="240" t="s">
        <v>1785</v>
      </c>
      <c r="B1563" s="36" t="s">
        <v>314</v>
      </c>
      <c r="C1563" s="36" t="str">
        <f>_xlfn.CONCAT(Table4[[#This Row],[Ledger Name]],Table4[[#This Row],[Entity Name]])</f>
        <v>TAEXP25266 RODTEPExpora</v>
      </c>
      <c r="D1563" s="36" t="s">
        <v>936</v>
      </c>
      <c r="E1563" s="49" t="s">
        <v>152</v>
      </c>
      <c r="F1563" s="49" t="s">
        <v>189</v>
      </c>
      <c r="G1563" s="101" t="s">
        <v>313</v>
      </c>
    </row>
    <row r="1564" spans="1:7" hidden="1">
      <c r="A1564" s="240" t="s">
        <v>1786</v>
      </c>
      <c r="B1564" s="36" t="s">
        <v>314</v>
      </c>
      <c r="C1564" s="36" t="str">
        <f>_xlfn.CONCAT(Table4[[#This Row],[Ledger Name]],Table4[[#This Row],[Entity Name]])</f>
        <v>BA NOT IDENTIFYExpora</v>
      </c>
      <c r="D1564" s="36" t="s">
        <v>936</v>
      </c>
      <c r="E1564" s="49" t="s">
        <v>152</v>
      </c>
      <c r="F1564" s="49" t="s">
        <v>93</v>
      </c>
      <c r="G1564" s="101" t="s">
        <v>138</v>
      </c>
    </row>
    <row r="1565" spans="1:7" hidden="1">
      <c r="A1565" s="240" t="s">
        <v>1787</v>
      </c>
      <c r="B1565" s="36" t="s">
        <v>314</v>
      </c>
      <c r="C1565" s="36" t="str">
        <f>_xlfn.CONCAT(Table4[[#This Row],[Ledger Name]],Table4[[#This Row],[Entity Name]])</f>
        <v>BA-600Expora</v>
      </c>
      <c r="D1565" s="36" t="s">
        <v>936</v>
      </c>
      <c r="E1565" s="49" t="s">
        <v>152</v>
      </c>
      <c r="F1565" s="49" t="s">
        <v>93</v>
      </c>
      <c r="G1565" s="101" t="s">
        <v>138</v>
      </c>
    </row>
    <row r="1566" spans="1:7" hidden="1">
      <c r="A1566" s="240" t="s">
        <v>1788</v>
      </c>
      <c r="B1566" s="36" t="s">
        <v>314</v>
      </c>
      <c r="C1566" s="36" t="str">
        <f>_xlfn.CONCAT(Table4[[#This Row],[Ledger Name]],Table4[[#This Row],[Entity Name]])</f>
        <v>BA-649Expora</v>
      </c>
      <c r="D1566" s="36" t="s">
        <v>936</v>
      </c>
      <c r="E1566" s="49" t="s">
        <v>152</v>
      </c>
      <c r="F1566" s="49" t="s">
        <v>93</v>
      </c>
      <c r="G1566" s="101" t="s">
        <v>138</v>
      </c>
    </row>
    <row r="1567" spans="1:7" hidden="1">
      <c r="A1567" s="240" t="s">
        <v>1789</v>
      </c>
      <c r="B1567" s="36" t="s">
        <v>314</v>
      </c>
      <c r="C1567" s="36" t="str">
        <f>_xlfn.CONCAT(Table4[[#This Row],[Ledger Name]],Table4[[#This Row],[Entity Name]])</f>
        <v>BA-659Expora</v>
      </c>
      <c r="D1567" s="36" t="s">
        <v>936</v>
      </c>
      <c r="E1567" s="49" t="s">
        <v>152</v>
      </c>
      <c r="F1567" s="49" t="s">
        <v>93</v>
      </c>
      <c r="G1567" s="101" t="s">
        <v>138</v>
      </c>
    </row>
    <row r="1568" spans="1:7" hidden="1">
      <c r="A1568" s="240" t="s">
        <v>1790</v>
      </c>
      <c r="B1568" s="36" t="s">
        <v>314</v>
      </c>
      <c r="C1568" s="36" t="str">
        <f>_xlfn.CONCAT(Table4[[#This Row],[Ledger Name]],Table4[[#This Row],[Entity Name]])</f>
        <v>BA-662Expora</v>
      </c>
      <c r="D1568" s="36" t="s">
        <v>936</v>
      </c>
      <c r="E1568" s="49" t="s">
        <v>152</v>
      </c>
      <c r="F1568" s="49" t="s">
        <v>93</v>
      </c>
      <c r="G1568" s="101" t="s">
        <v>138</v>
      </c>
    </row>
    <row r="1569" spans="1:7" hidden="1">
      <c r="A1569" s="240" t="s">
        <v>1791</v>
      </c>
      <c r="B1569" s="36" t="s">
        <v>314</v>
      </c>
      <c r="C1569" s="36" t="str">
        <f>_xlfn.CONCAT(Table4[[#This Row],[Ledger Name]],Table4[[#This Row],[Entity Name]])</f>
        <v>BA-673Expora</v>
      </c>
      <c r="D1569" s="36" t="s">
        <v>936</v>
      </c>
      <c r="E1569" s="49" t="s">
        <v>152</v>
      </c>
      <c r="F1569" s="49" t="s">
        <v>93</v>
      </c>
      <c r="G1569" s="101" t="s">
        <v>138</v>
      </c>
    </row>
    <row r="1570" spans="1:7" hidden="1">
      <c r="A1570" s="240" t="s">
        <v>1792</v>
      </c>
      <c r="B1570" s="36" t="s">
        <v>314</v>
      </c>
      <c r="C1570" s="36" t="str">
        <f>_xlfn.CONCAT(Table4[[#This Row],[Ledger Name]],Table4[[#This Row],[Entity Name]])</f>
        <v>BA-725Expora</v>
      </c>
      <c r="D1570" s="36" t="s">
        <v>936</v>
      </c>
      <c r="E1570" s="49" t="s">
        <v>152</v>
      </c>
      <c r="F1570" s="49" t="s">
        <v>93</v>
      </c>
      <c r="G1570" s="101" t="s">
        <v>138</v>
      </c>
    </row>
    <row r="1571" spans="1:7" hidden="1">
      <c r="A1571" s="240" t="s">
        <v>1793</v>
      </c>
      <c r="B1571" s="36" t="s">
        <v>314</v>
      </c>
      <c r="C1571" s="36" t="str">
        <f>_xlfn.CONCAT(Table4[[#This Row],[Ledger Name]],Table4[[#This Row],[Entity Name]])</f>
        <v>BA-732Expora</v>
      </c>
      <c r="D1571" s="36" t="s">
        <v>936</v>
      </c>
      <c r="E1571" s="49" t="s">
        <v>152</v>
      </c>
      <c r="F1571" s="49" t="s">
        <v>93</v>
      </c>
      <c r="G1571" s="101" t="s">
        <v>138</v>
      </c>
    </row>
    <row r="1572" spans="1:7" hidden="1">
      <c r="A1572" s="240" t="s">
        <v>1794</v>
      </c>
      <c r="B1572" s="36" t="s">
        <v>314</v>
      </c>
      <c r="C1572" s="36" t="str">
        <f>_xlfn.CONCAT(Table4[[#This Row],[Ledger Name]],Table4[[#This Row],[Entity Name]])</f>
        <v>Bill Discounting Interest Cost.Expora</v>
      </c>
      <c r="D1572" s="36" t="s">
        <v>936</v>
      </c>
      <c r="E1572" s="49" t="s">
        <v>152</v>
      </c>
      <c r="F1572" s="49" t="s">
        <v>315</v>
      </c>
      <c r="G1572" s="101" t="s">
        <v>281</v>
      </c>
    </row>
    <row r="1573" spans="1:7" hidden="1">
      <c r="A1573" s="240" t="s">
        <v>1795</v>
      </c>
      <c r="B1573" s="36" t="s">
        <v>314</v>
      </c>
      <c r="C1573" s="36" t="str">
        <f>_xlfn.CONCAT(Table4[[#This Row],[Ledger Name]],Table4[[#This Row],[Entity Name]])</f>
        <v>Interest on warehouse financing.Expora</v>
      </c>
      <c r="D1573" s="36" t="s">
        <v>936</v>
      </c>
      <c r="E1573" s="49" t="s">
        <v>152</v>
      </c>
      <c r="F1573" s="49" t="s">
        <v>315</v>
      </c>
      <c r="G1573" s="101" t="s">
        <v>849</v>
      </c>
    </row>
    <row r="1574" spans="1:7" hidden="1">
      <c r="A1574" s="240" t="s">
        <v>1796</v>
      </c>
      <c r="B1574" s="36" t="s">
        <v>314</v>
      </c>
      <c r="C1574" s="36" t="str">
        <f>_xlfn.CONCAT(Table4[[#This Row],[Ledger Name]],Table4[[#This Row],[Entity Name]])</f>
        <v>Interest on warehousing Finance..Expora</v>
      </c>
      <c r="D1574" s="36" t="s">
        <v>936</v>
      </c>
      <c r="E1574" s="49" t="s">
        <v>152</v>
      </c>
      <c r="F1574" s="49" t="s">
        <v>315</v>
      </c>
      <c r="G1574" s="101" t="s">
        <v>849</v>
      </c>
    </row>
    <row r="1575" spans="1:7" hidden="1">
      <c r="A1575" s="240" t="s">
        <v>1797</v>
      </c>
      <c r="B1575" s="36" t="s">
        <v>314</v>
      </c>
      <c r="C1575" s="36" t="str">
        <f>_xlfn.CONCAT(Table4[[#This Row],[Ledger Name]],Table4[[#This Row],[Entity Name]])</f>
        <v>PCFC Interest Charges.Expora</v>
      </c>
      <c r="D1575" s="36" t="s">
        <v>936</v>
      </c>
      <c r="E1575" s="49" t="s">
        <v>152</v>
      </c>
      <c r="F1575" s="49" t="s">
        <v>315</v>
      </c>
      <c r="G1575" s="101" t="s">
        <v>282</v>
      </c>
    </row>
    <row r="1576" spans="1:7" hidden="1">
      <c r="A1576" s="240" t="s">
        <v>1798</v>
      </c>
      <c r="B1576" s="36" t="s">
        <v>314</v>
      </c>
      <c r="C1576" s="36" t="str">
        <f>_xlfn.CONCAT(Table4[[#This Row],[Ledger Name]],Table4[[#This Row],[Entity Name]])</f>
        <v>Forward Booking Cancellation chargesExpora</v>
      </c>
      <c r="D1576" s="36" t="s">
        <v>936</v>
      </c>
      <c r="E1576" s="49" t="s">
        <v>152</v>
      </c>
      <c r="F1576" s="49" t="s">
        <v>93</v>
      </c>
      <c r="G1576" s="101" t="s">
        <v>212</v>
      </c>
    </row>
    <row r="1577" spans="1:7" hidden="1">
      <c r="A1577" s="240" t="s">
        <v>1799</v>
      </c>
      <c r="B1577" s="36" t="s">
        <v>314</v>
      </c>
      <c r="C1577" s="36" t="str">
        <f>_xlfn.CONCAT(Table4[[#This Row],[Ledger Name]],Table4[[#This Row],[Entity Name]])</f>
        <v>HOTEL EXP-INTERNATIONALExpora</v>
      </c>
      <c r="D1577" s="36" t="s">
        <v>936</v>
      </c>
      <c r="E1577" s="49" t="s">
        <v>152</v>
      </c>
      <c r="F1577" s="49" t="s">
        <v>8</v>
      </c>
      <c r="G1577" s="101" t="s">
        <v>84</v>
      </c>
    </row>
    <row r="1578" spans="1:7" hidden="1">
      <c r="A1578" s="240" t="s">
        <v>1800</v>
      </c>
      <c r="B1578" s="36" t="s">
        <v>314</v>
      </c>
      <c r="C1578" s="36" t="str">
        <f>_xlfn.CONCAT(Table4[[#This Row],[Ledger Name]],Table4[[#This Row],[Entity Name]])</f>
        <v>HOTEL EXP-LOCALExpora</v>
      </c>
      <c r="D1578" s="36" t="s">
        <v>936</v>
      </c>
      <c r="E1578" s="49" t="s">
        <v>152</v>
      </c>
      <c r="F1578" s="49" t="s">
        <v>8</v>
      </c>
      <c r="G1578" s="101" t="s">
        <v>84</v>
      </c>
    </row>
    <row r="1579" spans="1:7" hidden="1">
      <c r="A1579" s="240" t="s">
        <v>1733</v>
      </c>
      <c r="B1579" s="36" t="s">
        <v>314</v>
      </c>
      <c r="C1579" s="36" t="str">
        <f>_xlfn.CONCAT(Table4[[#This Row],[Ledger Name]],Table4[[#This Row],[Entity Name]])</f>
        <v>TAEXP2425078Expora</v>
      </c>
      <c r="D1579" s="36" t="s">
        <v>936</v>
      </c>
      <c r="E1579" s="49" t="s">
        <v>152</v>
      </c>
      <c r="F1579" s="49" t="s">
        <v>93</v>
      </c>
      <c r="G1579" s="101" t="s">
        <v>1759</v>
      </c>
    </row>
    <row r="1580" spans="1:7" hidden="1">
      <c r="A1580" s="240" t="s">
        <v>1801</v>
      </c>
      <c r="B1580" s="36" t="s">
        <v>314</v>
      </c>
      <c r="C1580" s="36" t="str">
        <f>_xlfn.CONCAT(Table4[[#This Row],[Ledger Name]],Table4[[#This Row],[Entity Name]])</f>
        <v>TAEXP252610Expora</v>
      </c>
      <c r="D1580" s="36" t="s">
        <v>936</v>
      </c>
      <c r="E1580" s="49" t="s">
        <v>152</v>
      </c>
      <c r="F1580" s="49" t="s">
        <v>93</v>
      </c>
      <c r="G1580" s="101" t="s">
        <v>138</v>
      </c>
    </row>
    <row r="1581" spans="1:7" hidden="1">
      <c r="A1581" s="240" t="s">
        <v>1802</v>
      </c>
      <c r="B1581" s="36" t="s">
        <v>314</v>
      </c>
      <c r="C1581" s="36" t="str">
        <f>_xlfn.CONCAT(Table4[[#This Row],[Ledger Name]],Table4[[#This Row],[Entity Name]])</f>
        <v>TAEXP252611Expora</v>
      </c>
      <c r="D1581" s="36" t="s">
        <v>936</v>
      </c>
      <c r="E1581" s="49" t="s">
        <v>152</v>
      </c>
      <c r="F1581" s="49" t="s">
        <v>93</v>
      </c>
      <c r="G1581" s="101" t="s">
        <v>138</v>
      </c>
    </row>
    <row r="1582" spans="1:7" hidden="1">
      <c r="A1582" s="240" t="s">
        <v>1803</v>
      </c>
      <c r="B1582" s="36" t="s">
        <v>314</v>
      </c>
      <c r="C1582" s="36" t="str">
        <f>_xlfn.CONCAT(Table4[[#This Row],[Ledger Name]],Table4[[#This Row],[Entity Name]])</f>
        <v>TAEXP252612Expora</v>
      </c>
      <c r="D1582" s="36" t="s">
        <v>936</v>
      </c>
      <c r="E1582" s="49" t="s">
        <v>152</v>
      </c>
      <c r="F1582" s="49" t="s">
        <v>93</v>
      </c>
      <c r="G1582" s="101" t="s">
        <v>138</v>
      </c>
    </row>
    <row r="1583" spans="1:7" hidden="1">
      <c r="A1583" s="240" t="s">
        <v>1804</v>
      </c>
      <c r="B1583" s="36" t="s">
        <v>314</v>
      </c>
      <c r="C1583" s="36" t="str">
        <f>_xlfn.CONCAT(Table4[[#This Row],[Ledger Name]],Table4[[#This Row],[Entity Name]])</f>
        <v>TAEXP252613Expora</v>
      </c>
      <c r="D1583" s="36" t="s">
        <v>936</v>
      </c>
      <c r="E1583" s="49" t="s">
        <v>152</v>
      </c>
      <c r="F1583" s="49" t="s">
        <v>93</v>
      </c>
      <c r="G1583" s="101" t="s">
        <v>138</v>
      </c>
    </row>
    <row r="1584" spans="1:7" hidden="1">
      <c r="A1584" s="240" t="s">
        <v>1805</v>
      </c>
      <c r="B1584" s="36" t="s">
        <v>314</v>
      </c>
      <c r="C1584" s="36" t="str">
        <f>_xlfn.CONCAT(Table4[[#This Row],[Ledger Name]],Table4[[#This Row],[Entity Name]])</f>
        <v>TAEXP252614Expora</v>
      </c>
      <c r="D1584" s="36" t="s">
        <v>936</v>
      </c>
      <c r="E1584" s="49" t="s">
        <v>152</v>
      </c>
      <c r="F1584" s="49" t="s">
        <v>93</v>
      </c>
      <c r="G1584" s="101" t="s">
        <v>138</v>
      </c>
    </row>
    <row r="1585" spans="1:7" hidden="1">
      <c r="A1585" s="240" t="s">
        <v>1806</v>
      </c>
      <c r="B1585" s="36" t="s">
        <v>314</v>
      </c>
      <c r="C1585" s="36" t="str">
        <f>_xlfn.CONCAT(Table4[[#This Row],[Ledger Name]],Table4[[#This Row],[Entity Name]])</f>
        <v>TAEXP252615Expora</v>
      </c>
      <c r="D1585" s="36" t="s">
        <v>936</v>
      </c>
      <c r="E1585" s="49" t="s">
        <v>152</v>
      </c>
      <c r="F1585" s="49" t="s">
        <v>93</v>
      </c>
      <c r="G1585" s="101" t="s">
        <v>138</v>
      </c>
    </row>
    <row r="1586" spans="1:7" hidden="1">
      <c r="A1586" s="240" t="s">
        <v>1807</v>
      </c>
      <c r="B1586" s="36" t="s">
        <v>314</v>
      </c>
      <c r="C1586" s="36" t="str">
        <f>_xlfn.CONCAT(Table4[[#This Row],[Ledger Name]],Table4[[#This Row],[Entity Name]])</f>
        <v>TAEXP252616Expora</v>
      </c>
      <c r="D1586" s="36" t="s">
        <v>936</v>
      </c>
      <c r="E1586" s="49" t="s">
        <v>152</v>
      </c>
      <c r="F1586" s="49" t="s">
        <v>93</v>
      </c>
      <c r="G1586" s="101" t="s">
        <v>138</v>
      </c>
    </row>
    <row r="1587" spans="1:7" hidden="1">
      <c r="A1587" s="240" t="s">
        <v>1808</v>
      </c>
      <c r="B1587" s="36" t="s">
        <v>314</v>
      </c>
      <c r="C1587" s="36" t="str">
        <f>_xlfn.CONCAT(Table4[[#This Row],[Ledger Name]],Table4[[#This Row],[Entity Name]])</f>
        <v>TAEXP252617Expora</v>
      </c>
      <c r="D1587" s="36" t="s">
        <v>936</v>
      </c>
      <c r="E1587" s="49" t="s">
        <v>152</v>
      </c>
      <c r="F1587" s="49" t="s">
        <v>93</v>
      </c>
      <c r="G1587" s="101" t="s">
        <v>138</v>
      </c>
    </row>
    <row r="1588" spans="1:7" hidden="1">
      <c r="A1588" s="240" t="s">
        <v>1809</v>
      </c>
      <c r="B1588" s="36" t="s">
        <v>314</v>
      </c>
      <c r="C1588" s="36" t="str">
        <f>_xlfn.CONCAT(Table4[[#This Row],[Ledger Name]],Table4[[#This Row],[Entity Name]])</f>
        <v>TAEXP252618Expora</v>
      </c>
      <c r="D1588" s="36" t="s">
        <v>936</v>
      </c>
      <c r="E1588" s="49" t="s">
        <v>152</v>
      </c>
      <c r="F1588" s="49" t="s">
        <v>93</v>
      </c>
      <c r="G1588" s="101" t="s">
        <v>138</v>
      </c>
    </row>
    <row r="1589" spans="1:7" hidden="1">
      <c r="A1589" s="240" t="s">
        <v>1810</v>
      </c>
      <c r="B1589" s="36" t="s">
        <v>314</v>
      </c>
      <c r="C1589" s="36" t="str">
        <f>_xlfn.CONCAT(Table4[[#This Row],[Ledger Name]],Table4[[#This Row],[Entity Name]])</f>
        <v>TAEXP252619Expora</v>
      </c>
      <c r="D1589" s="36" t="s">
        <v>936</v>
      </c>
      <c r="E1589" s="49" t="s">
        <v>152</v>
      </c>
      <c r="F1589" s="49" t="s">
        <v>93</v>
      </c>
      <c r="G1589" s="101" t="s">
        <v>138</v>
      </c>
    </row>
    <row r="1590" spans="1:7" hidden="1">
      <c r="A1590" s="240" t="s">
        <v>1811</v>
      </c>
      <c r="B1590" s="36" t="s">
        <v>314</v>
      </c>
      <c r="C1590" s="36" t="str">
        <f>_xlfn.CONCAT(Table4[[#This Row],[Ledger Name]],Table4[[#This Row],[Entity Name]])</f>
        <v>TAEXP252620Expora</v>
      </c>
      <c r="D1590" s="36" t="s">
        <v>936</v>
      </c>
      <c r="E1590" s="49" t="s">
        <v>152</v>
      </c>
      <c r="F1590" s="49" t="s">
        <v>93</v>
      </c>
      <c r="G1590" s="101" t="s">
        <v>138</v>
      </c>
    </row>
    <row r="1591" spans="1:7" hidden="1">
      <c r="A1591" s="240" t="s">
        <v>1812</v>
      </c>
      <c r="B1591" s="36" t="s">
        <v>314</v>
      </c>
      <c r="C1591" s="36" t="str">
        <f>_xlfn.CONCAT(Table4[[#This Row],[Ledger Name]],Table4[[#This Row],[Entity Name]])</f>
        <v>TAEXP252621Expora</v>
      </c>
      <c r="D1591" s="36" t="s">
        <v>936</v>
      </c>
      <c r="E1591" s="49" t="s">
        <v>152</v>
      </c>
      <c r="F1591" s="49" t="s">
        <v>93</v>
      </c>
      <c r="G1591" s="101" t="s">
        <v>138</v>
      </c>
    </row>
    <row r="1592" spans="1:7" hidden="1">
      <c r="A1592" s="240" t="s">
        <v>1813</v>
      </c>
      <c r="B1592" s="36" t="s">
        <v>314</v>
      </c>
      <c r="C1592" s="36" t="str">
        <f>_xlfn.CONCAT(Table4[[#This Row],[Ledger Name]],Table4[[#This Row],[Entity Name]])</f>
        <v>TAEXP252622Expora</v>
      </c>
      <c r="D1592" s="36" t="s">
        <v>936</v>
      </c>
      <c r="E1592" s="49" t="s">
        <v>152</v>
      </c>
      <c r="F1592" s="49" t="s">
        <v>93</v>
      </c>
      <c r="G1592" s="101" t="s">
        <v>138</v>
      </c>
    </row>
    <row r="1593" spans="1:7" hidden="1">
      <c r="A1593" s="240" t="s">
        <v>1814</v>
      </c>
      <c r="B1593" s="36" t="s">
        <v>314</v>
      </c>
      <c r="C1593" s="36" t="str">
        <f>_xlfn.CONCAT(Table4[[#This Row],[Ledger Name]],Table4[[#This Row],[Entity Name]])</f>
        <v>TAEXP252627Expora</v>
      </c>
      <c r="D1593" s="36" t="s">
        <v>936</v>
      </c>
      <c r="E1593" s="49" t="s">
        <v>152</v>
      </c>
      <c r="F1593" s="49" t="s">
        <v>93</v>
      </c>
      <c r="G1593" s="101" t="s">
        <v>138</v>
      </c>
    </row>
    <row r="1594" spans="1:7" hidden="1">
      <c r="A1594" s="240" t="s">
        <v>1815</v>
      </c>
      <c r="B1594" s="36" t="s">
        <v>314</v>
      </c>
      <c r="C1594" s="36" t="str">
        <f>_xlfn.CONCAT(Table4[[#This Row],[Ledger Name]],Table4[[#This Row],[Entity Name]])</f>
        <v>TAEXP25266Expora</v>
      </c>
      <c r="D1594" s="36" t="s">
        <v>936</v>
      </c>
      <c r="E1594" s="49" t="s">
        <v>152</v>
      </c>
      <c r="F1594" s="49" t="s">
        <v>93</v>
      </c>
      <c r="G1594" s="101" t="s">
        <v>138</v>
      </c>
    </row>
    <row r="1595" spans="1:7" hidden="1">
      <c r="A1595" s="240" t="s">
        <v>1816</v>
      </c>
      <c r="B1595" s="36" t="s">
        <v>314</v>
      </c>
      <c r="C1595" s="36" t="str">
        <f>_xlfn.CONCAT(Table4[[#This Row],[Ledger Name]],Table4[[#This Row],[Entity Name]])</f>
        <v>TAEXP25267Expora</v>
      </c>
      <c r="D1595" s="36" t="s">
        <v>936</v>
      </c>
      <c r="E1595" s="49" t="s">
        <v>152</v>
      </c>
      <c r="F1595" s="49" t="s">
        <v>93</v>
      </c>
      <c r="G1595" s="101" t="s">
        <v>138</v>
      </c>
    </row>
    <row r="1596" spans="1:7" hidden="1">
      <c r="A1596" s="240" t="s">
        <v>1817</v>
      </c>
      <c r="B1596" s="36" t="s">
        <v>314</v>
      </c>
      <c r="C1596" s="36" t="str">
        <f>_xlfn.CONCAT(Table4[[#This Row],[Ledger Name]],Table4[[#This Row],[Entity Name]])</f>
        <v>TRAVEL EXP-LOCALExpora</v>
      </c>
      <c r="D1596" s="36" t="s">
        <v>936</v>
      </c>
      <c r="E1596" s="49" t="s">
        <v>152</v>
      </c>
      <c r="F1596" s="49" t="s">
        <v>8</v>
      </c>
      <c r="G1596" s="101" t="s">
        <v>84</v>
      </c>
    </row>
    <row r="1597" spans="1:7" hidden="1">
      <c r="A1597" s="240" t="s">
        <v>1818</v>
      </c>
      <c r="B1597" s="36" t="s">
        <v>314</v>
      </c>
      <c r="C1597" s="36" t="str">
        <f>_xlfn.CONCAT(Table4[[#This Row],[Ledger Name]],Table4[[#This Row],[Entity Name]])</f>
        <v>Warehouse Finance ChargesExpora</v>
      </c>
      <c r="D1597" s="36" t="s">
        <v>936</v>
      </c>
      <c r="E1597" s="49" t="s">
        <v>152</v>
      </c>
      <c r="F1597" s="49" t="s">
        <v>93</v>
      </c>
      <c r="G1597" s="101" t="s">
        <v>212</v>
      </c>
    </row>
    <row r="1598" spans="1:7" hidden="1">
      <c r="A1598" s="240" t="s">
        <v>1821</v>
      </c>
      <c r="B1598" s="36" t="s">
        <v>314</v>
      </c>
      <c r="C1598" s="36" t="str">
        <f>_xlfn.CONCAT(Table4[[#This Row],[Ledger Name]],Table4[[#This Row],[Entity Name]])</f>
        <v>Undeposited FundsExpora</v>
      </c>
      <c r="D1598" s="36" t="s">
        <v>936</v>
      </c>
      <c r="E1598" s="36" t="s">
        <v>1837</v>
      </c>
      <c r="F1598" s="49" t="s">
        <v>52</v>
      </c>
      <c r="G1598" s="24" t="s">
        <v>1607</v>
      </c>
    </row>
    <row r="1599" spans="1:7" hidden="1">
      <c r="A1599" s="240" t="s">
        <v>1822</v>
      </c>
      <c r="B1599" s="36" t="s">
        <v>314</v>
      </c>
      <c r="C1599" s="36" t="str">
        <f>_xlfn.CONCAT(Table4[[#This Row],[Ledger Name]],Table4[[#This Row],[Entity Name]])</f>
        <v>YASEEN-SALARY ADVANCEExpora</v>
      </c>
      <c r="D1599" s="36" t="s">
        <v>936</v>
      </c>
      <c r="E1599" s="36" t="s">
        <v>1837</v>
      </c>
      <c r="F1599" s="49" t="s">
        <v>52</v>
      </c>
      <c r="G1599" s="24" t="s">
        <v>1608</v>
      </c>
    </row>
    <row r="1600" spans="1:7" hidden="1">
      <c r="A1600" s="240" t="s">
        <v>1834</v>
      </c>
      <c r="B1600" s="36" t="s">
        <v>314</v>
      </c>
      <c r="C1600" s="36" t="str">
        <f>_xlfn.CONCAT(Table4[[#This Row],[Ledger Name]],Table4[[#This Row],[Entity Name]])</f>
        <v>BA-769Expora</v>
      </c>
      <c r="D1600" s="36" t="s">
        <v>936</v>
      </c>
      <c r="E1600" s="36" t="s">
        <v>152</v>
      </c>
      <c r="F1600" s="49" t="s">
        <v>93</v>
      </c>
      <c r="G1600" s="101" t="s">
        <v>138</v>
      </c>
    </row>
    <row r="1601" spans="1:8" hidden="1">
      <c r="A1601" s="240" t="s">
        <v>1835</v>
      </c>
      <c r="B1601" s="36" t="s">
        <v>314</v>
      </c>
      <c r="C1601" s="36" t="str">
        <f>_xlfn.CONCAT(Table4[[#This Row],[Ledger Name]],Table4[[#This Row],[Entity Name]])</f>
        <v>TAEXP252629Expora</v>
      </c>
      <c r="D1601" s="36" t="s">
        <v>936</v>
      </c>
      <c r="E1601" s="36" t="s">
        <v>152</v>
      </c>
      <c r="F1601" s="49" t="s">
        <v>93</v>
      </c>
      <c r="G1601" s="101" t="s">
        <v>138</v>
      </c>
    </row>
    <row r="1602" spans="1:8" hidden="1">
      <c r="A1602" s="240" t="s">
        <v>1836</v>
      </c>
      <c r="B1602" s="36" t="s">
        <v>314</v>
      </c>
      <c r="C1602" s="36" t="str">
        <f>_xlfn.CONCAT(Table4[[#This Row],[Ledger Name]],Table4[[#This Row],[Entity Name]])</f>
        <v>TALOC25260032Expora</v>
      </c>
      <c r="D1602" s="36" t="s">
        <v>936</v>
      </c>
      <c r="E1602" s="36" t="s">
        <v>152</v>
      </c>
      <c r="F1602" s="49" t="s">
        <v>93</v>
      </c>
      <c r="G1602" s="101" t="s">
        <v>138</v>
      </c>
    </row>
    <row r="1603" spans="1:8" hidden="1">
      <c r="A1603" s="156" t="s">
        <v>1262</v>
      </c>
      <c r="B1603" s="36" t="s">
        <v>825</v>
      </c>
      <c r="C1603" s="36" t="str">
        <f>_xlfn.CONCAT(Table4[[#This Row],[Ledger Name]],Table4[[#This Row],[Entity Name]])</f>
        <v>Interest PayableAspirach Lanka</v>
      </c>
      <c r="D1603" s="36" t="s">
        <v>936</v>
      </c>
      <c r="E1603" s="49" t="s">
        <v>746</v>
      </c>
      <c r="F1603" s="49" t="s">
        <v>48</v>
      </c>
      <c r="G1603" s="24" t="s">
        <v>1619</v>
      </c>
    </row>
    <row r="1604" spans="1:8" hidden="1">
      <c r="A1604" s="156" t="s">
        <v>1278</v>
      </c>
      <c r="B1604" s="36" t="s">
        <v>825</v>
      </c>
      <c r="C1604" s="36" t="str">
        <f>_xlfn.CONCAT(Table4[[#This Row],[Ledger Name]],Table4[[#This Row],[Entity Name]])</f>
        <v>Shipping ChargeAspirach Lanka</v>
      </c>
      <c r="D1604" s="36" t="s">
        <v>936</v>
      </c>
      <c r="E1604" s="49" t="s">
        <v>152</v>
      </c>
      <c r="F1604" s="49" t="s">
        <v>312</v>
      </c>
      <c r="G1604" s="101" t="s">
        <v>599</v>
      </c>
      <c r="H1604" s="241"/>
    </row>
    <row r="1605" spans="1:8" hidden="1">
      <c r="A1605" s="156" t="s">
        <v>248</v>
      </c>
      <c r="B1605" s="36" t="s">
        <v>825</v>
      </c>
      <c r="C1605" s="36" t="str">
        <f>_xlfn.CONCAT(Table4[[#This Row],[Ledger Name]],Table4[[#This Row],[Entity Name]])</f>
        <v>Amendment ChargesAspirach Lanka</v>
      </c>
      <c r="D1605" s="36"/>
      <c r="E1605" s="36"/>
      <c r="F1605" s="36"/>
      <c r="G1605" s="36"/>
    </row>
    <row r="1606" spans="1:8" hidden="1">
      <c r="A1606" s="156" t="s">
        <v>672</v>
      </c>
      <c r="B1606" s="36" t="s">
        <v>825</v>
      </c>
      <c r="C1606" s="36" t="str">
        <f>_xlfn.CONCAT(Table4[[#This Row],[Ledger Name]],Table4[[#This Row],[Entity Name]])</f>
        <v>Automobile ExpenseAspirach Lanka</v>
      </c>
      <c r="D1606" s="36"/>
      <c r="E1606" s="36" t="s">
        <v>152</v>
      </c>
      <c r="F1606" s="36"/>
      <c r="G1606" s="36"/>
    </row>
    <row r="1607" spans="1:8" hidden="1">
      <c r="A1607" s="156" t="s">
        <v>859</v>
      </c>
      <c r="B1607" s="36" t="s">
        <v>825</v>
      </c>
      <c r="C1607" s="36" t="str">
        <f>_xlfn.CONCAT(Table4[[#This Row],[Ledger Name]],Table4[[#This Row],[Entity Name]])</f>
        <v>BROKERAGEAspirach Lanka</v>
      </c>
      <c r="D1607" s="36"/>
      <c r="E1607" s="36" t="s">
        <v>152</v>
      </c>
      <c r="F1607" s="36"/>
      <c r="G1607" s="36"/>
    </row>
    <row r="1608" spans="1:8" hidden="1">
      <c r="A1608" s="156" t="s">
        <v>1279</v>
      </c>
      <c r="B1608" s="36" t="s">
        <v>825</v>
      </c>
      <c r="C1608" s="36" t="str">
        <f>_xlfn.CONCAT(Table4[[#This Row],[Ledger Name]],Table4[[#This Row],[Entity Name]])</f>
        <v>Company Incorporation ChargesAspirach Lanka</v>
      </c>
      <c r="D1608" s="36"/>
      <c r="E1608" s="36" t="s">
        <v>152</v>
      </c>
      <c r="F1608" s="36"/>
      <c r="G1608" s="36"/>
    </row>
    <row r="1609" spans="1:8" hidden="1">
      <c r="A1609" s="156" t="s">
        <v>690</v>
      </c>
      <c r="B1609" s="36" t="s">
        <v>825</v>
      </c>
      <c r="C1609" s="36" t="str">
        <f>_xlfn.CONCAT(Table4[[#This Row],[Ledger Name]],Table4[[#This Row],[Entity Name]])</f>
        <v>CUSTOMS ADDRESS ERROR CHGAspirach Lanka</v>
      </c>
      <c r="D1609" s="36"/>
      <c r="E1609" s="36" t="s">
        <v>152</v>
      </c>
      <c r="F1609" s="36"/>
      <c r="G1609" s="36"/>
    </row>
    <row r="1610" spans="1:8" hidden="1">
      <c r="A1610" s="156" t="s">
        <v>691</v>
      </c>
      <c r="B1610" s="36" t="s">
        <v>825</v>
      </c>
      <c r="C1610" s="36" t="str">
        <f>_xlfn.CONCAT(Table4[[#This Row],[Ledger Name]],Table4[[#This Row],[Entity Name]])</f>
        <v>CUSTOMS REGISTRATION CHGAspirach Lanka</v>
      </c>
      <c r="D1610" s="36"/>
      <c r="E1610" s="36" t="s">
        <v>152</v>
      </c>
      <c r="F1610" s="36"/>
      <c r="G1610" s="36"/>
    </row>
    <row r="1611" spans="1:8" hidden="1">
      <c r="A1611" s="156" t="s">
        <v>692</v>
      </c>
      <c r="B1611" s="36" t="s">
        <v>825</v>
      </c>
      <c r="C1611" s="36" t="str">
        <f>_xlfn.CONCAT(Table4[[#This Row],[Ledger Name]],Table4[[#This Row],[Entity Name]])</f>
        <v>DETENTION AND DEMMURAGE CHGAspirach Lanka</v>
      </c>
      <c r="D1611" s="36"/>
      <c r="E1611" s="36"/>
      <c r="F1611" s="36"/>
      <c r="G1611" s="36"/>
    </row>
    <row r="1612" spans="1:8" hidden="1">
      <c r="A1612" s="156" t="s">
        <v>694</v>
      </c>
      <c r="B1612" s="36" t="s">
        <v>825</v>
      </c>
      <c r="C1612" s="36" t="str">
        <f>_xlfn.CONCAT(Table4[[#This Row],[Ledger Name]],Table4[[#This Row],[Entity Name]])</f>
        <v>FDI CHGAspirach Lanka</v>
      </c>
      <c r="D1612" s="36"/>
      <c r="E1612" s="36"/>
      <c r="F1612" s="36"/>
      <c r="G1612" s="36"/>
    </row>
    <row r="1613" spans="1:8" hidden="1">
      <c r="A1613" s="156" t="s">
        <v>1280</v>
      </c>
      <c r="B1613" s="36" t="s">
        <v>825</v>
      </c>
      <c r="C1613" s="36" t="str">
        <f>_xlfn.CONCAT(Table4[[#This Row],[Ledger Name]],Table4[[#This Row],[Entity Name]])</f>
        <v>Foreign Exchange Bank ChargesAspirach Lanka</v>
      </c>
      <c r="D1613" s="36"/>
      <c r="E1613" s="36"/>
      <c r="F1613" s="36"/>
      <c r="G1613" s="36"/>
    </row>
    <row r="1614" spans="1:8" hidden="1">
      <c r="A1614" s="156" t="s">
        <v>1281</v>
      </c>
      <c r="B1614" s="36" t="s">
        <v>825</v>
      </c>
      <c r="C1614" s="36" t="str">
        <f>_xlfn.CONCAT(Table4[[#This Row],[Ledger Name]],Table4[[#This Row],[Entity Name]])</f>
        <v>Foreign Hotel &amp; Travel ExpAspirach Lanka</v>
      </c>
      <c r="D1614" s="36" t="s">
        <v>936</v>
      </c>
      <c r="E1614" s="49" t="s">
        <v>152</v>
      </c>
      <c r="F1614" s="49" t="s">
        <v>8</v>
      </c>
      <c r="G1614" s="101" t="s">
        <v>84</v>
      </c>
    </row>
    <row r="1615" spans="1:8" hidden="1">
      <c r="A1615" s="156" t="s">
        <v>695</v>
      </c>
      <c r="B1615" s="36" t="s">
        <v>825</v>
      </c>
      <c r="C1615" s="36" t="str">
        <f>_xlfn.CONCAT(Table4[[#This Row],[Ledger Name]],Table4[[#This Row],[Entity Name]])</f>
        <v>GS FORM CHGAspirach Lanka</v>
      </c>
      <c r="D1615" s="36"/>
      <c r="E1615" s="36" t="s">
        <v>152</v>
      </c>
      <c r="F1615" s="36"/>
      <c r="G1615" s="36"/>
    </row>
    <row r="1616" spans="1:8" hidden="1">
      <c r="A1616" s="156" t="s">
        <v>696</v>
      </c>
      <c r="B1616" s="36" t="s">
        <v>825</v>
      </c>
      <c r="C1616" s="36" t="str">
        <f>_xlfn.CONCAT(Table4[[#This Row],[Ledger Name]],Table4[[#This Row],[Entity Name]])</f>
        <v>IRD CHARGESAspirach Lanka</v>
      </c>
      <c r="D1616" s="36"/>
      <c r="E1616" s="36" t="s">
        <v>152</v>
      </c>
      <c r="F1616" s="36"/>
      <c r="G1616" s="36"/>
    </row>
    <row r="1617" spans="1:7" hidden="1">
      <c r="A1617" s="193" t="s">
        <v>1691</v>
      </c>
      <c r="B1617" s="36" t="s">
        <v>825</v>
      </c>
      <c r="C1617" s="36" t="str">
        <f>_xlfn.CONCAT(Table4[[#This Row],[Ledger Name]],Table4[[#This Row],[Entity Name]])</f>
        <v>Aspirarch Lanka (Pvt) Ltd (Amana)Aspirach Lanka</v>
      </c>
      <c r="D1617" s="36" t="s">
        <v>936</v>
      </c>
      <c r="E1617" s="49" t="s">
        <v>746</v>
      </c>
      <c r="F1617" s="49" t="s">
        <v>24</v>
      </c>
      <c r="G1617" s="24" t="s">
        <v>1613</v>
      </c>
    </row>
    <row r="1618" spans="1:7" hidden="1">
      <c r="A1618" s="193" t="s">
        <v>1692</v>
      </c>
      <c r="B1618" s="36" t="s">
        <v>825</v>
      </c>
      <c r="C1618" s="36" t="str">
        <f>_xlfn.CONCAT(Table4[[#This Row],[Ledger Name]],Table4[[#This Row],[Entity Name]])</f>
        <v>Container Security DepositAspirach Lanka</v>
      </c>
      <c r="D1618" s="36" t="s">
        <v>936</v>
      </c>
      <c r="E1618" s="49" t="s">
        <v>746</v>
      </c>
      <c r="F1618" s="49" t="s">
        <v>52</v>
      </c>
      <c r="G1618" s="24" t="s">
        <v>1602</v>
      </c>
    </row>
    <row r="1619" spans="1:7" hidden="1">
      <c r="A1619" s="193" t="s">
        <v>1693</v>
      </c>
      <c r="B1619" s="36" t="s">
        <v>825</v>
      </c>
      <c r="C1619" s="36" t="str">
        <f>_xlfn.CONCAT(Table4[[#This Row],[Ledger Name]],Table4[[#This Row],[Entity Name]])</f>
        <v>0001/25-26Aspirach Lanka</v>
      </c>
      <c r="D1619" s="36" t="s">
        <v>936</v>
      </c>
      <c r="E1619" s="49" t="s">
        <v>152</v>
      </c>
      <c r="F1619" s="49" t="s">
        <v>93</v>
      </c>
      <c r="G1619" s="101" t="s">
        <v>138</v>
      </c>
    </row>
    <row r="1620" spans="1:7" hidden="1">
      <c r="A1620" s="193" t="s">
        <v>1694</v>
      </c>
      <c r="B1620" s="36" t="s">
        <v>825</v>
      </c>
      <c r="C1620" s="36" t="str">
        <f>_xlfn.CONCAT(Table4[[#This Row],[Ledger Name]],Table4[[#This Row],[Entity Name]])</f>
        <v>0002/25-26Aspirach Lanka</v>
      </c>
      <c r="D1620" s="36" t="s">
        <v>936</v>
      </c>
      <c r="E1620" s="49" t="s">
        <v>152</v>
      </c>
      <c r="F1620" s="49" t="s">
        <v>93</v>
      </c>
      <c r="G1620" s="101" t="s">
        <v>138</v>
      </c>
    </row>
    <row r="1621" spans="1:7" hidden="1">
      <c r="A1621" s="193" t="s">
        <v>1695</v>
      </c>
      <c r="B1621" s="36" t="s">
        <v>825</v>
      </c>
      <c r="C1621" s="36" t="str">
        <f>_xlfn.CONCAT(Table4[[#This Row],[Ledger Name]],Table4[[#This Row],[Entity Name]])</f>
        <v>0003/25-26Aspirach Lanka</v>
      </c>
      <c r="D1621" s="36" t="s">
        <v>936</v>
      </c>
      <c r="E1621" s="49" t="s">
        <v>152</v>
      </c>
      <c r="F1621" s="49" t="s">
        <v>93</v>
      </c>
      <c r="G1621" s="101" t="s">
        <v>138</v>
      </c>
    </row>
    <row r="1622" spans="1:7" hidden="1">
      <c r="A1622" s="193" t="s">
        <v>1696</v>
      </c>
      <c r="B1622" s="36" t="s">
        <v>825</v>
      </c>
      <c r="C1622" s="36" t="str">
        <f>_xlfn.CONCAT(Table4[[#This Row],[Ledger Name]],Table4[[#This Row],[Entity Name]])</f>
        <v>0004/25-26Aspirach Lanka</v>
      </c>
      <c r="D1622" s="36" t="s">
        <v>936</v>
      </c>
      <c r="E1622" s="49" t="s">
        <v>152</v>
      </c>
      <c r="F1622" s="49" t="s">
        <v>93</v>
      </c>
      <c r="G1622" s="101" t="s">
        <v>138</v>
      </c>
    </row>
    <row r="1623" spans="1:7" hidden="1">
      <c r="A1623" s="193" t="s">
        <v>1697</v>
      </c>
      <c r="B1623" s="36" t="s">
        <v>825</v>
      </c>
      <c r="C1623" s="36" t="str">
        <f>_xlfn.CONCAT(Table4[[#This Row],[Ledger Name]],Table4[[#This Row],[Entity Name]])</f>
        <v>0005/25-26Aspirach Lanka</v>
      </c>
      <c r="D1623" s="36" t="s">
        <v>936</v>
      </c>
      <c r="E1623" s="49" t="s">
        <v>152</v>
      </c>
      <c r="F1623" s="49" t="s">
        <v>93</v>
      </c>
      <c r="G1623" s="101" t="s">
        <v>138</v>
      </c>
    </row>
    <row r="1624" spans="1:7" hidden="1">
      <c r="A1624" s="193" t="s">
        <v>1698</v>
      </c>
      <c r="B1624" s="36" t="s">
        <v>825</v>
      </c>
      <c r="C1624" s="36" t="str">
        <f>_xlfn.CONCAT(Table4[[#This Row],[Ledger Name]],Table4[[#This Row],[Entity Name]])</f>
        <v>0006/25-26Aspirach Lanka</v>
      </c>
      <c r="D1624" s="36" t="s">
        <v>936</v>
      </c>
      <c r="E1624" s="49" t="s">
        <v>152</v>
      </c>
      <c r="F1624" s="49" t="s">
        <v>93</v>
      </c>
      <c r="G1624" s="101" t="s">
        <v>138</v>
      </c>
    </row>
    <row r="1625" spans="1:7" hidden="1">
      <c r="A1625" s="193" t="s">
        <v>1699</v>
      </c>
      <c r="B1625" s="36" t="s">
        <v>825</v>
      </c>
      <c r="C1625" s="36" t="str">
        <f>_xlfn.CONCAT(Table4[[#This Row],[Ledger Name]],Table4[[#This Row],[Entity Name]])</f>
        <v>0007/25-26Aspirach Lanka</v>
      </c>
      <c r="D1625" s="36" t="s">
        <v>936</v>
      </c>
      <c r="E1625" s="49" t="s">
        <v>152</v>
      </c>
      <c r="F1625" s="49" t="s">
        <v>93</v>
      </c>
      <c r="G1625" s="101" t="s">
        <v>138</v>
      </c>
    </row>
    <row r="1626" spans="1:7" hidden="1">
      <c r="A1626" s="193" t="s">
        <v>1700</v>
      </c>
      <c r="B1626" s="36" t="s">
        <v>825</v>
      </c>
      <c r="C1626" s="36" t="str">
        <f>_xlfn.CONCAT(Table4[[#This Row],[Ledger Name]],Table4[[#This Row],[Entity Name]])</f>
        <v>0008/25-26Aspirach Lanka</v>
      </c>
      <c r="D1626" s="36" t="s">
        <v>936</v>
      </c>
      <c r="E1626" s="49" t="s">
        <v>152</v>
      </c>
      <c r="F1626" s="49" t="s">
        <v>93</v>
      </c>
      <c r="G1626" s="101" t="s">
        <v>138</v>
      </c>
    </row>
    <row r="1627" spans="1:7" hidden="1">
      <c r="A1627" s="193" t="s">
        <v>1701</v>
      </c>
      <c r="B1627" s="36" t="s">
        <v>825</v>
      </c>
      <c r="C1627" s="36" t="str">
        <f>_xlfn.CONCAT(Table4[[#This Row],[Ledger Name]],Table4[[#This Row],[Entity Name]])</f>
        <v>0009/25-26Aspirach Lanka</v>
      </c>
      <c r="D1627" s="36" t="s">
        <v>936</v>
      </c>
      <c r="E1627" s="49" t="s">
        <v>152</v>
      </c>
      <c r="F1627" s="49" t="s">
        <v>93</v>
      </c>
      <c r="G1627" s="101" t="s">
        <v>138</v>
      </c>
    </row>
    <row r="1628" spans="1:7" hidden="1">
      <c r="A1628" s="193" t="s">
        <v>1702</v>
      </c>
      <c r="B1628" s="36" t="s">
        <v>825</v>
      </c>
      <c r="C1628" s="36" t="str">
        <f>_xlfn.CONCAT(Table4[[#This Row],[Ledger Name]],Table4[[#This Row],[Entity Name]])</f>
        <v>0010/25-26Aspirach Lanka</v>
      </c>
      <c r="D1628" s="36" t="s">
        <v>936</v>
      </c>
      <c r="E1628" s="49" t="s">
        <v>152</v>
      </c>
      <c r="F1628" s="49" t="s">
        <v>93</v>
      </c>
      <c r="G1628" s="101" t="s">
        <v>138</v>
      </c>
    </row>
    <row r="1629" spans="1:7" hidden="1">
      <c r="A1629" s="193" t="s">
        <v>1703</v>
      </c>
      <c r="B1629" s="36" t="s">
        <v>825</v>
      </c>
      <c r="C1629" s="36" t="str">
        <f>_xlfn.CONCAT(Table4[[#This Row],[Ledger Name]],Table4[[#This Row],[Entity Name]])</f>
        <v>0011/25-26Aspirach Lanka</v>
      </c>
      <c r="D1629" s="36" t="s">
        <v>936</v>
      </c>
      <c r="E1629" s="49" t="s">
        <v>152</v>
      </c>
      <c r="F1629" s="49" t="s">
        <v>93</v>
      </c>
      <c r="G1629" s="101" t="s">
        <v>138</v>
      </c>
    </row>
    <row r="1630" spans="1:7" hidden="1">
      <c r="A1630" s="193" t="s">
        <v>1704</v>
      </c>
      <c r="B1630" s="36" t="s">
        <v>825</v>
      </c>
      <c r="C1630" s="36" t="str">
        <f>_xlfn.CONCAT(Table4[[#This Row],[Ledger Name]],Table4[[#This Row],[Entity Name]])</f>
        <v>0012/25-26Aspirach Lanka</v>
      </c>
      <c r="D1630" s="36" t="s">
        <v>936</v>
      </c>
      <c r="E1630" s="49" t="s">
        <v>152</v>
      </c>
      <c r="F1630" s="49" t="s">
        <v>93</v>
      </c>
      <c r="G1630" s="101" t="s">
        <v>138</v>
      </c>
    </row>
    <row r="1631" spans="1:7" hidden="1">
      <c r="A1631" s="193" t="s">
        <v>1705</v>
      </c>
      <c r="B1631" s="36" t="s">
        <v>825</v>
      </c>
      <c r="C1631" s="36" t="str">
        <f>_xlfn.CONCAT(Table4[[#This Row],[Ledger Name]],Table4[[#This Row],[Entity Name]])</f>
        <v>0013/25-26Aspirach Lanka</v>
      </c>
      <c r="D1631" s="36" t="s">
        <v>936</v>
      </c>
      <c r="E1631" s="49" t="s">
        <v>152</v>
      </c>
      <c r="F1631" s="49" t="s">
        <v>93</v>
      </c>
      <c r="G1631" s="101" t="s">
        <v>138</v>
      </c>
    </row>
    <row r="1632" spans="1:7" hidden="1">
      <c r="A1632" s="193" t="s">
        <v>1706</v>
      </c>
      <c r="B1632" s="36" t="s">
        <v>825</v>
      </c>
      <c r="C1632" s="36" t="str">
        <f>_xlfn.CONCAT(Table4[[#This Row],[Ledger Name]],Table4[[#This Row],[Entity Name]])</f>
        <v>0014/25-26Aspirach Lanka</v>
      </c>
      <c r="D1632" s="36" t="s">
        <v>936</v>
      </c>
      <c r="E1632" s="49" t="s">
        <v>152</v>
      </c>
      <c r="F1632" s="49" t="s">
        <v>93</v>
      </c>
      <c r="G1632" s="101" t="s">
        <v>138</v>
      </c>
    </row>
    <row r="1633" spans="1:7" hidden="1">
      <c r="A1633" s="193" t="s">
        <v>1707</v>
      </c>
      <c r="B1633" s="36" t="s">
        <v>825</v>
      </c>
      <c r="C1633" s="36" t="str">
        <f>_xlfn.CONCAT(Table4[[#This Row],[Ledger Name]],Table4[[#This Row],[Entity Name]])</f>
        <v>0015/25-26Aspirach Lanka</v>
      </c>
      <c r="D1633" s="36" t="s">
        <v>936</v>
      </c>
      <c r="E1633" s="49" t="s">
        <v>152</v>
      </c>
      <c r="F1633" s="49" t="s">
        <v>93</v>
      </c>
      <c r="G1633" s="101" t="s">
        <v>138</v>
      </c>
    </row>
    <row r="1634" spans="1:7" hidden="1">
      <c r="A1634" s="193" t="s">
        <v>1708</v>
      </c>
      <c r="B1634" s="36" t="s">
        <v>825</v>
      </c>
      <c r="C1634" s="36" t="str">
        <f>_xlfn.CONCAT(Table4[[#This Row],[Ledger Name]],Table4[[#This Row],[Entity Name]])</f>
        <v>0028/25-26Aspirach Lanka</v>
      </c>
      <c r="D1634" s="36" t="s">
        <v>936</v>
      </c>
      <c r="E1634" s="49" t="s">
        <v>152</v>
      </c>
      <c r="F1634" s="49" t="s">
        <v>93</v>
      </c>
      <c r="G1634" s="101" t="s">
        <v>138</v>
      </c>
    </row>
    <row r="1635" spans="1:7" hidden="1">
      <c r="A1635" s="193" t="s">
        <v>1709</v>
      </c>
      <c r="B1635" s="36" t="s">
        <v>825</v>
      </c>
      <c r="C1635" s="36" t="str">
        <f>_xlfn.CONCAT(Table4[[#This Row],[Ledger Name]],Table4[[#This Row],[Entity Name]])</f>
        <v>0030/25-26Aspirach Lanka</v>
      </c>
      <c r="D1635" s="36" t="s">
        <v>936</v>
      </c>
      <c r="E1635" s="49" t="s">
        <v>152</v>
      </c>
      <c r="F1635" s="49" t="s">
        <v>93</v>
      </c>
      <c r="G1635" s="101" t="s">
        <v>138</v>
      </c>
    </row>
    <row r="1636" spans="1:7" hidden="1">
      <c r="A1636" s="36" t="s">
        <v>1838</v>
      </c>
      <c r="B1636" s="36" t="s">
        <v>825</v>
      </c>
      <c r="C1636" s="36" t="str">
        <f>_xlfn.CONCAT(Table4[[#This Row],[Ledger Name]],Table4[[#This Row],[Entity Name]])</f>
        <v>Aditya Fixed allowanceAspirach Lanka</v>
      </c>
      <c r="D1636" s="36" t="s">
        <v>936</v>
      </c>
      <c r="E1636" s="49" t="s">
        <v>746</v>
      </c>
      <c r="F1636" s="49" t="s">
        <v>195</v>
      </c>
      <c r="G1636" s="6" t="s">
        <v>1623</v>
      </c>
    </row>
    <row r="1637" spans="1:7" hidden="1">
      <c r="A1637" s="36" t="s">
        <v>1839</v>
      </c>
      <c r="B1637" s="36" t="s">
        <v>825</v>
      </c>
      <c r="C1637" s="36" t="str">
        <f>_xlfn.CONCAT(Table4[[#This Row],[Ledger Name]],Table4[[#This Row],[Entity Name]])</f>
        <v>Ganesh salaryAspirach Lanka</v>
      </c>
      <c r="D1637" s="36" t="s">
        <v>936</v>
      </c>
      <c r="E1637" s="49" t="s">
        <v>746</v>
      </c>
      <c r="F1637" s="49" t="s">
        <v>195</v>
      </c>
      <c r="G1637" s="6" t="s">
        <v>1623</v>
      </c>
    </row>
    <row r="1638" spans="1:7" hidden="1">
      <c r="A1638" s="36" t="s">
        <v>926</v>
      </c>
      <c r="B1638" s="36" t="s">
        <v>825</v>
      </c>
      <c r="C1638" s="36" t="str">
        <f>_xlfn.CONCAT(Table4[[#This Row],[Ledger Name]],Table4[[#This Row],[Entity Name]])</f>
        <v>Isham SalaryAspirach Lanka</v>
      </c>
      <c r="D1638" s="36" t="s">
        <v>936</v>
      </c>
      <c r="E1638" s="49" t="s">
        <v>746</v>
      </c>
      <c r="F1638" s="49" t="s">
        <v>195</v>
      </c>
      <c r="G1638" s="6" t="s">
        <v>1623</v>
      </c>
    </row>
    <row r="1639" spans="1:7" hidden="1">
      <c r="A1639" s="36" t="s">
        <v>1840</v>
      </c>
      <c r="B1639" s="36" t="s">
        <v>825</v>
      </c>
      <c r="C1639" s="36" t="str">
        <f>_xlfn.CONCAT(Table4[[#This Row],[Ledger Name]],Table4[[#This Row],[Entity Name]])</f>
        <v>Saish Fixed allowanceAspirach Lanka</v>
      </c>
      <c r="D1639" s="36" t="s">
        <v>936</v>
      </c>
      <c r="E1639" s="49" t="s">
        <v>746</v>
      </c>
      <c r="F1639" s="49" t="s">
        <v>195</v>
      </c>
      <c r="G1639" s="6" t="s">
        <v>1623</v>
      </c>
    </row>
    <row r="1640" spans="1:7" hidden="1">
      <c r="A1640" s="36" t="s">
        <v>1841</v>
      </c>
      <c r="B1640" s="36" t="s">
        <v>825</v>
      </c>
      <c r="C1640" s="36" t="str">
        <f>_xlfn.CONCAT(Table4[[#This Row],[Ledger Name]],Table4[[#This Row],[Entity Name]])</f>
        <v>Sanjay Fixed allowanceAspirach Lanka</v>
      </c>
      <c r="D1640" s="36" t="s">
        <v>936</v>
      </c>
      <c r="E1640" s="49" t="s">
        <v>746</v>
      </c>
      <c r="F1640" s="49" t="s">
        <v>195</v>
      </c>
      <c r="G1640" s="6" t="s">
        <v>1623</v>
      </c>
    </row>
    <row r="1641" spans="1:7" hidden="1">
      <c r="A1641" s="36" t="s">
        <v>1842</v>
      </c>
      <c r="B1641" s="36" t="s">
        <v>825</v>
      </c>
      <c r="C1641" s="36" t="str">
        <f>_xlfn.CONCAT(Table4[[#This Row],[Ledger Name]],Table4[[#This Row],[Entity Name]])</f>
        <v>0017/25-26Aspirach Lanka</v>
      </c>
      <c r="D1641" s="36" t="s">
        <v>936</v>
      </c>
      <c r="E1641" s="36" t="s">
        <v>152</v>
      </c>
      <c r="F1641" s="49" t="s">
        <v>93</v>
      </c>
      <c r="G1641" s="101" t="s">
        <v>138</v>
      </c>
    </row>
    <row r="1642" spans="1:7" hidden="1">
      <c r="A1642" s="36" t="s">
        <v>1843</v>
      </c>
      <c r="B1642" s="36" t="s">
        <v>825</v>
      </c>
      <c r="C1642" s="36" t="str">
        <f>_xlfn.CONCAT(Table4[[#This Row],[Ledger Name]],Table4[[#This Row],[Entity Name]])</f>
        <v>0018/25-26Aspirach Lanka</v>
      </c>
      <c r="D1642" s="36" t="s">
        <v>936</v>
      </c>
      <c r="E1642" s="36" t="s">
        <v>152</v>
      </c>
      <c r="F1642" s="49" t="s">
        <v>93</v>
      </c>
      <c r="G1642" s="101" t="s">
        <v>138</v>
      </c>
    </row>
    <row r="1643" spans="1:7" hidden="1">
      <c r="A1643" s="36" t="s">
        <v>1844</v>
      </c>
      <c r="B1643" s="36" t="s">
        <v>825</v>
      </c>
      <c r="C1643" s="36" t="str">
        <f>_xlfn.CONCAT(Table4[[#This Row],[Ledger Name]],Table4[[#This Row],[Entity Name]])</f>
        <v>0019/25-26Aspirach Lanka</v>
      </c>
      <c r="D1643" s="36" t="s">
        <v>936</v>
      </c>
      <c r="E1643" s="36" t="s">
        <v>152</v>
      </c>
      <c r="F1643" s="49" t="s">
        <v>93</v>
      </c>
      <c r="G1643" s="101" t="s">
        <v>138</v>
      </c>
    </row>
    <row r="1644" spans="1:7" hidden="1">
      <c r="A1644" s="36" t="s">
        <v>1845</v>
      </c>
      <c r="B1644" s="36" t="s">
        <v>825</v>
      </c>
      <c r="C1644" s="36" t="str">
        <f>_xlfn.CONCAT(Table4[[#This Row],[Ledger Name]],Table4[[#This Row],[Entity Name]])</f>
        <v>0020/25-26Aspirach Lanka</v>
      </c>
      <c r="D1644" s="36" t="s">
        <v>936</v>
      </c>
      <c r="E1644" s="36" t="s">
        <v>152</v>
      </c>
      <c r="F1644" s="49" t="s">
        <v>93</v>
      </c>
      <c r="G1644" s="101" t="s">
        <v>138</v>
      </c>
    </row>
    <row r="1645" spans="1:7" hidden="1">
      <c r="A1645" s="36" t="s">
        <v>1846</v>
      </c>
      <c r="B1645" s="36" t="s">
        <v>825</v>
      </c>
      <c r="C1645" s="36" t="str">
        <f>_xlfn.CONCAT(Table4[[#This Row],[Ledger Name]],Table4[[#This Row],[Entity Name]])</f>
        <v>0021/25-26Aspirach Lanka</v>
      </c>
      <c r="D1645" s="36" t="s">
        <v>936</v>
      </c>
      <c r="E1645" s="36" t="s">
        <v>152</v>
      </c>
      <c r="F1645" s="49" t="s">
        <v>93</v>
      </c>
      <c r="G1645" s="101" t="s">
        <v>138</v>
      </c>
    </row>
    <row r="1646" spans="1:7" hidden="1">
      <c r="A1646" s="36" t="s">
        <v>1847</v>
      </c>
      <c r="B1646" s="36" t="s">
        <v>825</v>
      </c>
      <c r="C1646" s="36" t="str">
        <f>_xlfn.CONCAT(Table4[[#This Row],[Ledger Name]],Table4[[#This Row],[Entity Name]])</f>
        <v>0022/25-26Aspirach Lanka</v>
      </c>
      <c r="D1646" s="36" t="s">
        <v>936</v>
      </c>
      <c r="E1646" s="36" t="s">
        <v>152</v>
      </c>
      <c r="F1646" s="49" t="s">
        <v>93</v>
      </c>
      <c r="G1646" s="101" t="s">
        <v>138</v>
      </c>
    </row>
    <row r="1647" spans="1:7" hidden="1">
      <c r="A1647" s="36" t="s">
        <v>1848</v>
      </c>
      <c r="B1647" s="36" t="s">
        <v>825</v>
      </c>
      <c r="C1647" s="36" t="str">
        <f>_xlfn.CONCAT(Table4[[#This Row],[Ledger Name]],Table4[[#This Row],[Entity Name]])</f>
        <v>0023/25-26Aspirach Lanka</v>
      </c>
      <c r="D1647" s="36" t="s">
        <v>936</v>
      </c>
      <c r="E1647" s="36" t="s">
        <v>152</v>
      </c>
      <c r="F1647" s="49" t="s">
        <v>93</v>
      </c>
      <c r="G1647" s="101" t="s">
        <v>138</v>
      </c>
    </row>
    <row r="1648" spans="1:7" hidden="1">
      <c r="A1648" s="36" t="s">
        <v>1849</v>
      </c>
      <c r="B1648" s="36" t="s">
        <v>825</v>
      </c>
      <c r="C1648" s="36" t="str">
        <f>_xlfn.CONCAT(Table4[[#This Row],[Ledger Name]],Table4[[#This Row],[Entity Name]])</f>
        <v>0024/25-26Aspirach Lanka</v>
      </c>
      <c r="D1648" s="36" t="s">
        <v>936</v>
      </c>
      <c r="E1648" s="36" t="s">
        <v>152</v>
      </c>
      <c r="F1648" s="49" t="s">
        <v>93</v>
      </c>
      <c r="G1648" s="101" t="s">
        <v>138</v>
      </c>
    </row>
    <row r="1649" spans="1:7" hidden="1">
      <c r="A1649" s="36" t="s">
        <v>1850</v>
      </c>
      <c r="B1649" s="36" t="s">
        <v>825</v>
      </c>
      <c r="C1649" s="36" t="str">
        <f>_xlfn.CONCAT(Table4[[#This Row],[Ledger Name]],Table4[[#This Row],[Entity Name]])</f>
        <v>0025/25-26Aspirach Lanka</v>
      </c>
      <c r="D1649" s="36" t="s">
        <v>936</v>
      </c>
      <c r="E1649" s="36" t="s">
        <v>152</v>
      </c>
      <c r="F1649" s="49" t="s">
        <v>93</v>
      </c>
      <c r="G1649" s="101" t="s">
        <v>138</v>
      </c>
    </row>
    <row r="1650" spans="1:7" hidden="1">
      <c r="A1650" s="36" t="s">
        <v>1851</v>
      </c>
      <c r="B1650" s="36" t="s">
        <v>825</v>
      </c>
      <c r="C1650" s="36" t="str">
        <f>_xlfn.CONCAT(Table4[[#This Row],[Ledger Name]],Table4[[#This Row],[Entity Name]])</f>
        <v>0026/25-26Aspirach Lanka</v>
      </c>
      <c r="D1650" s="36" t="s">
        <v>936</v>
      </c>
      <c r="E1650" s="36" t="s">
        <v>152</v>
      </c>
      <c r="F1650" s="49" t="s">
        <v>93</v>
      </c>
      <c r="G1650" s="101" t="s">
        <v>138</v>
      </c>
    </row>
    <row r="1651" spans="1:7" hidden="1">
      <c r="A1651" s="36" t="s">
        <v>1852</v>
      </c>
      <c r="B1651" s="36" t="s">
        <v>825</v>
      </c>
      <c r="C1651" s="36" t="str">
        <f>_xlfn.CONCAT(Table4[[#This Row],[Ledger Name]],Table4[[#This Row],[Entity Name]])</f>
        <v>0027/25-26Aspirach Lanka</v>
      </c>
      <c r="D1651" s="36" t="s">
        <v>936</v>
      </c>
      <c r="E1651" s="36" t="s">
        <v>152</v>
      </c>
      <c r="F1651" s="49" t="s">
        <v>93</v>
      </c>
      <c r="G1651" s="101" t="s">
        <v>138</v>
      </c>
    </row>
    <row r="1652" spans="1:7" hidden="1">
      <c r="A1652" s="36" t="s">
        <v>1853</v>
      </c>
      <c r="B1652" s="36" t="s">
        <v>825</v>
      </c>
      <c r="C1652" s="36" t="str">
        <f>_xlfn.CONCAT(Table4[[#This Row],[Ledger Name]],Table4[[#This Row],[Entity Name]])</f>
        <v>0029/25-26Aspirach Lanka</v>
      </c>
      <c r="D1652" s="36" t="s">
        <v>936</v>
      </c>
      <c r="E1652" s="36" t="s">
        <v>152</v>
      </c>
      <c r="F1652" s="49" t="s">
        <v>93</v>
      </c>
      <c r="G1652" s="101" t="s">
        <v>138</v>
      </c>
    </row>
    <row r="1653" spans="1:7" hidden="1">
      <c r="A1653" s="36" t="s">
        <v>1854</v>
      </c>
      <c r="B1653" s="36" t="s">
        <v>825</v>
      </c>
      <c r="C1653" s="36" t="str">
        <f>_xlfn.CONCAT(Table4[[#This Row],[Ledger Name]],Table4[[#This Row],[Entity Name]])</f>
        <v>0031/25-26Aspirach Lanka</v>
      </c>
      <c r="D1653" s="36" t="s">
        <v>936</v>
      </c>
      <c r="E1653" s="36" t="s">
        <v>152</v>
      </c>
      <c r="F1653" s="49" t="s">
        <v>93</v>
      </c>
      <c r="G1653" s="101" t="s">
        <v>138</v>
      </c>
    </row>
    <row r="1654" spans="1:7" hidden="1">
      <c r="A1654" s="36" t="s">
        <v>1855</v>
      </c>
      <c r="B1654" s="36" t="s">
        <v>825</v>
      </c>
      <c r="C1654" s="36" t="str">
        <f>_xlfn.CONCAT(Table4[[#This Row],[Ledger Name]],Table4[[#This Row],[Entity Name]])</f>
        <v>0032/25-26Aspirach Lanka</v>
      </c>
      <c r="D1654" s="36" t="s">
        <v>936</v>
      </c>
      <c r="E1654" s="36" t="s">
        <v>152</v>
      </c>
      <c r="F1654" s="49" t="s">
        <v>93</v>
      </c>
      <c r="G1654" s="101" t="s">
        <v>138</v>
      </c>
    </row>
    <row r="1655" spans="1:7" hidden="1">
      <c r="A1655" s="36" t="s">
        <v>1856</v>
      </c>
      <c r="B1655" s="36" t="s">
        <v>825</v>
      </c>
      <c r="C1655" s="36" t="str">
        <f>_xlfn.CONCAT(Table4[[#This Row],[Ledger Name]],Table4[[#This Row],[Entity Name]])</f>
        <v>0033/25-26Aspirach Lanka</v>
      </c>
      <c r="D1655" s="36" t="s">
        <v>936</v>
      </c>
      <c r="E1655" s="36" t="s">
        <v>152</v>
      </c>
      <c r="F1655" s="49" t="s">
        <v>93</v>
      </c>
      <c r="G1655" s="101" t="s">
        <v>138</v>
      </c>
    </row>
    <row r="1656" spans="1:7" hidden="1">
      <c r="A1656" s="36" t="s">
        <v>1857</v>
      </c>
      <c r="B1656" s="36" t="s">
        <v>825</v>
      </c>
      <c r="C1656" s="36" t="str">
        <f>_xlfn.CONCAT(Table4[[#This Row],[Ledger Name]],Table4[[#This Row],[Entity Name]])</f>
        <v>0034/25-26Aspirach Lanka</v>
      </c>
      <c r="D1656" s="36" t="s">
        <v>936</v>
      </c>
      <c r="E1656" s="36" t="s">
        <v>152</v>
      </c>
      <c r="F1656" s="49" t="s">
        <v>93</v>
      </c>
      <c r="G1656" s="101" t="s">
        <v>138</v>
      </c>
    </row>
    <row r="1657" spans="1:7" hidden="1">
      <c r="A1657" s="36" t="s">
        <v>1858</v>
      </c>
      <c r="B1657" s="36" t="s">
        <v>825</v>
      </c>
      <c r="C1657" s="36" t="str">
        <f>_xlfn.CONCAT(Table4[[#This Row],[Ledger Name]],Table4[[#This Row],[Entity Name]])</f>
        <v>0035/25-26Aspirach Lanka</v>
      </c>
      <c r="D1657" s="36" t="s">
        <v>936</v>
      </c>
      <c r="E1657" s="36" t="s">
        <v>152</v>
      </c>
      <c r="F1657" s="49" t="s">
        <v>93</v>
      </c>
      <c r="G1657" s="101" t="s">
        <v>138</v>
      </c>
    </row>
    <row r="1658" spans="1:7" hidden="1">
      <c r="A1658" s="36" t="s">
        <v>1859</v>
      </c>
      <c r="B1658" s="36" t="s">
        <v>825</v>
      </c>
      <c r="C1658" s="36" t="str">
        <f>_xlfn.CONCAT(Table4[[#This Row],[Ledger Name]],Table4[[#This Row],[Entity Name]])</f>
        <v>0036/25-26Aspirach Lanka</v>
      </c>
      <c r="D1658" s="36" t="s">
        <v>936</v>
      </c>
      <c r="E1658" s="36" t="s">
        <v>152</v>
      </c>
      <c r="F1658" s="49" t="s">
        <v>93</v>
      </c>
      <c r="G1658" s="101" t="s">
        <v>138</v>
      </c>
    </row>
    <row r="1659" spans="1:7" hidden="1">
      <c r="A1659" s="36" t="s">
        <v>1860</v>
      </c>
      <c r="B1659" s="36" t="s">
        <v>825</v>
      </c>
      <c r="C1659" s="36" t="str">
        <f>_xlfn.CONCAT(Table4[[#This Row],[Ledger Name]],Table4[[#This Row],[Entity Name]])</f>
        <v>0037/25-26Aspirach Lanka</v>
      </c>
      <c r="D1659" s="36" t="s">
        <v>936</v>
      </c>
      <c r="E1659" s="36" t="s">
        <v>152</v>
      </c>
      <c r="F1659" s="49" t="s">
        <v>93</v>
      </c>
      <c r="G1659" s="101" t="s">
        <v>138</v>
      </c>
    </row>
    <row r="1660" spans="1:7" hidden="1">
      <c r="A1660" s="36" t="s">
        <v>1861</v>
      </c>
      <c r="B1660" s="36" t="s">
        <v>825</v>
      </c>
      <c r="C1660" s="36" t="str">
        <f>_xlfn.CONCAT(Table4[[#This Row],[Ledger Name]],Table4[[#This Row],[Entity Name]])</f>
        <v>0038/25-26Aspirach Lanka</v>
      </c>
      <c r="D1660" s="36" t="s">
        <v>936</v>
      </c>
      <c r="E1660" s="36" t="s">
        <v>152</v>
      </c>
      <c r="F1660" s="49" t="s">
        <v>93</v>
      </c>
      <c r="G1660" s="101" t="s">
        <v>138</v>
      </c>
    </row>
    <row r="1661" spans="1:7" hidden="1">
      <c r="A1661" s="36" t="s">
        <v>1862</v>
      </c>
      <c r="B1661" s="36" t="s">
        <v>825</v>
      </c>
      <c r="C1661" s="36" t="str">
        <f>_xlfn.CONCAT(Table4[[#This Row],[Ledger Name]],Table4[[#This Row],[Entity Name]])</f>
        <v>0039/25-26Aspirach Lanka</v>
      </c>
      <c r="D1661" s="36" t="s">
        <v>936</v>
      </c>
      <c r="E1661" s="36" t="s">
        <v>152</v>
      </c>
      <c r="F1661" s="49" t="s">
        <v>93</v>
      </c>
      <c r="G1661" s="101" t="s">
        <v>138</v>
      </c>
    </row>
    <row r="1662" spans="1:7" hidden="1">
      <c r="A1662" s="36" t="s">
        <v>1863</v>
      </c>
      <c r="B1662" s="36" t="s">
        <v>825</v>
      </c>
      <c r="C1662" s="36" t="str">
        <f>_xlfn.CONCAT(Table4[[#This Row],[Ledger Name]],Table4[[#This Row],[Entity Name]])</f>
        <v>0040/25-26Aspirach Lanka</v>
      </c>
      <c r="D1662" s="36" t="s">
        <v>936</v>
      </c>
      <c r="E1662" s="36" t="s">
        <v>152</v>
      </c>
      <c r="F1662" s="49" t="s">
        <v>93</v>
      </c>
      <c r="G1662" s="101" t="s">
        <v>138</v>
      </c>
    </row>
    <row r="1663" spans="1:7" hidden="1">
      <c r="A1663" s="36" t="s">
        <v>1864</v>
      </c>
      <c r="B1663" s="36" t="s">
        <v>825</v>
      </c>
      <c r="C1663" s="36" t="str">
        <f>_xlfn.CONCAT(Table4[[#This Row],[Ledger Name]],Table4[[#This Row],[Entity Name]])</f>
        <v>0041/25-26Aspirach Lanka</v>
      </c>
      <c r="D1663" s="36" t="s">
        <v>936</v>
      </c>
      <c r="E1663" s="36" t="s">
        <v>152</v>
      </c>
      <c r="F1663" s="49" t="s">
        <v>93</v>
      </c>
      <c r="G1663" s="101" t="s">
        <v>138</v>
      </c>
    </row>
    <row r="1664" spans="1:7" hidden="1">
      <c r="A1664" s="36" t="s">
        <v>1865</v>
      </c>
      <c r="B1664" s="36" t="s">
        <v>825</v>
      </c>
      <c r="C1664" s="36" t="str">
        <f>_xlfn.CONCAT(Table4[[#This Row],[Ledger Name]],Table4[[#This Row],[Entity Name]])</f>
        <v>0042/25-26Aspirach Lanka</v>
      </c>
      <c r="D1664" s="36" t="s">
        <v>936</v>
      </c>
      <c r="E1664" s="36" t="s">
        <v>152</v>
      </c>
      <c r="F1664" s="49" t="s">
        <v>93</v>
      </c>
      <c r="G1664" s="101" t="s">
        <v>138</v>
      </c>
    </row>
    <row r="1665" spans="1:7" hidden="1">
      <c r="A1665" s="36" t="s">
        <v>1866</v>
      </c>
      <c r="B1665" s="36" t="s">
        <v>825</v>
      </c>
      <c r="C1665" s="36" t="str">
        <f>_xlfn.CONCAT(Table4[[#This Row],[Ledger Name]],Table4[[#This Row],[Entity Name]])</f>
        <v>0043/25-26Aspirach Lanka</v>
      </c>
      <c r="D1665" s="36" t="s">
        <v>936</v>
      </c>
      <c r="E1665" s="36" t="s">
        <v>152</v>
      </c>
      <c r="F1665" s="49" t="s">
        <v>93</v>
      </c>
      <c r="G1665" s="101" t="s">
        <v>138</v>
      </c>
    </row>
    <row r="1666" spans="1:7" hidden="1">
      <c r="A1666" s="36" t="s">
        <v>1867</v>
      </c>
      <c r="B1666" s="36" t="s">
        <v>825</v>
      </c>
      <c r="C1666" s="36" t="str">
        <f>_xlfn.CONCAT(Table4[[#This Row],[Ledger Name]],Table4[[#This Row],[Entity Name]])</f>
        <v>0044/25-26Aspirach Lanka</v>
      </c>
      <c r="D1666" s="36" t="s">
        <v>936</v>
      </c>
      <c r="E1666" s="36" t="s">
        <v>152</v>
      </c>
      <c r="F1666" s="49" t="s">
        <v>93</v>
      </c>
      <c r="G1666" s="101" t="s">
        <v>138</v>
      </c>
    </row>
    <row r="1667" spans="1:7" hidden="1">
      <c r="A1667" s="36" t="s">
        <v>1868</v>
      </c>
      <c r="B1667" s="36" t="s">
        <v>825</v>
      </c>
      <c r="C1667" s="36" t="str">
        <f>_xlfn.CONCAT(Table4[[#This Row],[Ledger Name]],Table4[[#This Row],[Entity Name]])</f>
        <v>0045/25-26Aspirach Lanka</v>
      </c>
      <c r="D1667" s="36" t="s">
        <v>936</v>
      </c>
      <c r="E1667" s="36" t="s">
        <v>152</v>
      </c>
      <c r="F1667" s="49" t="s">
        <v>93</v>
      </c>
      <c r="G1667" s="101" t="s">
        <v>138</v>
      </c>
    </row>
    <row r="1668" spans="1:7" hidden="1">
      <c r="A1668" s="36" t="s">
        <v>1869</v>
      </c>
      <c r="B1668" s="36" t="s">
        <v>825</v>
      </c>
      <c r="C1668" s="36" t="str">
        <f>_xlfn.CONCAT(Table4[[#This Row],[Ledger Name]],Table4[[#This Row],[Entity Name]])</f>
        <v>0046/25-26Aspirach Lanka</v>
      </c>
      <c r="D1668" s="36" t="s">
        <v>936</v>
      </c>
      <c r="E1668" s="36" t="s">
        <v>152</v>
      </c>
      <c r="F1668" s="49" t="s">
        <v>93</v>
      </c>
      <c r="G1668" s="101" t="s">
        <v>138</v>
      </c>
    </row>
    <row r="1669" spans="1:7" hidden="1">
      <c r="A1669" s="36" t="s">
        <v>1870</v>
      </c>
      <c r="B1669" s="36" t="s">
        <v>825</v>
      </c>
      <c r="C1669" s="36" t="str">
        <f>_xlfn.CONCAT(Table4[[#This Row],[Ledger Name]],Table4[[#This Row],[Entity Name]])</f>
        <v>0047/25-26Aspirach Lanka</v>
      </c>
      <c r="D1669" s="36" t="s">
        <v>936</v>
      </c>
      <c r="E1669" s="36" t="s">
        <v>152</v>
      </c>
      <c r="F1669" s="49" t="s">
        <v>93</v>
      </c>
      <c r="G1669" s="101" t="s">
        <v>138</v>
      </c>
    </row>
    <row r="1670" spans="1:7" hidden="1">
      <c r="A1670" s="36" t="s">
        <v>1871</v>
      </c>
      <c r="B1670" s="36" t="s">
        <v>825</v>
      </c>
      <c r="C1670" s="36" t="str">
        <f>_xlfn.CONCAT(Table4[[#This Row],[Ledger Name]],Table4[[#This Row],[Entity Name]])</f>
        <v>0048/25-26Aspirach Lanka</v>
      </c>
      <c r="D1670" s="36" t="s">
        <v>936</v>
      </c>
      <c r="E1670" s="36" t="s">
        <v>152</v>
      </c>
      <c r="F1670" s="49" t="s">
        <v>93</v>
      </c>
      <c r="G1670" s="101" t="s">
        <v>138</v>
      </c>
    </row>
    <row r="1671" spans="1:7" hidden="1">
      <c r="A1671" s="36" t="s">
        <v>1872</v>
      </c>
      <c r="B1671" s="36" t="s">
        <v>825</v>
      </c>
      <c r="C1671" s="36" t="str">
        <f>_xlfn.CONCAT(Table4[[#This Row],[Ledger Name]],Table4[[#This Row],[Entity Name]])</f>
        <v>0049/25-26Aspirach Lanka</v>
      </c>
      <c r="D1671" s="36" t="s">
        <v>936</v>
      </c>
      <c r="E1671" s="36" t="s">
        <v>152</v>
      </c>
      <c r="F1671" s="49" t="s">
        <v>93</v>
      </c>
      <c r="G1671" s="101" t="s">
        <v>138</v>
      </c>
    </row>
    <row r="1672" spans="1:7" hidden="1">
      <c r="A1672" s="36" t="s">
        <v>1873</v>
      </c>
      <c r="B1672" s="36" t="s">
        <v>825</v>
      </c>
      <c r="C1672" s="36" t="str">
        <f>_xlfn.CONCAT(Table4[[#This Row],[Ledger Name]],Table4[[#This Row],[Entity Name]])</f>
        <v>0050/25-26Aspirach Lanka</v>
      </c>
      <c r="D1672" s="36" t="s">
        <v>936</v>
      </c>
      <c r="E1672" s="36" t="s">
        <v>152</v>
      </c>
      <c r="F1672" s="49" t="s">
        <v>93</v>
      </c>
      <c r="G1672" s="101" t="s">
        <v>138</v>
      </c>
    </row>
    <row r="1673" spans="1:7" hidden="1">
      <c r="A1673" s="36" t="s">
        <v>1874</v>
      </c>
      <c r="B1673" s="36" t="s">
        <v>825</v>
      </c>
      <c r="C1673" s="36" t="str">
        <f>_xlfn.CONCAT(Table4[[#This Row],[Ledger Name]],Table4[[#This Row],[Entity Name]])</f>
        <v>0051/25-26Aspirach Lanka</v>
      </c>
      <c r="D1673" s="36" t="s">
        <v>936</v>
      </c>
      <c r="E1673" s="36" t="s">
        <v>152</v>
      </c>
      <c r="F1673" s="49" t="s">
        <v>93</v>
      </c>
      <c r="G1673" s="101" t="s">
        <v>138</v>
      </c>
    </row>
    <row r="1674" spans="1:7" hidden="1">
      <c r="A1674" s="36" t="s">
        <v>1875</v>
      </c>
      <c r="B1674" s="36" t="s">
        <v>825</v>
      </c>
      <c r="C1674" s="36" t="str">
        <f>_xlfn.CONCAT(Table4[[#This Row],[Ledger Name]],Table4[[#This Row],[Entity Name]])</f>
        <v>0052/25-26Aspirach Lanka</v>
      </c>
      <c r="D1674" s="36" t="s">
        <v>936</v>
      </c>
      <c r="E1674" s="36" t="s">
        <v>152</v>
      </c>
      <c r="F1674" s="49" t="s">
        <v>93</v>
      </c>
      <c r="G1674" s="101" t="s">
        <v>138</v>
      </c>
    </row>
    <row r="1675" spans="1:7" hidden="1">
      <c r="A1675" s="36" t="s">
        <v>1876</v>
      </c>
      <c r="B1675" s="36" t="s">
        <v>825</v>
      </c>
      <c r="C1675" s="36" t="str">
        <f>_xlfn.CONCAT(Table4[[#This Row],[Ledger Name]],Table4[[#This Row],[Entity Name]])</f>
        <v>0054/25-26Aspirach Lanka</v>
      </c>
      <c r="D1675" s="36" t="s">
        <v>936</v>
      </c>
      <c r="E1675" s="36" t="s">
        <v>152</v>
      </c>
      <c r="F1675" s="49" t="s">
        <v>93</v>
      </c>
      <c r="G1675" s="101" t="s">
        <v>138</v>
      </c>
    </row>
    <row r="1676" spans="1:7" hidden="1">
      <c r="A1676" s="36" t="s">
        <v>1877</v>
      </c>
      <c r="B1676" s="36" t="s">
        <v>825</v>
      </c>
      <c r="C1676" s="36" t="str">
        <f>_xlfn.CONCAT(Table4[[#This Row],[Ledger Name]],Table4[[#This Row],[Entity Name]])</f>
        <v>0056/25-26Aspirach Lanka</v>
      </c>
      <c r="D1676" s="36" t="s">
        <v>936</v>
      </c>
      <c r="E1676" s="36" t="s">
        <v>152</v>
      </c>
      <c r="F1676" s="49" t="s">
        <v>93</v>
      </c>
      <c r="G1676" s="101" t="s">
        <v>138</v>
      </c>
    </row>
    <row r="1677" spans="1:7" hidden="1">
      <c r="A1677" s="36" t="s">
        <v>1878</v>
      </c>
      <c r="B1677" s="36" t="s">
        <v>825</v>
      </c>
      <c r="C1677" s="36" t="str">
        <f>_xlfn.CONCAT(Table4[[#This Row],[Ledger Name]],Table4[[#This Row],[Entity Name]])</f>
        <v>179/24-25Aspirach Lanka</v>
      </c>
      <c r="D1677" s="36" t="s">
        <v>936</v>
      </c>
      <c r="E1677" s="36" t="s">
        <v>152</v>
      </c>
      <c r="F1677" s="49" t="s">
        <v>93</v>
      </c>
      <c r="G1677" s="101" t="s">
        <v>138</v>
      </c>
    </row>
    <row r="1678" spans="1:7" hidden="1">
      <c r="A1678" s="249" t="s">
        <v>1824</v>
      </c>
      <c r="B1678" s="36" t="s">
        <v>826</v>
      </c>
      <c r="C1678" s="36" t="str">
        <f>_xlfn.CONCAT(Table4[[#This Row],[Ledger Name]],Table4[[#This Row],[Entity Name]])</f>
        <v>Late Fee IncomeArha General Trading Co (AGT)</v>
      </c>
      <c r="D1678" s="36" t="s">
        <v>936</v>
      </c>
      <c r="E1678" s="36" t="s">
        <v>152</v>
      </c>
      <c r="F1678" s="49" t="s">
        <v>93</v>
      </c>
      <c r="G1678" s="101" t="s">
        <v>138</v>
      </c>
    </row>
    <row r="1679" spans="1:7" hidden="1">
      <c r="A1679" s="249" t="s">
        <v>1825</v>
      </c>
      <c r="B1679" s="36" t="s">
        <v>826</v>
      </c>
      <c r="C1679" s="36" t="str">
        <f>_xlfn.CONCAT(Table4[[#This Row],[Ledger Name]],Table4[[#This Row],[Entity Name]])</f>
        <v>AGS/2025/225Arha General Trading Co (AGT)</v>
      </c>
      <c r="D1679" s="36" t="s">
        <v>936</v>
      </c>
      <c r="E1679" s="36" t="s">
        <v>152</v>
      </c>
      <c r="F1679" s="49" t="s">
        <v>93</v>
      </c>
      <c r="G1679" s="101" t="s">
        <v>138</v>
      </c>
    </row>
    <row r="1680" spans="1:7" hidden="1">
      <c r="A1680" s="249" t="s">
        <v>1826</v>
      </c>
      <c r="B1680" s="36" t="s">
        <v>826</v>
      </c>
      <c r="C1680" s="36" t="str">
        <f>_xlfn.CONCAT(Table4[[#This Row],[Ledger Name]],Table4[[#This Row],[Entity Name]])</f>
        <v>AGS/24-25/280Arha General Trading Co (AGT)</v>
      </c>
      <c r="D1680" s="36" t="s">
        <v>936</v>
      </c>
      <c r="E1680" s="36" t="s">
        <v>152</v>
      </c>
      <c r="F1680" s="49" t="s">
        <v>93</v>
      </c>
      <c r="G1680" s="101" t="s">
        <v>138</v>
      </c>
    </row>
    <row r="1681" spans="1:7" hidden="1">
      <c r="A1681" s="249" t="s">
        <v>1827</v>
      </c>
      <c r="B1681" s="36" t="s">
        <v>826</v>
      </c>
      <c r="C1681" s="36" t="str">
        <f>_xlfn.CONCAT(Table4[[#This Row],[Ledger Name]],Table4[[#This Row],[Entity Name]])</f>
        <v>ARGT/LOC/2024/416Arha General Trading Co (AGT)</v>
      </c>
      <c r="D1681" s="36" t="s">
        <v>936</v>
      </c>
      <c r="E1681" s="36" t="s">
        <v>152</v>
      </c>
      <c r="F1681" s="49" t="s">
        <v>93</v>
      </c>
      <c r="G1681" s="101" t="s">
        <v>1759</v>
      </c>
    </row>
    <row r="1682" spans="1:7" hidden="1">
      <c r="A1682" s="249" t="s">
        <v>1753</v>
      </c>
      <c r="B1682" s="36" t="s">
        <v>826</v>
      </c>
      <c r="C1682" s="36" t="str">
        <f>_xlfn.CONCAT(Table4[[#This Row],[Ledger Name]],Table4[[#This Row],[Entity Name]])</f>
        <v>ARGT/LOC/2025/002Arha General Trading Co (AGT)</v>
      </c>
      <c r="D1682" s="36" t="s">
        <v>936</v>
      </c>
      <c r="E1682" s="36" t="s">
        <v>152</v>
      </c>
      <c r="F1682" s="49" t="s">
        <v>93</v>
      </c>
      <c r="G1682" s="101" t="s">
        <v>138</v>
      </c>
    </row>
    <row r="1683" spans="1:7" hidden="1">
      <c r="A1683" s="249" t="s">
        <v>1754</v>
      </c>
      <c r="B1683" s="36" t="s">
        <v>826</v>
      </c>
      <c r="C1683" s="36" t="str">
        <f>_xlfn.CONCAT(Table4[[#This Row],[Ledger Name]],Table4[[#This Row],[Entity Name]])</f>
        <v>ARGT/LOC/2025/008Arha General Trading Co (AGT)</v>
      </c>
      <c r="D1683" s="36" t="s">
        <v>936</v>
      </c>
      <c r="E1683" s="36" t="s">
        <v>152</v>
      </c>
      <c r="F1683" s="49" t="s">
        <v>93</v>
      </c>
      <c r="G1683" s="101" t="s">
        <v>138</v>
      </c>
    </row>
    <row r="1684" spans="1:7" hidden="1">
      <c r="A1684" s="249" t="s">
        <v>1755</v>
      </c>
      <c r="B1684" s="36" t="s">
        <v>826</v>
      </c>
      <c r="C1684" s="36" t="str">
        <f>_xlfn.CONCAT(Table4[[#This Row],[Ledger Name]],Table4[[#This Row],[Entity Name]])</f>
        <v>ARGT/LOC/2025/009Arha General Trading Co (AGT)</v>
      </c>
      <c r="D1684" s="36" t="s">
        <v>936</v>
      </c>
      <c r="E1684" s="36" t="s">
        <v>152</v>
      </c>
      <c r="F1684" s="49" t="s">
        <v>93</v>
      </c>
      <c r="G1684" s="101" t="s">
        <v>138</v>
      </c>
    </row>
    <row r="1685" spans="1:7" hidden="1">
      <c r="A1685" s="249" t="s">
        <v>1758</v>
      </c>
      <c r="B1685" s="36" t="s">
        <v>826</v>
      </c>
      <c r="C1685" s="36" t="str">
        <f>_xlfn.CONCAT(Table4[[#This Row],[Ledger Name]],Table4[[#This Row],[Entity Name]])</f>
        <v>ARGT/LOC/2025/017Arha General Trading Co (AGT)</v>
      </c>
      <c r="D1685" s="36" t="s">
        <v>936</v>
      </c>
      <c r="E1685" s="36" t="s">
        <v>152</v>
      </c>
      <c r="F1685" s="49" t="s">
        <v>93</v>
      </c>
      <c r="G1685" s="101" t="s">
        <v>138</v>
      </c>
    </row>
    <row r="1686" spans="1:7" hidden="1">
      <c r="A1686" s="249" t="s">
        <v>1828</v>
      </c>
      <c r="B1686" s="36" t="s">
        <v>826</v>
      </c>
      <c r="C1686" s="36" t="str">
        <f>_xlfn.CONCAT(Table4[[#This Row],[Ledger Name]],Table4[[#This Row],[Entity Name]])</f>
        <v>ARGT/LOC/2025/085Arha General Trading Co (AGT)</v>
      </c>
      <c r="D1686" s="36" t="s">
        <v>936</v>
      </c>
      <c r="E1686" s="36" t="s">
        <v>152</v>
      </c>
      <c r="F1686" s="49" t="s">
        <v>93</v>
      </c>
      <c r="G1686" s="101" t="s">
        <v>138</v>
      </c>
    </row>
    <row r="1687" spans="1:7" hidden="1">
      <c r="A1687" s="250" t="s">
        <v>1829</v>
      </c>
      <c r="B1687" s="36" t="s">
        <v>826</v>
      </c>
      <c r="C1687" s="36" t="str">
        <f>_xlfn.CONCAT(Table4[[#This Row],[Ledger Name]],Table4[[#This Row],[Entity Name]])</f>
        <v>RIC-0023Arha General Trading Co (AGT)</v>
      </c>
      <c r="D1687" s="36" t="s">
        <v>936</v>
      </c>
      <c r="E1687" s="36" t="s">
        <v>152</v>
      </c>
      <c r="F1687" s="49" t="s">
        <v>93</v>
      </c>
      <c r="G1687" s="101" t="s">
        <v>138</v>
      </c>
    </row>
    <row r="1688" spans="1:7" hidden="1">
      <c r="A1688" s="250" t="s">
        <v>1830</v>
      </c>
      <c r="B1688" s="36" t="s">
        <v>826</v>
      </c>
      <c r="C1688" s="36" t="str">
        <f>_xlfn.CONCAT(Table4[[#This Row],[Ledger Name]],Table4[[#This Row],[Entity Name]])</f>
        <v>RIC-0025Arha General Trading Co (AGT)</v>
      </c>
      <c r="D1688" s="36" t="s">
        <v>936</v>
      </c>
      <c r="E1688" s="36" t="s">
        <v>152</v>
      </c>
      <c r="F1688" s="49" t="s">
        <v>93</v>
      </c>
      <c r="G1688" s="101" t="s">
        <v>138</v>
      </c>
    </row>
    <row r="1689" spans="1:7" hidden="1">
      <c r="A1689" s="250" t="s">
        <v>1831</v>
      </c>
      <c r="B1689" s="36" t="s">
        <v>826</v>
      </c>
      <c r="C1689" s="36" t="str">
        <f>_xlfn.CONCAT(Table4[[#This Row],[Ledger Name]],Table4[[#This Row],[Entity Name]])</f>
        <v>RIC-0029Arha General Trading Co (AGT)</v>
      </c>
      <c r="D1689" s="36" t="s">
        <v>936</v>
      </c>
      <c r="E1689" s="36" t="s">
        <v>152</v>
      </c>
      <c r="F1689" s="49" t="s">
        <v>93</v>
      </c>
      <c r="G1689" s="101" t="s">
        <v>138</v>
      </c>
    </row>
    <row r="1690" spans="1:7" hidden="1">
      <c r="A1690" s="250" t="s">
        <v>1832</v>
      </c>
      <c r="B1690" s="36" t="s">
        <v>826</v>
      </c>
      <c r="C1690" s="36" t="str">
        <f>_xlfn.CONCAT(Table4[[#This Row],[Ledger Name]],Table4[[#This Row],[Entity Name]])</f>
        <v>RIC0018Arha General Trading Co (AGT)</v>
      </c>
      <c r="D1690" s="36" t="s">
        <v>936</v>
      </c>
      <c r="E1690" s="36" t="s">
        <v>152</v>
      </c>
      <c r="F1690" s="49" t="s">
        <v>93</v>
      </c>
      <c r="G1690" s="101" t="s">
        <v>138</v>
      </c>
    </row>
    <row r="1691" spans="1:7" hidden="1">
      <c r="A1691" s="250" t="s">
        <v>1806</v>
      </c>
      <c r="B1691" s="36" t="s">
        <v>826</v>
      </c>
      <c r="C1691" s="36" t="str">
        <f>_xlfn.CONCAT(Table4[[#This Row],[Ledger Name]],Table4[[#This Row],[Entity Name]])</f>
        <v>TAEXP252615Arha General Trading Co (AGT)</v>
      </c>
      <c r="D1691" s="36" t="s">
        <v>936</v>
      </c>
      <c r="E1691" s="36" t="s">
        <v>152</v>
      </c>
      <c r="F1691" s="49" t="s">
        <v>93</v>
      </c>
      <c r="G1691" s="101" t="s">
        <v>138</v>
      </c>
    </row>
    <row r="1692" spans="1:7" hidden="1">
      <c r="A1692" s="250" t="s">
        <v>1807</v>
      </c>
      <c r="B1692" s="36" t="s">
        <v>826</v>
      </c>
      <c r="C1692" s="36" t="str">
        <f>_xlfn.CONCAT(Table4[[#This Row],[Ledger Name]],Table4[[#This Row],[Entity Name]])</f>
        <v>TAEXP252616Arha General Trading Co (AGT)</v>
      </c>
      <c r="D1692" s="36" t="s">
        <v>936</v>
      </c>
      <c r="E1692" s="36" t="s">
        <v>152</v>
      </c>
      <c r="F1692" s="49" t="s">
        <v>93</v>
      </c>
      <c r="G1692" s="101" t="s">
        <v>138</v>
      </c>
    </row>
    <row r="1693" spans="1:7" hidden="1">
      <c r="A1693" s="250" t="s">
        <v>1690</v>
      </c>
      <c r="B1693" s="36" t="s">
        <v>826</v>
      </c>
      <c r="C1693" s="36" t="str">
        <f>_xlfn.CONCAT(Table4[[#This Row],[Ledger Name]],Table4[[#This Row],[Entity Name]])</f>
        <v>TAEXP25264Arha General Trading Co (AGT)</v>
      </c>
      <c r="D1693" s="36" t="s">
        <v>936</v>
      </c>
      <c r="E1693" s="36" t="s">
        <v>152</v>
      </c>
      <c r="F1693" s="49" t="s">
        <v>93</v>
      </c>
      <c r="G1693" s="101" t="s">
        <v>138</v>
      </c>
    </row>
    <row r="1694" spans="1:7" hidden="1">
      <c r="A1694" s="250" t="s">
        <v>1746</v>
      </c>
      <c r="B1694" s="36" t="s">
        <v>826</v>
      </c>
      <c r="C1694" s="36" t="str">
        <f>_xlfn.CONCAT(Table4[[#This Row],[Ledger Name]],Table4[[#This Row],[Entity Name]])</f>
        <v>TAEXP25269Arha General Trading Co (AGT)</v>
      </c>
      <c r="D1694" s="36" t="s">
        <v>936</v>
      </c>
      <c r="E1694" s="36" t="s">
        <v>152</v>
      </c>
      <c r="F1694" s="49" t="s">
        <v>93</v>
      </c>
      <c r="G1694" s="101" t="s">
        <v>138</v>
      </c>
    </row>
    <row r="1695" spans="1:7" hidden="1">
      <c r="A1695" s="36" t="s">
        <v>306</v>
      </c>
      <c r="B1695" s="36" t="s">
        <v>314</v>
      </c>
      <c r="C1695" s="36" t="str">
        <f>_xlfn.CONCAT(Table4[[#This Row],[Ledger Name]],Table4[[#This Row],[Entity Name]])</f>
        <v>Foreign Exchange- Vishal ShahExpora</v>
      </c>
      <c r="D1695" s="36" t="s">
        <v>936</v>
      </c>
      <c r="E1695" s="49" t="s">
        <v>746</v>
      </c>
      <c r="F1695" s="49" t="s">
        <v>52</v>
      </c>
      <c r="G1695" s="101" t="s">
        <v>1613</v>
      </c>
    </row>
    <row r="1696" spans="1:7" hidden="1">
      <c r="A1696" s="36" t="s">
        <v>1888</v>
      </c>
      <c r="B1696" s="36" t="s">
        <v>314</v>
      </c>
      <c r="C1696" s="36" t="str">
        <f>_xlfn.CONCAT(Table4[[#This Row],[Ledger Name]],Table4[[#This Row],[Entity Name]])</f>
        <v>Input ISD CGSTExpora</v>
      </c>
      <c r="D1696" s="36" t="s">
        <v>936</v>
      </c>
      <c r="E1696" s="49" t="s">
        <v>746</v>
      </c>
      <c r="F1696" s="49" t="s">
        <v>52</v>
      </c>
      <c r="G1696" s="24" t="s">
        <v>1604</v>
      </c>
    </row>
    <row r="1697" spans="1:8" hidden="1">
      <c r="A1697" s="36" t="s">
        <v>1889</v>
      </c>
      <c r="B1697" s="36" t="s">
        <v>314</v>
      </c>
      <c r="C1697" s="36" t="str">
        <f>_xlfn.CONCAT(Table4[[#This Row],[Ledger Name]],Table4[[#This Row],[Entity Name]])</f>
        <v>Input ISD SGSTExpora</v>
      </c>
      <c r="D1697" s="36" t="s">
        <v>936</v>
      </c>
      <c r="E1697" s="49" t="s">
        <v>746</v>
      </c>
      <c r="F1697" s="49" t="s">
        <v>52</v>
      </c>
      <c r="G1697" s="24" t="s">
        <v>1604</v>
      </c>
    </row>
    <row r="1698" spans="1:8" hidden="1">
      <c r="A1698" s="36" t="s">
        <v>1890</v>
      </c>
      <c r="B1698" s="36" t="s">
        <v>314</v>
      </c>
      <c r="C1698" s="36" t="str">
        <f>_xlfn.CONCAT(Table4[[#This Row],[Ledger Name]],Table4[[#This Row],[Entity Name]])</f>
        <v>AMI Agrotech Private Limited 51%Expora</v>
      </c>
      <c r="D1698" s="36" t="s">
        <v>936</v>
      </c>
      <c r="E1698" s="49" t="s">
        <v>746</v>
      </c>
      <c r="F1698" s="49" t="s">
        <v>209</v>
      </c>
      <c r="G1698" s="36" t="s">
        <v>2088</v>
      </c>
    </row>
    <row r="1699" spans="1:8" hidden="1">
      <c r="A1699" s="36" t="s">
        <v>1882</v>
      </c>
      <c r="B1699" s="36" t="s">
        <v>314</v>
      </c>
      <c r="C1699" s="36" t="str">
        <f>_xlfn.CONCAT(Table4[[#This Row],[Ledger Name]],Table4[[#This Row],[Entity Name]])</f>
        <v>TRADEARCH MARKET PLATFORMS PVT LTD - CANARA BANKExpora</v>
      </c>
      <c r="D1699" s="36" t="s">
        <v>936</v>
      </c>
      <c r="E1699" s="49" t="s">
        <v>746</v>
      </c>
      <c r="F1699" s="49" t="s">
        <v>24</v>
      </c>
      <c r="G1699" s="24" t="s">
        <v>1613</v>
      </c>
      <c r="H1699" s="24"/>
    </row>
    <row r="1700" spans="1:8" hidden="1">
      <c r="A1700" s="36" t="s">
        <v>1883</v>
      </c>
      <c r="B1700" s="36" t="s">
        <v>314</v>
      </c>
      <c r="C1700" s="36" t="str">
        <f>_xlfn.CONCAT(Table4[[#This Row],[Ledger Name]],Table4[[#This Row],[Entity Name]])</f>
        <v>TRADEARCH MARKET PLATFORMS PVT LTD- AXIS BANKExpora</v>
      </c>
      <c r="D1700" s="36" t="s">
        <v>936</v>
      </c>
      <c r="E1700" s="49" t="s">
        <v>746</v>
      </c>
      <c r="F1700" s="49" t="s">
        <v>24</v>
      </c>
      <c r="G1700" s="24" t="s">
        <v>1613</v>
      </c>
    </row>
    <row r="1701" spans="1:8" hidden="1">
      <c r="A1701" s="36" t="s">
        <v>1884</v>
      </c>
      <c r="B1701" s="36" t="s">
        <v>314</v>
      </c>
      <c r="C1701" s="36" t="str">
        <f>_xlfn.CONCAT(Table4[[#This Row],[Ledger Name]],Table4[[#This Row],[Entity Name]])</f>
        <v>TRADEARCH MARKET PLATFORMS PVT LTD- OD ACCOUNT CANARAExpora</v>
      </c>
      <c r="D1701" s="36" t="s">
        <v>936</v>
      </c>
      <c r="E1701" s="49" t="s">
        <v>746</v>
      </c>
      <c r="F1701" s="49" t="s">
        <v>24</v>
      </c>
      <c r="G1701" s="24" t="s">
        <v>1613</v>
      </c>
    </row>
    <row r="1702" spans="1:8" hidden="1">
      <c r="A1702" s="36" t="s">
        <v>1891</v>
      </c>
      <c r="B1702" s="36" t="s">
        <v>314</v>
      </c>
      <c r="C1702" s="36" t="str">
        <f>_xlfn.CONCAT(Table4[[#This Row],[Ledger Name]],Table4[[#This Row],[Entity Name]])</f>
        <v>Shubham Jain-Flexi reimbursementExpora</v>
      </c>
      <c r="D1702" s="36" t="s">
        <v>936</v>
      </c>
      <c r="E1702" s="49" t="s">
        <v>746</v>
      </c>
      <c r="F1702" s="49" t="s">
        <v>195</v>
      </c>
      <c r="G1702" s="6" t="s">
        <v>1626</v>
      </c>
    </row>
    <row r="1703" spans="1:8" hidden="1">
      <c r="A1703" s="36" t="s">
        <v>1892</v>
      </c>
      <c r="B1703" s="36" t="s">
        <v>314</v>
      </c>
      <c r="C1703" s="36" t="str">
        <f>_xlfn.CONCAT(Table4[[#This Row],[Ledger Name]],Table4[[#This Row],[Entity Name]])</f>
        <v>Viral Flexi ReimbursementExpora</v>
      </c>
      <c r="D1703" s="36" t="s">
        <v>936</v>
      </c>
      <c r="E1703" s="49" t="s">
        <v>746</v>
      </c>
      <c r="F1703" s="49" t="s">
        <v>195</v>
      </c>
      <c r="G1703" s="6" t="s">
        <v>1626</v>
      </c>
    </row>
    <row r="1704" spans="1:8" hidden="1">
      <c r="A1704" s="36" t="s">
        <v>625</v>
      </c>
      <c r="B1704" s="36" t="s">
        <v>314</v>
      </c>
      <c r="C1704" s="36" t="str">
        <f>_xlfn.CONCAT(Table4[[#This Row],[Ledger Name]],Table4[[#This Row],[Entity Name]])</f>
        <v>Abhinav Boria ReimbursementExpora</v>
      </c>
      <c r="D1704" s="162" t="s">
        <v>936</v>
      </c>
      <c r="E1704" s="163" t="s">
        <v>746</v>
      </c>
      <c r="F1704" s="163" t="s">
        <v>195</v>
      </c>
      <c r="G1704" s="6" t="s">
        <v>1625</v>
      </c>
    </row>
    <row r="1705" spans="1:8" hidden="1">
      <c r="A1705" s="36" t="s">
        <v>1893</v>
      </c>
      <c r="B1705" s="36" t="s">
        <v>314</v>
      </c>
      <c r="C1705" s="36" t="str">
        <f>_xlfn.CONCAT(Table4[[#This Row],[Ledger Name]],Table4[[#This Row],[Entity Name]])</f>
        <v>Interest on Unsecured Loan Payable- AspireExpora</v>
      </c>
      <c r="D1705" s="36" t="s">
        <v>936</v>
      </c>
      <c r="E1705" s="49" t="s">
        <v>746</v>
      </c>
      <c r="F1705" s="49" t="s">
        <v>48</v>
      </c>
      <c r="G1705" s="101" t="s">
        <v>48</v>
      </c>
    </row>
    <row r="1706" spans="1:8" hidden="1">
      <c r="A1706" s="36" t="s">
        <v>1894</v>
      </c>
      <c r="B1706" s="36" t="s">
        <v>314</v>
      </c>
      <c r="C1706" s="36" t="str">
        <f>_xlfn.CONCAT(Table4[[#This Row],[Ledger Name]],Table4[[#This Row],[Entity Name]])</f>
        <v>Kaushal-advance salaryExpora</v>
      </c>
      <c r="D1706" s="36" t="s">
        <v>936</v>
      </c>
      <c r="E1706" s="49" t="s">
        <v>746</v>
      </c>
      <c r="F1706" s="49" t="s">
        <v>195</v>
      </c>
      <c r="G1706" s="6" t="s">
        <v>1623</v>
      </c>
    </row>
    <row r="1707" spans="1:8" hidden="1">
      <c r="A1707" s="36" t="s">
        <v>1895</v>
      </c>
      <c r="B1707" s="36" t="s">
        <v>314</v>
      </c>
      <c r="C1707" s="36" t="str">
        <f>_xlfn.CONCAT(Table4[[#This Row],[Ledger Name]],Table4[[#This Row],[Entity Name]])</f>
        <v>D14081008Expora</v>
      </c>
      <c r="D1707" s="36" t="s">
        <v>936</v>
      </c>
      <c r="E1707" s="49" t="s">
        <v>746</v>
      </c>
      <c r="F1707" s="49" t="s">
        <v>345</v>
      </c>
      <c r="G1707" s="101" t="s">
        <v>278</v>
      </c>
    </row>
    <row r="1708" spans="1:8" hidden="1">
      <c r="A1708" s="36" t="s">
        <v>1896</v>
      </c>
      <c r="B1708" s="36" t="s">
        <v>314</v>
      </c>
      <c r="C1708" s="36" t="str">
        <f>_xlfn.CONCAT(Table4[[#This Row],[Ledger Name]],Table4[[#This Row],[Entity Name]])</f>
        <v>D14086380Expora</v>
      </c>
      <c r="D1708" s="36" t="s">
        <v>936</v>
      </c>
      <c r="E1708" s="49" t="s">
        <v>746</v>
      </c>
      <c r="F1708" s="49" t="s">
        <v>345</v>
      </c>
      <c r="G1708" s="101" t="s">
        <v>278</v>
      </c>
    </row>
    <row r="1709" spans="1:8" hidden="1">
      <c r="A1709" s="36" t="s">
        <v>1897</v>
      </c>
      <c r="B1709" s="36" t="s">
        <v>314</v>
      </c>
      <c r="C1709" s="36" t="str">
        <f>_xlfn.CONCAT(Table4[[#This Row],[Ledger Name]],Table4[[#This Row],[Entity Name]])</f>
        <v>F02PCFC251915003Expora</v>
      </c>
      <c r="D1709" s="36" t="s">
        <v>936</v>
      </c>
      <c r="E1709" s="49" t="s">
        <v>746</v>
      </c>
      <c r="F1709" s="49" t="s">
        <v>345</v>
      </c>
      <c r="G1709" s="101" t="s">
        <v>278</v>
      </c>
    </row>
    <row r="1710" spans="1:8" hidden="1">
      <c r="A1710" s="36" t="s">
        <v>1885</v>
      </c>
      <c r="B1710" s="36" t="s">
        <v>314</v>
      </c>
      <c r="C1710" s="36" t="str">
        <f>_xlfn.CONCAT(Table4[[#This Row],[Ledger Name]],Table4[[#This Row],[Entity Name]])</f>
        <v>F02PCFC251985001Expora</v>
      </c>
      <c r="D1710" s="36" t="s">
        <v>936</v>
      </c>
      <c r="E1710" s="49" t="s">
        <v>746</v>
      </c>
      <c r="F1710" s="49" t="s">
        <v>345</v>
      </c>
      <c r="G1710" s="101" t="s">
        <v>278</v>
      </c>
    </row>
    <row r="1711" spans="1:8" hidden="1">
      <c r="A1711" s="36" t="s">
        <v>1898</v>
      </c>
      <c r="B1711" s="36" t="s">
        <v>314</v>
      </c>
      <c r="C1711" s="36" t="str">
        <f>_xlfn.CONCAT(Table4[[#This Row],[Ledger Name]],Table4[[#This Row],[Entity Name]])</f>
        <v>F02PCFC252695001Expora</v>
      </c>
      <c r="D1711" s="36" t="s">
        <v>936</v>
      </c>
      <c r="E1711" s="49" t="s">
        <v>746</v>
      </c>
      <c r="F1711" s="49" t="s">
        <v>345</v>
      </c>
      <c r="G1711" s="101" t="s">
        <v>278</v>
      </c>
    </row>
    <row r="1712" spans="1:8" hidden="1">
      <c r="A1712" s="36" t="s">
        <v>1899</v>
      </c>
      <c r="B1712" s="36" t="s">
        <v>314</v>
      </c>
      <c r="C1712" s="36" t="str">
        <f>_xlfn.CONCAT(Table4[[#This Row],[Ledger Name]],Table4[[#This Row],[Entity Name]])</f>
        <v>F02PCFC252895002Expora</v>
      </c>
      <c r="D1712" s="36" t="s">
        <v>936</v>
      </c>
      <c r="E1712" s="49" t="s">
        <v>746</v>
      </c>
      <c r="F1712" s="49" t="s">
        <v>345</v>
      </c>
      <c r="G1712" s="101" t="s">
        <v>278</v>
      </c>
    </row>
    <row r="1713" spans="1:7" hidden="1">
      <c r="A1713" s="36" t="s">
        <v>1900</v>
      </c>
      <c r="B1713" s="36" t="s">
        <v>314</v>
      </c>
      <c r="C1713" s="36" t="str">
        <f>_xlfn.CONCAT(Table4[[#This Row],[Ledger Name]],Table4[[#This Row],[Entity Name]])</f>
        <v>F02PCFC252905002Expora</v>
      </c>
      <c r="D1713" s="36" t="s">
        <v>936</v>
      </c>
      <c r="E1713" s="49" t="s">
        <v>746</v>
      </c>
      <c r="F1713" s="49" t="s">
        <v>345</v>
      </c>
      <c r="G1713" s="101" t="s">
        <v>278</v>
      </c>
    </row>
    <row r="1714" spans="1:7" hidden="1">
      <c r="A1714" s="36" t="s">
        <v>1901</v>
      </c>
      <c r="B1714" s="36" t="s">
        <v>314</v>
      </c>
      <c r="C1714" s="36" t="str">
        <f>_xlfn.CONCAT(Table4[[#This Row],[Ledger Name]],Table4[[#This Row],[Entity Name]])</f>
        <v>F02PCFC253035001Expora</v>
      </c>
      <c r="D1714" s="36" t="s">
        <v>936</v>
      </c>
      <c r="E1714" s="49" t="s">
        <v>746</v>
      </c>
      <c r="F1714" s="49" t="s">
        <v>345</v>
      </c>
      <c r="G1714" s="101" t="s">
        <v>278</v>
      </c>
    </row>
    <row r="1715" spans="1:7" hidden="1">
      <c r="A1715" s="36" t="s">
        <v>1902</v>
      </c>
      <c r="B1715" s="36" t="s">
        <v>314</v>
      </c>
      <c r="C1715" s="36" t="str">
        <f>_xlfn.CONCAT(Table4[[#This Row],[Ledger Name]],Table4[[#This Row],[Entity Name]])</f>
        <v>PC-D14114766Expora</v>
      </c>
      <c r="D1715" s="36" t="s">
        <v>936</v>
      </c>
      <c r="E1715" s="49" t="s">
        <v>746</v>
      </c>
      <c r="F1715" s="49" t="s">
        <v>345</v>
      </c>
      <c r="G1715" s="101" t="s">
        <v>278</v>
      </c>
    </row>
    <row r="1716" spans="1:7" hidden="1">
      <c r="A1716" s="36" t="s">
        <v>1903</v>
      </c>
      <c r="B1716" s="36" t="s">
        <v>314</v>
      </c>
      <c r="C1716" s="36" t="str">
        <f>_xlfn.CONCAT(Table4[[#This Row],[Ledger Name]],Table4[[#This Row],[Entity Name]])</f>
        <v>PC:D13955311Expora</v>
      </c>
      <c r="D1716" s="36" t="s">
        <v>936</v>
      </c>
      <c r="E1716" s="49" t="s">
        <v>746</v>
      </c>
      <c r="F1716" s="49" t="s">
        <v>345</v>
      </c>
      <c r="G1716" s="101" t="s">
        <v>278</v>
      </c>
    </row>
    <row r="1717" spans="1:7" hidden="1">
      <c r="A1717" s="36" t="s">
        <v>1904</v>
      </c>
      <c r="B1717" s="36" t="s">
        <v>314</v>
      </c>
      <c r="C1717" s="36" t="str">
        <f>_xlfn.CONCAT(Table4[[#This Row],[Ledger Name]],Table4[[#This Row],[Entity Name]])</f>
        <v>PC:D14010888Expora</v>
      </c>
      <c r="D1717" s="36" t="s">
        <v>936</v>
      </c>
      <c r="E1717" s="49" t="s">
        <v>746</v>
      </c>
      <c r="F1717" s="49" t="s">
        <v>345</v>
      </c>
      <c r="G1717" s="101" t="s">
        <v>278</v>
      </c>
    </row>
    <row r="1718" spans="1:7" hidden="1">
      <c r="A1718" s="36" t="s">
        <v>1905</v>
      </c>
      <c r="B1718" s="36" t="s">
        <v>314</v>
      </c>
      <c r="C1718" s="36" t="str">
        <f>_xlfn.CONCAT(Table4[[#This Row],[Ledger Name]],Table4[[#This Row],[Entity Name]])</f>
        <v>PC:D14037021 DUE DATE 07-02-2026Expora</v>
      </c>
      <c r="D1718" s="36" t="s">
        <v>936</v>
      </c>
      <c r="E1718" s="49" t="s">
        <v>746</v>
      </c>
      <c r="F1718" s="49" t="s">
        <v>345</v>
      </c>
      <c r="G1718" s="101" t="s">
        <v>278</v>
      </c>
    </row>
    <row r="1719" spans="1:7" hidden="1">
      <c r="A1719" s="36" t="s">
        <v>1906</v>
      </c>
      <c r="B1719" s="36" t="s">
        <v>314</v>
      </c>
      <c r="C1719" s="36" t="str">
        <f>_xlfn.CONCAT(Table4[[#This Row],[Ledger Name]],Table4[[#This Row],[Entity Name]])</f>
        <v>PC:D14077066Expora</v>
      </c>
      <c r="D1719" s="36" t="s">
        <v>936</v>
      </c>
      <c r="E1719" s="49" t="s">
        <v>746</v>
      </c>
      <c r="F1719" s="49" t="s">
        <v>345</v>
      </c>
      <c r="G1719" s="101" t="s">
        <v>278</v>
      </c>
    </row>
    <row r="1720" spans="1:7" hidden="1">
      <c r="A1720" s="36" t="s">
        <v>1907</v>
      </c>
      <c r="B1720" s="36" t="s">
        <v>314</v>
      </c>
      <c r="C1720" s="36" t="str">
        <f>_xlfn.CONCAT(Table4[[#This Row],[Ledger Name]],Table4[[#This Row],[Entity Name]])</f>
        <v>TDS on Commission/BrokerageExpora</v>
      </c>
      <c r="D1720" s="36" t="s">
        <v>936</v>
      </c>
      <c r="E1720" s="49" t="s">
        <v>746</v>
      </c>
      <c r="F1720" s="49" t="s">
        <v>63</v>
      </c>
      <c r="G1720" s="24" t="s">
        <v>63</v>
      </c>
    </row>
    <row r="1721" spans="1:7" hidden="1">
      <c r="A1721" s="36" t="s">
        <v>1908</v>
      </c>
      <c r="B1721" s="36" t="s">
        <v>314</v>
      </c>
      <c r="C1721" s="36" t="str">
        <f>_xlfn.CONCAT(Table4[[#This Row],[Ledger Name]],Table4[[#This Row],[Entity Name]])</f>
        <v>TDS on ContractExpora</v>
      </c>
      <c r="D1721" s="36" t="s">
        <v>936</v>
      </c>
      <c r="E1721" s="49" t="s">
        <v>746</v>
      </c>
      <c r="F1721" s="49" t="s">
        <v>63</v>
      </c>
      <c r="G1721" s="24" t="s">
        <v>63</v>
      </c>
    </row>
    <row r="1722" spans="1:7" hidden="1">
      <c r="A1722" s="36" t="s">
        <v>88</v>
      </c>
      <c r="B1722" s="36" t="s">
        <v>314</v>
      </c>
      <c r="C1722" s="36" t="str">
        <f>_xlfn.CONCAT(Table4[[#This Row],[Ledger Name]],Table4[[#This Row],[Entity Name]])</f>
        <v>TDS on Professional FeesExpora</v>
      </c>
      <c r="D1722" s="36" t="s">
        <v>936</v>
      </c>
      <c r="E1722" s="49" t="s">
        <v>746</v>
      </c>
      <c r="F1722" s="49" t="s">
        <v>63</v>
      </c>
      <c r="G1722" s="24" t="s">
        <v>63</v>
      </c>
    </row>
    <row r="1723" spans="1:7" hidden="1">
      <c r="A1723" s="36" t="s">
        <v>1909</v>
      </c>
      <c r="B1723" s="36" t="s">
        <v>314</v>
      </c>
      <c r="C1723" s="36" t="str">
        <f>_xlfn.CONCAT(Table4[[#This Row],[Ledger Name]],Table4[[#This Row],[Entity Name]])</f>
        <v>TDS on Purchase of GoodsExpora</v>
      </c>
      <c r="D1723" s="36" t="s">
        <v>936</v>
      </c>
      <c r="E1723" s="49" t="s">
        <v>746</v>
      </c>
      <c r="F1723" s="49" t="s">
        <v>63</v>
      </c>
      <c r="G1723" s="24" t="s">
        <v>63</v>
      </c>
    </row>
    <row r="1724" spans="1:7" hidden="1">
      <c r="A1724" s="36" t="s">
        <v>1910</v>
      </c>
      <c r="B1724" s="36" t="s">
        <v>314</v>
      </c>
      <c r="C1724" s="36" t="str">
        <f>_xlfn.CONCAT(Table4[[#This Row],[Ledger Name]],Table4[[#This Row],[Entity Name]])</f>
        <v>TDS on RentExpora</v>
      </c>
      <c r="D1724" s="36" t="s">
        <v>936</v>
      </c>
      <c r="E1724" s="49" t="s">
        <v>746</v>
      </c>
      <c r="F1724" s="49" t="s">
        <v>63</v>
      </c>
      <c r="G1724" s="24" t="s">
        <v>63</v>
      </c>
    </row>
    <row r="1725" spans="1:7" hidden="1">
      <c r="A1725" s="36" t="s">
        <v>1911</v>
      </c>
      <c r="B1725" s="36" t="s">
        <v>314</v>
      </c>
      <c r="C1725" s="36" t="str">
        <f>_xlfn.CONCAT(Table4[[#This Row],[Ledger Name]],Table4[[#This Row],[Entity Name]])</f>
        <v>Aspire Financial Consulting loanExpora</v>
      </c>
      <c r="D1725" s="36" t="s">
        <v>936</v>
      </c>
      <c r="E1725" s="49" t="s">
        <v>746</v>
      </c>
      <c r="F1725" s="49" t="s">
        <v>345</v>
      </c>
      <c r="G1725" s="6" t="s">
        <v>1619</v>
      </c>
    </row>
    <row r="1726" spans="1:7" hidden="1">
      <c r="A1726" s="36" t="s">
        <v>828</v>
      </c>
      <c r="B1726" s="36" t="s">
        <v>314</v>
      </c>
      <c r="C1726" s="36" t="str">
        <f>_xlfn.CONCAT(Table4[[#This Row],[Ledger Name]],Table4[[#This Row],[Entity Name]])</f>
        <v>Hiten KatariaExpora</v>
      </c>
      <c r="D1726" s="36" t="s">
        <v>936</v>
      </c>
      <c r="E1726" s="49" t="s">
        <v>746</v>
      </c>
      <c r="F1726" s="49" t="s">
        <v>26</v>
      </c>
      <c r="G1726" s="24" t="s">
        <v>1615</v>
      </c>
    </row>
    <row r="1727" spans="1:7" hidden="1">
      <c r="A1727" s="36" t="s">
        <v>1886</v>
      </c>
      <c r="B1727" s="36" t="s">
        <v>314</v>
      </c>
      <c r="C1727" s="36" t="str">
        <f>_xlfn.CONCAT(Table4[[#This Row],[Ledger Name]],Table4[[#This Row],[Entity Name]])</f>
        <v>Shivani Hiten katariaExpora</v>
      </c>
      <c r="D1727" s="36" t="s">
        <v>936</v>
      </c>
      <c r="E1727" s="49" t="s">
        <v>746</v>
      </c>
      <c r="F1727" s="49" t="s">
        <v>26</v>
      </c>
      <c r="G1727" s="24" t="s">
        <v>1615</v>
      </c>
    </row>
    <row r="1728" spans="1:7" hidden="1">
      <c r="A1728" s="36" t="s">
        <v>1912</v>
      </c>
      <c r="B1728" s="36" t="s">
        <v>314</v>
      </c>
      <c r="C1728" s="36" t="str">
        <f>_xlfn.CONCAT(Table4[[#This Row],[Ledger Name]],Table4[[#This Row],[Entity Name]])</f>
        <v>SE/2081/2499 DDBExpora</v>
      </c>
      <c r="D1728" s="36" t="s">
        <v>936</v>
      </c>
      <c r="E1728" s="49" t="s">
        <v>152</v>
      </c>
      <c r="F1728" s="49" t="s">
        <v>189</v>
      </c>
      <c r="G1728" s="101" t="s">
        <v>163</v>
      </c>
    </row>
    <row r="1729" spans="1:7" hidden="1">
      <c r="A1729" s="36" t="s">
        <v>1913</v>
      </c>
      <c r="B1729" s="36" t="s">
        <v>314</v>
      </c>
      <c r="C1729" s="36" t="str">
        <f>_xlfn.CONCAT(Table4[[#This Row],[Ledger Name]],Table4[[#This Row],[Entity Name]])</f>
        <v>SE/2081/2569 DDBExpora</v>
      </c>
      <c r="D1729" s="36" t="s">
        <v>936</v>
      </c>
      <c r="E1729" s="49" t="s">
        <v>152</v>
      </c>
      <c r="F1729" s="49" t="s">
        <v>189</v>
      </c>
      <c r="G1729" s="101" t="s">
        <v>163</v>
      </c>
    </row>
    <row r="1730" spans="1:7" hidden="1">
      <c r="A1730" s="36" t="s">
        <v>1914</v>
      </c>
      <c r="B1730" s="36" t="s">
        <v>314</v>
      </c>
      <c r="C1730" s="36" t="str">
        <f>_xlfn.CONCAT(Table4[[#This Row],[Ledger Name]],Table4[[#This Row],[Entity Name]])</f>
        <v>TAEXP252626 DDBExpora</v>
      </c>
      <c r="D1730" s="36" t="s">
        <v>936</v>
      </c>
      <c r="E1730" s="49" t="s">
        <v>152</v>
      </c>
      <c r="F1730" s="49" t="s">
        <v>189</v>
      </c>
      <c r="G1730" s="101" t="s">
        <v>163</v>
      </c>
    </row>
    <row r="1731" spans="1:7" hidden="1">
      <c r="A1731" s="36" t="s">
        <v>1915</v>
      </c>
      <c r="B1731" s="36" t="s">
        <v>314</v>
      </c>
      <c r="C1731" s="36" t="str">
        <f>_xlfn.CONCAT(Table4[[#This Row],[Ledger Name]],Table4[[#This Row],[Entity Name]])</f>
        <v>TAEXP252628 DDBExpora</v>
      </c>
      <c r="D1731" s="36" t="s">
        <v>936</v>
      </c>
      <c r="E1731" s="49" t="s">
        <v>152</v>
      </c>
      <c r="F1731" s="49" t="s">
        <v>189</v>
      </c>
      <c r="G1731" s="101" t="s">
        <v>163</v>
      </c>
    </row>
    <row r="1732" spans="1:7" hidden="1">
      <c r="A1732" s="36" t="s">
        <v>1916</v>
      </c>
      <c r="B1732" s="36" t="s">
        <v>314</v>
      </c>
      <c r="C1732" s="36" t="str">
        <f>_xlfn.CONCAT(Table4[[#This Row],[Ledger Name]],Table4[[#This Row],[Entity Name]])</f>
        <v>TAEXP252633 DDBExpora</v>
      </c>
      <c r="D1732" s="36" t="s">
        <v>936</v>
      </c>
      <c r="E1732" s="49" t="s">
        <v>152</v>
      </c>
      <c r="F1732" s="49" t="s">
        <v>189</v>
      </c>
      <c r="G1732" s="101" t="s">
        <v>163</v>
      </c>
    </row>
    <row r="1733" spans="1:7" hidden="1">
      <c r="A1733" s="36" t="s">
        <v>1917</v>
      </c>
      <c r="B1733" s="36" t="s">
        <v>314</v>
      </c>
      <c r="C1733" s="36" t="str">
        <f>_xlfn.CONCAT(Table4[[#This Row],[Ledger Name]],Table4[[#This Row],[Entity Name]])</f>
        <v>TAEXP252638 DDBExpora</v>
      </c>
      <c r="D1733" s="36" t="s">
        <v>936</v>
      </c>
      <c r="E1733" s="49" t="s">
        <v>152</v>
      </c>
      <c r="F1733" s="49" t="s">
        <v>189</v>
      </c>
      <c r="G1733" s="101" t="s">
        <v>163</v>
      </c>
    </row>
    <row r="1734" spans="1:7" hidden="1">
      <c r="A1734" s="36" t="s">
        <v>1918</v>
      </c>
      <c r="B1734" s="36" t="s">
        <v>314</v>
      </c>
      <c r="C1734" s="36" t="str">
        <f>_xlfn.CONCAT(Table4[[#This Row],[Ledger Name]],Table4[[#This Row],[Entity Name]])</f>
        <v>TAEXP252644 DDBExpora</v>
      </c>
      <c r="D1734" s="36" t="s">
        <v>936</v>
      </c>
      <c r="E1734" s="49" t="s">
        <v>152</v>
      </c>
      <c r="F1734" s="49" t="s">
        <v>189</v>
      </c>
      <c r="G1734" s="101" t="s">
        <v>163</v>
      </c>
    </row>
    <row r="1735" spans="1:7" hidden="1">
      <c r="A1735" s="36" t="s">
        <v>1919</v>
      </c>
      <c r="B1735" s="36" t="s">
        <v>314</v>
      </c>
      <c r="C1735" s="36" t="str">
        <f>_xlfn.CONCAT(Table4[[#This Row],[Ledger Name]],Table4[[#This Row],[Entity Name]])</f>
        <v>TAEXP252646 DDBExpora</v>
      </c>
      <c r="D1735" s="36" t="s">
        <v>936</v>
      </c>
      <c r="E1735" s="49" t="s">
        <v>152</v>
      </c>
      <c r="F1735" s="49" t="s">
        <v>189</v>
      </c>
      <c r="G1735" s="101" t="s">
        <v>163</v>
      </c>
    </row>
    <row r="1736" spans="1:7" hidden="1">
      <c r="A1736" s="36" t="s">
        <v>1920</v>
      </c>
      <c r="B1736" s="36" t="s">
        <v>314</v>
      </c>
      <c r="C1736" s="36" t="str">
        <f>_xlfn.CONCAT(Table4[[#This Row],[Ledger Name]],Table4[[#This Row],[Entity Name]])</f>
        <v>TAEXP252647 DDBExpora</v>
      </c>
      <c r="D1736" s="36" t="s">
        <v>936</v>
      </c>
      <c r="E1736" s="49" t="s">
        <v>152</v>
      </c>
      <c r="F1736" s="49" t="s">
        <v>189</v>
      </c>
      <c r="G1736" s="101" t="s">
        <v>163</v>
      </c>
    </row>
    <row r="1737" spans="1:7" hidden="1">
      <c r="A1737" s="36" t="s">
        <v>1921</v>
      </c>
      <c r="B1737" s="36" t="s">
        <v>314</v>
      </c>
      <c r="C1737" s="36" t="str">
        <f>_xlfn.CONCAT(Table4[[#This Row],[Ledger Name]],Table4[[#This Row],[Entity Name]])</f>
        <v>SE/2081/2499 RODTEPExpora</v>
      </c>
      <c r="D1737" s="36" t="s">
        <v>936</v>
      </c>
      <c r="E1737" s="49" t="s">
        <v>152</v>
      </c>
      <c r="F1737" s="49" t="s">
        <v>189</v>
      </c>
      <c r="G1737" s="101" t="s">
        <v>313</v>
      </c>
    </row>
    <row r="1738" spans="1:7" hidden="1">
      <c r="A1738" s="36" t="s">
        <v>1922</v>
      </c>
      <c r="B1738" s="36" t="s">
        <v>314</v>
      </c>
      <c r="C1738" s="36" t="str">
        <f>_xlfn.CONCAT(Table4[[#This Row],[Ledger Name]],Table4[[#This Row],[Entity Name]])</f>
        <v>SE/2081/2569 RodtepExpora</v>
      </c>
      <c r="D1738" s="36" t="s">
        <v>936</v>
      </c>
      <c r="E1738" s="49" t="s">
        <v>152</v>
      </c>
      <c r="F1738" s="49" t="s">
        <v>189</v>
      </c>
      <c r="G1738" s="101" t="s">
        <v>313</v>
      </c>
    </row>
    <row r="1739" spans="1:7" hidden="1">
      <c r="A1739" s="36" t="s">
        <v>1923</v>
      </c>
      <c r="B1739" s="36" t="s">
        <v>314</v>
      </c>
      <c r="C1739" s="36" t="str">
        <f>_xlfn.CONCAT(Table4[[#This Row],[Ledger Name]],Table4[[#This Row],[Entity Name]])</f>
        <v>TAEXP252623 RODTEPExpora</v>
      </c>
      <c r="D1739" s="36" t="s">
        <v>936</v>
      </c>
      <c r="E1739" s="49" t="s">
        <v>152</v>
      </c>
      <c r="F1739" s="49" t="s">
        <v>189</v>
      </c>
      <c r="G1739" s="101" t="s">
        <v>313</v>
      </c>
    </row>
    <row r="1740" spans="1:7" hidden="1">
      <c r="A1740" s="36" t="s">
        <v>1924</v>
      </c>
      <c r="B1740" s="36" t="s">
        <v>314</v>
      </c>
      <c r="C1740" s="36" t="str">
        <f>_xlfn.CONCAT(Table4[[#This Row],[Ledger Name]],Table4[[#This Row],[Entity Name]])</f>
        <v>TAEXP252624 RODTEPExpora</v>
      </c>
      <c r="D1740" s="36" t="s">
        <v>936</v>
      </c>
      <c r="E1740" s="49" t="s">
        <v>152</v>
      </c>
      <c r="F1740" s="49" t="s">
        <v>189</v>
      </c>
      <c r="G1740" s="101" t="s">
        <v>313</v>
      </c>
    </row>
    <row r="1741" spans="1:7" hidden="1">
      <c r="A1741" s="36" t="s">
        <v>1925</v>
      </c>
      <c r="B1741" s="36" t="s">
        <v>314</v>
      </c>
      <c r="C1741" s="36" t="str">
        <f>_xlfn.CONCAT(Table4[[#This Row],[Ledger Name]],Table4[[#This Row],[Entity Name]])</f>
        <v>TAEXP252625 RODTEPExpora</v>
      </c>
      <c r="D1741" s="36" t="s">
        <v>936</v>
      </c>
      <c r="E1741" s="49" t="s">
        <v>152</v>
      </c>
      <c r="F1741" s="49" t="s">
        <v>189</v>
      </c>
      <c r="G1741" s="101" t="s">
        <v>313</v>
      </c>
    </row>
    <row r="1742" spans="1:7" hidden="1">
      <c r="A1742" s="36" t="s">
        <v>1926</v>
      </c>
      <c r="B1742" s="36" t="s">
        <v>314</v>
      </c>
      <c r="C1742" s="36" t="str">
        <f>_xlfn.CONCAT(Table4[[#This Row],[Ledger Name]],Table4[[#This Row],[Entity Name]])</f>
        <v>TAEXP252626 RODTEPExpora</v>
      </c>
      <c r="D1742" s="36" t="s">
        <v>936</v>
      </c>
      <c r="E1742" s="49" t="s">
        <v>152</v>
      </c>
      <c r="F1742" s="49" t="s">
        <v>189</v>
      </c>
      <c r="G1742" s="101" t="s">
        <v>313</v>
      </c>
    </row>
    <row r="1743" spans="1:7" hidden="1">
      <c r="A1743" s="36" t="s">
        <v>1927</v>
      </c>
      <c r="B1743" s="36" t="s">
        <v>314</v>
      </c>
      <c r="C1743" s="36" t="str">
        <f>_xlfn.CONCAT(Table4[[#This Row],[Ledger Name]],Table4[[#This Row],[Entity Name]])</f>
        <v>TAEXP252627 RODTEPExpora</v>
      </c>
      <c r="D1743" s="36" t="s">
        <v>936</v>
      </c>
      <c r="E1743" s="49" t="s">
        <v>152</v>
      </c>
      <c r="F1743" s="49" t="s">
        <v>189</v>
      </c>
      <c r="G1743" s="101" t="s">
        <v>313</v>
      </c>
    </row>
    <row r="1744" spans="1:7" hidden="1">
      <c r="A1744" s="36" t="s">
        <v>1928</v>
      </c>
      <c r="B1744" s="36" t="s">
        <v>314</v>
      </c>
      <c r="C1744" s="36" t="str">
        <f>_xlfn.CONCAT(Table4[[#This Row],[Ledger Name]],Table4[[#This Row],[Entity Name]])</f>
        <v>TAEXP252628 RODTEPExpora</v>
      </c>
      <c r="D1744" s="36" t="s">
        <v>936</v>
      </c>
      <c r="E1744" s="49" t="s">
        <v>152</v>
      </c>
      <c r="F1744" s="49" t="s">
        <v>189</v>
      </c>
      <c r="G1744" s="101" t="s">
        <v>313</v>
      </c>
    </row>
    <row r="1745" spans="1:7" hidden="1">
      <c r="A1745" s="36" t="s">
        <v>1929</v>
      </c>
      <c r="B1745" s="36" t="s">
        <v>314</v>
      </c>
      <c r="C1745" s="36" t="str">
        <f>_xlfn.CONCAT(Table4[[#This Row],[Ledger Name]],Table4[[#This Row],[Entity Name]])</f>
        <v>TAEXP252629 RODTEPExpora</v>
      </c>
      <c r="D1745" s="36" t="s">
        <v>936</v>
      </c>
      <c r="E1745" s="49" t="s">
        <v>152</v>
      </c>
      <c r="F1745" s="49" t="s">
        <v>189</v>
      </c>
      <c r="G1745" s="101" t="s">
        <v>313</v>
      </c>
    </row>
    <row r="1746" spans="1:7" hidden="1">
      <c r="A1746" s="36" t="s">
        <v>1930</v>
      </c>
      <c r="B1746" s="36" t="s">
        <v>314</v>
      </c>
      <c r="C1746" s="36" t="str">
        <f>_xlfn.CONCAT(Table4[[#This Row],[Ledger Name]],Table4[[#This Row],[Entity Name]])</f>
        <v>TAEXP252630 RODTEPExpora</v>
      </c>
      <c r="D1746" s="36" t="s">
        <v>936</v>
      </c>
      <c r="E1746" s="49" t="s">
        <v>152</v>
      </c>
      <c r="F1746" s="49" t="s">
        <v>189</v>
      </c>
      <c r="G1746" s="101" t="s">
        <v>313</v>
      </c>
    </row>
    <row r="1747" spans="1:7" hidden="1">
      <c r="A1747" s="36" t="s">
        <v>1931</v>
      </c>
      <c r="B1747" s="36" t="s">
        <v>314</v>
      </c>
      <c r="C1747" s="36" t="str">
        <f>_xlfn.CONCAT(Table4[[#This Row],[Ledger Name]],Table4[[#This Row],[Entity Name]])</f>
        <v>TAEXP252631 RODTEPExpora</v>
      </c>
      <c r="D1747" s="36" t="s">
        <v>936</v>
      </c>
      <c r="E1747" s="49" t="s">
        <v>152</v>
      </c>
      <c r="F1747" s="49" t="s">
        <v>189</v>
      </c>
      <c r="G1747" s="101" t="s">
        <v>313</v>
      </c>
    </row>
    <row r="1748" spans="1:7" hidden="1">
      <c r="A1748" s="36" t="s">
        <v>1932</v>
      </c>
      <c r="B1748" s="36" t="s">
        <v>314</v>
      </c>
      <c r="C1748" s="36" t="str">
        <f>_xlfn.CONCAT(Table4[[#This Row],[Ledger Name]],Table4[[#This Row],[Entity Name]])</f>
        <v>TAEXP252632 RODTEPExpora</v>
      </c>
      <c r="D1748" s="36" t="s">
        <v>936</v>
      </c>
      <c r="E1748" s="49" t="s">
        <v>152</v>
      </c>
      <c r="F1748" s="49" t="s">
        <v>189</v>
      </c>
      <c r="G1748" s="101" t="s">
        <v>313</v>
      </c>
    </row>
    <row r="1749" spans="1:7" hidden="1">
      <c r="A1749" s="36" t="s">
        <v>1933</v>
      </c>
      <c r="B1749" s="36" t="s">
        <v>314</v>
      </c>
      <c r="C1749" s="36" t="str">
        <f>_xlfn.CONCAT(Table4[[#This Row],[Ledger Name]],Table4[[#This Row],[Entity Name]])</f>
        <v>TAEXP252633 RODTEPExpora</v>
      </c>
      <c r="D1749" s="36" t="s">
        <v>936</v>
      </c>
      <c r="E1749" s="49" t="s">
        <v>152</v>
      </c>
      <c r="F1749" s="49" t="s">
        <v>189</v>
      </c>
      <c r="G1749" s="101" t="s">
        <v>313</v>
      </c>
    </row>
    <row r="1750" spans="1:7" hidden="1">
      <c r="A1750" s="36" t="s">
        <v>1934</v>
      </c>
      <c r="B1750" s="36" t="s">
        <v>314</v>
      </c>
      <c r="C1750" s="36" t="str">
        <f>_xlfn.CONCAT(Table4[[#This Row],[Ledger Name]],Table4[[#This Row],[Entity Name]])</f>
        <v>TAEXP252634 RODTEPExpora</v>
      </c>
      <c r="D1750" s="36" t="s">
        <v>936</v>
      </c>
      <c r="E1750" s="49" t="s">
        <v>152</v>
      </c>
      <c r="F1750" s="49" t="s">
        <v>189</v>
      </c>
      <c r="G1750" s="101" t="s">
        <v>313</v>
      </c>
    </row>
    <row r="1751" spans="1:7" hidden="1">
      <c r="A1751" s="36" t="s">
        <v>1935</v>
      </c>
      <c r="B1751" s="36" t="s">
        <v>314</v>
      </c>
      <c r="C1751" s="36" t="str">
        <f>_xlfn.CONCAT(Table4[[#This Row],[Ledger Name]],Table4[[#This Row],[Entity Name]])</f>
        <v>TAEXP252635 RODTEPExpora</v>
      </c>
      <c r="D1751" s="36" t="s">
        <v>936</v>
      </c>
      <c r="E1751" s="49" t="s">
        <v>152</v>
      </c>
      <c r="F1751" s="49" t="s">
        <v>189</v>
      </c>
      <c r="G1751" s="101" t="s">
        <v>313</v>
      </c>
    </row>
    <row r="1752" spans="1:7" hidden="1">
      <c r="A1752" s="36" t="s">
        <v>1936</v>
      </c>
      <c r="B1752" s="36" t="s">
        <v>314</v>
      </c>
      <c r="C1752" s="36" t="str">
        <f>_xlfn.CONCAT(Table4[[#This Row],[Ledger Name]],Table4[[#This Row],[Entity Name]])</f>
        <v>TAEXP252636 RODTEPExpora</v>
      </c>
      <c r="D1752" s="36" t="s">
        <v>936</v>
      </c>
      <c r="E1752" s="49" t="s">
        <v>152</v>
      </c>
      <c r="F1752" s="49" t="s">
        <v>189</v>
      </c>
      <c r="G1752" s="101" t="s">
        <v>313</v>
      </c>
    </row>
    <row r="1753" spans="1:7" hidden="1">
      <c r="A1753" s="36" t="s">
        <v>1937</v>
      </c>
      <c r="B1753" s="36" t="s">
        <v>314</v>
      </c>
      <c r="C1753" s="36" t="str">
        <f>_xlfn.CONCAT(Table4[[#This Row],[Ledger Name]],Table4[[#This Row],[Entity Name]])</f>
        <v>TAEXP252637 RODTEPExpora</v>
      </c>
      <c r="D1753" s="36" t="s">
        <v>936</v>
      </c>
      <c r="E1753" s="49" t="s">
        <v>152</v>
      </c>
      <c r="F1753" s="49" t="s">
        <v>189</v>
      </c>
      <c r="G1753" s="101" t="s">
        <v>313</v>
      </c>
    </row>
    <row r="1754" spans="1:7" hidden="1">
      <c r="A1754" s="36" t="s">
        <v>1938</v>
      </c>
      <c r="B1754" s="36" t="s">
        <v>314</v>
      </c>
      <c r="C1754" s="36" t="str">
        <f>_xlfn.CONCAT(Table4[[#This Row],[Ledger Name]],Table4[[#This Row],[Entity Name]])</f>
        <v>TAEXP252638 RODTEPExpora</v>
      </c>
      <c r="D1754" s="36" t="s">
        <v>936</v>
      </c>
      <c r="E1754" s="49" t="s">
        <v>152</v>
      </c>
      <c r="F1754" s="49" t="s">
        <v>189</v>
      </c>
      <c r="G1754" s="101" t="s">
        <v>313</v>
      </c>
    </row>
    <row r="1755" spans="1:7" hidden="1">
      <c r="A1755" s="36" t="s">
        <v>1939</v>
      </c>
      <c r="B1755" s="36" t="s">
        <v>314</v>
      </c>
      <c r="C1755" s="36" t="str">
        <f>_xlfn.CONCAT(Table4[[#This Row],[Ledger Name]],Table4[[#This Row],[Entity Name]])</f>
        <v>TAEXP252639 RODTEPExpora</v>
      </c>
      <c r="D1755" s="36" t="s">
        <v>936</v>
      </c>
      <c r="E1755" s="49" t="s">
        <v>152</v>
      </c>
      <c r="F1755" s="49" t="s">
        <v>189</v>
      </c>
      <c r="G1755" s="101" t="s">
        <v>313</v>
      </c>
    </row>
    <row r="1756" spans="1:7" hidden="1">
      <c r="A1756" s="36" t="s">
        <v>1940</v>
      </c>
      <c r="B1756" s="36" t="s">
        <v>314</v>
      </c>
      <c r="C1756" s="36" t="str">
        <f>_xlfn.CONCAT(Table4[[#This Row],[Ledger Name]],Table4[[#This Row],[Entity Name]])</f>
        <v>TAEXP252641 RODTEPExpora</v>
      </c>
      <c r="D1756" s="36" t="s">
        <v>936</v>
      </c>
      <c r="E1756" s="49" t="s">
        <v>152</v>
      </c>
      <c r="F1756" s="49" t="s">
        <v>189</v>
      </c>
      <c r="G1756" s="101" t="s">
        <v>313</v>
      </c>
    </row>
    <row r="1757" spans="1:7" hidden="1">
      <c r="A1757" s="36" t="s">
        <v>1941</v>
      </c>
      <c r="B1757" s="36" t="s">
        <v>314</v>
      </c>
      <c r="C1757" s="36" t="str">
        <f>_xlfn.CONCAT(Table4[[#This Row],[Ledger Name]],Table4[[#This Row],[Entity Name]])</f>
        <v>TAEXP252642 RODTEPExpora</v>
      </c>
      <c r="D1757" s="36" t="s">
        <v>936</v>
      </c>
      <c r="E1757" s="49" t="s">
        <v>152</v>
      </c>
      <c r="F1757" s="49" t="s">
        <v>189</v>
      </c>
      <c r="G1757" s="101" t="s">
        <v>313</v>
      </c>
    </row>
    <row r="1758" spans="1:7" hidden="1">
      <c r="A1758" s="36" t="s">
        <v>1942</v>
      </c>
      <c r="B1758" s="36" t="s">
        <v>314</v>
      </c>
      <c r="C1758" s="36" t="str">
        <f>_xlfn.CONCAT(Table4[[#This Row],[Ledger Name]],Table4[[#This Row],[Entity Name]])</f>
        <v>TAEXP252643 RodtepExpora</v>
      </c>
      <c r="D1758" s="36" t="s">
        <v>936</v>
      </c>
      <c r="E1758" s="49" t="s">
        <v>152</v>
      </c>
      <c r="F1758" s="49" t="s">
        <v>189</v>
      </c>
      <c r="G1758" s="101" t="s">
        <v>313</v>
      </c>
    </row>
    <row r="1759" spans="1:7" hidden="1">
      <c r="A1759" s="36" t="s">
        <v>1943</v>
      </c>
      <c r="B1759" s="36" t="s">
        <v>314</v>
      </c>
      <c r="C1759" s="36" t="str">
        <f>_xlfn.CONCAT(Table4[[#This Row],[Ledger Name]],Table4[[#This Row],[Entity Name]])</f>
        <v>TAEXP252644 RODTEPExpora</v>
      </c>
      <c r="D1759" s="36" t="s">
        <v>936</v>
      </c>
      <c r="E1759" s="49" t="s">
        <v>152</v>
      </c>
      <c r="F1759" s="49" t="s">
        <v>189</v>
      </c>
      <c r="G1759" s="101" t="s">
        <v>313</v>
      </c>
    </row>
    <row r="1760" spans="1:7" hidden="1">
      <c r="A1760" s="36" t="s">
        <v>1944</v>
      </c>
      <c r="B1760" s="36" t="s">
        <v>314</v>
      </c>
      <c r="C1760" s="36" t="str">
        <f>_xlfn.CONCAT(Table4[[#This Row],[Ledger Name]],Table4[[#This Row],[Entity Name]])</f>
        <v>TAEXP252646 RodtepExpora</v>
      </c>
      <c r="D1760" s="36" t="s">
        <v>936</v>
      </c>
      <c r="E1760" s="49" t="s">
        <v>152</v>
      </c>
      <c r="F1760" s="49" t="s">
        <v>189</v>
      </c>
      <c r="G1760" s="101" t="s">
        <v>313</v>
      </c>
    </row>
    <row r="1761" spans="1:7" hidden="1">
      <c r="A1761" s="36" t="s">
        <v>1945</v>
      </c>
      <c r="B1761" s="36" t="s">
        <v>314</v>
      </c>
      <c r="C1761" s="36" t="str">
        <f>_xlfn.CONCAT(Table4[[#This Row],[Ledger Name]],Table4[[#This Row],[Entity Name]])</f>
        <v>TAEXP252647 RodtepExpora</v>
      </c>
      <c r="D1761" s="36" t="s">
        <v>936</v>
      </c>
      <c r="E1761" s="49" t="s">
        <v>152</v>
      </c>
      <c r="F1761" s="49" t="s">
        <v>189</v>
      </c>
      <c r="G1761" s="101" t="s">
        <v>313</v>
      </c>
    </row>
    <row r="1762" spans="1:7" hidden="1">
      <c r="A1762" s="36" t="s">
        <v>1946</v>
      </c>
      <c r="B1762" s="36" t="s">
        <v>314</v>
      </c>
      <c r="C1762" s="36" t="str">
        <f>_xlfn.CONCAT(Table4[[#This Row],[Ledger Name]],Table4[[#This Row],[Entity Name]])</f>
        <v>TAEXP252648 RodtepExpora</v>
      </c>
      <c r="D1762" s="36" t="s">
        <v>936</v>
      </c>
      <c r="E1762" s="49" t="s">
        <v>152</v>
      </c>
      <c r="F1762" s="49" t="s">
        <v>189</v>
      </c>
      <c r="G1762" s="101" t="s">
        <v>313</v>
      </c>
    </row>
    <row r="1763" spans="1:7" hidden="1">
      <c r="A1763" s="36" t="s">
        <v>1947</v>
      </c>
      <c r="B1763" s="36" t="s">
        <v>314</v>
      </c>
      <c r="C1763" s="36" t="str">
        <f>_xlfn.CONCAT(Table4[[#This Row],[Ledger Name]],Table4[[#This Row],[Entity Name]])</f>
        <v>TAEXP252623 DDBExpora</v>
      </c>
      <c r="D1763" s="36" t="s">
        <v>936</v>
      </c>
      <c r="E1763" s="49" t="s">
        <v>152</v>
      </c>
      <c r="F1763" s="49" t="s">
        <v>189</v>
      </c>
      <c r="G1763" s="101" t="s">
        <v>163</v>
      </c>
    </row>
    <row r="1764" spans="1:7" hidden="1">
      <c r="A1764" s="36" t="s">
        <v>1948</v>
      </c>
      <c r="B1764" s="36" t="s">
        <v>314</v>
      </c>
      <c r="C1764" s="36" t="str">
        <f>_xlfn.CONCAT(Table4[[#This Row],[Ledger Name]],Table4[[#This Row],[Entity Name]])</f>
        <v>APMC -CESSExpora</v>
      </c>
      <c r="D1764" s="36" t="s">
        <v>936</v>
      </c>
      <c r="E1764" s="49" t="s">
        <v>152</v>
      </c>
      <c r="F1764" s="49" t="s">
        <v>93</v>
      </c>
      <c r="G1764" s="101" t="s">
        <v>138</v>
      </c>
    </row>
    <row r="1765" spans="1:7" hidden="1">
      <c r="A1765" s="36" t="s">
        <v>1949</v>
      </c>
      <c r="B1765" s="36" t="s">
        <v>314</v>
      </c>
      <c r="C1765" s="36" t="str">
        <f>_xlfn.CONCAT(Table4[[#This Row],[Ledger Name]],Table4[[#This Row],[Entity Name]])</f>
        <v>BA 811Expora</v>
      </c>
      <c r="D1765" s="36" t="s">
        <v>936</v>
      </c>
      <c r="E1765" s="49" t="s">
        <v>152</v>
      </c>
      <c r="F1765" s="49" t="s">
        <v>93</v>
      </c>
      <c r="G1765" s="101" t="s">
        <v>138</v>
      </c>
    </row>
    <row r="1766" spans="1:7" hidden="1">
      <c r="A1766" s="36" t="s">
        <v>1950</v>
      </c>
      <c r="B1766" s="36" t="s">
        <v>314</v>
      </c>
      <c r="C1766" s="36" t="str">
        <f>_xlfn.CONCAT(Table4[[#This Row],[Ledger Name]],Table4[[#This Row],[Entity Name]])</f>
        <v>BA-606 &amp; 674Expora</v>
      </c>
      <c r="D1766" s="36" t="s">
        <v>936</v>
      </c>
      <c r="E1766" s="49" t="s">
        <v>152</v>
      </c>
      <c r="F1766" s="49" t="s">
        <v>93</v>
      </c>
      <c r="G1766" s="101" t="s">
        <v>138</v>
      </c>
    </row>
    <row r="1767" spans="1:7" hidden="1">
      <c r="A1767" s="36" t="s">
        <v>1952</v>
      </c>
      <c r="B1767" s="36" t="s">
        <v>314</v>
      </c>
      <c r="C1767" s="36" t="str">
        <f>_xlfn.CONCAT(Table4[[#This Row],[Ledger Name]],Table4[[#This Row],[Entity Name]])</f>
        <v>Interest on Hiten PartnerExpora</v>
      </c>
      <c r="D1767" s="36" t="s">
        <v>936</v>
      </c>
      <c r="E1767" s="49" t="s">
        <v>152</v>
      </c>
      <c r="F1767" s="49" t="s">
        <v>315</v>
      </c>
      <c r="G1767" s="101" t="s">
        <v>282</v>
      </c>
    </row>
    <row r="1768" spans="1:7" hidden="1">
      <c r="A1768" s="36" t="s">
        <v>1953</v>
      </c>
      <c r="B1768" s="36" t="s">
        <v>314</v>
      </c>
      <c r="C1768" s="36" t="str">
        <f>_xlfn.CONCAT(Table4[[#This Row],[Ledger Name]],Table4[[#This Row],[Entity Name]])</f>
        <v>Interest On Unsecured Loan Shriram FinanceExpora</v>
      </c>
      <c r="D1768" s="36" t="s">
        <v>936</v>
      </c>
      <c r="E1768" s="49" t="s">
        <v>152</v>
      </c>
      <c r="F1768" s="49" t="s">
        <v>315</v>
      </c>
      <c r="G1768" s="101" t="s">
        <v>282</v>
      </c>
    </row>
    <row r="1769" spans="1:7" hidden="1">
      <c r="A1769" s="36" t="s">
        <v>1954</v>
      </c>
      <c r="B1769" s="36" t="s">
        <v>314</v>
      </c>
      <c r="C1769" s="36" t="str">
        <f>_xlfn.CONCAT(Table4[[#This Row],[Ledger Name]],Table4[[#This Row],[Entity Name]])</f>
        <v>SE-2081-2569 INTExpora</v>
      </c>
      <c r="D1769" s="36" t="s">
        <v>936</v>
      </c>
      <c r="E1769" s="49" t="s">
        <v>152</v>
      </c>
      <c r="F1769" s="49" t="s">
        <v>315</v>
      </c>
      <c r="G1769" s="101" t="s">
        <v>282</v>
      </c>
    </row>
    <row r="1770" spans="1:7" hidden="1">
      <c r="A1770" s="36" t="s">
        <v>1955</v>
      </c>
      <c r="B1770" s="36" t="s">
        <v>314</v>
      </c>
      <c r="C1770" s="36" t="str">
        <f>_xlfn.CONCAT(Table4[[#This Row],[Ledger Name]],Table4[[#This Row],[Entity Name]])</f>
        <v>SE/2081/2499 INTExpora</v>
      </c>
      <c r="D1770" s="36" t="s">
        <v>936</v>
      </c>
      <c r="E1770" s="49" t="s">
        <v>152</v>
      </c>
      <c r="F1770" s="49" t="s">
        <v>315</v>
      </c>
      <c r="G1770" s="101" t="s">
        <v>282</v>
      </c>
    </row>
    <row r="1771" spans="1:7" hidden="1">
      <c r="A1771" s="36" t="s">
        <v>1956</v>
      </c>
      <c r="B1771" s="36" t="s">
        <v>314</v>
      </c>
      <c r="C1771" s="36" t="str">
        <f>_xlfn.CONCAT(Table4[[#This Row],[Ledger Name]],Table4[[#This Row],[Entity Name]])</f>
        <v>TAEXP25261 INTExpora</v>
      </c>
      <c r="D1771" s="36" t="s">
        <v>936</v>
      </c>
      <c r="E1771" s="49" t="s">
        <v>152</v>
      </c>
      <c r="F1771" s="49" t="s">
        <v>315</v>
      </c>
      <c r="G1771" s="101" t="s">
        <v>282</v>
      </c>
    </row>
    <row r="1772" spans="1:7" hidden="1">
      <c r="A1772" s="36" t="s">
        <v>1957</v>
      </c>
      <c r="B1772" s="36" t="s">
        <v>314</v>
      </c>
      <c r="C1772" s="36" t="str">
        <f>_xlfn.CONCAT(Table4[[#This Row],[Ledger Name]],Table4[[#This Row],[Entity Name]])</f>
        <v>TAEXP252610 INTExpora</v>
      </c>
      <c r="D1772" s="36" t="s">
        <v>936</v>
      </c>
      <c r="E1772" s="49" t="s">
        <v>152</v>
      </c>
      <c r="F1772" s="49" t="s">
        <v>315</v>
      </c>
      <c r="G1772" s="101" t="s">
        <v>282</v>
      </c>
    </row>
    <row r="1773" spans="1:7" hidden="1">
      <c r="A1773" s="36" t="s">
        <v>1958</v>
      </c>
      <c r="B1773" s="36" t="s">
        <v>314</v>
      </c>
      <c r="C1773" s="36" t="str">
        <f>_xlfn.CONCAT(Table4[[#This Row],[Ledger Name]],Table4[[#This Row],[Entity Name]])</f>
        <v>TAEXP252611 INTExpora</v>
      </c>
      <c r="D1773" s="36" t="s">
        <v>936</v>
      </c>
      <c r="E1773" s="49" t="s">
        <v>152</v>
      </c>
      <c r="F1773" s="49" t="s">
        <v>315</v>
      </c>
      <c r="G1773" s="101" t="s">
        <v>282</v>
      </c>
    </row>
    <row r="1774" spans="1:7" hidden="1">
      <c r="A1774" s="36" t="s">
        <v>1959</v>
      </c>
      <c r="B1774" s="36" t="s">
        <v>314</v>
      </c>
      <c r="C1774" s="36" t="str">
        <f>_xlfn.CONCAT(Table4[[#This Row],[Ledger Name]],Table4[[#This Row],[Entity Name]])</f>
        <v>TAEXP252615 INTExpora</v>
      </c>
      <c r="D1774" s="36" t="s">
        <v>936</v>
      </c>
      <c r="E1774" s="49" t="s">
        <v>152</v>
      </c>
      <c r="F1774" s="49" t="s">
        <v>315</v>
      </c>
      <c r="G1774" s="101" t="s">
        <v>282</v>
      </c>
    </row>
    <row r="1775" spans="1:7" hidden="1">
      <c r="A1775" s="36" t="s">
        <v>1960</v>
      </c>
      <c r="B1775" s="36" t="s">
        <v>314</v>
      </c>
      <c r="C1775" s="36" t="str">
        <f>_xlfn.CONCAT(Table4[[#This Row],[Ledger Name]],Table4[[#This Row],[Entity Name]])</f>
        <v>TAEXP252616 INTExpora</v>
      </c>
      <c r="D1775" s="36" t="s">
        <v>936</v>
      </c>
      <c r="E1775" s="49" t="s">
        <v>152</v>
      </c>
      <c r="F1775" s="49" t="s">
        <v>315</v>
      </c>
      <c r="G1775" s="101" t="s">
        <v>282</v>
      </c>
    </row>
    <row r="1776" spans="1:7" hidden="1">
      <c r="A1776" s="36" t="s">
        <v>1961</v>
      </c>
      <c r="B1776" s="36" t="s">
        <v>314</v>
      </c>
      <c r="C1776" s="36" t="str">
        <f>_xlfn.CONCAT(Table4[[#This Row],[Ledger Name]],Table4[[#This Row],[Entity Name]])</f>
        <v>TAEXP252617 INTExpora</v>
      </c>
      <c r="D1776" s="36" t="s">
        <v>936</v>
      </c>
      <c r="E1776" s="49" t="s">
        <v>152</v>
      </c>
      <c r="F1776" s="49" t="s">
        <v>315</v>
      </c>
      <c r="G1776" s="101" t="s">
        <v>282</v>
      </c>
    </row>
    <row r="1777" spans="1:7" hidden="1">
      <c r="A1777" s="36" t="s">
        <v>1962</v>
      </c>
      <c r="B1777" s="36" t="s">
        <v>314</v>
      </c>
      <c r="C1777" s="36" t="str">
        <f>_xlfn.CONCAT(Table4[[#This Row],[Ledger Name]],Table4[[#This Row],[Entity Name]])</f>
        <v>TAEXP252618 INTExpora</v>
      </c>
      <c r="D1777" s="36" t="s">
        <v>936</v>
      </c>
      <c r="E1777" s="49" t="s">
        <v>152</v>
      </c>
      <c r="F1777" s="49" t="s">
        <v>315</v>
      </c>
      <c r="G1777" s="101" t="s">
        <v>282</v>
      </c>
    </row>
    <row r="1778" spans="1:7" hidden="1">
      <c r="A1778" s="36" t="s">
        <v>1963</v>
      </c>
      <c r="B1778" s="36" t="s">
        <v>314</v>
      </c>
      <c r="C1778" s="36" t="str">
        <f>_xlfn.CONCAT(Table4[[#This Row],[Ledger Name]],Table4[[#This Row],[Entity Name]])</f>
        <v>TAEXP252620 INTExpora</v>
      </c>
      <c r="D1778" s="36" t="s">
        <v>936</v>
      </c>
      <c r="E1778" s="49" t="s">
        <v>152</v>
      </c>
      <c r="F1778" s="49" t="s">
        <v>315</v>
      </c>
      <c r="G1778" s="101" t="s">
        <v>282</v>
      </c>
    </row>
    <row r="1779" spans="1:7" hidden="1">
      <c r="A1779" s="36" t="s">
        <v>1964</v>
      </c>
      <c r="B1779" s="36" t="s">
        <v>314</v>
      </c>
      <c r="C1779" s="36" t="str">
        <f>_xlfn.CONCAT(Table4[[#This Row],[Ledger Name]],Table4[[#This Row],[Entity Name]])</f>
        <v>TAEXP252622 INTExpora</v>
      </c>
      <c r="D1779" s="36" t="s">
        <v>936</v>
      </c>
      <c r="E1779" s="49" t="s">
        <v>152</v>
      </c>
      <c r="F1779" s="49" t="s">
        <v>315</v>
      </c>
      <c r="G1779" s="101" t="s">
        <v>282</v>
      </c>
    </row>
    <row r="1780" spans="1:7" hidden="1">
      <c r="A1780" s="36" t="s">
        <v>1965</v>
      </c>
      <c r="B1780" s="36" t="s">
        <v>314</v>
      </c>
      <c r="C1780" s="36" t="str">
        <f>_xlfn.CONCAT(Table4[[#This Row],[Ledger Name]],Table4[[#This Row],[Entity Name]])</f>
        <v>TAEXP252623 INTExpora</v>
      </c>
      <c r="D1780" s="36" t="s">
        <v>936</v>
      </c>
      <c r="E1780" s="49" t="s">
        <v>152</v>
      </c>
      <c r="F1780" s="49" t="s">
        <v>315</v>
      </c>
      <c r="G1780" s="101" t="s">
        <v>282</v>
      </c>
    </row>
    <row r="1781" spans="1:7" hidden="1">
      <c r="A1781" s="36" t="s">
        <v>1966</v>
      </c>
      <c r="B1781" s="36" t="s">
        <v>314</v>
      </c>
      <c r="C1781" s="36" t="str">
        <f>_xlfn.CONCAT(Table4[[#This Row],[Ledger Name]],Table4[[#This Row],[Entity Name]])</f>
        <v>TAEXP252624 INTExpora</v>
      </c>
      <c r="D1781" s="36" t="s">
        <v>936</v>
      </c>
      <c r="E1781" s="49" t="s">
        <v>152</v>
      </c>
      <c r="F1781" s="49" t="s">
        <v>315</v>
      </c>
      <c r="G1781" s="101" t="s">
        <v>282</v>
      </c>
    </row>
    <row r="1782" spans="1:7" hidden="1">
      <c r="A1782" s="36" t="s">
        <v>1967</v>
      </c>
      <c r="B1782" s="36" t="s">
        <v>314</v>
      </c>
      <c r="C1782" s="36" t="str">
        <f>_xlfn.CONCAT(Table4[[#This Row],[Ledger Name]],Table4[[#This Row],[Entity Name]])</f>
        <v>TAEXP252625 INTExpora</v>
      </c>
      <c r="D1782" s="36" t="s">
        <v>936</v>
      </c>
      <c r="E1782" s="49" t="s">
        <v>152</v>
      </c>
      <c r="F1782" s="49" t="s">
        <v>315</v>
      </c>
      <c r="G1782" s="101" t="s">
        <v>282</v>
      </c>
    </row>
    <row r="1783" spans="1:7" hidden="1">
      <c r="A1783" s="36" t="s">
        <v>1968</v>
      </c>
      <c r="B1783" s="36" t="s">
        <v>314</v>
      </c>
      <c r="C1783" s="36" t="str">
        <f>_xlfn.CONCAT(Table4[[#This Row],[Ledger Name]],Table4[[#This Row],[Entity Name]])</f>
        <v>TAEXP252626 INTExpora</v>
      </c>
      <c r="D1783" s="36" t="s">
        <v>936</v>
      </c>
      <c r="E1783" s="49" t="s">
        <v>152</v>
      </c>
      <c r="F1783" s="49" t="s">
        <v>315</v>
      </c>
      <c r="G1783" s="101" t="s">
        <v>282</v>
      </c>
    </row>
    <row r="1784" spans="1:7" hidden="1">
      <c r="A1784" s="36" t="s">
        <v>1969</v>
      </c>
      <c r="B1784" s="36" t="s">
        <v>314</v>
      </c>
      <c r="C1784" s="36" t="str">
        <f>_xlfn.CONCAT(Table4[[#This Row],[Ledger Name]],Table4[[#This Row],[Entity Name]])</f>
        <v>TAEXP252627 INTExpora</v>
      </c>
      <c r="D1784" s="36" t="s">
        <v>936</v>
      </c>
      <c r="E1784" s="49" t="s">
        <v>152</v>
      </c>
      <c r="F1784" s="49" t="s">
        <v>315</v>
      </c>
      <c r="G1784" s="101" t="s">
        <v>282</v>
      </c>
    </row>
    <row r="1785" spans="1:7" hidden="1">
      <c r="A1785" s="36" t="s">
        <v>1970</v>
      </c>
      <c r="B1785" s="36" t="s">
        <v>314</v>
      </c>
      <c r="C1785" s="36" t="str">
        <f>_xlfn.CONCAT(Table4[[#This Row],[Ledger Name]],Table4[[#This Row],[Entity Name]])</f>
        <v>TAEXP252628 INTExpora</v>
      </c>
      <c r="D1785" s="36" t="s">
        <v>936</v>
      </c>
      <c r="E1785" s="49" t="s">
        <v>152</v>
      </c>
      <c r="F1785" s="49" t="s">
        <v>315</v>
      </c>
      <c r="G1785" s="101" t="s">
        <v>282</v>
      </c>
    </row>
    <row r="1786" spans="1:7" hidden="1">
      <c r="A1786" s="36" t="s">
        <v>1971</v>
      </c>
      <c r="B1786" s="36" t="s">
        <v>314</v>
      </c>
      <c r="C1786" s="36" t="str">
        <f>_xlfn.CONCAT(Table4[[#This Row],[Ledger Name]],Table4[[#This Row],[Entity Name]])</f>
        <v>TAEXP252629 INTExpora</v>
      </c>
      <c r="D1786" s="36" t="s">
        <v>936</v>
      </c>
      <c r="E1786" s="49" t="s">
        <v>152</v>
      </c>
      <c r="F1786" s="49" t="s">
        <v>315</v>
      </c>
      <c r="G1786" s="101" t="s">
        <v>282</v>
      </c>
    </row>
    <row r="1787" spans="1:7" hidden="1">
      <c r="A1787" s="36" t="s">
        <v>1972</v>
      </c>
      <c r="B1787" s="36" t="s">
        <v>314</v>
      </c>
      <c r="C1787" s="36" t="str">
        <f>_xlfn.CONCAT(Table4[[#This Row],[Ledger Name]],Table4[[#This Row],[Entity Name]])</f>
        <v>TAEXP25263 INTExpora</v>
      </c>
      <c r="D1787" s="36" t="s">
        <v>936</v>
      </c>
      <c r="E1787" s="49" t="s">
        <v>152</v>
      </c>
      <c r="F1787" s="49" t="s">
        <v>315</v>
      </c>
      <c r="G1787" s="101" t="s">
        <v>282</v>
      </c>
    </row>
    <row r="1788" spans="1:7" hidden="1">
      <c r="A1788" s="36" t="s">
        <v>1973</v>
      </c>
      <c r="B1788" s="36" t="s">
        <v>314</v>
      </c>
      <c r="C1788" s="36" t="str">
        <f>_xlfn.CONCAT(Table4[[#This Row],[Ledger Name]],Table4[[#This Row],[Entity Name]])</f>
        <v>TAEXP252630 INTExpora</v>
      </c>
      <c r="D1788" s="36" t="s">
        <v>936</v>
      </c>
      <c r="E1788" s="49" t="s">
        <v>152</v>
      </c>
      <c r="F1788" s="49" t="s">
        <v>315</v>
      </c>
      <c r="G1788" s="101" t="s">
        <v>282</v>
      </c>
    </row>
    <row r="1789" spans="1:7" hidden="1">
      <c r="A1789" s="36" t="s">
        <v>1974</v>
      </c>
      <c r="B1789" s="36" t="s">
        <v>314</v>
      </c>
      <c r="C1789" s="36" t="str">
        <f>_xlfn.CONCAT(Table4[[#This Row],[Ledger Name]],Table4[[#This Row],[Entity Name]])</f>
        <v>TAEXP252631 INTExpora</v>
      </c>
      <c r="D1789" s="36" t="s">
        <v>936</v>
      </c>
      <c r="E1789" s="49" t="s">
        <v>152</v>
      </c>
      <c r="F1789" s="49" t="s">
        <v>315</v>
      </c>
      <c r="G1789" s="101" t="s">
        <v>282</v>
      </c>
    </row>
    <row r="1790" spans="1:7" hidden="1">
      <c r="A1790" s="36" t="s">
        <v>1975</v>
      </c>
      <c r="B1790" s="36" t="s">
        <v>314</v>
      </c>
      <c r="C1790" s="36" t="str">
        <f>_xlfn.CONCAT(Table4[[#This Row],[Ledger Name]],Table4[[#This Row],[Entity Name]])</f>
        <v>TAEXP252632 INTExpora</v>
      </c>
      <c r="D1790" s="36" t="s">
        <v>936</v>
      </c>
      <c r="E1790" s="49" t="s">
        <v>152</v>
      </c>
      <c r="F1790" s="49" t="s">
        <v>315</v>
      </c>
      <c r="G1790" s="101" t="s">
        <v>282</v>
      </c>
    </row>
    <row r="1791" spans="1:7" hidden="1">
      <c r="A1791" s="36" t="s">
        <v>1976</v>
      </c>
      <c r="B1791" s="36" t="s">
        <v>314</v>
      </c>
      <c r="C1791" s="36" t="str">
        <f>_xlfn.CONCAT(Table4[[#This Row],[Ledger Name]],Table4[[#This Row],[Entity Name]])</f>
        <v>TAEXP252633 INTExpora</v>
      </c>
      <c r="D1791" s="36" t="s">
        <v>936</v>
      </c>
      <c r="E1791" s="49" t="s">
        <v>152</v>
      </c>
      <c r="F1791" s="49" t="s">
        <v>315</v>
      </c>
      <c r="G1791" s="101" t="s">
        <v>282</v>
      </c>
    </row>
    <row r="1792" spans="1:7" hidden="1">
      <c r="A1792" s="36" t="s">
        <v>1977</v>
      </c>
      <c r="B1792" s="36" t="s">
        <v>314</v>
      </c>
      <c r="C1792" s="36" t="str">
        <f>_xlfn.CONCAT(Table4[[#This Row],[Ledger Name]],Table4[[#This Row],[Entity Name]])</f>
        <v>TAEXP252634 INTExpora</v>
      </c>
      <c r="D1792" s="36" t="s">
        <v>936</v>
      </c>
      <c r="E1792" s="49" t="s">
        <v>152</v>
      </c>
      <c r="F1792" s="49" t="s">
        <v>315</v>
      </c>
      <c r="G1792" s="101" t="s">
        <v>282</v>
      </c>
    </row>
    <row r="1793" spans="1:7" hidden="1">
      <c r="A1793" s="36" t="s">
        <v>1978</v>
      </c>
      <c r="B1793" s="36" t="s">
        <v>314</v>
      </c>
      <c r="C1793" s="36" t="str">
        <f>_xlfn.CONCAT(Table4[[#This Row],[Ledger Name]],Table4[[#This Row],[Entity Name]])</f>
        <v>TAEXP252635 INTExpora</v>
      </c>
      <c r="D1793" s="36" t="s">
        <v>936</v>
      </c>
      <c r="E1793" s="49" t="s">
        <v>152</v>
      </c>
      <c r="F1793" s="49" t="s">
        <v>315</v>
      </c>
      <c r="G1793" s="101" t="s">
        <v>282</v>
      </c>
    </row>
    <row r="1794" spans="1:7" hidden="1">
      <c r="A1794" s="36" t="s">
        <v>1979</v>
      </c>
      <c r="B1794" s="36" t="s">
        <v>314</v>
      </c>
      <c r="C1794" s="36" t="str">
        <f>_xlfn.CONCAT(Table4[[#This Row],[Ledger Name]],Table4[[#This Row],[Entity Name]])</f>
        <v>TAEXP252636 INTExpora</v>
      </c>
      <c r="D1794" s="36" t="s">
        <v>936</v>
      </c>
      <c r="E1794" s="49" t="s">
        <v>152</v>
      </c>
      <c r="F1794" s="49" t="s">
        <v>315</v>
      </c>
      <c r="G1794" s="101" t="s">
        <v>282</v>
      </c>
    </row>
    <row r="1795" spans="1:7" hidden="1">
      <c r="A1795" s="36" t="s">
        <v>1980</v>
      </c>
      <c r="B1795" s="36" t="s">
        <v>314</v>
      </c>
      <c r="C1795" s="36" t="str">
        <f>_xlfn.CONCAT(Table4[[#This Row],[Ledger Name]],Table4[[#This Row],[Entity Name]])</f>
        <v>TAEXP252637 INTExpora</v>
      </c>
      <c r="D1795" s="36" t="s">
        <v>936</v>
      </c>
      <c r="E1795" s="49" t="s">
        <v>152</v>
      </c>
      <c r="F1795" s="49" t="s">
        <v>315</v>
      </c>
      <c r="G1795" s="101" t="s">
        <v>282</v>
      </c>
    </row>
    <row r="1796" spans="1:7" hidden="1">
      <c r="A1796" s="36" t="s">
        <v>1981</v>
      </c>
      <c r="B1796" s="36" t="s">
        <v>314</v>
      </c>
      <c r="C1796" s="36" t="str">
        <f>_xlfn.CONCAT(Table4[[#This Row],[Ledger Name]],Table4[[#This Row],[Entity Name]])</f>
        <v>TAEXP252639 INTExpora</v>
      </c>
      <c r="D1796" s="36" t="s">
        <v>936</v>
      </c>
      <c r="E1796" s="49" t="s">
        <v>152</v>
      </c>
      <c r="F1796" s="49" t="s">
        <v>315</v>
      </c>
      <c r="G1796" s="101" t="s">
        <v>282</v>
      </c>
    </row>
    <row r="1797" spans="1:7" hidden="1">
      <c r="A1797" s="36" t="s">
        <v>1982</v>
      </c>
      <c r="B1797" s="36" t="s">
        <v>314</v>
      </c>
      <c r="C1797" s="36" t="str">
        <f>_xlfn.CONCAT(Table4[[#This Row],[Ledger Name]],Table4[[#This Row],[Entity Name]])</f>
        <v>TAEXP25264 INTExpora</v>
      </c>
      <c r="D1797" s="36" t="s">
        <v>936</v>
      </c>
      <c r="E1797" s="49" t="s">
        <v>152</v>
      </c>
      <c r="F1797" s="49" t="s">
        <v>315</v>
      </c>
      <c r="G1797" s="101" t="s">
        <v>282</v>
      </c>
    </row>
    <row r="1798" spans="1:7" hidden="1">
      <c r="A1798" s="36" t="s">
        <v>1983</v>
      </c>
      <c r="B1798" s="36" t="s">
        <v>314</v>
      </c>
      <c r="C1798" s="36" t="str">
        <f>_xlfn.CONCAT(Table4[[#This Row],[Ledger Name]],Table4[[#This Row],[Entity Name]])</f>
        <v>TAEXP252642 INTExpora</v>
      </c>
      <c r="D1798" s="36" t="s">
        <v>936</v>
      </c>
      <c r="E1798" s="49" t="s">
        <v>152</v>
      </c>
      <c r="F1798" s="49" t="s">
        <v>315</v>
      </c>
      <c r="G1798" s="101" t="s">
        <v>282</v>
      </c>
    </row>
    <row r="1799" spans="1:7" hidden="1">
      <c r="A1799" s="36" t="s">
        <v>1984</v>
      </c>
      <c r="B1799" s="36" t="s">
        <v>314</v>
      </c>
      <c r="C1799" s="36" t="str">
        <f>_xlfn.CONCAT(Table4[[#This Row],[Ledger Name]],Table4[[#This Row],[Entity Name]])</f>
        <v>TAEXP252643 INTExpora</v>
      </c>
      <c r="D1799" s="36" t="s">
        <v>936</v>
      </c>
      <c r="E1799" s="49" t="s">
        <v>152</v>
      </c>
      <c r="F1799" s="49" t="s">
        <v>315</v>
      </c>
      <c r="G1799" s="101" t="s">
        <v>282</v>
      </c>
    </row>
    <row r="1800" spans="1:7" hidden="1">
      <c r="A1800" s="36" t="s">
        <v>1985</v>
      </c>
      <c r="B1800" s="36" t="s">
        <v>314</v>
      </c>
      <c r="C1800" s="36" t="str">
        <f>_xlfn.CONCAT(Table4[[#This Row],[Ledger Name]],Table4[[#This Row],[Entity Name]])</f>
        <v>TAEXP252644 INTExpora</v>
      </c>
      <c r="D1800" s="36" t="s">
        <v>936</v>
      </c>
      <c r="E1800" s="49" t="s">
        <v>152</v>
      </c>
      <c r="F1800" s="49" t="s">
        <v>315</v>
      </c>
      <c r="G1800" s="101" t="s">
        <v>282</v>
      </c>
    </row>
    <row r="1801" spans="1:7" hidden="1">
      <c r="A1801" s="36" t="s">
        <v>1986</v>
      </c>
      <c r="B1801" s="36" t="s">
        <v>314</v>
      </c>
      <c r="C1801" s="36" t="str">
        <f>_xlfn.CONCAT(Table4[[#This Row],[Ledger Name]],Table4[[#This Row],[Entity Name]])</f>
        <v>TAEXP252646 INTExpora</v>
      </c>
      <c r="D1801" s="36" t="s">
        <v>936</v>
      </c>
      <c r="E1801" s="49" t="s">
        <v>152</v>
      </c>
      <c r="F1801" s="49" t="s">
        <v>315</v>
      </c>
      <c r="G1801" s="101" t="s">
        <v>282</v>
      </c>
    </row>
    <row r="1802" spans="1:7" hidden="1">
      <c r="A1802" s="36" t="s">
        <v>1987</v>
      </c>
      <c r="B1802" s="36" t="s">
        <v>314</v>
      </c>
      <c r="C1802" s="36" t="str">
        <f>_xlfn.CONCAT(Table4[[#This Row],[Ledger Name]],Table4[[#This Row],[Entity Name]])</f>
        <v>TAEXP252647 INTExpora</v>
      </c>
      <c r="D1802" s="36" t="s">
        <v>936</v>
      </c>
      <c r="E1802" s="49" t="s">
        <v>152</v>
      </c>
      <c r="F1802" s="49" t="s">
        <v>315</v>
      </c>
      <c r="G1802" s="101" t="s">
        <v>282</v>
      </c>
    </row>
    <row r="1803" spans="1:7" hidden="1">
      <c r="A1803" s="36" t="s">
        <v>1988</v>
      </c>
      <c r="B1803" s="36" t="s">
        <v>314</v>
      </c>
      <c r="C1803" s="36" t="str">
        <f>_xlfn.CONCAT(Table4[[#This Row],[Ledger Name]],Table4[[#This Row],[Entity Name]])</f>
        <v>TAEXP252648 INTExpora</v>
      </c>
      <c r="D1803" s="36" t="s">
        <v>936</v>
      </c>
      <c r="E1803" s="49" t="s">
        <v>152</v>
      </c>
      <c r="F1803" s="49" t="s">
        <v>315</v>
      </c>
      <c r="G1803" s="101" t="s">
        <v>282</v>
      </c>
    </row>
    <row r="1804" spans="1:7" hidden="1">
      <c r="A1804" s="36" t="s">
        <v>1989</v>
      </c>
      <c r="B1804" s="36" t="s">
        <v>314</v>
      </c>
      <c r="C1804" s="36" t="str">
        <f>_xlfn.CONCAT(Table4[[#This Row],[Ledger Name]],Table4[[#This Row],[Entity Name]])</f>
        <v>TAEXP25265 INTExpora</v>
      </c>
      <c r="D1804" s="36" t="s">
        <v>936</v>
      </c>
      <c r="E1804" s="49" t="s">
        <v>152</v>
      </c>
      <c r="F1804" s="49" t="s">
        <v>315</v>
      </c>
      <c r="G1804" s="101" t="s">
        <v>282</v>
      </c>
    </row>
    <row r="1805" spans="1:7" hidden="1">
      <c r="A1805" s="36" t="s">
        <v>1990</v>
      </c>
      <c r="B1805" s="36" t="s">
        <v>314</v>
      </c>
      <c r="C1805" s="36" t="str">
        <f>_xlfn.CONCAT(Table4[[#This Row],[Ledger Name]],Table4[[#This Row],[Entity Name]])</f>
        <v>TAEXP25266 INTExpora</v>
      </c>
      <c r="D1805" s="36" t="s">
        <v>936</v>
      </c>
      <c r="E1805" s="49" t="s">
        <v>152</v>
      </c>
      <c r="F1805" s="49" t="s">
        <v>315</v>
      </c>
      <c r="G1805" s="101" t="s">
        <v>282</v>
      </c>
    </row>
    <row r="1806" spans="1:7" hidden="1">
      <c r="A1806" s="36" t="s">
        <v>1991</v>
      </c>
      <c r="B1806" s="36" t="s">
        <v>314</v>
      </c>
      <c r="C1806" s="36" t="str">
        <f>_xlfn.CONCAT(Table4[[#This Row],[Ledger Name]],Table4[[#This Row],[Entity Name]])</f>
        <v>TALOC25260017 INTExpora</v>
      </c>
      <c r="D1806" s="36" t="s">
        <v>936</v>
      </c>
      <c r="E1806" s="49" t="s">
        <v>152</v>
      </c>
      <c r="F1806" s="49" t="s">
        <v>315</v>
      </c>
      <c r="G1806" s="101" t="s">
        <v>282</v>
      </c>
    </row>
    <row r="1807" spans="1:7" hidden="1">
      <c r="A1807" s="36" t="s">
        <v>1992</v>
      </c>
      <c r="B1807" s="36" t="s">
        <v>314</v>
      </c>
      <c r="C1807" s="36" t="str">
        <f>_xlfn.CONCAT(Table4[[#This Row],[Ledger Name]],Table4[[#This Row],[Entity Name]])</f>
        <v>TALOC25260018 INTExpora</v>
      </c>
      <c r="D1807" s="36" t="s">
        <v>936</v>
      </c>
      <c r="E1807" s="49" t="s">
        <v>152</v>
      </c>
      <c r="F1807" s="49" t="s">
        <v>315</v>
      </c>
      <c r="G1807" s="101" t="s">
        <v>282</v>
      </c>
    </row>
    <row r="1808" spans="1:7" hidden="1">
      <c r="A1808" s="36" t="s">
        <v>1993</v>
      </c>
      <c r="B1808" s="36" t="s">
        <v>314</v>
      </c>
      <c r="C1808" s="36" t="str">
        <f>_xlfn.CONCAT(Table4[[#This Row],[Ledger Name]],Table4[[#This Row],[Entity Name]])</f>
        <v>TALOC25260019 INTExpora</v>
      </c>
      <c r="D1808" s="36" t="s">
        <v>936</v>
      </c>
      <c r="E1808" s="49" t="s">
        <v>152</v>
      </c>
      <c r="F1808" s="49" t="s">
        <v>315</v>
      </c>
      <c r="G1808" s="101" t="s">
        <v>282</v>
      </c>
    </row>
    <row r="1809" spans="1:7" hidden="1">
      <c r="A1809" s="36" t="s">
        <v>1994</v>
      </c>
      <c r="B1809" s="36" t="s">
        <v>314</v>
      </c>
      <c r="C1809" s="36" t="str">
        <f>_xlfn.CONCAT(Table4[[#This Row],[Ledger Name]],Table4[[#This Row],[Entity Name]])</f>
        <v>TALOC25260020 INTExpora</v>
      </c>
      <c r="D1809" s="36" t="s">
        <v>936</v>
      </c>
      <c r="E1809" s="49" t="s">
        <v>152</v>
      </c>
      <c r="F1809" s="49" t="s">
        <v>315</v>
      </c>
      <c r="G1809" s="101" t="s">
        <v>282</v>
      </c>
    </row>
    <row r="1810" spans="1:7" hidden="1">
      <c r="A1810" s="36" t="s">
        <v>1995</v>
      </c>
      <c r="B1810" s="36" t="s">
        <v>314</v>
      </c>
      <c r="C1810" s="36" t="str">
        <f>_xlfn.CONCAT(Table4[[#This Row],[Ledger Name]],Table4[[#This Row],[Entity Name]])</f>
        <v>TALOC25260032 INTExpora</v>
      </c>
      <c r="D1810" s="36" t="s">
        <v>936</v>
      </c>
      <c r="E1810" s="49" t="s">
        <v>152</v>
      </c>
      <c r="F1810" s="49" t="s">
        <v>315</v>
      </c>
      <c r="G1810" s="101" t="s">
        <v>282</v>
      </c>
    </row>
    <row r="1811" spans="1:7" hidden="1">
      <c r="A1811" s="36" t="s">
        <v>1996</v>
      </c>
      <c r="B1811" s="36" t="s">
        <v>314</v>
      </c>
      <c r="C1811" s="36" t="str">
        <f>_xlfn.CONCAT(Table4[[#This Row],[Ledger Name]],Table4[[#This Row],[Entity Name]])</f>
        <v>TALOC25260033 INTExpora</v>
      </c>
      <c r="D1811" s="36" t="s">
        <v>936</v>
      </c>
      <c r="E1811" s="49" t="s">
        <v>152</v>
      </c>
      <c r="F1811" s="49" t="s">
        <v>315</v>
      </c>
      <c r="G1811" s="101" t="s">
        <v>282</v>
      </c>
    </row>
    <row r="1812" spans="1:7" hidden="1">
      <c r="A1812" s="36" t="s">
        <v>1997</v>
      </c>
      <c r="B1812" s="36" t="s">
        <v>314</v>
      </c>
      <c r="C1812" s="36" t="str">
        <f>_xlfn.CONCAT(Table4[[#This Row],[Ledger Name]],Table4[[#This Row],[Entity Name]])</f>
        <v>TALOC25260038 INTExpora</v>
      </c>
      <c r="D1812" s="36" t="s">
        <v>936</v>
      </c>
      <c r="E1812" s="49" t="s">
        <v>152</v>
      </c>
      <c r="F1812" s="49" t="s">
        <v>315</v>
      </c>
      <c r="G1812" s="101" t="s">
        <v>282</v>
      </c>
    </row>
    <row r="1813" spans="1:7" hidden="1">
      <c r="A1813" s="36" t="s">
        <v>1998</v>
      </c>
      <c r="B1813" s="36" t="s">
        <v>314</v>
      </c>
      <c r="C1813" s="36" t="str">
        <f>_xlfn.CONCAT(Table4[[#This Row],[Ledger Name]],Table4[[#This Row],[Entity Name]])</f>
        <v>TALOC25260040 INTExpora</v>
      </c>
      <c r="D1813" s="36" t="s">
        <v>936</v>
      </c>
      <c r="E1813" s="49" t="s">
        <v>152</v>
      </c>
      <c r="F1813" s="49" t="s">
        <v>315</v>
      </c>
      <c r="G1813" s="101" t="s">
        <v>282</v>
      </c>
    </row>
    <row r="1814" spans="1:7" hidden="1">
      <c r="A1814" s="36" t="s">
        <v>1999</v>
      </c>
      <c r="B1814" s="36" t="s">
        <v>314</v>
      </c>
      <c r="C1814" s="36" t="str">
        <f>_xlfn.CONCAT(Table4[[#This Row],[Ledger Name]],Table4[[#This Row],[Entity Name]])</f>
        <v>TALOC25260041 INTExpora</v>
      </c>
      <c r="D1814" s="36" t="s">
        <v>936</v>
      </c>
      <c r="E1814" s="49" t="s">
        <v>152</v>
      </c>
      <c r="F1814" s="49" t="s">
        <v>315</v>
      </c>
      <c r="G1814" s="101" t="s">
        <v>282</v>
      </c>
    </row>
    <row r="1815" spans="1:7" hidden="1">
      <c r="A1815" s="36" t="s">
        <v>2000</v>
      </c>
      <c r="B1815" s="36" t="s">
        <v>314</v>
      </c>
      <c r="C1815" s="36" t="str">
        <f>_xlfn.CONCAT(Table4[[#This Row],[Ledger Name]],Table4[[#This Row],[Entity Name]])</f>
        <v>TALOC25260043 INTExpora</v>
      </c>
      <c r="D1815" s="36" t="s">
        <v>936</v>
      </c>
      <c r="E1815" s="49" t="s">
        <v>152</v>
      </c>
      <c r="F1815" s="49" t="s">
        <v>315</v>
      </c>
      <c r="G1815" s="101" t="s">
        <v>282</v>
      </c>
    </row>
    <row r="1816" spans="1:7" hidden="1">
      <c r="A1816" s="36" t="s">
        <v>2001</v>
      </c>
      <c r="B1816" s="36" t="s">
        <v>314</v>
      </c>
      <c r="C1816" s="36" t="str">
        <f>_xlfn.CONCAT(Table4[[#This Row],[Ledger Name]],Table4[[#This Row],[Entity Name]])</f>
        <v>TALOC25260044 INTExpora</v>
      </c>
      <c r="D1816" s="36" t="s">
        <v>936</v>
      </c>
      <c r="E1816" s="49" t="s">
        <v>152</v>
      </c>
      <c r="F1816" s="49" t="s">
        <v>315</v>
      </c>
      <c r="G1816" s="101" t="s">
        <v>282</v>
      </c>
    </row>
    <row r="1817" spans="1:7" hidden="1">
      <c r="A1817" s="36" t="s">
        <v>2002</v>
      </c>
      <c r="B1817" s="36" t="s">
        <v>314</v>
      </c>
      <c r="C1817" s="36" t="str">
        <f>_xlfn.CONCAT(Table4[[#This Row],[Ledger Name]],Table4[[#This Row],[Entity Name]])</f>
        <v>TALOC25260045 INTExpora</v>
      </c>
      <c r="D1817" s="36" t="s">
        <v>936</v>
      </c>
      <c r="E1817" s="49" t="s">
        <v>152</v>
      </c>
      <c r="F1817" s="49" t="s">
        <v>315</v>
      </c>
      <c r="G1817" s="101" t="s">
        <v>282</v>
      </c>
    </row>
    <row r="1818" spans="1:7" hidden="1">
      <c r="A1818" s="36" t="s">
        <v>2003</v>
      </c>
      <c r="B1818" s="36" t="s">
        <v>314</v>
      </c>
      <c r="C1818" s="36" t="str">
        <f>_xlfn.CONCAT(Table4[[#This Row],[Ledger Name]],Table4[[#This Row],[Entity Name]])</f>
        <v>TALOC25260046 INTExpora</v>
      </c>
      <c r="D1818" s="36" t="s">
        <v>936</v>
      </c>
      <c r="E1818" s="49" t="s">
        <v>152</v>
      </c>
      <c r="F1818" s="49" t="s">
        <v>315</v>
      </c>
      <c r="G1818" s="101" t="s">
        <v>282</v>
      </c>
    </row>
    <row r="1819" spans="1:7" hidden="1">
      <c r="A1819" s="36" t="s">
        <v>2004</v>
      </c>
      <c r="B1819" s="36" t="s">
        <v>314</v>
      </c>
      <c r="C1819" s="36" t="str">
        <f>_xlfn.CONCAT(Table4[[#This Row],[Ledger Name]],Table4[[#This Row],[Entity Name]])</f>
        <v>TALOC25260047 INTExpora</v>
      </c>
      <c r="D1819" s="36" t="s">
        <v>936</v>
      </c>
      <c r="E1819" s="49" t="s">
        <v>152</v>
      </c>
      <c r="F1819" s="49" t="s">
        <v>315</v>
      </c>
      <c r="G1819" s="101" t="s">
        <v>282</v>
      </c>
    </row>
    <row r="1820" spans="1:7" hidden="1">
      <c r="A1820" s="36" t="s">
        <v>2005</v>
      </c>
      <c r="B1820" s="36" t="s">
        <v>314</v>
      </c>
      <c r="C1820" s="36" t="str">
        <f>_xlfn.CONCAT(Table4[[#This Row],[Ledger Name]],Table4[[#This Row],[Entity Name]])</f>
        <v>TALOC25260048 INTExpora</v>
      </c>
      <c r="D1820" s="36" t="s">
        <v>936</v>
      </c>
      <c r="E1820" s="49" t="s">
        <v>152</v>
      </c>
      <c r="F1820" s="49" t="s">
        <v>315</v>
      </c>
      <c r="G1820" s="101" t="s">
        <v>282</v>
      </c>
    </row>
    <row r="1821" spans="1:7" hidden="1">
      <c r="A1821" s="36" t="s">
        <v>2006</v>
      </c>
      <c r="B1821" s="36" t="s">
        <v>314</v>
      </c>
      <c r="C1821" s="36" t="str">
        <f>_xlfn.CONCAT(Table4[[#This Row],[Ledger Name]],Table4[[#This Row],[Entity Name]])</f>
        <v>TALOC25260049 INTExpora</v>
      </c>
      <c r="D1821" s="36" t="s">
        <v>936</v>
      </c>
      <c r="E1821" s="49" t="s">
        <v>152</v>
      </c>
      <c r="F1821" s="49" t="s">
        <v>315</v>
      </c>
      <c r="G1821" s="101" t="s">
        <v>282</v>
      </c>
    </row>
    <row r="1822" spans="1:7" hidden="1">
      <c r="A1822" s="36" t="s">
        <v>2007</v>
      </c>
      <c r="B1822" s="36" t="s">
        <v>314</v>
      </c>
      <c r="C1822" s="36" t="str">
        <f>_xlfn.CONCAT(Table4[[#This Row],[Ledger Name]],Table4[[#This Row],[Entity Name]])</f>
        <v>TALOC25260050 INTExpora</v>
      </c>
      <c r="D1822" s="36" t="s">
        <v>936</v>
      </c>
      <c r="E1822" s="49" t="s">
        <v>152</v>
      </c>
      <c r="F1822" s="49" t="s">
        <v>315</v>
      </c>
      <c r="G1822" s="101" t="s">
        <v>282</v>
      </c>
    </row>
    <row r="1823" spans="1:7" hidden="1">
      <c r="A1823" s="36" t="s">
        <v>2008</v>
      </c>
      <c r="B1823" s="36" t="s">
        <v>314</v>
      </c>
      <c r="C1823" s="36" t="str">
        <f>_xlfn.CONCAT(Table4[[#This Row],[Ledger Name]],Table4[[#This Row],[Entity Name]])</f>
        <v>TALOC25260051 INTExpora</v>
      </c>
      <c r="D1823" s="36" t="s">
        <v>936</v>
      </c>
      <c r="E1823" s="49" t="s">
        <v>152</v>
      </c>
      <c r="F1823" s="49" t="s">
        <v>315</v>
      </c>
      <c r="G1823" s="101" t="s">
        <v>282</v>
      </c>
    </row>
    <row r="1824" spans="1:7" hidden="1">
      <c r="A1824" s="36" t="s">
        <v>2009</v>
      </c>
      <c r="B1824" s="36" t="s">
        <v>314</v>
      </c>
      <c r="C1824" s="36" t="str">
        <f>_xlfn.CONCAT(Table4[[#This Row],[Ledger Name]],Table4[[#This Row],[Entity Name]])</f>
        <v>TALOC25260053 INTExpora</v>
      </c>
      <c r="D1824" s="36" t="s">
        <v>936</v>
      </c>
      <c r="E1824" s="49" t="s">
        <v>152</v>
      </c>
      <c r="F1824" s="49" t="s">
        <v>315</v>
      </c>
      <c r="G1824" s="101" t="s">
        <v>282</v>
      </c>
    </row>
    <row r="1825" spans="1:7" hidden="1">
      <c r="A1825" s="36" t="s">
        <v>2010</v>
      </c>
      <c r="B1825" s="36" t="s">
        <v>314</v>
      </c>
      <c r="C1825" s="36" t="str">
        <f>_xlfn.CONCAT(Table4[[#This Row],[Ledger Name]],Table4[[#This Row],[Entity Name]])</f>
        <v>TALOC25260057 INTExpora</v>
      </c>
      <c r="D1825" s="36" t="s">
        <v>936</v>
      </c>
      <c r="E1825" s="49" t="s">
        <v>152</v>
      </c>
      <c r="F1825" s="49" t="s">
        <v>315</v>
      </c>
      <c r="G1825" s="101" t="s">
        <v>282</v>
      </c>
    </row>
    <row r="1826" spans="1:7" hidden="1">
      <c r="A1826" s="36" t="s">
        <v>2011</v>
      </c>
      <c r="B1826" s="36" t="s">
        <v>314</v>
      </c>
      <c r="C1826" s="36" t="str">
        <f>_xlfn.CONCAT(Table4[[#This Row],[Ledger Name]],Table4[[#This Row],[Entity Name]])</f>
        <v>TALOC25260058 INTExpora</v>
      </c>
      <c r="D1826" s="36" t="s">
        <v>936</v>
      </c>
      <c r="E1826" s="49" t="s">
        <v>152</v>
      </c>
      <c r="F1826" s="49" t="s">
        <v>315</v>
      </c>
      <c r="G1826" s="101" t="s">
        <v>282</v>
      </c>
    </row>
    <row r="1827" spans="1:7" hidden="1">
      <c r="A1827" s="36" t="s">
        <v>2012</v>
      </c>
      <c r="B1827" s="36" t="s">
        <v>314</v>
      </c>
      <c r="C1827" s="36" t="str">
        <f>_xlfn.CONCAT(Table4[[#This Row],[Ledger Name]],Table4[[#This Row],[Entity Name]])</f>
        <v>TALOC25260059 INTExpora</v>
      </c>
      <c r="D1827" s="36" t="s">
        <v>936</v>
      </c>
      <c r="E1827" s="49" t="s">
        <v>152</v>
      </c>
      <c r="F1827" s="49" t="s">
        <v>315</v>
      </c>
      <c r="G1827" s="101" t="s">
        <v>282</v>
      </c>
    </row>
    <row r="1828" spans="1:7" hidden="1">
      <c r="A1828" s="36" t="s">
        <v>2013</v>
      </c>
      <c r="B1828" s="36" t="s">
        <v>314</v>
      </c>
      <c r="C1828" s="36" t="str">
        <f>_xlfn.CONCAT(Table4[[#This Row],[Ledger Name]],Table4[[#This Row],[Entity Name]])</f>
        <v>TALOC25260061 INTExpora</v>
      </c>
      <c r="D1828" s="36" t="s">
        <v>936</v>
      </c>
      <c r="E1828" s="49" t="s">
        <v>152</v>
      </c>
      <c r="F1828" s="49" t="s">
        <v>315</v>
      </c>
      <c r="G1828" s="101" t="s">
        <v>282</v>
      </c>
    </row>
    <row r="1829" spans="1:7" hidden="1">
      <c r="A1829" s="36" t="s">
        <v>2014</v>
      </c>
      <c r="B1829" s="36" t="s">
        <v>314</v>
      </c>
      <c r="C1829" s="36" t="str">
        <f>_xlfn.CONCAT(Table4[[#This Row],[Ledger Name]],Table4[[#This Row],[Entity Name]])</f>
        <v>TALOC25260062 INTExpora</v>
      </c>
      <c r="D1829" s="36" t="s">
        <v>936</v>
      </c>
      <c r="E1829" s="49" t="s">
        <v>152</v>
      </c>
      <c r="F1829" s="49" t="s">
        <v>315</v>
      </c>
      <c r="G1829" s="101" t="s">
        <v>282</v>
      </c>
    </row>
    <row r="1830" spans="1:7" hidden="1">
      <c r="A1830" s="36" t="s">
        <v>2015</v>
      </c>
      <c r="B1830" s="36" t="s">
        <v>314</v>
      </c>
      <c r="C1830" s="36" t="str">
        <f>_xlfn.CONCAT(Table4[[#This Row],[Ledger Name]],Table4[[#This Row],[Entity Name]])</f>
        <v>TALOC25260065 INTExpora</v>
      </c>
      <c r="D1830" s="36" t="s">
        <v>936</v>
      </c>
      <c r="E1830" s="49" t="s">
        <v>152</v>
      </c>
      <c r="F1830" s="49" t="s">
        <v>315</v>
      </c>
      <c r="G1830" s="101" t="s">
        <v>282</v>
      </c>
    </row>
    <row r="1831" spans="1:7" hidden="1">
      <c r="A1831" s="36" t="s">
        <v>2016</v>
      </c>
      <c r="B1831" s="36" t="s">
        <v>314</v>
      </c>
      <c r="C1831" s="36" t="str">
        <f>_xlfn.CONCAT(Table4[[#This Row],[Ledger Name]],Table4[[#This Row],[Entity Name]])</f>
        <v>TALOC25260066 INTExpora</v>
      </c>
      <c r="D1831" s="36" t="s">
        <v>936</v>
      </c>
      <c r="E1831" s="49" t="s">
        <v>152</v>
      </c>
      <c r="F1831" s="49" t="s">
        <v>315</v>
      </c>
      <c r="G1831" s="101" t="s">
        <v>282</v>
      </c>
    </row>
    <row r="1832" spans="1:7" hidden="1">
      <c r="A1832" s="36" t="s">
        <v>2017</v>
      </c>
      <c r="B1832" s="36" t="s">
        <v>314</v>
      </c>
      <c r="C1832" s="36" t="str">
        <f>_xlfn.CONCAT(Table4[[#This Row],[Ledger Name]],Table4[[#This Row],[Entity Name]])</f>
        <v>TALOC25260067 INTExpora</v>
      </c>
      <c r="D1832" s="36" t="s">
        <v>936</v>
      </c>
      <c r="E1832" s="49" t="s">
        <v>152</v>
      </c>
      <c r="F1832" s="49" t="s">
        <v>315</v>
      </c>
      <c r="G1832" s="101" t="s">
        <v>282</v>
      </c>
    </row>
    <row r="1833" spans="1:7" hidden="1">
      <c r="A1833" s="36" t="s">
        <v>2018</v>
      </c>
      <c r="B1833" s="36" t="s">
        <v>314</v>
      </c>
      <c r="C1833" s="36" t="str">
        <f>_xlfn.CONCAT(Table4[[#This Row],[Ledger Name]],Table4[[#This Row],[Entity Name]])</f>
        <v>TALOC25260068 INTExpora</v>
      </c>
      <c r="D1833" s="36" t="s">
        <v>936</v>
      </c>
      <c r="E1833" s="49" t="s">
        <v>152</v>
      </c>
      <c r="F1833" s="49" t="s">
        <v>315</v>
      </c>
      <c r="G1833" s="101" t="s">
        <v>282</v>
      </c>
    </row>
    <row r="1834" spans="1:7" hidden="1">
      <c r="A1834" s="36" t="s">
        <v>2019</v>
      </c>
      <c r="B1834" s="36" t="s">
        <v>314</v>
      </c>
      <c r="C1834" s="36" t="str">
        <f>_xlfn.CONCAT(Table4[[#This Row],[Ledger Name]],Table4[[#This Row],[Entity Name]])</f>
        <v>TALOC25260070 INTExpora</v>
      </c>
      <c r="D1834" s="36" t="s">
        <v>936</v>
      </c>
      <c r="E1834" s="49" t="s">
        <v>152</v>
      </c>
      <c r="F1834" s="49" t="s">
        <v>315</v>
      </c>
      <c r="G1834" s="101" t="s">
        <v>282</v>
      </c>
    </row>
    <row r="1835" spans="1:7" hidden="1">
      <c r="A1835" s="36" t="s">
        <v>2020</v>
      </c>
      <c r="B1835" s="36" t="s">
        <v>314</v>
      </c>
      <c r="C1835" s="36" t="str">
        <f>_xlfn.CONCAT(Table4[[#This Row],[Ledger Name]],Table4[[#This Row],[Entity Name]])</f>
        <v>TALOC25260071 INTExpora</v>
      </c>
      <c r="D1835" s="36" t="s">
        <v>936</v>
      </c>
      <c r="E1835" s="49" t="s">
        <v>152</v>
      </c>
      <c r="F1835" s="49" t="s">
        <v>315</v>
      </c>
      <c r="G1835" s="101" t="s">
        <v>282</v>
      </c>
    </row>
    <row r="1836" spans="1:7" hidden="1">
      <c r="A1836" s="36" t="s">
        <v>2021</v>
      </c>
      <c r="B1836" s="36" t="s">
        <v>314</v>
      </c>
      <c r="C1836" s="36" t="str">
        <f>_xlfn.CONCAT(Table4[[#This Row],[Ledger Name]],Table4[[#This Row],[Entity Name]])</f>
        <v>TALOC25260072 INTExpora</v>
      </c>
      <c r="D1836" s="36" t="s">
        <v>936</v>
      </c>
      <c r="E1836" s="49" t="s">
        <v>152</v>
      </c>
      <c r="F1836" s="49" t="s">
        <v>315</v>
      </c>
      <c r="G1836" s="101" t="s">
        <v>282</v>
      </c>
    </row>
    <row r="1837" spans="1:7" hidden="1">
      <c r="A1837" s="36" t="s">
        <v>2022</v>
      </c>
      <c r="B1837" s="36" t="s">
        <v>314</v>
      </c>
      <c r="C1837" s="36" t="str">
        <f>_xlfn.CONCAT(Table4[[#This Row],[Ledger Name]],Table4[[#This Row],[Entity Name]])</f>
        <v>TALOC25260073 INTExpora</v>
      </c>
      <c r="D1837" s="36" t="s">
        <v>936</v>
      </c>
      <c r="E1837" s="49" t="s">
        <v>152</v>
      </c>
      <c r="F1837" s="49" t="s">
        <v>315</v>
      </c>
      <c r="G1837" s="101" t="s">
        <v>282</v>
      </c>
    </row>
    <row r="1838" spans="1:7" hidden="1">
      <c r="A1838" s="36" t="s">
        <v>2023</v>
      </c>
      <c r="B1838" s="36" t="s">
        <v>314</v>
      </c>
      <c r="C1838" s="36" t="str">
        <f>_xlfn.CONCAT(Table4[[#This Row],[Ledger Name]],Table4[[#This Row],[Entity Name]])</f>
        <v>TALOC25260074 INTExpora</v>
      </c>
      <c r="D1838" s="36" t="s">
        <v>936</v>
      </c>
      <c r="E1838" s="49" t="s">
        <v>152</v>
      </c>
      <c r="F1838" s="49" t="s">
        <v>315</v>
      </c>
      <c r="G1838" s="101" t="s">
        <v>282</v>
      </c>
    </row>
    <row r="1839" spans="1:7" hidden="1">
      <c r="A1839" s="36" t="s">
        <v>2024</v>
      </c>
      <c r="B1839" s="36" t="s">
        <v>314</v>
      </c>
      <c r="C1839" s="36" t="str">
        <f>_xlfn.CONCAT(Table4[[#This Row],[Ledger Name]],Table4[[#This Row],[Entity Name]])</f>
        <v>TALOC25260075 INTExpora</v>
      </c>
      <c r="D1839" s="36" t="s">
        <v>936</v>
      </c>
      <c r="E1839" s="49" t="s">
        <v>152</v>
      </c>
      <c r="F1839" s="49" t="s">
        <v>315</v>
      </c>
      <c r="G1839" s="101" t="s">
        <v>282</v>
      </c>
    </row>
    <row r="1840" spans="1:7" hidden="1">
      <c r="A1840" s="36" t="s">
        <v>2025</v>
      </c>
      <c r="B1840" s="36" t="s">
        <v>314</v>
      </c>
      <c r="C1840" s="36" t="str">
        <f>_xlfn.CONCAT(Table4[[#This Row],[Ledger Name]],Table4[[#This Row],[Entity Name]])</f>
        <v>TALOC25260076 INTExpora</v>
      </c>
      <c r="D1840" s="36" t="s">
        <v>936</v>
      </c>
      <c r="E1840" s="49" t="s">
        <v>152</v>
      </c>
      <c r="F1840" s="49" t="s">
        <v>315</v>
      </c>
      <c r="G1840" s="101" t="s">
        <v>282</v>
      </c>
    </row>
    <row r="1841" spans="1:7" hidden="1">
      <c r="A1841" s="36" t="s">
        <v>2026</v>
      </c>
      <c r="B1841" s="36" t="s">
        <v>314</v>
      </c>
      <c r="C1841" s="36" t="str">
        <f>_xlfn.CONCAT(Table4[[#This Row],[Ledger Name]],Table4[[#This Row],[Entity Name]])</f>
        <v>TALOC25260077 INTExpora</v>
      </c>
      <c r="D1841" s="36" t="s">
        <v>936</v>
      </c>
      <c r="E1841" s="49" t="s">
        <v>152</v>
      </c>
      <c r="F1841" s="49" t="s">
        <v>315</v>
      </c>
      <c r="G1841" s="101" t="s">
        <v>282</v>
      </c>
    </row>
    <row r="1842" spans="1:7" hidden="1">
      <c r="A1842" s="36" t="s">
        <v>2027</v>
      </c>
      <c r="B1842" s="36" t="s">
        <v>314</v>
      </c>
      <c r="C1842" s="36" t="str">
        <f>_xlfn.CONCAT(Table4[[#This Row],[Ledger Name]],Table4[[#This Row],[Entity Name]])</f>
        <v>TALOC25260078 INTExpora</v>
      </c>
      <c r="D1842" s="36" t="s">
        <v>936</v>
      </c>
      <c r="E1842" s="49" t="s">
        <v>152</v>
      </c>
      <c r="F1842" s="49" t="s">
        <v>315</v>
      </c>
      <c r="G1842" s="101" t="s">
        <v>282</v>
      </c>
    </row>
    <row r="1843" spans="1:7" hidden="1">
      <c r="A1843" s="36" t="s">
        <v>2028</v>
      </c>
      <c r="B1843" s="36" t="s">
        <v>314</v>
      </c>
      <c r="C1843" s="36" t="str">
        <f>_xlfn.CONCAT(Table4[[#This Row],[Ledger Name]],Table4[[#This Row],[Entity Name]])</f>
        <v>TALOC25260079 INTExpora</v>
      </c>
      <c r="D1843" s="36" t="s">
        <v>936</v>
      </c>
      <c r="E1843" s="49" t="s">
        <v>152</v>
      </c>
      <c r="F1843" s="49" t="s">
        <v>315</v>
      </c>
      <c r="G1843" s="101" t="s">
        <v>282</v>
      </c>
    </row>
    <row r="1844" spans="1:7" hidden="1">
      <c r="A1844" s="36" t="s">
        <v>2029</v>
      </c>
      <c r="B1844" s="36" t="s">
        <v>314</v>
      </c>
      <c r="C1844" s="36" t="str">
        <f>_xlfn.CONCAT(Table4[[#This Row],[Ledger Name]],Table4[[#This Row],[Entity Name]])</f>
        <v>TALOC25260081 INTExpora</v>
      </c>
      <c r="D1844" s="36" t="s">
        <v>936</v>
      </c>
      <c r="E1844" s="49" t="s">
        <v>152</v>
      </c>
      <c r="F1844" s="49" t="s">
        <v>315</v>
      </c>
      <c r="G1844" s="101" t="s">
        <v>282</v>
      </c>
    </row>
    <row r="1845" spans="1:7" hidden="1">
      <c r="A1845" s="36" t="s">
        <v>2030</v>
      </c>
      <c r="B1845" s="36" t="s">
        <v>314</v>
      </c>
      <c r="C1845" s="36" t="str">
        <f>_xlfn.CONCAT(Table4[[#This Row],[Ledger Name]],Table4[[#This Row],[Entity Name]])</f>
        <v>TALOC25260083 INTExpora</v>
      </c>
      <c r="D1845" s="36" t="s">
        <v>936</v>
      </c>
      <c r="E1845" s="49" t="s">
        <v>152</v>
      </c>
      <c r="F1845" s="49" t="s">
        <v>315</v>
      </c>
      <c r="G1845" s="101" t="s">
        <v>282</v>
      </c>
    </row>
    <row r="1846" spans="1:7" hidden="1">
      <c r="A1846" s="36" t="s">
        <v>2031</v>
      </c>
      <c r="B1846" s="36" t="s">
        <v>314</v>
      </c>
      <c r="C1846" s="36" t="str">
        <f>_xlfn.CONCAT(Table4[[#This Row],[Ledger Name]],Table4[[#This Row],[Entity Name]])</f>
        <v>TALOC25260084 INTExpora</v>
      </c>
      <c r="D1846" s="36" t="s">
        <v>936</v>
      </c>
      <c r="E1846" s="49" t="s">
        <v>152</v>
      </c>
      <c r="F1846" s="49" t="s">
        <v>315</v>
      </c>
      <c r="G1846" s="101" t="s">
        <v>282</v>
      </c>
    </row>
    <row r="1847" spans="1:7" hidden="1">
      <c r="A1847" s="36" t="s">
        <v>2032</v>
      </c>
      <c r="B1847" s="36" t="s">
        <v>314</v>
      </c>
      <c r="C1847" s="36" t="str">
        <f>_xlfn.CONCAT(Table4[[#This Row],[Ledger Name]],Table4[[#This Row],[Entity Name]])</f>
        <v>TALOC25260085 INTExpora</v>
      </c>
      <c r="D1847" s="36" t="s">
        <v>936</v>
      </c>
      <c r="E1847" s="49" t="s">
        <v>152</v>
      </c>
      <c r="F1847" s="49" t="s">
        <v>315</v>
      </c>
      <c r="G1847" s="101" t="s">
        <v>282</v>
      </c>
    </row>
    <row r="1848" spans="1:7" hidden="1">
      <c r="A1848" s="36" t="s">
        <v>2033</v>
      </c>
      <c r="B1848" s="36" t="s">
        <v>314</v>
      </c>
      <c r="C1848" s="36" t="str">
        <f>_xlfn.CONCAT(Table4[[#This Row],[Ledger Name]],Table4[[#This Row],[Entity Name]])</f>
        <v>TALOC25260086 INTExpora</v>
      </c>
      <c r="D1848" s="36" t="s">
        <v>936</v>
      </c>
      <c r="E1848" s="49" t="s">
        <v>152</v>
      </c>
      <c r="F1848" s="49" t="s">
        <v>315</v>
      </c>
      <c r="G1848" s="101" t="s">
        <v>282</v>
      </c>
    </row>
    <row r="1849" spans="1:7" hidden="1">
      <c r="A1849" s="36" t="s">
        <v>2034</v>
      </c>
      <c r="B1849" s="36" t="s">
        <v>314</v>
      </c>
      <c r="C1849" s="36" t="str">
        <f>_xlfn.CONCAT(Table4[[#This Row],[Ledger Name]],Table4[[#This Row],[Entity Name]])</f>
        <v>TALOC25260087 INTExpora</v>
      </c>
      <c r="D1849" s="36" t="s">
        <v>936</v>
      </c>
      <c r="E1849" s="49" t="s">
        <v>152</v>
      </c>
      <c r="F1849" s="49" t="s">
        <v>315</v>
      </c>
      <c r="G1849" s="101" t="s">
        <v>282</v>
      </c>
    </row>
    <row r="1850" spans="1:7" hidden="1">
      <c r="A1850" s="36" t="s">
        <v>2035</v>
      </c>
      <c r="B1850" s="36" t="s">
        <v>314</v>
      </c>
      <c r="C1850" s="36" t="str">
        <f>_xlfn.CONCAT(Table4[[#This Row],[Ledger Name]],Table4[[#This Row],[Entity Name]])</f>
        <v>TALOC25260088 INTExpora</v>
      </c>
      <c r="D1850" s="36" t="s">
        <v>936</v>
      </c>
      <c r="E1850" s="49" t="s">
        <v>152</v>
      </c>
      <c r="F1850" s="49" t="s">
        <v>315</v>
      </c>
      <c r="G1850" s="101" t="s">
        <v>282</v>
      </c>
    </row>
    <row r="1851" spans="1:7" hidden="1">
      <c r="A1851" s="36" t="s">
        <v>2036</v>
      </c>
      <c r="B1851" s="36" t="s">
        <v>314</v>
      </c>
      <c r="C1851" s="36" t="str">
        <f>_xlfn.CONCAT(Table4[[#This Row],[Ledger Name]],Table4[[#This Row],[Entity Name]])</f>
        <v>TALOC25260089 INTExpora</v>
      </c>
      <c r="D1851" s="36" t="s">
        <v>936</v>
      </c>
      <c r="E1851" s="49" t="s">
        <v>152</v>
      </c>
      <c r="F1851" s="49" t="s">
        <v>315</v>
      </c>
      <c r="G1851" s="101" t="s">
        <v>282</v>
      </c>
    </row>
    <row r="1852" spans="1:7" hidden="1">
      <c r="A1852" s="36" t="s">
        <v>2037</v>
      </c>
      <c r="B1852" s="36" t="s">
        <v>314</v>
      </c>
      <c r="C1852" s="36" t="str">
        <f>_xlfn.CONCAT(Table4[[#This Row],[Ledger Name]],Table4[[#This Row],[Entity Name]])</f>
        <v>TALOC25260090 INTExpora</v>
      </c>
      <c r="D1852" s="36" t="s">
        <v>936</v>
      </c>
      <c r="E1852" s="49" t="s">
        <v>152</v>
      </c>
      <c r="F1852" s="49" t="s">
        <v>315</v>
      </c>
      <c r="G1852" s="101" t="s">
        <v>282</v>
      </c>
    </row>
    <row r="1853" spans="1:7" hidden="1">
      <c r="A1853" s="36" t="s">
        <v>2038</v>
      </c>
      <c r="B1853" s="36" t="s">
        <v>314</v>
      </c>
      <c r="C1853" s="36" t="str">
        <f>_xlfn.CONCAT(Table4[[#This Row],[Ledger Name]],Table4[[#This Row],[Entity Name]])</f>
        <v>TALOC25260091 INTExpora</v>
      </c>
      <c r="D1853" s="36" t="s">
        <v>936</v>
      </c>
      <c r="E1853" s="49" t="s">
        <v>152</v>
      </c>
      <c r="F1853" s="49" t="s">
        <v>315</v>
      </c>
      <c r="G1853" s="101" t="s">
        <v>282</v>
      </c>
    </row>
    <row r="1854" spans="1:7" hidden="1">
      <c r="A1854" s="36" t="s">
        <v>2039</v>
      </c>
      <c r="B1854" s="36" t="s">
        <v>314</v>
      </c>
      <c r="C1854" s="36" t="str">
        <f>_xlfn.CONCAT(Table4[[#This Row],[Ledger Name]],Table4[[#This Row],[Entity Name]])</f>
        <v>GST Late feesExpora</v>
      </c>
      <c r="D1854" s="36" t="s">
        <v>936</v>
      </c>
      <c r="E1854" s="49" t="s">
        <v>152</v>
      </c>
      <c r="F1854" s="49" t="s">
        <v>13</v>
      </c>
      <c r="G1854" s="101" t="s">
        <v>1207</v>
      </c>
    </row>
    <row r="1855" spans="1:7" hidden="1">
      <c r="A1855" s="36" t="s">
        <v>2040</v>
      </c>
      <c r="B1855" s="36" t="s">
        <v>314</v>
      </c>
      <c r="C1855" s="36" t="str">
        <f>_xlfn.CONCAT(Table4[[#This Row],[Ledger Name]],Table4[[#This Row],[Entity Name]])</f>
        <v>INELIGIBLE CGSTExpora</v>
      </c>
      <c r="D1855" s="36" t="s">
        <v>936</v>
      </c>
      <c r="E1855" s="49" t="s">
        <v>152</v>
      </c>
      <c r="F1855" s="49" t="s">
        <v>13</v>
      </c>
      <c r="G1855" s="101" t="s">
        <v>1207</v>
      </c>
    </row>
    <row r="1856" spans="1:7" hidden="1">
      <c r="A1856" s="36" t="s">
        <v>2041</v>
      </c>
      <c r="B1856" s="36" t="s">
        <v>314</v>
      </c>
      <c r="C1856" s="36" t="str">
        <f>_xlfn.CONCAT(Table4[[#This Row],[Ledger Name]],Table4[[#This Row],[Entity Name]])</f>
        <v>INELIGIBLE IGSTExpora</v>
      </c>
      <c r="D1856" s="36" t="s">
        <v>936</v>
      </c>
      <c r="E1856" s="49" t="s">
        <v>152</v>
      </c>
      <c r="F1856" s="49" t="s">
        <v>13</v>
      </c>
      <c r="G1856" s="101" t="s">
        <v>1207</v>
      </c>
    </row>
    <row r="1857" spans="1:7" hidden="1">
      <c r="A1857" s="36" t="s">
        <v>2042</v>
      </c>
      <c r="B1857" s="36" t="s">
        <v>314</v>
      </c>
      <c r="C1857" s="36" t="str">
        <f>_xlfn.CONCAT(Table4[[#This Row],[Ledger Name]],Table4[[#This Row],[Entity Name]])</f>
        <v>INELIGIBLE SGSTExpora</v>
      </c>
      <c r="D1857" s="36" t="s">
        <v>936</v>
      </c>
      <c r="E1857" s="49" t="s">
        <v>152</v>
      </c>
      <c r="F1857" s="49" t="s">
        <v>13</v>
      </c>
      <c r="G1857" s="101" t="s">
        <v>1207</v>
      </c>
    </row>
    <row r="1858" spans="1:7" hidden="1">
      <c r="A1858" s="36" t="s">
        <v>2043</v>
      </c>
      <c r="B1858" s="36" t="s">
        <v>314</v>
      </c>
      <c r="C1858" s="36" t="str">
        <f>_xlfn.CONCAT(Table4[[#This Row],[Ledger Name]],Table4[[#This Row],[Entity Name]])</f>
        <v>Performance variable FY-25-26Expora</v>
      </c>
      <c r="D1858" s="36" t="s">
        <v>936</v>
      </c>
      <c r="E1858" s="49" t="s">
        <v>152</v>
      </c>
      <c r="F1858" s="49" t="s">
        <v>2</v>
      </c>
      <c r="G1858" s="101" t="s">
        <v>73</v>
      </c>
    </row>
    <row r="1859" spans="1:7" hidden="1">
      <c r="A1859" s="36" t="s">
        <v>2044</v>
      </c>
      <c r="B1859" s="36" t="s">
        <v>314</v>
      </c>
      <c r="C1859" s="36" t="str">
        <f>_xlfn.CONCAT(Table4[[#This Row],[Ledger Name]],Table4[[#This Row],[Entity Name]])</f>
        <v>SE/2081/2499Expora</v>
      </c>
      <c r="D1859" s="36" t="s">
        <v>936</v>
      </c>
      <c r="E1859" s="49" t="s">
        <v>152</v>
      </c>
      <c r="F1859" s="49" t="s">
        <v>93</v>
      </c>
      <c r="G1859" s="101" t="s">
        <v>138</v>
      </c>
    </row>
    <row r="1860" spans="1:7" hidden="1">
      <c r="A1860" s="36" t="s">
        <v>2045</v>
      </c>
      <c r="B1860" s="36" t="s">
        <v>314</v>
      </c>
      <c r="C1860" s="36" t="str">
        <f>_xlfn.CONCAT(Table4[[#This Row],[Ledger Name]],Table4[[#This Row],[Entity Name]])</f>
        <v>SE/2081/2569Expora</v>
      </c>
      <c r="D1860" s="36" t="s">
        <v>936</v>
      </c>
      <c r="E1860" s="49" t="s">
        <v>152</v>
      </c>
      <c r="F1860" s="49" t="s">
        <v>93</v>
      </c>
      <c r="G1860" s="101" t="s">
        <v>138</v>
      </c>
    </row>
    <row r="1861" spans="1:7" hidden="1">
      <c r="A1861" s="36" t="s">
        <v>2046</v>
      </c>
      <c r="B1861" s="36" t="s">
        <v>314</v>
      </c>
      <c r="C1861" s="36" t="str">
        <f>_xlfn.CONCAT(Table4[[#This Row],[Ledger Name]],Table4[[#This Row],[Entity Name]])</f>
        <v>software licenseExpora</v>
      </c>
      <c r="D1861" s="36" t="s">
        <v>936</v>
      </c>
      <c r="E1861" s="49" t="s">
        <v>152</v>
      </c>
      <c r="F1861" s="49" t="s">
        <v>153</v>
      </c>
      <c r="G1861" s="101" t="s">
        <v>13</v>
      </c>
    </row>
    <row r="1862" spans="1:7" hidden="1">
      <c r="A1862" s="36" t="s">
        <v>2047</v>
      </c>
      <c r="B1862" s="36" t="s">
        <v>314</v>
      </c>
      <c r="C1862" s="36" t="str">
        <f>_xlfn.CONCAT(Table4[[#This Row],[Ledger Name]],Table4[[#This Row],[Entity Name]])</f>
        <v>TAEXP252623Expora</v>
      </c>
      <c r="D1862" s="36" t="s">
        <v>936</v>
      </c>
      <c r="E1862" s="49" t="s">
        <v>152</v>
      </c>
      <c r="F1862" s="49" t="s">
        <v>93</v>
      </c>
      <c r="G1862" s="101" t="s">
        <v>138</v>
      </c>
    </row>
    <row r="1863" spans="1:7" hidden="1">
      <c r="A1863" s="36" t="s">
        <v>2048</v>
      </c>
      <c r="B1863" s="36" t="s">
        <v>314</v>
      </c>
      <c r="C1863" s="36" t="str">
        <f>_xlfn.CONCAT(Table4[[#This Row],[Ledger Name]],Table4[[#This Row],[Entity Name]])</f>
        <v>TAEXP252624Expora</v>
      </c>
      <c r="D1863" s="36" t="s">
        <v>936</v>
      </c>
      <c r="E1863" s="49" t="s">
        <v>152</v>
      </c>
      <c r="F1863" s="49" t="s">
        <v>93</v>
      </c>
      <c r="G1863" s="101" t="s">
        <v>138</v>
      </c>
    </row>
    <row r="1864" spans="1:7" hidden="1">
      <c r="A1864" s="36" t="s">
        <v>2049</v>
      </c>
      <c r="B1864" s="36" t="s">
        <v>314</v>
      </c>
      <c r="C1864" s="36" t="str">
        <f>_xlfn.CONCAT(Table4[[#This Row],[Ledger Name]],Table4[[#This Row],[Entity Name]])</f>
        <v>TAEXP252625Expora</v>
      </c>
      <c r="D1864" s="36" t="s">
        <v>936</v>
      </c>
      <c r="E1864" s="49" t="s">
        <v>152</v>
      </c>
      <c r="F1864" s="49" t="s">
        <v>93</v>
      </c>
      <c r="G1864" s="101" t="s">
        <v>138</v>
      </c>
    </row>
    <row r="1865" spans="1:7" hidden="1">
      <c r="A1865" s="36" t="s">
        <v>2050</v>
      </c>
      <c r="B1865" s="36" t="s">
        <v>314</v>
      </c>
      <c r="C1865" s="36" t="str">
        <f>_xlfn.CONCAT(Table4[[#This Row],[Ledger Name]],Table4[[#This Row],[Entity Name]])</f>
        <v>TAEXP252626Expora</v>
      </c>
      <c r="D1865" s="36" t="s">
        <v>936</v>
      </c>
      <c r="E1865" s="49" t="s">
        <v>152</v>
      </c>
      <c r="F1865" s="49" t="s">
        <v>93</v>
      </c>
      <c r="G1865" s="101" t="s">
        <v>138</v>
      </c>
    </row>
    <row r="1866" spans="1:7" hidden="1">
      <c r="A1866" s="36" t="s">
        <v>2051</v>
      </c>
      <c r="B1866" s="36" t="s">
        <v>314</v>
      </c>
      <c r="C1866" s="36" t="str">
        <f>_xlfn.CONCAT(Table4[[#This Row],[Ledger Name]],Table4[[#This Row],[Entity Name]])</f>
        <v>TAEXP252628Expora</v>
      </c>
      <c r="D1866" s="36" t="s">
        <v>936</v>
      </c>
      <c r="E1866" s="49" t="s">
        <v>152</v>
      </c>
      <c r="F1866" s="49" t="s">
        <v>93</v>
      </c>
      <c r="G1866" s="101" t="s">
        <v>138</v>
      </c>
    </row>
    <row r="1867" spans="1:7" hidden="1">
      <c r="A1867" s="36" t="s">
        <v>2052</v>
      </c>
      <c r="B1867" s="36" t="s">
        <v>314</v>
      </c>
      <c r="C1867" s="36" t="str">
        <f>_xlfn.CONCAT(Table4[[#This Row],[Ledger Name]],Table4[[#This Row],[Entity Name]])</f>
        <v>TAEXP252630Expora</v>
      </c>
      <c r="D1867" s="36" t="s">
        <v>936</v>
      </c>
      <c r="E1867" s="49" t="s">
        <v>152</v>
      </c>
      <c r="F1867" s="49" t="s">
        <v>93</v>
      </c>
      <c r="G1867" s="101" t="s">
        <v>138</v>
      </c>
    </row>
    <row r="1868" spans="1:7" hidden="1">
      <c r="A1868" s="36" t="s">
        <v>2053</v>
      </c>
      <c r="B1868" s="36" t="s">
        <v>314</v>
      </c>
      <c r="C1868" s="36" t="str">
        <f>_xlfn.CONCAT(Table4[[#This Row],[Ledger Name]],Table4[[#This Row],[Entity Name]])</f>
        <v>TAEXP252631Expora</v>
      </c>
      <c r="D1868" s="36" t="s">
        <v>936</v>
      </c>
      <c r="E1868" s="49" t="s">
        <v>152</v>
      </c>
      <c r="F1868" s="49" t="s">
        <v>93</v>
      </c>
      <c r="G1868" s="101" t="s">
        <v>138</v>
      </c>
    </row>
    <row r="1869" spans="1:7" hidden="1">
      <c r="A1869" s="36" t="s">
        <v>2054</v>
      </c>
      <c r="B1869" s="36" t="s">
        <v>314</v>
      </c>
      <c r="C1869" s="36" t="str">
        <f>_xlfn.CONCAT(Table4[[#This Row],[Ledger Name]],Table4[[#This Row],[Entity Name]])</f>
        <v>TAEXP252632Expora</v>
      </c>
      <c r="D1869" s="36" t="s">
        <v>936</v>
      </c>
      <c r="E1869" s="49" t="s">
        <v>152</v>
      </c>
      <c r="F1869" s="49" t="s">
        <v>93</v>
      </c>
      <c r="G1869" s="101" t="s">
        <v>138</v>
      </c>
    </row>
    <row r="1870" spans="1:7" hidden="1">
      <c r="A1870" s="36" t="s">
        <v>2055</v>
      </c>
      <c r="B1870" s="36" t="s">
        <v>314</v>
      </c>
      <c r="C1870" s="36" t="str">
        <f>_xlfn.CONCAT(Table4[[#This Row],[Ledger Name]],Table4[[#This Row],[Entity Name]])</f>
        <v>TAEXP252633Expora</v>
      </c>
      <c r="D1870" s="36" t="s">
        <v>936</v>
      </c>
      <c r="E1870" s="49" t="s">
        <v>152</v>
      </c>
      <c r="F1870" s="49" t="s">
        <v>93</v>
      </c>
      <c r="G1870" s="101" t="s">
        <v>138</v>
      </c>
    </row>
    <row r="1871" spans="1:7" hidden="1">
      <c r="A1871" s="36" t="s">
        <v>2056</v>
      </c>
      <c r="B1871" s="36" t="s">
        <v>314</v>
      </c>
      <c r="C1871" s="36" t="str">
        <f>_xlfn.CONCAT(Table4[[#This Row],[Ledger Name]],Table4[[#This Row],[Entity Name]])</f>
        <v>TAEXP252634Expora</v>
      </c>
      <c r="D1871" s="36" t="s">
        <v>936</v>
      </c>
      <c r="E1871" s="49" t="s">
        <v>152</v>
      </c>
      <c r="F1871" s="49" t="s">
        <v>93</v>
      </c>
      <c r="G1871" s="101" t="s">
        <v>138</v>
      </c>
    </row>
    <row r="1872" spans="1:7" hidden="1">
      <c r="A1872" s="36" t="s">
        <v>2057</v>
      </c>
      <c r="B1872" s="36" t="s">
        <v>314</v>
      </c>
      <c r="C1872" s="36" t="str">
        <f>_xlfn.CONCAT(Table4[[#This Row],[Ledger Name]],Table4[[#This Row],[Entity Name]])</f>
        <v>TAEXP252635Expora</v>
      </c>
      <c r="D1872" s="36" t="s">
        <v>936</v>
      </c>
      <c r="E1872" s="49" t="s">
        <v>152</v>
      </c>
      <c r="F1872" s="49" t="s">
        <v>93</v>
      </c>
      <c r="G1872" s="101" t="s">
        <v>138</v>
      </c>
    </row>
    <row r="1873" spans="1:7" hidden="1">
      <c r="A1873" s="36" t="s">
        <v>2058</v>
      </c>
      <c r="B1873" s="36" t="s">
        <v>314</v>
      </c>
      <c r="C1873" s="36" t="str">
        <f>_xlfn.CONCAT(Table4[[#This Row],[Ledger Name]],Table4[[#This Row],[Entity Name]])</f>
        <v>TAEXP252636Expora</v>
      </c>
      <c r="D1873" s="36" t="s">
        <v>936</v>
      </c>
      <c r="E1873" s="49" t="s">
        <v>152</v>
      </c>
      <c r="F1873" s="49" t="s">
        <v>93</v>
      </c>
      <c r="G1873" s="101" t="s">
        <v>138</v>
      </c>
    </row>
    <row r="1874" spans="1:7" hidden="1">
      <c r="A1874" s="36" t="s">
        <v>2059</v>
      </c>
      <c r="B1874" s="36" t="s">
        <v>314</v>
      </c>
      <c r="C1874" s="36" t="str">
        <f>_xlfn.CONCAT(Table4[[#This Row],[Ledger Name]],Table4[[#This Row],[Entity Name]])</f>
        <v>TAEXP252637Expora</v>
      </c>
      <c r="D1874" s="36" t="s">
        <v>936</v>
      </c>
      <c r="E1874" s="49" t="s">
        <v>152</v>
      </c>
      <c r="F1874" s="49" t="s">
        <v>93</v>
      </c>
      <c r="G1874" s="101" t="s">
        <v>138</v>
      </c>
    </row>
    <row r="1875" spans="1:7" hidden="1">
      <c r="A1875" s="36" t="s">
        <v>2060</v>
      </c>
      <c r="B1875" s="36" t="s">
        <v>314</v>
      </c>
      <c r="C1875" s="36" t="str">
        <f>_xlfn.CONCAT(Table4[[#This Row],[Ledger Name]],Table4[[#This Row],[Entity Name]])</f>
        <v>TAEXP252638Expora</v>
      </c>
      <c r="D1875" s="36" t="s">
        <v>936</v>
      </c>
      <c r="E1875" s="49" t="s">
        <v>152</v>
      </c>
      <c r="F1875" s="49" t="s">
        <v>93</v>
      </c>
      <c r="G1875" s="101" t="s">
        <v>138</v>
      </c>
    </row>
    <row r="1876" spans="1:7" hidden="1">
      <c r="A1876" s="36" t="s">
        <v>2061</v>
      </c>
      <c r="B1876" s="36" t="s">
        <v>314</v>
      </c>
      <c r="C1876" s="36" t="str">
        <f>_xlfn.CONCAT(Table4[[#This Row],[Ledger Name]],Table4[[#This Row],[Entity Name]])</f>
        <v>TAEXP252639Expora</v>
      </c>
      <c r="D1876" s="36" t="s">
        <v>936</v>
      </c>
      <c r="E1876" s="49" t="s">
        <v>152</v>
      </c>
      <c r="F1876" s="49" t="s">
        <v>93</v>
      </c>
      <c r="G1876" s="101" t="s">
        <v>138</v>
      </c>
    </row>
    <row r="1877" spans="1:7" hidden="1">
      <c r="A1877" s="36" t="s">
        <v>2062</v>
      </c>
      <c r="B1877" s="36" t="s">
        <v>314</v>
      </c>
      <c r="C1877" s="36" t="str">
        <f>_xlfn.CONCAT(Table4[[#This Row],[Ledger Name]],Table4[[#This Row],[Entity Name]])</f>
        <v>TAEXP252640Expora</v>
      </c>
      <c r="D1877" s="36" t="s">
        <v>936</v>
      </c>
      <c r="E1877" s="49" t="s">
        <v>152</v>
      </c>
      <c r="F1877" s="49" t="s">
        <v>93</v>
      </c>
      <c r="G1877" s="101" t="s">
        <v>138</v>
      </c>
    </row>
    <row r="1878" spans="1:7" hidden="1">
      <c r="A1878" s="36" t="s">
        <v>2063</v>
      </c>
      <c r="B1878" s="36" t="s">
        <v>314</v>
      </c>
      <c r="C1878" s="36" t="str">
        <f>_xlfn.CONCAT(Table4[[#This Row],[Ledger Name]],Table4[[#This Row],[Entity Name]])</f>
        <v>TAEXP252641Expora</v>
      </c>
      <c r="D1878" s="36" t="s">
        <v>936</v>
      </c>
      <c r="E1878" s="49" t="s">
        <v>152</v>
      </c>
      <c r="F1878" s="49" t="s">
        <v>93</v>
      </c>
      <c r="G1878" s="101" t="s">
        <v>138</v>
      </c>
    </row>
    <row r="1879" spans="1:7" hidden="1">
      <c r="A1879" s="36" t="s">
        <v>2064</v>
      </c>
      <c r="B1879" s="36" t="s">
        <v>314</v>
      </c>
      <c r="C1879" s="36" t="str">
        <f>_xlfn.CONCAT(Table4[[#This Row],[Ledger Name]],Table4[[#This Row],[Entity Name]])</f>
        <v>TAEXP252642Expora</v>
      </c>
      <c r="D1879" s="36" t="s">
        <v>936</v>
      </c>
      <c r="E1879" s="49" t="s">
        <v>152</v>
      </c>
      <c r="F1879" s="49" t="s">
        <v>93</v>
      </c>
      <c r="G1879" s="101" t="s">
        <v>138</v>
      </c>
    </row>
    <row r="1880" spans="1:7" hidden="1">
      <c r="A1880" s="36" t="s">
        <v>2065</v>
      </c>
      <c r="B1880" s="36" t="s">
        <v>314</v>
      </c>
      <c r="C1880" s="36" t="str">
        <f>_xlfn.CONCAT(Table4[[#This Row],[Ledger Name]],Table4[[#This Row],[Entity Name]])</f>
        <v>TAEXP252643Expora</v>
      </c>
      <c r="D1880" s="36" t="s">
        <v>936</v>
      </c>
      <c r="E1880" s="49" t="s">
        <v>152</v>
      </c>
      <c r="F1880" s="49" t="s">
        <v>93</v>
      </c>
      <c r="G1880" s="101" t="s">
        <v>138</v>
      </c>
    </row>
    <row r="1881" spans="1:7" hidden="1">
      <c r="A1881" s="36" t="s">
        <v>2066</v>
      </c>
      <c r="B1881" s="36" t="s">
        <v>314</v>
      </c>
      <c r="C1881" s="36" t="str">
        <f>_xlfn.CONCAT(Table4[[#This Row],[Ledger Name]],Table4[[#This Row],[Entity Name]])</f>
        <v>TAEXP252644Expora</v>
      </c>
      <c r="D1881" s="36" t="s">
        <v>936</v>
      </c>
      <c r="E1881" s="49" t="s">
        <v>152</v>
      </c>
      <c r="F1881" s="49" t="s">
        <v>93</v>
      </c>
      <c r="G1881" s="101" t="s">
        <v>138</v>
      </c>
    </row>
    <row r="1882" spans="1:7" hidden="1">
      <c r="A1882" s="36" t="s">
        <v>2067</v>
      </c>
      <c r="B1882" s="36" t="s">
        <v>314</v>
      </c>
      <c r="C1882" s="36" t="str">
        <f>_xlfn.CONCAT(Table4[[#This Row],[Ledger Name]],Table4[[#This Row],[Entity Name]])</f>
        <v>TAEXP252645Expora</v>
      </c>
      <c r="D1882" s="36" t="s">
        <v>936</v>
      </c>
      <c r="E1882" s="49" t="s">
        <v>152</v>
      </c>
      <c r="F1882" s="49" t="s">
        <v>93</v>
      </c>
      <c r="G1882" s="101" t="s">
        <v>138</v>
      </c>
    </row>
    <row r="1883" spans="1:7" hidden="1">
      <c r="A1883" s="36" t="s">
        <v>2068</v>
      </c>
      <c r="B1883" s="36" t="s">
        <v>314</v>
      </c>
      <c r="C1883" s="36" t="str">
        <f>_xlfn.CONCAT(Table4[[#This Row],[Ledger Name]],Table4[[#This Row],[Entity Name]])</f>
        <v>TAEXP252646Expora</v>
      </c>
      <c r="D1883" s="36" t="s">
        <v>936</v>
      </c>
      <c r="E1883" s="49" t="s">
        <v>152</v>
      </c>
      <c r="F1883" s="49" t="s">
        <v>93</v>
      </c>
      <c r="G1883" s="101" t="s">
        <v>138</v>
      </c>
    </row>
    <row r="1884" spans="1:7" hidden="1">
      <c r="A1884" s="36" t="s">
        <v>2069</v>
      </c>
      <c r="B1884" s="36" t="s">
        <v>314</v>
      </c>
      <c r="C1884" s="36" t="str">
        <f>_xlfn.CONCAT(Table4[[#This Row],[Ledger Name]],Table4[[#This Row],[Entity Name]])</f>
        <v>TAEXP252647Expora</v>
      </c>
      <c r="D1884" s="36" t="s">
        <v>936</v>
      </c>
      <c r="E1884" s="49" t="s">
        <v>152</v>
      </c>
      <c r="F1884" s="49" t="s">
        <v>93</v>
      </c>
      <c r="G1884" s="101" t="s">
        <v>138</v>
      </c>
    </row>
    <row r="1885" spans="1:7" hidden="1">
      <c r="A1885" s="36" t="s">
        <v>2070</v>
      </c>
      <c r="B1885" s="36" t="s">
        <v>314</v>
      </c>
      <c r="C1885" s="36" t="str">
        <f>_xlfn.CONCAT(Table4[[#This Row],[Ledger Name]],Table4[[#This Row],[Entity Name]])</f>
        <v>TAEXP252648Expora</v>
      </c>
      <c r="D1885" s="36" t="s">
        <v>936</v>
      </c>
      <c r="E1885" s="49" t="s">
        <v>152</v>
      </c>
      <c r="F1885" s="49" t="s">
        <v>93</v>
      </c>
      <c r="G1885" s="101" t="s">
        <v>138</v>
      </c>
    </row>
    <row r="1886" spans="1:7" hidden="1">
      <c r="A1886" s="36" t="s">
        <v>2071</v>
      </c>
      <c r="B1886" s="36" t="s">
        <v>314</v>
      </c>
      <c r="C1886" s="36" t="str">
        <f>_xlfn.CONCAT(Table4[[#This Row],[Ledger Name]],Table4[[#This Row],[Entity Name]])</f>
        <v>TAEXP252651Expora</v>
      </c>
      <c r="D1886" s="36" t="s">
        <v>936</v>
      </c>
      <c r="E1886" s="49" t="s">
        <v>152</v>
      </c>
      <c r="F1886" s="49" t="s">
        <v>93</v>
      </c>
      <c r="G1886" s="101" t="s">
        <v>138</v>
      </c>
    </row>
    <row r="1887" spans="1:7" hidden="1">
      <c r="A1887" s="36" t="s">
        <v>1881</v>
      </c>
      <c r="B1887" s="36" t="s">
        <v>314</v>
      </c>
      <c r="C1887" s="36" t="str">
        <f>_xlfn.CONCAT(Table4[[#This Row],[Ledger Name]],Table4[[#This Row],[Entity Name]])</f>
        <v>TALOC25260017Expora</v>
      </c>
      <c r="D1887" s="36" t="s">
        <v>936</v>
      </c>
      <c r="E1887" s="49" t="s">
        <v>152</v>
      </c>
      <c r="F1887" s="49" t="s">
        <v>93</v>
      </c>
      <c r="G1887" s="101" t="s">
        <v>138</v>
      </c>
    </row>
    <row r="1888" spans="1:7" hidden="1">
      <c r="A1888" s="36" t="s">
        <v>2072</v>
      </c>
      <c r="B1888" s="36" t="s">
        <v>314</v>
      </c>
      <c r="C1888" s="36" t="str">
        <f>_xlfn.CONCAT(Table4[[#This Row],[Ledger Name]],Table4[[#This Row],[Entity Name]])</f>
        <v>TALOC25260026Expora</v>
      </c>
      <c r="D1888" s="36" t="s">
        <v>936</v>
      </c>
      <c r="E1888" s="49" t="s">
        <v>152</v>
      </c>
      <c r="F1888" s="49" t="s">
        <v>93</v>
      </c>
      <c r="G1888" s="101" t="s">
        <v>138</v>
      </c>
    </row>
    <row r="1889" spans="1:7" hidden="1">
      <c r="A1889" s="36" t="s">
        <v>2073</v>
      </c>
      <c r="B1889" s="36" t="s">
        <v>314</v>
      </c>
      <c r="C1889" s="36" t="str">
        <f>_xlfn.CONCAT(Table4[[#This Row],[Ledger Name]],Table4[[#This Row],[Entity Name]])</f>
        <v>TALOC25260029Expora</v>
      </c>
      <c r="D1889" s="36" t="s">
        <v>936</v>
      </c>
      <c r="E1889" s="49" t="s">
        <v>152</v>
      </c>
      <c r="F1889" s="49" t="s">
        <v>93</v>
      </c>
      <c r="G1889" s="101" t="s">
        <v>138</v>
      </c>
    </row>
    <row r="1890" spans="1:7" hidden="1">
      <c r="A1890" s="36" t="s">
        <v>2074</v>
      </c>
      <c r="B1890" s="36" t="s">
        <v>314</v>
      </c>
      <c r="C1890" s="36" t="str">
        <f>_xlfn.CONCAT(Table4[[#This Row],[Ledger Name]],Table4[[#This Row],[Entity Name]])</f>
        <v>TALOC25260033Expora</v>
      </c>
      <c r="D1890" s="36" t="s">
        <v>936</v>
      </c>
      <c r="E1890" s="49" t="s">
        <v>152</v>
      </c>
      <c r="F1890" s="49" t="s">
        <v>93</v>
      </c>
      <c r="G1890" s="101" t="s">
        <v>138</v>
      </c>
    </row>
    <row r="1891" spans="1:7" hidden="1">
      <c r="A1891" s="36" t="s">
        <v>2075</v>
      </c>
      <c r="B1891" s="36" t="s">
        <v>314</v>
      </c>
      <c r="C1891" s="36" t="str">
        <f>_xlfn.CONCAT(Table4[[#This Row],[Ledger Name]],Table4[[#This Row],[Entity Name]])</f>
        <v>TALOC25260038Expora</v>
      </c>
      <c r="D1891" s="36" t="s">
        <v>936</v>
      </c>
      <c r="E1891" s="49" t="s">
        <v>152</v>
      </c>
      <c r="F1891" s="49" t="s">
        <v>93</v>
      </c>
      <c r="G1891" s="101" t="s">
        <v>138</v>
      </c>
    </row>
    <row r="1892" spans="1:7" hidden="1">
      <c r="A1892" s="36" t="s">
        <v>2076</v>
      </c>
      <c r="B1892" s="36" t="s">
        <v>314</v>
      </c>
      <c r="C1892" s="36" t="str">
        <f>_xlfn.CONCAT(Table4[[#This Row],[Ledger Name]],Table4[[#This Row],[Entity Name]])</f>
        <v>TALOC25260040Expora</v>
      </c>
      <c r="D1892" s="36" t="s">
        <v>936</v>
      </c>
      <c r="E1892" s="49" t="s">
        <v>152</v>
      </c>
      <c r="F1892" s="49" t="s">
        <v>93</v>
      </c>
      <c r="G1892" s="101" t="s">
        <v>138</v>
      </c>
    </row>
    <row r="1893" spans="1:7" hidden="1">
      <c r="A1893" s="36" t="s">
        <v>2077</v>
      </c>
      <c r="B1893" s="36" t="s">
        <v>314</v>
      </c>
      <c r="C1893" s="36" t="str">
        <f>_xlfn.CONCAT(Table4[[#This Row],[Ledger Name]],Table4[[#This Row],[Entity Name]])</f>
        <v>TALOC25260041Expora</v>
      </c>
      <c r="D1893" s="36" t="s">
        <v>936</v>
      </c>
      <c r="E1893" s="49" t="s">
        <v>152</v>
      </c>
      <c r="F1893" s="49" t="s">
        <v>93</v>
      </c>
      <c r="G1893" s="101" t="s">
        <v>138</v>
      </c>
    </row>
    <row r="1894" spans="1:7" hidden="1">
      <c r="A1894" s="36" t="s">
        <v>2078</v>
      </c>
      <c r="B1894" s="36" t="s">
        <v>314</v>
      </c>
      <c r="C1894" s="36" t="str">
        <f>_xlfn.CONCAT(Table4[[#This Row],[Ledger Name]],Table4[[#This Row],[Entity Name]])</f>
        <v>TALOC25260057Expora</v>
      </c>
      <c r="D1894" s="36" t="s">
        <v>936</v>
      </c>
      <c r="E1894" s="49" t="s">
        <v>152</v>
      </c>
      <c r="F1894" s="49" t="s">
        <v>93</v>
      </c>
      <c r="G1894" s="101" t="s">
        <v>138</v>
      </c>
    </row>
    <row r="1895" spans="1:7" hidden="1">
      <c r="A1895" s="36" t="s">
        <v>2079</v>
      </c>
      <c r="B1895" s="36" t="s">
        <v>314</v>
      </c>
      <c r="C1895" s="36" t="str">
        <f>_xlfn.CONCAT(Table4[[#This Row],[Ledger Name]],Table4[[#This Row],[Entity Name]])</f>
        <v>TALOC25260058Expora</v>
      </c>
      <c r="D1895" s="36" t="s">
        <v>936</v>
      </c>
      <c r="E1895" s="49" t="s">
        <v>152</v>
      </c>
      <c r="F1895" s="49" t="s">
        <v>93</v>
      </c>
      <c r="G1895" s="101" t="s">
        <v>138</v>
      </c>
    </row>
    <row r="1896" spans="1:7" hidden="1">
      <c r="A1896" s="36" t="s">
        <v>2080</v>
      </c>
      <c r="B1896" s="36" t="s">
        <v>314</v>
      </c>
      <c r="C1896" s="36" t="str">
        <f>_xlfn.CONCAT(Table4[[#This Row],[Ledger Name]],Table4[[#This Row],[Entity Name]])</f>
        <v>TALOC25260059Expora</v>
      </c>
      <c r="D1896" s="36" t="s">
        <v>936</v>
      </c>
      <c r="E1896" s="49" t="s">
        <v>152</v>
      </c>
      <c r="F1896" s="49" t="s">
        <v>93</v>
      </c>
      <c r="G1896" s="101" t="s">
        <v>138</v>
      </c>
    </row>
    <row r="1897" spans="1:7" hidden="1">
      <c r="A1897" s="36" t="s">
        <v>2081</v>
      </c>
      <c r="B1897" s="36" t="s">
        <v>314</v>
      </c>
      <c r="C1897" s="36" t="str">
        <f>_xlfn.CONCAT(Table4[[#This Row],[Ledger Name]],Table4[[#This Row],[Entity Name]])</f>
        <v>TALOC25260060Expora</v>
      </c>
      <c r="D1897" s="36" t="s">
        <v>936</v>
      </c>
      <c r="E1897" s="49" t="s">
        <v>152</v>
      </c>
      <c r="F1897" s="49" t="s">
        <v>93</v>
      </c>
      <c r="G1897" s="101" t="s">
        <v>138</v>
      </c>
    </row>
    <row r="1898" spans="1:7" hidden="1">
      <c r="A1898" s="36" t="s">
        <v>2082</v>
      </c>
      <c r="B1898" s="36" t="s">
        <v>314</v>
      </c>
      <c r="C1898" s="36" t="str">
        <f>_xlfn.CONCAT(Table4[[#This Row],[Ledger Name]],Table4[[#This Row],[Entity Name]])</f>
        <v>TALOC25260066Expora</v>
      </c>
      <c r="D1898" s="36" t="s">
        <v>936</v>
      </c>
      <c r="E1898" s="49" t="s">
        <v>152</v>
      </c>
      <c r="F1898" s="49" t="s">
        <v>93</v>
      </c>
      <c r="G1898" s="101" t="s">
        <v>138</v>
      </c>
    </row>
    <row r="1899" spans="1:7" hidden="1">
      <c r="A1899" s="36" t="s">
        <v>2083</v>
      </c>
      <c r="B1899" s="36" t="s">
        <v>314</v>
      </c>
      <c r="C1899" s="36" t="str">
        <f>_xlfn.CONCAT(Table4[[#This Row],[Ledger Name]],Table4[[#This Row],[Entity Name]])</f>
        <v>TALOC25260067Expora</v>
      </c>
      <c r="D1899" s="36" t="s">
        <v>936</v>
      </c>
      <c r="E1899" s="49" t="s">
        <v>152</v>
      </c>
      <c r="F1899" s="49" t="s">
        <v>93</v>
      </c>
      <c r="G1899" s="101" t="s">
        <v>138</v>
      </c>
    </row>
    <row r="1900" spans="1:7" hidden="1">
      <c r="A1900" s="36" t="s">
        <v>2084</v>
      </c>
      <c r="B1900" s="36" t="s">
        <v>314</v>
      </c>
      <c r="C1900" s="36" t="str">
        <f>_xlfn.CONCAT(Table4[[#This Row],[Ledger Name]],Table4[[#This Row],[Entity Name]])</f>
        <v>TALOC25260068Expora</v>
      </c>
      <c r="D1900" s="36" t="s">
        <v>936</v>
      </c>
      <c r="E1900" s="49" t="s">
        <v>152</v>
      </c>
      <c r="F1900" s="49" t="s">
        <v>93</v>
      </c>
      <c r="G1900" s="101" t="s">
        <v>138</v>
      </c>
    </row>
    <row r="1901" spans="1:7" hidden="1">
      <c r="A1901" s="36" t="s">
        <v>2085</v>
      </c>
      <c r="B1901" s="36" t="s">
        <v>314</v>
      </c>
      <c r="C1901" s="36" t="str">
        <f>_xlfn.CONCAT(Table4[[#This Row],[Ledger Name]],Table4[[#This Row],[Entity Name]])</f>
        <v>TALOC25260074Expora</v>
      </c>
      <c r="D1901" s="36" t="s">
        <v>936</v>
      </c>
      <c r="E1901" s="49" t="s">
        <v>152</v>
      </c>
      <c r="F1901" s="49" t="s">
        <v>93</v>
      </c>
      <c r="G1901" s="101" t="s">
        <v>138</v>
      </c>
    </row>
    <row r="1902" spans="1:7" hidden="1">
      <c r="A1902" s="36" t="s">
        <v>2086</v>
      </c>
      <c r="B1902" s="36" t="s">
        <v>314</v>
      </c>
      <c r="C1902" s="36" t="str">
        <f>_xlfn.CONCAT(Table4[[#This Row],[Ledger Name]],Table4[[#This Row],[Entity Name]])</f>
        <v>TALOC25260083Expora</v>
      </c>
      <c r="D1902" s="36" t="s">
        <v>936</v>
      </c>
      <c r="E1902" s="49" t="s">
        <v>152</v>
      </c>
      <c r="F1902" s="49" t="s">
        <v>93</v>
      </c>
      <c r="G1902" s="101" t="s">
        <v>138</v>
      </c>
    </row>
    <row r="1903" spans="1:7" hidden="1">
      <c r="A1903" s="36" t="s">
        <v>2087</v>
      </c>
      <c r="B1903" s="36" t="s">
        <v>314</v>
      </c>
      <c r="C1903" s="36" t="str">
        <f>_xlfn.CONCAT(Table4[[#This Row],[Ledger Name]],Table4[[#This Row],[Entity Name]])</f>
        <v>TALOC25260084Expora</v>
      </c>
      <c r="D1903" s="36" t="s">
        <v>936</v>
      </c>
      <c r="E1903" s="49" t="s">
        <v>152</v>
      </c>
      <c r="F1903" s="49" t="s">
        <v>93</v>
      </c>
      <c r="G1903" s="101" t="s">
        <v>138</v>
      </c>
    </row>
    <row r="1904" spans="1:7" hidden="1">
      <c r="A1904" s="36" t="s">
        <v>2089</v>
      </c>
      <c r="B1904" s="36" t="s">
        <v>825</v>
      </c>
      <c r="C1904" s="36" t="str">
        <f>_xlfn.CONCAT(Table4[[#This Row],[Ledger Name]],Table4[[#This Row],[Entity Name]])</f>
        <v>Ajit hiralal shahAspirach Lanka</v>
      </c>
      <c r="D1904" s="36" t="s">
        <v>936</v>
      </c>
      <c r="E1904" s="49" t="s">
        <v>746</v>
      </c>
      <c r="F1904" s="49" t="s">
        <v>26</v>
      </c>
      <c r="G1904" s="24" t="s">
        <v>1614</v>
      </c>
    </row>
    <row r="1905" spans="1:7" hidden="1">
      <c r="A1905" s="253" t="s">
        <v>2090</v>
      </c>
      <c r="B1905" s="36" t="s">
        <v>825</v>
      </c>
      <c r="C1905" s="36" t="str">
        <f>_xlfn.CONCAT(Table4[[#This Row],[Ledger Name]],Table4[[#This Row],[Entity Name]])</f>
        <v>Aspirach Market Platform (PVT) LtdAspirach Lanka</v>
      </c>
      <c r="D1905" s="36" t="s">
        <v>936</v>
      </c>
      <c r="E1905" s="49" t="s">
        <v>746</v>
      </c>
      <c r="F1905" s="49" t="s">
        <v>26</v>
      </c>
      <c r="G1905" s="24" t="s">
        <v>1614</v>
      </c>
    </row>
    <row r="1906" spans="1:7" hidden="1">
      <c r="A1906" s="36" t="s">
        <v>2091</v>
      </c>
      <c r="B1906" s="36" t="s">
        <v>825</v>
      </c>
      <c r="C1906" s="36" t="str">
        <f>_xlfn.CONCAT(Table4[[#This Row],[Ledger Name]],Table4[[#This Row],[Entity Name]])</f>
        <v>chandan kumar kewlaniAspirach Lanka</v>
      </c>
      <c r="D1906" s="36" t="s">
        <v>936</v>
      </c>
      <c r="E1906" s="49" t="s">
        <v>746</v>
      </c>
      <c r="F1906" s="49" t="s">
        <v>26</v>
      </c>
      <c r="G1906" s="24" t="s">
        <v>1614</v>
      </c>
    </row>
    <row r="1907" spans="1:7" hidden="1">
      <c r="A1907" s="36" t="s">
        <v>2092</v>
      </c>
      <c r="B1907" s="36" t="s">
        <v>825</v>
      </c>
      <c r="C1907" s="36" t="str">
        <f>_xlfn.CONCAT(Table4[[#This Row],[Ledger Name]],Table4[[#This Row],[Entity Name]])</f>
        <v>Gaurntee DepositAspirach Lanka</v>
      </c>
      <c r="D1907" s="36" t="s">
        <v>936</v>
      </c>
      <c r="E1907" s="49" t="s">
        <v>746</v>
      </c>
      <c r="F1907" s="49" t="s">
        <v>52</v>
      </c>
      <c r="G1907" s="101" t="s">
        <v>52</v>
      </c>
    </row>
    <row r="1908" spans="1:7" hidden="1">
      <c r="A1908" s="36" t="s">
        <v>2093</v>
      </c>
      <c r="B1908" s="36" t="s">
        <v>825</v>
      </c>
      <c r="C1908" s="36" t="str">
        <f>_xlfn.CONCAT(Table4[[#This Row],[Ledger Name]],Table4[[#This Row],[Entity Name]])</f>
        <v>Printer FAAspirach Lanka</v>
      </c>
      <c r="D1908" s="36" t="s">
        <v>936</v>
      </c>
      <c r="E1908" s="49" t="s">
        <v>746</v>
      </c>
      <c r="F1908" s="49" t="s">
        <v>346</v>
      </c>
      <c r="G1908" s="182" t="s">
        <v>346</v>
      </c>
    </row>
    <row r="1909" spans="1:7" hidden="1">
      <c r="A1909" s="36" t="s">
        <v>2094</v>
      </c>
      <c r="B1909" s="36" t="s">
        <v>825</v>
      </c>
      <c r="C1909" s="36" t="str">
        <f>_xlfn.CONCAT(Table4[[#This Row],[Ledger Name]],Table4[[#This Row],[Entity Name]])</f>
        <v>Receivable from BhavinAspirach Lanka</v>
      </c>
      <c r="D1909" s="36" t="s">
        <v>936</v>
      </c>
      <c r="E1909" s="49" t="s">
        <v>746</v>
      </c>
      <c r="F1909" s="49" t="s">
        <v>52</v>
      </c>
      <c r="G1909" s="101" t="s">
        <v>52</v>
      </c>
    </row>
    <row r="1910" spans="1:7" hidden="1">
      <c r="A1910" s="36" t="s">
        <v>2095</v>
      </c>
      <c r="B1910" s="36" t="s">
        <v>825</v>
      </c>
      <c r="C1910" s="36" t="str">
        <f>_xlfn.CONCAT(Table4[[#This Row],[Ledger Name]],Table4[[#This Row],[Entity Name]])</f>
        <v>stated capitalAspirach Lanka</v>
      </c>
      <c r="D1910" s="36" t="s">
        <v>936</v>
      </c>
      <c r="E1910" s="49" t="s">
        <v>746</v>
      </c>
      <c r="F1910" s="49" t="s">
        <v>52</v>
      </c>
      <c r="G1910" s="101" t="s">
        <v>52</v>
      </c>
    </row>
    <row r="1911" spans="1:7" hidden="1">
      <c r="A1911" s="36" t="s">
        <v>2096</v>
      </c>
      <c r="B1911" s="36" t="s">
        <v>825</v>
      </c>
      <c r="C1911" s="36" t="str">
        <f>_xlfn.CONCAT(Table4[[#This Row],[Ledger Name]],Table4[[#This Row],[Entity Name]])</f>
        <v>Accumulated Depriciation totalAspirach Lanka</v>
      </c>
      <c r="D1911" s="36" t="s">
        <v>936</v>
      </c>
      <c r="E1911" s="49" t="s">
        <v>746</v>
      </c>
      <c r="F1911" s="49" t="s">
        <v>195</v>
      </c>
      <c r="G1911" s="101" t="s">
        <v>195</v>
      </c>
    </row>
    <row r="1912" spans="1:7" hidden="1">
      <c r="A1912" s="36" t="s">
        <v>2097</v>
      </c>
      <c r="B1912" s="36" t="s">
        <v>825</v>
      </c>
      <c r="C1912" s="36" t="str">
        <f>_xlfn.CONCAT(Table4[[#This Row],[Ledger Name]],Table4[[#This Row],[Entity Name]])</f>
        <v>Audit fees PayableAspirach Lanka</v>
      </c>
      <c r="D1912" s="36" t="s">
        <v>936</v>
      </c>
      <c r="E1912" s="49" t="s">
        <v>746</v>
      </c>
      <c r="F1912" s="49" t="s">
        <v>195</v>
      </c>
      <c r="G1912" s="101" t="s">
        <v>195</v>
      </c>
    </row>
    <row r="1913" spans="1:7" hidden="1">
      <c r="A1913" s="36" t="s">
        <v>784</v>
      </c>
      <c r="B1913" s="36" t="s">
        <v>825</v>
      </c>
      <c r="C1913" s="36" t="str">
        <f>_xlfn.CONCAT(Table4[[#This Row],[Ledger Name]],Table4[[#This Row],[Entity Name]])</f>
        <v>Electricity charges payableAspirach Lanka</v>
      </c>
      <c r="D1913" s="36" t="s">
        <v>936</v>
      </c>
      <c r="E1913" s="49" t="s">
        <v>746</v>
      </c>
      <c r="F1913" s="49" t="s">
        <v>195</v>
      </c>
      <c r="G1913" s="101" t="s">
        <v>195</v>
      </c>
    </row>
    <row r="1914" spans="1:7" hidden="1">
      <c r="A1914" s="36" t="s">
        <v>2098</v>
      </c>
      <c r="B1914" s="36" t="s">
        <v>825</v>
      </c>
      <c r="C1914" s="36" t="str">
        <f>_xlfn.CONCAT(Table4[[#This Row],[Ledger Name]],Table4[[#This Row],[Entity Name]])</f>
        <v>Income Tax PayableAspirach Lanka</v>
      </c>
      <c r="D1914" s="36" t="s">
        <v>936</v>
      </c>
      <c r="E1914" s="49" t="s">
        <v>746</v>
      </c>
      <c r="F1914" s="36" t="s">
        <v>63</v>
      </c>
      <c r="G1914" s="36" t="s">
        <v>63</v>
      </c>
    </row>
    <row r="1915" spans="1:7" hidden="1">
      <c r="A1915" s="36" t="s">
        <v>398</v>
      </c>
      <c r="B1915" s="36" t="s">
        <v>825</v>
      </c>
      <c r="C1915" s="36" t="str">
        <f>_xlfn.CONCAT(Table4[[#This Row],[Ledger Name]],Table4[[#This Row],[Entity Name]])</f>
        <v>PF PayableAspirach Lanka</v>
      </c>
      <c r="D1915" s="36" t="s">
        <v>936</v>
      </c>
      <c r="E1915" s="49" t="s">
        <v>746</v>
      </c>
      <c r="F1915" s="36" t="s">
        <v>63</v>
      </c>
      <c r="G1915" s="36" t="s">
        <v>63</v>
      </c>
    </row>
    <row r="1916" spans="1:7" hidden="1">
      <c r="A1916" s="36" t="s">
        <v>2099</v>
      </c>
      <c r="B1916" s="36" t="s">
        <v>825</v>
      </c>
      <c r="C1916" s="36" t="str">
        <f>_xlfn.CONCAT(Table4[[#This Row],[Ledger Name]],Table4[[#This Row],[Entity Name]])</f>
        <v>Provision for shipment no: 0092Aspirach Lanka</v>
      </c>
      <c r="D1916" s="36" t="s">
        <v>936</v>
      </c>
      <c r="E1916" s="49" t="s">
        <v>152</v>
      </c>
      <c r="F1916" s="49" t="s">
        <v>93</v>
      </c>
      <c r="G1916" s="101" t="s">
        <v>688</v>
      </c>
    </row>
    <row r="1917" spans="1:7" hidden="1">
      <c r="A1917" s="36" t="s">
        <v>2100</v>
      </c>
      <c r="B1917" s="36" t="s">
        <v>825</v>
      </c>
      <c r="C1917" s="36" t="str">
        <f>_xlfn.CONCAT(Table4[[#This Row],[Ledger Name]],Table4[[#This Row],[Entity Name]])</f>
        <v>Provision for shipment no: 0093Aspirach Lanka</v>
      </c>
      <c r="D1917" s="36" t="s">
        <v>936</v>
      </c>
      <c r="E1917" s="49" t="s">
        <v>152</v>
      </c>
      <c r="F1917" s="49" t="s">
        <v>93</v>
      </c>
      <c r="G1917" s="101" t="s">
        <v>688</v>
      </c>
    </row>
    <row r="1918" spans="1:7" hidden="1">
      <c r="A1918" s="36" t="s">
        <v>2101</v>
      </c>
      <c r="B1918" s="36" t="s">
        <v>825</v>
      </c>
      <c r="C1918" s="36" t="str">
        <f>_xlfn.CONCAT(Table4[[#This Row],[Ledger Name]],Table4[[#This Row],[Entity Name]])</f>
        <v>Salish shah LoanAspirach Lanka</v>
      </c>
      <c r="D1918" s="36" t="s">
        <v>936</v>
      </c>
      <c r="E1918" s="49" t="s">
        <v>746</v>
      </c>
      <c r="F1918" s="49" t="s">
        <v>48</v>
      </c>
      <c r="G1918" s="24" t="s">
        <v>1619</v>
      </c>
    </row>
    <row r="1919" spans="1:7" hidden="1">
      <c r="A1919" s="36" t="s">
        <v>2102</v>
      </c>
      <c r="B1919" s="36" t="s">
        <v>825</v>
      </c>
      <c r="C1919" s="36" t="str">
        <f>_xlfn.CONCAT(Table4[[#This Row],[Ledger Name]],Table4[[#This Row],[Entity Name]])</f>
        <v>VAT PayableAspirach Lanka</v>
      </c>
      <c r="D1919" s="36" t="s">
        <v>936</v>
      </c>
      <c r="E1919" s="49" t="s">
        <v>746</v>
      </c>
      <c r="F1919" s="36" t="s">
        <v>63</v>
      </c>
      <c r="G1919" s="36" t="s">
        <v>63</v>
      </c>
    </row>
    <row r="1920" spans="1:7" hidden="1">
      <c r="A1920" s="36" t="s">
        <v>2103</v>
      </c>
      <c r="B1920" s="36" t="s">
        <v>825</v>
      </c>
      <c r="C1920" s="36" t="str">
        <f>_xlfn.CONCAT(Table4[[#This Row],[Ledger Name]],Table4[[#This Row],[Entity Name]])</f>
        <v>0053/25-26Aspirach Lanka</v>
      </c>
      <c r="D1920" s="36" t="s">
        <v>936</v>
      </c>
      <c r="E1920" s="36" t="s">
        <v>152</v>
      </c>
      <c r="F1920" s="49" t="s">
        <v>93</v>
      </c>
      <c r="G1920" s="101" t="s">
        <v>138</v>
      </c>
    </row>
    <row r="1921" spans="1:7" hidden="1">
      <c r="A1921" s="36" t="s">
        <v>2104</v>
      </c>
      <c r="B1921" s="36" t="s">
        <v>825</v>
      </c>
      <c r="C1921" s="36" t="str">
        <f>_xlfn.CONCAT(Table4[[#This Row],[Ledger Name]],Table4[[#This Row],[Entity Name]])</f>
        <v>0055/25-26Aspirach Lanka</v>
      </c>
      <c r="D1921" s="36" t="s">
        <v>936</v>
      </c>
      <c r="E1921" s="36" t="s">
        <v>152</v>
      </c>
      <c r="F1921" s="49" t="s">
        <v>93</v>
      </c>
      <c r="G1921" s="101" t="s">
        <v>138</v>
      </c>
    </row>
    <row r="1922" spans="1:7" hidden="1">
      <c r="A1922" s="36" t="s">
        <v>2105</v>
      </c>
      <c r="B1922" s="36" t="s">
        <v>825</v>
      </c>
      <c r="C1922" s="36" t="str">
        <f>_xlfn.CONCAT(Table4[[#This Row],[Ledger Name]],Table4[[#This Row],[Entity Name]])</f>
        <v>0057/25-26Aspirach Lanka</v>
      </c>
      <c r="D1922" s="36" t="s">
        <v>936</v>
      </c>
      <c r="E1922" s="36" t="s">
        <v>152</v>
      </c>
      <c r="F1922" s="49" t="s">
        <v>93</v>
      </c>
      <c r="G1922" s="101" t="s">
        <v>138</v>
      </c>
    </row>
    <row r="1923" spans="1:7" hidden="1">
      <c r="A1923" s="36" t="s">
        <v>2106</v>
      </c>
      <c r="B1923" s="36" t="s">
        <v>825</v>
      </c>
      <c r="C1923" s="36" t="str">
        <f>_xlfn.CONCAT(Table4[[#This Row],[Ledger Name]],Table4[[#This Row],[Entity Name]])</f>
        <v>0059/25-26Aspirach Lanka</v>
      </c>
      <c r="D1923" s="36" t="s">
        <v>936</v>
      </c>
      <c r="E1923" s="36" t="s">
        <v>152</v>
      </c>
      <c r="F1923" s="49" t="s">
        <v>93</v>
      </c>
      <c r="G1923" s="101" t="s">
        <v>138</v>
      </c>
    </row>
    <row r="1924" spans="1:7" hidden="1">
      <c r="A1924" s="36" t="s">
        <v>2107</v>
      </c>
      <c r="B1924" s="36" t="s">
        <v>825</v>
      </c>
      <c r="C1924" s="36" t="str">
        <f>_xlfn.CONCAT(Table4[[#This Row],[Ledger Name]],Table4[[#This Row],[Entity Name]])</f>
        <v>0060/25-26Aspirach Lanka</v>
      </c>
      <c r="D1924" s="36" t="s">
        <v>936</v>
      </c>
      <c r="E1924" s="36" t="s">
        <v>152</v>
      </c>
      <c r="F1924" s="49" t="s">
        <v>93</v>
      </c>
      <c r="G1924" s="101" t="s">
        <v>138</v>
      </c>
    </row>
    <row r="1925" spans="1:7" hidden="1">
      <c r="A1925" s="36" t="s">
        <v>2108</v>
      </c>
      <c r="B1925" s="36" t="s">
        <v>825</v>
      </c>
      <c r="C1925" s="36" t="str">
        <f>_xlfn.CONCAT(Table4[[#This Row],[Ledger Name]],Table4[[#This Row],[Entity Name]])</f>
        <v>0061/25-26Aspirach Lanka</v>
      </c>
      <c r="D1925" s="36" t="s">
        <v>936</v>
      </c>
      <c r="E1925" s="36" t="s">
        <v>152</v>
      </c>
      <c r="F1925" s="49" t="s">
        <v>93</v>
      </c>
      <c r="G1925" s="101" t="s">
        <v>138</v>
      </c>
    </row>
    <row r="1926" spans="1:7" hidden="1">
      <c r="A1926" s="36" t="s">
        <v>2109</v>
      </c>
      <c r="B1926" s="36" t="s">
        <v>825</v>
      </c>
      <c r="C1926" s="36" t="str">
        <f>_xlfn.CONCAT(Table4[[#This Row],[Ledger Name]],Table4[[#This Row],[Entity Name]])</f>
        <v>0062/25-26Aspirach Lanka</v>
      </c>
      <c r="D1926" s="36" t="s">
        <v>936</v>
      </c>
      <c r="E1926" s="36" t="s">
        <v>152</v>
      </c>
      <c r="F1926" s="49" t="s">
        <v>93</v>
      </c>
      <c r="G1926" s="101" t="s">
        <v>138</v>
      </c>
    </row>
    <row r="1927" spans="1:7" hidden="1">
      <c r="A1927" s="36" t="s">
        <v>2110</v>
      </c>
      <c r="B1927" s="36" t="s">
        <v>825</v>
      </c>
      <c r="C1927" s="36" t="str">
        <f>_xlfn.CONCAT(Table4[[#This Row],[Ledger Name]],Table4[[#This Row],[Entity Name]])</f>
        <v>0063/25-26Aspirach Lanka</v>
      </c>
      <c r="D1927" s="36" t="s">
        <v>936</v>
      </c>
      <c r="E1927" s="36" t="s">
        <v>152</v>
      </c>
      <c r="F1927" s="49" t="s">
        <v>93</v>
      </c>
      <c r="G1927" s="101" t="s">
        <v>138</v>
      </c>
    </row>
    <row r="1928" spans="1:7" hidden="1">
      <c r="A1928" s="36" t="s">
        <v>2111</v>
      </c>
      <c r="B1928" s="36" t="s">
        <v>825</v>
      </c>
      <c r="C1928" s="36" t="str">
        <f>_xlfn.CONCAT(Table4[[#This Row],[Ledger Name]],Table4[[#This Row],[Entity Name]])</f>
        <v>0064/25-26Aspirach Lanka</v>
      </c>
      <c r="D1928" s="36" t="s">
        <v>936</v>
      </c>
      <c r="E1928" s="36" t="s">
        <v>152</v>
      </c>
      <c r="F1928" s="49" t="s">
        <v>93</v>
      </c>
      <c r="G1928" s="101" t="s">
        <v>138</v>
      </c>
    </row>
    <row r="1929" spans="1:7" hidden="1">
      <c r="A1929" s="36" t="s">
        <v>2112</v>
      </c>
      <c r="B1929" s="36" t="s">
        <v>825</v>
      </c>
      <c r="C1929" s="36" t="str">
        <f>_xlfn.CONCAT(Table4[[#This Row],[Ledger Name]],Table4[[#This Row],[Entity Name]])</f>
        <v>0065/25-26Aspirach Lanka</v>
      </c>
      <c r="D1929" s="36" t="s">
        <v>936</v>
      </c>
      <c r="E1929" s="36" t="s">
        <v>152</v>
      </c>
      <c r="F1929" s="49" t="s">
        <v>93</v>
      </c>
      <c r="G1929" s="101" t="s">
        <v>138</v>
      </c>
    </row>
    <row r="1930" spans="1:7" hidden="1">
      <c r="A1930" s="36" t="s">
        <v>2113</v>
      </c>
      <c r="B1930" s="36" t="s">
        <v>825</v>
      </c>
      <c r="C1930" s="36" t="str">
        <f>_xlfn.CONCAT(Table4[[#This Row],[Ledger Name]],Table4[[#This Row],[Entity Name]])</f>
        <v>0066/25-26Aspirach Lanka</v>
      </c>
      <c r="D1930" s="36" t="s">
        <v>936</v>
      </c>
      <c r="E1930" s="36" t="s">
        <v>152</v>
      </c>
      <c r="F1930" s="49" t="s">
        <v>93</v>
      </c>
      <c r="G1930" s="101" t="s">
        <v>138</v>
      </c>
    </row>
    <row r="1931" spans="1:7" hidden="1">
      <c r="A1931" s="36" t="s">
        <v>2114</v>
      </c>
      <c r="B1931" s="36" t="s">
        <v>825</v>
      </c>
      <c r="C1931" s="36" t="str">
        <f>_xlfn.CONCAT(Table4[[#This Row],[Ledger Name]],Table4[[#This Row],[Entity Name]])</f>
        <v>0067/25-26Aspirach Lanka</v>
      </c>
      <c r="D1931" s="36" t="s">
        <v>936</v>
      </c>
      <c r="E1931" s="36" t="s">
        <v>152</v>
      </c>
      <c r="F1931" s="49" t="s">
        <v>93</v>
      </c>
      <c r="G1931" s="101" t="s">
        <v>138</v>
      </c>
    </row>
    <row r="1932" spans="1:7" hidden="1">
      <c r="A1932" s="36" t="s">
        <v>2115</v>
      </c>
      <c r="B1932" s="36" t="s">
        <v>825</v>
      </c>
      <c r="C1932" s="36" t="str">
        <f>_xlfn.CONCAT(Table4[[#This Row],[Ledger Name]],Table4[[#This Row],[Entity Name]])</f>
        <v>0068/25-26Aspirach Lanka</v>
      </c>
      <c r="D1932" s="36" t="s">
        <v>936</v>
      </c>
      <c r="E1932" s="36" t="s">
        <v>152</v>
      </c>
      <c r="F1932" s="49" t="s">
        <v>93</v>
      </c>
      <c r="G1932" s="101" t="s">
        <v>138</v>
      </c>
    </row>
    <row r="1933" spans="1:7" hidden="1">
      <c r="A1933" s="36" t="s">
        <v>2116</v>
      </c>
      <c r="B1933" s="36" t="s">
        <v>825</v>
      </c>
      <c r="C1933" s="36" t="str">
        <f>_xlfn.CONCAT(Table4[[#This Row],[Ledger Name]],Table4[[#This Row],[Entity Name]])</f>
        <v>0069/25-26Aspirach Lanka</v>
      </c>
      <c r="D1933" s="36" t="s">
        <v>936</v>
      </c>
      <c r="E1933" s="36" t="s">
        <v>152</v>
      </c>
      <c r="F1933" s="49" t="s">
        <v>93</v>
      </c>
      <c r="G1933" s="101" t="s">
        <v>138</v>
      </c>
    </row>
    <row r="1934" spans="1:7" hidden="1">
      <c r="A1934" s="36" t="s">
        <v>2117</v>
      </c>
      <c r="B1934" s="36" t="s">
        <v>825</v>
      </c>
      <c r="C1934" s="36" t="str">
        <f>_xlfn.CONCAT(Table4[[#This Row],[Ledger Name]],Table4[[#This Row],[Entity Name]])</f>
        <v>0070/25-26Aspirach Lanka</v>
      </c>
      <c r="D1934" s="36" t="s">
        <v>936</v>
      </c>
      <c r="E1934" s="36" t="s">
        <v>152</v>
      </c>
      <c r="F1934" s="49" t="s">
        <v>93</v>
      </c>
      <c r="G1934" s="101" t="s">
        <v>138</v>
      </c>
    </row>
    <row r="1935" spans="1:7" hidden="1">
      <c r="A1935" s="36" t="s">
        <v>2118</v>
      </c>
      <c r="B1935" s="36" t="s">
        <v>825</v>
      </c>
      <c r="C1935" s="36" t="str">
        <f>_xlfn.CONCAT(Table4[[#This Row],[Ledger Name]],Table4[[#This Row],[Entity Name]])</f>
        <v>0071/25-26Aspirach Lanka</v>
      </c>
      <c r="D1935" s="36" t="s">
        <v>936</v>
      </c>
      <c r="E1935" s="36" t="s">
        <v>152</v>
      </c>
      <c r="F1935" s="49" t="s">
        <v>93</v>
      </c>
      <c r="G1935" s="101" t="s">
        <v>138</v>
      </c>
    </row>
    <row r="1936" spans="1:7" hidden="1">
      <c r="A1936" s="36" t="s">
        <v>2119</v>
      </c>
      <c r="B1936" s="36" t="s">
        <v>825</v>
      </c>
      <c r="C1936" s="36" t="str">
        <f>_xlfn.CONCAT(Table4[[#This Row],[Ledger Name]],Table4[[#This Row],[Entity Name]])</f>
        <v>0072/25-26Aspirach Lanka</v>
      </c>
      <c r="D1936" s="36" t="s">
        <v>936</v>
      </c>
      <c r="E1936" s="36" t="s">
        <v>152</v>
      </c>
      <c r="F1936" s="49" t="s">
        <v>93</v>
      </c>
      <c r="G1936" s="101" t="s">
        <v>138</v>
      </c>
    </row>
    <row r="1937" spans="1:7" hidden="1">
      <c r="A1937" s="36" t="s">
        <v>2120</v>
      </c>
      <c r="B1937" s="36" t="s">
        <v>825</v>
      </c>
      <c r="C1937" s="36" t="str">
        <f>_xlfn.CONCAT(Table4[[#This Row],[Ledger Name]],Table4[[#This Row],[Entity Name]])</f>
        <v>0073/25-26Aspirach Lanka</v>
      </c>
      <c r="D1937" s="36" t="s">
        <v>936</v>
      </c>
      <c r="E1937" s="36" t="s">
        <v>152</v>
      </c>
      <c r="F1937" s="49" t="s">
        <v>93</v>
      </c>
      <c r="G1937" s="101" t="s">
        <v>138</v>
      </c>
    </row>
    <row r="1938" spans="1:7" hidden="1">
      <c r="A1938" s="36" t="s">
        <v>2121</v>
      </c>
      <c r="B1938" s="36" t="s">
        <v>825</v>
      </c>
      <c r="C1938" s="36" t="str">
        <f>_xlfn.CONCAT(Table4[[#This Row],[Ledger Name]],Table4[[#This Row],[Entity Name]])</f>
        <v>0074/25-26Aspirach Lanka</v>
      </c>
      <c r="D1938" s="36" t="s">
        <v>936</v>
      </c>
      <c r="E1938" s="36" t="s">
        <v>152</v>
      </c>
      <c r="F1938" s="49" t="s">
        <v>93</v>
      </c>
      <c r="G1938" s="101" t="s">
        <v>138</v>
      </c>
    </row>
    <row r="1939" spans="1:7" hidden="1">
      <c r="A1939" s="36" t="s">
        <v>2122</v>
      </c>
      <c r="B1939" s="36" t="s">
        <v>825</v>
      </c>
      <c r="C1939" s="36" t="str">
        <f>_xlfn.CONCAT(Table4[[#This Row],[Ledger Name]],Table4[[#This Row],[Entity Name]])</f>
        <v>0075/25-26Aspirach Lanka</v>
      </c>
      <c r="D1939" s="36" t="s">
        <v>936</v>
      </c>
      <c r="E1939" s="36" t="s">
        <v>152</v>
      </c>
      <c r="F1939" s="49" t="s">
        <v>93</v>
      </c>
      <c r="G1939" s="101" t="s">
        <v>138</v>
      </c>
    </row>
    <row r="1940" spans="1:7" hidden="1">
      <c r="A1940" s="36" t="s">
        <v>2123</v>
      </c>
      <c r="B1940" s="36" t="s">
        <v>825</v>
      </c>
      <c r="C1940" s="36" t="str">
        <f>_xlfn.CONCAT(Table4[[#This Row],[Ledger Name]],Table4[[#This Row],[Entity Name]])</f>
        <v>0076/25-26Aspirach Lanka</v>
      </c>
      <c r="D1940" s="36" t="s">
        <v>936</v>
      </c>
      <c r="E1940" s="36" t="s">
        <v>152</v>
      </c>
      <c r="F1940" s="49" t="s">
        <v>93</v>
      </c>
      <c r="G1940" s="101" t="s">
        <v>138</v>
      </c>
    </row>
    <row r="1941" spans="1:7" hidden="1">
      <c r="A1941" s="36" t="s">
        <v>2124</v>
      </c>
      <c r="B1941" s="36" t="s">
        <v>825</v>
      </c>
      <c r="C1941" s="36" t="str">
        <f>_xlfn.CONCAT(Table4[[#This Row],[Ledger Name]],Table4[[#This Row],[Entity Name]])</f>
        <v>0077/25-26Aspirach Lanka</v>
      </c>
      <c r="D1941" s="36" t="s">
        <v>936</v>
      </c>
      <c r="E1941" s="36" t="s">
        <v>152</v>
      </c>
      <c r="F1941" s="49" t="s">
        <v>93</v>
      </c>
      <c r="G1941" s="101" t="s">
        <v>138</v>
      </c>
    </row>
    <row r="1942" spans="1:7" hidden="1">
      <c r="A1942" s="36" t="s">
        <v>2125</v>
      </c>
      <c r="B1942" s="36" t="s">
        <v>825</v>
      </c>
      <c r="C1942" s="36" t="str">
        <f>_xlfn.CONCAT(Table4[[#This Row],[Ledger Name]],Table4[[#This Row],[Entity Name]])</f>
        <v>0078/25-26Aspirach Lanka</v>
      </c>
      <c r="D1942" s="36" t="s">
        <v>936</v>
      </c>
      <c r="E1942" s="36" t="s">
        <v>152</v>
      </c>
      <c r="F1942" s="49" t="s">
        <v>93</v>
      </c>
      <c r="G1942" s="101" t="s">
        <v>138</v>
      </c>
    </row>
    <row r="1943" spans="1:7" hidden="1">
      <c r="A1943" s="36" t="s">
        <v>2126</v>
      </c>
      <c r="B1943" s="36" t="s">
        <v>825</v>
      </c>
      <c r="C1943" s="36" t="str">
        <f>_xlfn.CONCAT(Table4[[#This Row],[Ledger Name]],Table4[[#This Row],[Entity Name]])</f>
        <v>0079/25-26Aspirach Lanka</v>
      </c>
      <c r="D1943" s="36" t="s">
        <v>936</v>
      </c>
      <c r="E1943" s="36" t="s">
        <v>152</v>
      </c>
      <c r="F1943" s="49" t="s">
        <v>93</v>
      </c>
      <c r="G1943" s="101" t="s">
        <v>138</v>
      </c>
    </row>
    <row r="1944" spans="1:7" hidden="1">
      <c r="A1944" s="36" t="s">
        <v>2127</v>
      </c>
      <c r="B1944" s="36" t="s">
        <v>825</v>
      </c>
      <c r="C1944" s="36" t="str">
        <f>_xlfn.CONCAT(Table4[[#This Row],[Ledger Name]],Table4[[#This Row],[Entity Name]])</f>
        <v>0080/25-26Aspirach Lanka</v>
      </c>
      <c r="D1944" s="36" t="s">
        <v>936</v>
      </c>
      <c r="E1944" s="36" t="s">
        <v>152</v>
      </c>
      <c r="F1944" s="49" t="s">
        <v>93</v>
      </c>
      <c r="G1944" s="101" t="s">
        <v>138</v>
      </c>
    </row>
    <row r="1945" spans="1:7" hidden="1">
      <c r="A1945" s="36" t="s">
        <v>2128</v>
      </c>
      <c r="B1945" s="36" t="s">
        <v>825</v>
      </c>
      <c r="C1945" s="36" t="str">
        <f>_xlfn.CONCAT(Table4[[#This Row],[Ledger Name]],Table4[[#This Row],[Entity Name]])</f>
        <v>0081/25-26Aspirach Lanka</v>
      </c>
      <c r="D1945" s="36" t="s">
        <v>936</v>
      </c>
      <c r="E1945" s="36" t="s">
        <v>152</v>
      </c>
      <c r="F1945" s="49" t="s">
        <v>93</v>
      </c>
      <c r="G1945" s="101" t="s">
        <v>138</v>
      </c>
    </row>
    <row r="1946" spans="1:7" hidden="1">
      <c r="A1946" s="36" t="s">
        <v>2129</v>
      </c>
      <c r="B1946" s="36" t="s">
        <v>825</v>
      </c>
      <c r="C1946" s="36" t="str">
        <f>_xlfn.CONCAT(Table4[[#This Row],[Ledger Name]],Table4[[#This Row],[Entity Name]])</f>
        <v>0082/25-26Aspirach Lanka</v>
      </c>
      <c r="D1946" s="36" t="s">
        <v>936</v>
      </c>
      <c r="E1946" s="36" t="s">
        <v>152</v>
      </c>
      <c r="F1946" s="49" t="s">
        <v>93</v>
      </c>
      <c r="G1946" s="101" t="s">
        <v>138</v>
      </c>
    </row>
    <row r="1947" spans="1:7" hidden="1">
      <c r="A1947" s="36" t="s">
        <v>2130</v>
      </c>
      <c r="B1947" s="36" t="s">
        <v>825</v>
      </c>
      <c r="C1947" s="36" t="str">
        <f>_xlfn.CONCAT(Table4[[#This Row],[Ledger Name]],Table4[[#This Row],[Entity Name]])</f>
        <v>0083/25-26Aspirach Lanka</v>
      </c>
      <c r="D1947" s="36" t="s">
        <v>936</v>
      </c>
      <c r="E1947" s="36" t="s">
        <v>152</v>
      </c>
      <c r="F1947" s="49" t="s">
        <v>93</v>
      </c>
      <c r="G1947" s="101" t="s">
        <v>138</v>
      </c>
    </row>
    <row r="1948" spans="1:7" hidden="1">
      <c r="A1948" s="36" t="s">
        <v>2131</v>
      </c>
      <c r="B1948" s="36" t="s">
        <v>825</v>
      </c>
      <c r="C1948" s="36" t="str">
        <f>_xlfn.CONCAT(Table4[[#This Row],[Ledger Name]],Table4[[#This Row],[Entity Name]])</f>
        <v>0084/25-26Aspirach Lanka</v>
      </c>
      <c r="D1948" s="36" t="s">
        <v>936</v>
      </c>
      <c r="E1948" s="36" t="s">
        <v>152</v>
      </c>
      <c r="F1948" s="49" t="s">
        <v>93</v>
      </c>
      <c r="G1948" s="101" t="s">
        <v>138</v>
      </c>
    </row>
    <row r="1949" spans="1:7" hidden="1">
      <c r="A1949" s="36" t="s">
        <v>2132</v>
      </c>
      <c r="B1949" s="36" t="s">
        <v>825</v>
      </c>
      <c r="C1949" s="36" t="str">
        <f>_xlfn.CONCAT(Table4[[#This Row],[Ledger Name]],Table4[[#This Row],[Entity Name]])</f>
        <v>0085/25-26Aspirach Lanka</v>
      </c>
      <c r="D1949" s="36" t="s">
        <v>936</v>
      </c>
      <c r="E1949" s="36" t="s">
        <v>152</v>
      </c>
      <c r="F1949" s="49" t="s">
        <v>93</v>
      </c>
      <c r="G1949" s="101" t="s">
        <v>138</v>
      </c>
    </row>
    <row r="1950" spans="1:7" hidden="1">
      <c r="A1950" s="36" t="s">
        <v>2133</v>
      </c>
      <c r="B1950" s="36" t="s">
        <v>825</v>
      </c>
      <c r="C1950" s="36" t="str">
        <f>_xlfn.CONCAT(Table4[[#This Row],[Ledger Name]],Table4[[#This Row],[Entity Name]])</f>
        <v>0086/25-26Aspirach Lanka</v>
      </c>
      <c r="D1950" s="36" t="s">
        <v>936</v>
      </c>
      <c r="E1950" s="36" t="s">
        <v>152</v>
      </c>
      <c r="F1950" s="49" t="s">
        <v>93</v>
      </c>
      <c r="G1950" s="101" t="s">
        <v>138</v>
      </c>
    </row>
    <row r="1951" spans="1:7" hidden="1">
      <c r="A1951" s="36" t="s">
        <v>2134</v>
      </c>
      <c r="B1951" s="36" t="s">
        <v>825</v>
      </c>
      <c r="C1951" s="36" t="str">
        <f>_xlfn.CONCAT(Table4[[#This Row],[Ledger Name]],Table4[[#This Row],[Entity Name]])</f>
        <v>0087/25-26Aspirach Lanka</v>
      </c>
      <c r="D1951" s="36" t="s">
        <v>936</v>
      </c>
      <c r="E1951" s="36" t="s">
        <v>152</v>
      </c>
      <c r="F1951" s="49" t="s">
        <v>93</v>
      </c>
      <c r="G1951" s="101" t="s">
        <v>138</v>
      </c>
    </row>
    <row r="1952" spans="1:7" hidden="1">
      <c r="A1952" s="36" t="s">
        <v>2135</v>
      </c>
      <c r="B1952" s="36" t="s">
        <v>825</v>
      </c>
      <c r="C1952" s="36" t="str">
        <f>_xlfn.CONCAT(Table4[[#This Row],[Ledger Name]],Table4[[#This Row],[Entity Name]])</f>
        <v>0088/25-26Aspirach Lanka</v>
      </c>
      <c r="D1952" s="36" t="s">
        <v>936</v>
      </c>
      <c r="E1952" s="36" t="s">
        <v>152</v>
      </c>
      <c r="F1952" s="49" t="s">
        <v>93</v>
      </c>
      <c r="G1952" s="101" t="s">
        <v>138</v>
      </c>
    </row>
    <row r="1953" spans="1:7" hidden="1">
      <c r="A1953" s="36" t="s">
        <v>2136</v>
      </c>
      <c r="B1953" s="36" t="s">
        <v>825</v>
      </c>
      <c r="C1953" s="36" t="str">
        <f>_xlfn.CONCAT(Table4[[#This Row],[Ledger Name]],Table4[[#This Row],[Entity Name]])</f>
        <v>0089/25-26Aspirach Lanka</v>
      </c>
      <c r="D1953" s="36" t="s">
        <v>936</v>
      </c>
      <c r="E1953" s="36" t="s">
        <v>152</v>
      </c>
      <c r="F1953" s="49" t="s">
        <v>93</v>
      </c>
      <c r="G1953" s="101" t="s">
        <v>138</v>
      </c>
    </row>
    <row r="1954" spans="1:7" hidden="1">
      <c r="A1954" s="36" t="s">
        <v>2137</v>
      </c>
      <c r="B1954" s="36" t="s">
        <v>825</v>
      </c>
      <c r="C1954" s="36" t="str">
        <f>_xlfn.CONCAT(Table4[[#This Row],[Ledger Name]],Table4[[#This Row],[Entity Name]])</f>
        <v>0090/25-26Aspirach Lanka</v>
      </c>
      <c r="D1954" s="36" t="s">
        <v>936</v>
      </c>
      <c r="E1954" s="36" t="s">
        <v>152</v>
      </c>
      <c r="F1954" s="49" t="s">
        <v>93</v>
      </c>
      <c r="G1954" s="101" t="s">
        <v>138</v>
      </c>
    </row>
    <row r="1955" spans="1:7" hidden="1">
      <c r="A1955" s="36" t="s">
        <v>2138</v>
      </c>
      <c r="B1955" s="36" t="s">
        <v>825</v>
      </c>
      <c r="C1955" s="36" t="str">
        <f>_xlfn.CONCAT(Table4[[#This Row],[Ledger Name]],Table4[[#This Row],[Entity Name]])</f>
        <v>0091/25-26Aspirach Lanka</v>
      </c>
      <c r="D1955" s="36" t="s">
        <v>936</v>
      </c>
      <c r="E1955" s="36" t="s">
        <v>152</v>
      </c>
      <c r="F1955" s="49" t="s">
        <v>93</v>
      </c>
      <c r="G1955" s="101" t="s">
        <v>138</v>
      </c>
    </row>
    <row r="1956" spans="1:7" hidden="1">
      <c r="A1956" s="36" t="s">
        <v>2139</v>
      </c>
      <c r="B1956" s="36" t="s">
        <v>825</v>
      </c>
      <c r="C1956" s="36" t="str">
        <f>_xlfn.CONCAT(Table4[[#This Row],[Ledger Name]],Table4[[#This Row],[Entity Name]])</f>
        <v>0092/25-26Aspirach Lanka</v>
      </c>
      <c r="D1956" s="36" t="s">
        <v>936</v>
      </c>
      <c r="E1956" s="36" t="s">
        <v>152</v>
      </c>
      <c r="F1956" s="49" t="s">
        <v>93</v>
      </c>
      <c r="G1956" s="101" t="s">
        <v>138</v>
      </c>
    </row>
    <row r="1957" spans="1:7" hidden="1">
      <c r="A1957" s="36" t="s">
        <v>2140</v>
      </c>
      <c r="B1957" s="36" t="s">
        <v>825</v>
      </c>
      <c r="C1957" s="36" t="str">
        <f>_xlfn.CONCAT(Table4[[#This Row],[Ledger Name]],Table4[[#This Row],[Entity Name]])</f>
        <v>0093/25-26Aspirach Lanka</v>
      </c>
      <c r="D1957" s="36" t="s">
        <v>936</v>
      </c>
      <c r="E1957" s="36" t="s">
        <v>152</v>
      </c>
      <c r="F1957" s="49" t="s">
        <v>93</v>
      </c>
      <c r="G1957" s="101" t="s">
        <v>138</v>
      </c>
    </row>
    <row r="1958" spans="1:7" hidden="1">
      <c r="A1958" s="36" t="s">
        <v>2141</v>
      </c>
      <c r="B1958" s="36" t="s">
        <v>825</v>
      </c>
      <c r="C1958" s="36" t="str">
        <f>_xlfn.CONCAT(Table4[[#This Row],[Ledger Name]],Table4[[#This Row],[Entity Name]])</f>
        <v>0094/25-26Aspirach Lanka</v>
      </c>
      <c r="D1958" s="36" t="s">
        <v>936</v>
      </c>
      <c r="E1958" s="36" t="s">
        <v>152</v>
      </c>
      <c r="F1958" s="49" t="s">
        <v>93</v>
      </c>
      <c r="G1958" s="101" t="s">
        <v>138</v>
      </c>
    </row>
    <row r="1959" spans="1:7" hidden="1">
      <c r="A1959" s="36" t="s">
        <v>2142</v>
      </c>
      <c r="B1959" s="36" t="s">
        <v>825</v>
      </c>
      <c r="C1959" s="36" t="str">
        <f>_xlfn.CONCAT(Table4[[#This Row],[Ledger Name]],Table4[[#This Row],[Entity Name]])</f>
        <v>0095/25-26Aspirach Lanka</v>
      </c>
      <c r="D1959" s="36" t="s">
        <v>936</v>
      </c>
      <c r="E1959" s="36" t="s">
        <v>152</v>
      </c>
      <c r="F1959" s="49" t="s">
        <v>93</v>
      </c>
      <c r="G1959" s="101" t="s">
        <v>138</v>
      </c>
    </row>
    <row r="1960" spans="1:7" hidden="1">
      <c r="A1960" s="36" t="s">
        <v>2143</v>
      </c>
      <c r="B1960" s="36" t="s">
        <v>825</v>
      </c>
      <c r="C1960" s="36" t="str">
        <f>_xlfn.CONCAT(Table4[[#This Row],[Ledger Name]],Table4[[#This Row],[Entity Name]])</f>
        <v>AC Service ChargesAspirach Lanka</v>
      </c>
      <c r="D1960" s="36" t="s">
        <v>936</v>
      </c>
      <c r="E1960" s="49" t="s">
        <v>152</v>
      </c>
      <c r="F1960" s="49" t="s">
        <v>5</v>
      </c>
      <c r="G1960" s="101" t="s">
        <v>13</v>
      </c>
    </row>
    <row r="1961" spans="1:7" hidden="1">
      <c r="A1961" s="36" t="s">
        <v>2144</v>
      </c>
      <c r="B1961" s="36" t="s">
        <v>825</v>
      </c>
      <c r="C1961" s="36" t="str">
        <f>_xlfn.CONCAT(Table4[[#This Row],[Ledger Name]],Table4[[#This Row],[Entity Name]])</f>
        <v>Lorry ChargesAspirach Lanka</v>
      </c>
      <c r="D1961" s="36" t="s">
        <v>936</v>
      </c>
      <c r="E1961" s="49" t="s">
        <v>152</v>
      </c>
      <c r="F1961" s="49" t="s">
        <v>5</v>
      </c>
      <c r="G1961" s="101" t="s">
        <v>13</v>
      </c>
    </row>
    <row r="1962" spans="1:7" hidden="1">
      <c r="A1962" s="36" t="s">
        <v>2145</v>
      </c>
      <c r="B1962" s="36" t="s">
        <v>825</v>
      </c>
      <c r="C1962" s="36" t="str">
        <f>_xlfn.CONCAT(Table4[[#This Row],[Ledger Name]],Table4[[#This Row],[Entity Name]])</f>
        <v>Shifting ChargesAspirach Lanka</v>
      </c>
      <c r="D1962" s="36" t="s">
        <v>936</v>
      </c>
      <c r="E1962" s="49" t="s">
        <v>152</v>
      </c>
      <c r="F1962" s="49" t="s">
        <v>5</v>
      </c>
      <c r="G1962" s="101" t="s">
        <v>13</v>
      </c>
    </row>
    <row r="1963" spans="1:7" hidden="1">
      <c r="A1963" s="36" t="s">
        <v>2146</v>
      </c>
      <c r="B1963" s="36" t="s">
        <v>825</v>
      </c>
      <c r="C1963" s="36" t="str">
        <f>_xlfn.CONCAT(Table4[[#This Row],[Ledger Name]],Table4[[#This Row],[Entity Name]])</f>
        <v>SLT Wifi Shifting ChargesAspirach Lanka</v>
      </c>
      <c r="D1963" s="36" t="s">
        <v>936</v>
      </c>
      <c r="E1963" s="49" t="s">
        <v>152</v>
      </c>
      <c r="F1963" s="49" t="s">
        <v>5</v>
      </c>
      <c r="G1963" s="101" t="s">
        <v>13</v>
      </c>
    </row>
    <row r="1964" spans="1:7" hidden="1">
      <c r="A1964" s="36" t="s">
        <v>2147</v>
      </c>
      <c r="B1964" s="36" t="s">
        <v>826</v>
      </c>
      <c r="C1964" s="36" t="str">
        <f>_xlfn.CONCAT(Table4[[#This Row],[Ledger Name]],Table4[[#This Row],[Entity Name]])</f>
        <v>Loan and AdvanceArha General Trading Co (AGT)</v>
      </c>
      <c r="D1964" s="36" t="s">
        <v>936</v>
      </c>
      <c r="E1964" s="49" t="s">
        <v>746</v>
      </c>
      <c r="F1964" s="49" t="s">
        <v>52</v>
      </c>
      <c r="G1964" s="101" t="s">
        <v>52</v>
      </c>
    </row>
    <row r="1965" spans="1:7" hidden="1">
      <c r="A1965" s="36" t="s">
        <v>2148</v>
      </c>
      <c r="B1965" s="36" t="s">
        <v>826</v>
      </c>
      <c r="C1965" s="36" t="str">
        <f>_xlfn.CONCAT(Table4[[#This Row],[Ledger Name]],Table4[[#This Row],[Entity Name]])</f>
        <v>ZENYUM PTE LTDArha General Trading Co (AGT)</v>
      </c>
      <c r="D1965" s="36" t="s">
        <v>936</v>
      </c>
      <c r="E1965" s="49" t="s">
        <v>746</v>
      </c>
      <c r="F1965" s="49" t="s">
        <v>52</v>
      </c>
      <c r="G1965" s="101" t="s">
        <v>52</v>
      </c>
    </row>
    <row r="1966" spans="1:7" hidden="1">
      <c r="A1966" s="36" t="s">
        <v>263</v>
      </c>
      <c r="B1966" s="36" t="s">
        <v>826</v>
      </c>
      <c r="C1966" s="36" t="str">
        <f>_xlfn.CONCAT(Table4[[#This Row],[Ledger Name]],Table4[[#This Row],[Entity Name]])</f>
        <v>Mohammad YaseenArha General Trading Co (AGT)</v>
      </c>
      <c r="D1966" s="36" t="s">
        <v>936</v>
      </c>
      <c r="E1966" s="36" t="s">
        <v>1837</v>
      </c>
      <c r="F1966" s="49" t="s">
        <v>52</v>
      </c>
      <c r="G1966" s="24" t="s">
        <v>1608</v>
      </c>
    </row>
    <row r="1967" spans="1:7" hidden="1">
      <c r="A1967" s="36" t="s">
        <v>127</v>
      </c>
      <c r="B1967" s="36" t="s">
        <v>826</v>
      </c>
      <c r="C1967" s="36" t="str">
        <f>_xlfn.CONCAT(Table4[[#This Row],[Ledger Name]],Table4[[#This Row],[Entity Name]])</f>
        <v>Office EquipmentsArha General Trading Co (AGT)</v>
      </c>
      <c r="D1967" s="36" t="s">
        <v>936</v>
      </c>
      <c r="E1967" s="49" t="s">
        <v>746</v>
      </c>
      <c r="F1967" s="49" t="s">
        <v>346</v>
      </c>
      <c r="G1967" s="182" t="s">
        <v>346</v>
      </c>
    </row>
    <row r="1968" spans="1:7" hidden="1">
      <c r="A1968" s="36" t="s">
        <v>2149</v>
      </c>
      <c r="B1968" s="36" t="s">
        <v>826</v>
      </c>
      <c r="C1968" s="36" t="str">
        <f>_xlfn.CONCAT(Table4[[#This Row],[Ledger Name]],Table4[[#This Row],[Entity Name]])</f>
        <v>Prepaid Warehouse RentArha General Trading Co (AGT)</v>
      </c>
      <c r="D1968" s="36" t="s">
        <v>936</v>
      </c>
      <c r="E1968" s="49" t="s">
        <v>746</v>
      </c>
      <c r="F1968" s="49" t="s">
        <v>52</v>
      </c>
      <c r="G1968" s="101" t="s">
        <v>52</v>
      </c>
    </row>
    <row r="1969" spans="1:7" hidden="1">
      <c r="A1969" s="36" t="s">
        <v>2150</v>
      </c>
      <c r="B1969" s="36" t="s">
        <v>826</v>
      </c>
      <c r="C1969" s="36" t="str">
        <f>_xlfn.CONCAT(Table4[[#This Row],[Ledger Name]],Table4[[#This Row],[Entity Name]])</f>
        <v>Prepaid Warehouse InsuranceArha General Trading Co (AGT)</v>
      </c>
      <c r="D1969" s="36" t="s">
        <v>936</v>
      </c>
      <c r="E1969" s="49" t="s">
        <v>746</v>
      </c>
      <c r="F1969" s="49" t="s">
        <v>52</v>
      </c>
      <c r="G1969" s="101" t="s">
        <v>52</v>
      </c>
    </row>
    <row r="1970" spans="1:7" hidden="1">
      <c r="A1970" s="36" t="s">
        <v>2151</v>
      </c>
      <c r="B1970" s="36" t="s">
        <v>826</v>
      </c>
      <c r="C1970" s="36" t="str">
        <f>_xlfn.CONCAT(Table4[[#This Row],[Ledger Name]],Table4[[#This Row],[Entity Name]])</f>
        <v>Toyota HiaceArha General Trading Co (AGT)</v>
      </c>
      <c r="D1970" s="36" t="s">
        <v>936</v>
      </c>
      <c r="E1970" s="49" t="s">
        <v>746</v>
      </c>
      <c r="F1970" s="49" t="s">
        <v>346</v>
      </c>
      <c r="G1970" s="182" t="s">
        <v>346</v>
      </c>
    </row>
    <row r="1971" spans="1:7" hidden="1">
      <c r="A1971" s="36" t="s">
        <v>2152</v>
      </c>
      <c r="B1971" s="36" t="s">
        <v>826</v>
      </c>
      <c r="C1971" s="36" t="str">
        <f>_xlfn.CONCAT(Table4[[#This Row],[Ledger Name]],Table4[[#This Row],[Entity Name]])</f>
        <v>Weight &amp; Bag Stitching MachineArha General Trading Co (AGT)</v>
      </c>
      <c r="D1971" s="36" t="s">
        <v>936</v>
      </c>
      <c r="E1971" s="49" t="s">
        <v>746</v>
      </c>
      <c r="F1971" s="49" t="s">
        <v>346</v>
      </c>
      <c r="G1971" s="182" t="s">
        <v>346</v>
      </c>
    </row>
    <row r="1972" spans="1:7" hidden="1">
      <c r="A1972" s="36" t="s">
        <v>2153</v>
      </c>
      <c r="B1972" s="36" t="s">
        <v>826</v>
      </c>
      <c r="C1972" s="36" t="str">
        <f>_xlfn.CONCAT(Table4[[#This Row],[Ledger Name]],Table4[[#This Row],[Entity Name]])</f>
        <v>Anwar MArha General Trading Co (AGT)</v>
      </c>
      <c r="D1972" s="36" t="s">
        <v>936</v>
      </c>
      <c r="E1972" s="49" t="s">
        <v>746</v>
      </c>
      <c r="F1972" s="49" t="s">
        <v>195</v>
      </c>
      <c r="G1972" s="101" t="s">
        <v>195</v>
      </c>
    </row>
    <row r="1973" spans="1:7" hidden="1">
      <c r="A1973" s="36" t="s">
        <v>2154</v>
      </c>
      <c r="B1973" s="36" t="s">
        <v>826</v>
      </c>
      <c r="C1973" s="36" t="str">
        <f>_xlfn.CONCAT(Table4[[#This Row],[Ledger Name]],Table4[[#This Row],[Entity Name]])</f>
        <v>GANESH NATARAJANArha General Trading Co (AGT)</v>
      </c>
      <c r="D1973" s="36" t="s">
        <v>936</v>
      </c>
      <c r="E1973" s="49" t="s">
        <v>746</v>
      </c>
      <c r="F1973" s="49" t="s">
        <v>345</v>
      </c>
      <c r="G1973" s="6" t="s">
        <v>279</v>
      </c>
    </row>
    <row r="1974" spans="1:7" hidden="1">
      <c r="A1974" s="36" t="s">
        <v>2155</v>
      </c>
      <c r="B1974" s="36" t="s">
        <v>826</v>
      </c>
      <c r="C1974" s="36" t="str">
        <f>_xlfn.CONCAT(Table4[[#This Row],[Ledger Name]],Table4[[#This Row],[Entity Name]])</f>
        <v>Vehicle Loan (Emirates NBD )Arha General Trading Co (AGT)</v>
      </c>
      <c r="D1974" s="36" t="s">
        <v>936</v>
      </c>
      <c r="E1974" s="49" t="s">
        <v>746</v>
      </c>
      <c r="F1974" s="36" t="s">
        <v>2184</v>
      </c>
      <c r="G1974" s="36" t="s">
        <v>2184</v>
      </c>
    </row>
    <row r="1975" spans="1:7" hidden="1">
      <c r="A1975" s="36" t="s">
        <v>2156</v>
      </c>
      <c r="B1975" s="36" t="s">
        <v>826</v>
      </c>
      <c r="C1975" s="36" t="str">
        <f>_xlfn.CONCAT(Table4[[#This Row],[Ledger Name]],Table4[[#This Row],[Entity Name]])</f>
        <v>Yashim IqbalArha General Trading Co (AGT)</v>
      </c>
      <c r="D1975" s="36" t="s">
        <v>936</v>
      </c>
      <c r="E1975" s="36" t="s">
        <v>1837</v>
      </c>
      <c r="F1975" s="49" t="s">
        <v>52</v>
      </c>
      <c r="G1975" s="24" t="s">
        <v>1608</v>
      </c>
    </row>
    <row r="1976" spans="1:7" hidden="1">
      <c r="A1976" s="36" t="s">
        <v>245</v>
      </c>
      <c r="B1976" s="36" t="s">
        <v>826</v>
      </c>
      <c r="C1976" s="36" t="str">
        <f>_xlfn.CONCAT(Table4[[#This Row],[Ledger Name]],Table4[[#This Row],[Entity Name]])</f>
        <v>1218Arha General Trading Co (AGT)</v>
      </c>
      <c r="D1976" s="36" t="s">
        <v>936</v>
      </c>
      <c r="E1976" s="36" t="s">
        <v>152</v>
      </c>
      <c r="F1976" s="49" t="s">
        <v>93</v>
      </c>
      <c r="G1976" s="101" t="s">
        <v>138</v>
      </c>
    </row>
    <row r="1977" spans="1:7" hidden="1">
      <c r="A1977" s="36" t="s">
        <v>2157</v>
      </c>
      <c r="B1977" s="36" t="s">
        <v>826</v>
      </c>
      <c r="C1977" s="36" t="str">
        <f>_xlfn.CONCAT(Table4[[#This Row],[Ledger Name]],Table4[[#This Row],[Entity Name]])</f>
        <v>4342Arha General Trading Co (AGT)</v>
      </c>
      <c r="D1977" s="36" t="s">
        <v>936</v>
      </c>
      <c r="E1977" s="36" t="s">
        <v>152</v>
      </c>
      <c r="F1977" s="49" t="s">
        <v>93</v>
      </c>
      <c r="G1977" s="101" t="s">
        <v>138</v>
      </c>
    </row>
    <row r="1978" spans="1:7" hidden="1">
      <c r="A1978" s="36" t="s">
        <v>2158</v>
      </c>
      <c r="B1978" s="36" t="s">
        <v>826</v>
      </c>
      <c r="C1978" s="36" t="str">
        <f>_xlfn.CONCAT(Table4[[#This Row],[Ledger Name]],Table4[[#This Row],[Entity Name]])</f>
        <v>AGS/2025/601Arha General Trading Co (AGT)</v>
      </c>
      <c r="D1978" s="36" t="s">
        <v>936</v>
      </c>
      <c r="E1978" s="36" t="s">
        <v>152</v>
      </c>
      <c r="F1978" s="49" t="s">
        <v>93</v>
      </c>
      <c r="G1978" s="101" t="s">
        <v>138</v>
      </c>
    </row>
    <row r="1979" spans="1:7" hidden="1">
      <c r="A1979" s="36" t="s">
        <v>2159</v>
      </c>
      <c r="B1979" s="36" t="s">
        <v>826</v>
      </c>
      <c r="C1979" s="36" t="str">
        <f>_xlfn.CONCAT(Table4[[#This Row],[Ledger Name]],Table4[[#This Row],[Entity Name]])</f>
        <v>ARGT/LOC/2025/0098Arha General Trading Co (AGT)</v>
      </c>
      <c r="D1979" s="36" t="s">
        <v>936</v>
      </c>
      <c r="E1979" s="36" t="s">
        <v>152</v>
      </c>
      <c r="F1979" s="49" t="s">
        <v>93</v>
      </c>
      <c r="G1979" s="101" t="s">
        <v>138</v>
      </c>
    </row>
    <row r="1980" spans="1:7" hidden="1">
      <c r="A1980" s="36" t="s">
        <v>2160</v>
      </c>
      <c r="B1980" s="36" t="s">
        <v>826</v>
      </c>
      <c r="C1980" s="36" t="str">
        <f>_xlfn.CONCAT(Table4[[#This Row],[Ledger Name]],Table4[[#This Row],[Entity Name]])</f>
        <v>ARGT/LOC/2025/0102Arha General Trading Co (AGT)</v>
      </c>
      <c r="D1980" s="36" t="s">
        <v>936</v>
      </c>
      <c r="E1980" s="36" t="s">
        <v>152</v>
      </c>
      <c r="F1980" s="49" t="s">
        <v>93</v>
      </c>
      <c r="G1980" s="101" t="s">
        <v>138</v>
      </c>
    </row>
    <row r="1981" spans="1:7" hidden="1">
      <c r="A1981" s="36" t="s">
        <v>2161</v>
      </c>
      <c r="B1981" s="36" t="s">
        <v>826</v>
      </c>
      <c r="C1981" s="36" t="str">
        <f>_xlfn.CONCAT(Table4[[#This Row],[Ledger Name]],Table4[[#This Row],[Entity Name]])</f>
        <v>ARGT/LOC/2025/0105Arha General Trading Co (AGT)</v>
      </c>
      <c r="D1981" s="36" t="s">
        <v>936</v>
      </c>
      <c r="E1981" s="36" t="s">
        <v>152</v>
      </c>
      <c r="F1981" s="49" t="s">
        <v>93</v>
      </c>
      <c r="G1981" s="101" t="s">
        <v>138</v>
      </c>
    </row>
    <row r="1982" spans="1:7" hidden="1">
      <c r="A1982" s="36" t="s">
        <v>2162</v>
      </c>
      <c r="B1982" s="36" t="s">
        <v>826</v>
      </c>
      <c r="C1982" s="36" t="str">
        <f>_xlfn.CONCAT(Table4[[#This Row],[Ledger Name]],Table4[[#This Row],[Entity Name]])</f>
        <v>ARGT/LOC/2025/0125Arha General Trading Co (AGT)</v>
      </c>
      <c r="D1982" s="36" t="s">
        <v>936</v>
      </c>
      <c r="E1982" s="36" t="s">
        <v>152</v>
      </c>
      <c r="F1982" s="49" t="s">
        <v>93</v>
      </c>
      <c r="G1982" s="101" t="s">
        <v>138</v>
      </c>
    </row>
    <row r="1983" spans="1:7" hidden="1">
      <c r="A1983" s="36" t="s">
        <v>2163</v>
      </c>
      <c r="B1983" s="36" t="s">
        <v>826</v>
      </c>
      <c r="C1983" s="36" t="str">
        <f>_xlfn.CONCAT(Table4[[#This Row],[Ledger Name]],Table4[[#This Row],[Entity Name]])</f>
        <v>ARGT/LOC/2025/0148Arha General Trading Co (AGT)</v>
      </c>
      <c r="D1983" s="36" t="s">
        <v>936</v>
      </c>
      <c r="E1983" s="36" t="s">
        <v>152</v>
      </c>
      <c r="F1983" s="49" t="s">
        <v>93</v>
      </c>
      <c r="G1983" s="101" t="s">
        <v>138</v>
      </c>
    </row>
    <row r="1984" spans="1:7" hidden="1">
      <c r="A1984" s="36" t="s">
        <v>2164</v>
      </c>
      <c r="B1984" s="36" t="s">
        <v>826</v>
      </c>
      <c r="C1984" s="36" t="str">
        <f>_xlfn.CONCAT(Table4[[#This Row],[Ledger Name]],Table4[[#This Row],[Entity Name]])</f>
        <v>ARGT/LOC/2025/0165Arha General Trading Co (AGT)</v>
      </c>
      <c r="D1984" s="36" t="s">
        <v>936</v>
      </c>
      <c r="E1984" s="36" t="s">
        <v>152</v>
      </c>
      <c r="F1984" s="49" t="s">
        <v>93</v>
      </c>
      <c r="G1984" s="101" t="s">
        <v>138</v>
      </c>
    </row>
    <row r="1985" spans="1:7" hidden="1">
      <c r="A1985" s="36" t="s">
        <v>2165</v>
      </c>
      <c r="B1985" s="36" t="s">
        <v>826</v>
      </c>
      <c r="C1985" s="36" t="str">
        <f>_xlfn.CONCAT(Table4[[#This Row],[Ledger Name]],Table4[[#This Row],[Entity Name]])</f>
        <v>ARGT/LOC/2025/0175Arha General Trading Co (AGT)</v>
      </c>
      <c r="D1985" s="36" t="s">
        <v>936</v>
      </c>
      <c r="E1985" s="36" t="s">
        <v>152</v>
      </c>
      <c r="F1985" s="49" t="s">
        <v>93</v>
      </c>
      <c r="G1985" s="101" t="s">
        <v>138</v>
      </c>
    </row>
    <row r="1986" spans="1:7" hidden="1">
      <c r="A1986" s="36" t="s">
        <v>2166</v>
      </c>
      <c r="B1986" s="36" t="s">
        <v>826</v>
      </c>
      <c r="C1986" s="36" t="str">
        <f>_xlfn.CONCAT(Table4[[#This Row],[Ledger Name]],Table4[[#This Row],[Entity Name]])</f>
        <v>ARGT/LOC/2025/0187Arha General Trading Co (AGT)</v>
      </c>
      <c r="D1986" s="36" t="s">
        <v>936</v>
      </c>
      <c r="E1986" s="36" t="s">
        <v>152</v>
      </c>
      <c r="F1986" s="49" t="s">
        <v>93</v>
      </c>
      <c r="G1986" s="101" t="s">
        <v>138</v>
      </c>
    </row>
    <row r="1987" spans="1:7" hidden="1">
      <c r="A1987" s="36" t="s">
        <v>2167</v>
      </c>
      <c r="B1987" s="36" t="s">
        <v>826</v>
      </c>
      <c r="C1987" s="36" t="str">
        <f>_xlfn.CONCAT(Table4[[#This Row],[Ledger Name]],Table4[[#This Row],[Entity Name]])</f>
        <v>ARGT/LOC/2025/0193Arha General Trading Co (AGT)</v>
      </c>
      <c r="D1987" s="36" t="s">
        <v>936</v>
      </c>
      <c r="E1987" s="36" t="s">
        <v>152</v>
      </c>
      <c r="F1987" s="49" t="s">
        <v>93</v>
      </c>
      <c r="G1987" s="101" t="s">
        <v>138</v>
      </c>
    </row>
    <row r="1988" spans="1:7" hidden="1">
      <c r="A1988" s="36" t="s">
        <v>2168</v>
      </c>
      <c r="B1988" s="36" t="s">
        <v>826</v>
      </c>
      <c r="C1988" s="36" t="str">
        <f>_xlfn.CONCAT(Table4[[#This Row],[Ledger Name]],Table4[[#This Row],[Entity Name]])</f>
        <v>ARGT/LOC/2025/0199Arha General Trading Co (AGT)</v>
      </c>
      <c r="D1988" s="36" t="s">
        <v>936</v>
      </c>
      <c r="E1988" s="36" t="s">
        <v>152</v>
      </c>
      <c r="F1988" s="49" t="s">
        <v>93</v>
      </c>
      <c r="G1988" s="101" t="s">
        <v>138</v>
      </c>
    </row>
    <row r="1989" spans="1:7" hidden="1">
      <c r="A1989" s="36" t="s">
        <v>2169</v>
      </c>
      <c r="B1989" s="36" t="s">
        <v>826</v>
      </c>
      <c r="C1989" s="36" t="str">
        <f>_xlfn.CONCAT(Table4[[#This Row],[Ledger Name]],Table4[[#This Row],[Entity Name]])</f>
        <v>ARGT/LOC/2025/0277Arha General Trading Co (AGT)</v>
      </c>
      <c r="D1989" s="36" t="s">
        <v>936</v>
      </c>
      <c r="E1989" s="36" t="s">
        <v>152</v>
      </c>
      <c r="F1989" s="49" t="s">
        <v>93</v>
      </c>
      <c r="G1989" s="101" t="s">
        <v>138</v>
      </c>
    </row>
    <row r="1990" spans="1:7" hidden="1">
      <c r="A1990" s="36" t="s">
        <v>2170</v>
      </c>
      <c r="B1990" s="36" t="s">
        <v>826</v>
      </c>
      <c r="C1990" s="36" t="str">
        <f>_xlfn.CONCAT(Table4[[#This Row],[Ledger Name]],Table4[[#This Row],[Entity Name]])</f>
        <v>ARGT/LOC/2025/148Arha General Trading Co (AGT)</v>
      </c>
      <c r="D1990" s="36" t="s">
        <v>936</v>
      </c>
      <c r="E1990" s="36" t="s">
        <v>152</v>
      </c>
      <c r="F1990" s="49" t="s">
        <v>93</v>
      </c>
      <c r="G1990" s="101" t="s">
        <v>138</v>
      </c>
    </row>
    <row r="1991" spans="1:7" hidden="1">
      <c r="A1991" s="36" t="s">
        <v>2171</v>
      </c>
      <c r="B1991" s="36" t="s">
        <v>826</v>
      </c>
      <c r="C1991" s="36" t="str">
        <f>_xlfn.CONCAT(Table4[[#This Row],[Ledger Name]],Table4[[#This Row],[Entity Name]])</f>
        <v>Employee WelfareArha General Trading Co (AGT)</v>
      </c>
      <c r="D1991" s="36" t="s">
        <v>936</v>
      </c>
      <c r="E1991" s="49" t="s">
        <v>152</v>
      </c>
      <c r="F1991" s="49" t="s">
        <v>2</v>
      </c>
      <c r="G1991" s="101" t="s">
        <v>32</v>
      </c>
    </row>
    <row r="1992" spans="1:7" hidden="1">
      <c r="A1992" s="36" t="s">
        <v>2172</v>
      </c>
      <c r="B1992" s="36" t="s">
        <v>826</v>
      </c>
      <c r="C1992" s="36" t="str">
        <f>_xlfn.CONCAT(Table4[[#This Row],[Ledger Name]],Table4[[#This Row],[Entity Name]])</f>
        <v>EXP-0067A-24-25Arha General Trading Co (AGT)</v>
      </c>
      <c r="D1992" s="36" t="s">
        <v>936</v>
      </c>
      <c r="E1992" s="36" t="s">
        <v>152</v>
      </c>
      <c r="F1992" s="49" t="s">
        <v>93</v>
      </c>
      <c r="G1992" s="101" t="s">
        <v>138</v>
      </c>
    </row>
    <row r="1993" spans="1:7" hidden="1">
      <c r="A1993" s="36" t="s">
        <v>2173</v>
      </c>
      <c r="B1993" s="36" t="s">
        <v>826</v>
      </c>
      <c r="C1993" s="36" t="str">
        <f>_xlfn.CONCAT(Table4[[#This Row],[Ledger Name]],Table4[[#This Row],[Entity Name]])</f>
        <v>Interest in Vehicle LoanArha General Trading Co (AGT)</v>
      </c>
      <c r="D1993" s="36" t="s">
        <v>936</v>
      </c>
      <c r="E1993" s="36" t="s">
        <v>152</v>
      </c>
      <c r="F1993" s="36" t="s">
        <v>315</v>
      </c>
      <c r="G1993" s="36" t="s">
        <v>2188</v>
      </c>
    </row>
    <row r="1994" spans="1:7" hidden="1">
      <c r="A1994" s="36" t="s">
        <v>2174</v>
      </c>
      <c r="B1994" s="36" t="s">
        <v>826</v>
      </c>
      <c r="C1994" s="36" t="str">
        <f>_xlfn.CONCAT(Table4[[#This Row],[Ledger Name]],Table4[[#This Row],[Entity Name]])</f>
        <v>Inventory WriteoffArha General Trading Co (AGT)</v>
      </c>
      <c r="D1994" s="36" t="s">
        <v>936</v>
      </c>
      <c r="E1994" s="36" t="s">
        <v>152</v>
      </c>
      <c r="F1994" s="49" t="s">
        <v>93</v>
      </c>
      <c r="G1994" s="101" t="s">
        <v>138</v>
      </c>
    </row>
    <row r="1995" spans="1:7" hidden="1">
      <c r="A1995" s="36" t="s">
        <v>2175</v>
      </c>
      <c r="B1995" s="36" t="s">
        <v>826</v>
      </c>
      <c r="C1995" s="36" t="str">
        <f>_xlfn.CONCAT(Table4[[#This Row],[Ledger Name]],Table4[[#This Row],[Entity Name]])</f>
        <v>Local ExpensesArha General Trading Co (AGT)</v>
      </c>
      <c r="D1995" s="36" t="s">
        <v>936</v>
      </c>
      <c r="E1995" s="36" t="s">
        <v>152</v>
      </c>
      <c r="F1995" s="49" t="s">
        <v>93</v>
      </c>
      <c r="G1995" s="101" t="s">
        <v>13</v>
      </c>
    </row>
    <row r="1996" spans="1:7" hidden="1">
      <c r="A1996" s="36" t="s">
        <v>2176</v>
      </c>
      <c r="B1996" s="36" t="s">
        <v>826</v>
      </c>
      <c r="C1996" s="36" t="str">
        <f>_xlfn.CONCAT(Table4[[#This Row],[Ledger Name]],Table4[[#This Row],[Entity Name]])</f>
        <v>MT/50107Arha General Trading Co (AGT)</v>
      </c>
      <c r="D1996" s="36" t="s">
        <v>936</v>
      </c>
      <c r="E1996" s="36" t="s">
        <v>152</v>
      </c>
      <c r="F1996" s="49" t="s">
        <v>93</v>
      </c>
      <c r="G1996" s="101" t="s">
        <v>138</v>
      </c>
    </row>
    <row r="1997" spans="1:7" hidden="1">
      <c r="A1997" s="36" t="s">
        <v>2177</v>
      </c>
      <c r="B1997" s="36" t="s">
        <v>826</v>
      </c>
      <c r="C1997" s="36" t="str">
        <f>_xlfn.CONCAT(Table4[[#This Row],[Ledger Name]],Table4[[#This Row],[Entity Name]])</f>
        <v>MT/50108Arha General Trading Co (AGT)</v>
      </c>
      <c r="D1997" s="36" t="s">
        <v>936</v>
      </c>
      <c r="E1997" s="36" t="s">
        <v>152</v>
      </c>
      <c r="F1997" s="49" t="s">
        <v>93</v>
      </c>
      <c r="G1997" s="101" t="s">
        <v>138</v>
      </c>
    </row>
    <row r="1998" spans="1:7" hidden="1">
      <c r="A1998" s="36" t="s">
        <v>823</v>
      </c>
      <c r="B1998" s="36" t="s">
        <v>826</v>
      </c>
      <c r="C1998" s="36" t="str">
        <f>_xlfn.CONCAT(Table4[[#This Row],[Ledger Name]],Table4[[#This Row],[Entity Name]])</f>
        <v>Office SuppliesArha General Trading Co (AGT)</v>
      </c>
      <c r="D1998" s="36" t="s">
        <v>936</v>
      </c>
      <c r="E1998" s="49" t="s">
        <v>152</v>
      </c>
      <c r="F1998" s="49" t="s">
        <v>5</v>
      </c>
      <c r="G1998" s="101" t="s">
        <v>13</v>
      </c>
    </row>
    <row r="1999" spans="1:7" hidden="1">
      <c r="A1999" s="36" t="s">
        <v>2178</v>
      </c>
      <c r="B1999" s="36" t="s">
        <v>826</v>
      </c>
      <c r="C1999" s="36" t="str">
        <f>_xlfn.CONCAT(Table4[[#This Row],[Ledger Name]],Table4[[#This Row],[Entity Name]])</f>
        <v>Repair and Maintenance ChgArha General Trading Co (AGT)</v>
      </c>
      <c r="D1999" s="36" t="s">
        <v>936</v>
      </c>
      <c r="E1999" s="49" t="s">
        <v>152</v>
      </c>
      <c r="F1999" s="49" t="s">
        <v>5</v>
      </c>
      <c r="G1999" s="101" t="s">
        <v>13</v>
      </c>
    </row>
    <row r="2000" spans="1:7" hidden="1">
      <c r="A2000" s="36" t="s">
        <v>2179</v>
      </c>
      <c r="B2000" s="36" t="s">
        <v>826</v>
      </c>
      <c r="C2000" s="36" t="str">
        <f>_xlfn.CONCAT(Table4[[#This Row],[Ledger Name]],Table4[[#This Row],[Entity Name]])</f>
        <v>RIC-0082Arha General Trading Co (AGT)</v>
      </c>
      <c r="D2000" s="36" t="s">
        <v>936</v>
      </c>
      <c r="E2000" s="36" t="s">
        <v>152</v>
      </c>
      <c r="F2000" s="49" t="s">
        <v>93</v>
      </c>
      <c r="G2000" s="101" t="s">
        <v>138</v>
      </c>
    </row>
    <row r="2001" spans="1:7" hidden="1">
      <c r="A2001" s="36" t="s">
        <v>2180</v>
      </c>
      <c r="B2001" s="36" t="s">
        <v>826</v>
      </c>
      <c r="C2001" s="36" t="str">
        <f>_xlfn.CONCAT(Table4[[#This Row],[Ledger Name]],Table4[[#This Row],[Entity Name]])</f>
        <v>RIC-0283Arha General Trading Co (AGT)</v>
      </c>
      <c r="D2001" s="36" t="s">
        <v>936</v>
      </c>
      <c r="E2001" s="36" t="s">
        <v>152</v>
      </c>
      <c r="F2001" s="49" t="s">
        <v>93</v>
      </c>
      <c r="G2001" s="101" t="s">
        <v>138</v>
      </c>
    </row>
    <row r="2002" spans="1:7" hidden="1">
      <c r="A2002" s="36" t="s">
        <v>2181</v>
      </c>
      <c r="B2002" s="36" t="s">
        <v>826</v>
      </c>
      <c r="C2002" s="36" t="str">
        <f>_xlfn.CONCAT(Table4[[#This Row],[Ledger Name]],Table4[[#This Row],[Entity Name]])</f>
        <v>RIC-0288Arha General Trading Co (AGT)</v>
      </c>
      <c r="D2002" s="36" t="s">
        <v>936</v>
      </c>
      <c r="E2002" s="36" t="s">
        <v>152</v>
      </c>
      <c r="F2002" s="49" t="s">
        <v>93</v>
      </c>
      <c r="G2002" s="101" t="s">
        <v>138</v>
      </c>
    </row>
    <row r="2003" spans="1:7" hidden="1">
      <c r="A2003" s="36" t="s">
        <v>2182</v>
      </c>
      <c r="B2003" s="36" t="s">
        <v>826</v>
      </c>
      <c r="C2003" s="36" t="str">
        <f>_xlfn.CONCAT(Table4[[#This Row],[Ledger Name]],Table4[[#This Row],[Entity Name]])</f>
        <v>SM/4/25-26Arha General Trading Co (AGT)</v>
      </c>
      <c r="D2003" s="36" t="s">
        <v>936</v>
      </c>
      <c r="E2003" s="36" t="s">
        <v>152</v>
      </c>
      <c r="F2003" s="49" t="s">
        <v>93</v>
      </c>
      <c r="G2003" s="101" t="s">
        <v>138</v>
      </c>
    </row>
    <row r="2004" spans="1:7" hidden="1">
      <c r="A2004" s="36" t="s">
        <v>2183</v>
      </c>
      <c r="B2004" s="36" t="s">
        <v>826</v>
      </c>
      <c r="C2004" s="36" t="str">
        <f>_xlfn.CONCAT(Table4[[#This Row],[Ledger Name]],Table4[[#This Row],[Entity Name]])</f>
        <v>staff walfare expArha General Trading Co (AGT)</v>
      </c>
      <c r="D2004" s="36" t="s">
        <v>936</v>
      </c>
      <c r="E2004" s="36" t="s">
        <v>152</v>
      </c>
      <c r="F2004" s="49" t="s">
        <v>2</v>
      </c>
      <c r="G2004" s="101" t="s">
        <v>32</v>
      </c>
    </row>
    <row r="2005" spans="1:7" hidden="1">
      <c r="A2005" s="36" t="s">
        <v>1400</v>
      </c>
      <c r="B2005" s="36" t="s">
        <v>826</v>
      </c>
      <c r="C2005" s="36" t="str">
        <f>_xlfn.CONCAT(Table4[[#This Row],[Ledger Name]],Table4[[#This Row],[Entity Name]])</f>
        <v>TAEXP2425045Arha General Trading Co (AGT)</v>
      </c>
      <c r="D2005" s="36" t="s">
        <v>936</v>
      </c>
      <c r="E2005" s="36" t="s">
        <v>152</v>
      </c>
      <c r="F2005" s="49" t="s">
        <v>93</v>
      </c>
      <c r="G2005" s="101" t="s">
        <v>138</v>
      </c>
    </row>
    <row r="2006" spans="1:7" hidden="1">
      <c r="A2006" s="36" t="s">
        <v>2054</v>
      </c>
      <c r="B2006" s="36" t="s">
        <v>826</v>
      </c>
      <c r="C2006" s="36" t="str">
        <f>_xlfn.CONCAT(Table4[[#This Row],[Ledger Name]],Table4[[#This Row],[Entity Name]])</f>
        <v>TAEXP252632Arha General Trading Co (AGT)</v>
      </c>
      <c r="D2006" s="36" t="s">
        <v>936</v>
      </c>
      <c r="E2006" s="36" t="s">
        <v>152</v>
      </c>
      <c r="F2006" s="49" t="s">
        <v>93</v>
      </c>
      <c r="G2006" s="101" t="s">
        <v>138</v>
      </c>
    </row>
    <row r="2007" spans="1:7" hidden="1">
      <c r="A2007" s="36" t="s">
        <v>2057</v>
      </c>
      <c r="B2007" s="36" t="s">
        <v>826</v>
      </c>
      <c r="C2007" s="36" t="str">
        <f>_xlfn.CONCAT(Table4[[#This Row],[Ledger Name]],Table4[[#This Row],[Entity Name]])</f>
        <v>TAEXP252635Arha General Trading Co (AGT)</v>
      </c>
      <c r="D2007" s="36" t="s">
        <v>936</v>
      </c>
      <c r="E2007" s="36" t="s">
        <v>152</v>
      </c>
      <c r="F2007" s="49" t="s">
        <v>93</v>
      </c>
      <c r="G2007" s="101" t="s">
        <v>138</v>
      </c>
    </row>
    <row r="2008" spans="1:7" hidden="1">
      <c r="A2008" s="36" t="s">
        <v>2058</v>
      </c>
      <c r="B2008" s="36" t="s">
        <v>826</v>
      </c>
      <c r="C2008" s="36" t="str">
        <f>_xlfn.CONCAT(Table4[[#This Row],[Ledger Name]],Table4[[#This Row],[Entity Name]])</f>
        <v>TAEXP252636Arha General Trading Co (AGT)</v>
      </c>
      <c r="D2008" s="36" t="s">
        <v>936</v>
      </c>
      <c r="E2008" s="36" t="s">
        <v>152</v>
      </c>
      <c r="F2008" s="49" t="s">
        <v>93</v>
      </c>
      <c r="G2008" s="101" t="s">
        <v>138</v>
      </c>
    </row>
    <row r="2009" spans="1:7" hidden="1">
      <c r="A2009" s="36" t="s">
        <v>2059</v>
      </c>
      <c r="B2009" s="36" t="s">
        <v>826</v>
      </c>
      <c r="C2009" s="36" t="str">
        <f>_xlfn.CONCAT(Table4[[#This Row],[Ledger Name]],Table4[[#This Row],[Entity Name]])</f>
        <v>TAEXP252637Arha General Trading Co (AGT)</v>
      </c>
      <c r="D2009" s="36" t="s">
        <v>936</v>
      </c>
      <c r="E2009" s="36" t="s">
        <v>152</v>
      </c>
      <c r="F2009" s="49" t="s">
        <v>93</v>
      </c>
      <c r="G2009" s="101" t="s">
        <v>138</v>
      </c>
    </row>
    <row r="2010" spans="1:7" hidden="1">
      <c r="A2010" s="36" t="s">
        <v>2061</v>
      </c>
      <c r="B2010" s="36" t="s">
        <v>826</v>
      </c>
      <c r="C2010" s="36" t="str">
        <f>_xlfn.CONCAT(Table4[[#This Row],[Ledger Name]],Table4[[#This Row],[Entity Name]])</f>
        <v>TAEXP252639Arha General Trading Co (AGT)</v>
      </c>
      <c r="D2010" s="36" t="s">
        <v>936</v>
      </c>
      <c r="E2010" s="36" t="s">
        <v>152</v>
      </c>
      <c r="F2010" s="49" t="s">
        <v>93</v>
      </c>
      <c r="G2010" s="101" t="s">
        <v>138</v>
      </c>
    </row>
    <row r="2011" spans="1:7" hidden="1">
      <c r="A2011" s="36" t="s">
        <v>2065</v>
      </c>
      <c r="B2011" s="36" t="s">
        <v>826</v>
      </c>
      <c r="C2011" s="36" t="str">
        <f>_xlfn.CONCAT(Table4[[#This Row],[Ledger Name]],Table4[[#This Row],[Entity Name]])</f>
        <v>TAEXP252643Arha General Trading Co (AGT)</v>
      </c>
      <c r="D2011" s="36" t="s">
        <v>936</v>
      </c>
      <c r="E2011" s="36" t="s">
        <v>152</v>
      </c>
      <c r="F2011" s="49" t="s">
        <v>93</v>
      </c>
      <c r="G2011" s="101" t="s">
        <v>138</v>
      </c>
    </row>
    <row r="2012" spans="1:7" hidden="1">
      <c r="A2012" s="36" t="s">
        <v>2184</v>
      </c>
      <c r="B2012" s="36" t="s">
        <v>826</v>
      </c>
      <c r="C2012" s="36" t="str">
        <f>_xlfn.CONCAT(Table4[[#This Row],[Ledger Name]],Table4[[#This Row],[Entity Name]])</f>
        <v>Vehicle LoanArha General Trading Co (AGT)</v>
      </c>
      <c r="D2012" s="36" t="s">
        <v>936</v>
      </c>
      <c r="E2012" s="36" t="s">
        <v>746</v>
      </c>
      <c r="F2012" s="36" t="s">
        <v>2184</v>
      </c>
      <c r="G2012" s="36" t="s">
        <v>2184</v>
      </c>
    </row>
    <row r="2013" spans="1:7" hidden="1">
      <c r="A2013" s="36" t="s">
        <v>2185</v>
      </c>
      <c r="B2013" s="36" t="s">
        <v>826</v>
      </c>
      <c r="C2013" s="36" t="str">
        <f>_xlfn.CONCAT(Table4[[#This Row],[Ledger Name]],Table4[[#This Row],[Entity Name]])</f>
        <v>Vehicle loan processing chargesArha General Trading Co (AGT)</v>
      </c>
      <c r="D2013" s="36" t="s">
        <v>936</v>
      </c>
      <c r="E2013" s="49" t="s">
        <v>152</v>
      </c>
      <c r="F2013" s="49" t="s">
        <v>5</v>
      </c>
      <c r="G2013" s="101" t="s">
        <v>13</v>
      </c>
    </row>
    <row r="2014" spans="1:7" hidden="1">
      <c r="A2014" s="36" t="s">
        <v>2186</v>
      </c>
      <c r="B2014" s="36" t="s">
        <v>826</v>
      </c>
      <c r="C2014" s="36" t="str">
        <f>_xlfn.CONCAT(Table4[[#This Row],[Ledger Name]],Table4[[#This Row],[Entity Name]])</f>
        <v>Warehouse Pest Control ChargesArha General Trading Co (AGT)</v>
      </c>
      <c r="D2014" s="36" t="s">
        <v>936</v>
      </c>
      <c r="E2014" s="49" t="s">
        <v>152</v>
      </c>
      <c r="F2014" s="49" t="s">
        <v>5</v>
      </c>
      <c r="G2014" s="101" t="s">
        <v>13</v>
      </c>
    </row>
    <row r="2015" spans="1:7" hidden="1">
      <c r="A2015" s="189" t="s">
        <v>2191</v>
      </c>
      <c r="B2015" s="36" t="s">
        <v>314</v>
      </c>
      <c r="C2015" s="36" t="str">
        <f>_xlfn.CONCAT(Table4[[#This Row],[Ledger Name]],Table4[[#This Row],[Entity Name]])</f>
        <v>Advance salary to AshayExpora</v>
      </c>
      <c r="D2015" s="36" t="s">
        <v>936</v>
      </c>
      <c r="E2015" s="49" t="s">
        <v>746</v>
      </c>
      <c r="F2015" s="49" t="s">
        <v>52</v>
      </c>
      <c r="G2015" s="24" t="s">
        <v>1608</v>
      </c>
    </row>
    <row r="2016" spans="1:7" hidden="1">
      <c r="A2016" s="189" t="s">
        <v>1951</v>
      </c>
      <c r="B2016" s="36" t="s">
        <v>314</v>
      </c>
      <c r="C2016" s="36" t="str">
        <f>_xlfn.CONCAT(Table4[[#This Row],[Ledger Name]],Table4[[#This Row],[Entity Name]])</f>
        <v>Commission &amp; BrokerageExpora</v>
      </c>
      <c r="D2016" s="36" t="s">
        <v>936</v>
      </c>
      <c r="E2016" s="49" t="s">
        <v>152</v>
      </c>
      <c r="F2016" s="49" t="s">
        <v>93</v>
      </c>
      <c r="G2016" s="101" t="s">
        <v>600</v>
      </c>
    </row>
    <row r="2017" spans="1:7" hidden="1">
      <c r="A2017" s="36" t="s">
        <v>1756</v>
      </c>
      <c r="B2017" s="36" t="s">
        <v>826</v>
      </c>
      <c r="C2017" s="36" t="str">
        <f>_xlfn.CONCAT(Table4[[#This Row],[Ledger Name]],Table4[[#This Row],[Entity Name]])</f>
        <v>ARGT/LOC/2025/010Arha General Trading Co (AGT)</v>
      </c>
      <c r="D2017" s="36" t="s">
        <v>936</v>
      </c>
      <c r="E2017" s="36" t="s">
        <v>152</v>
      </c>
      <c r="F2017" s="49" t="s">
        <v>93</v>
      </c>
      <c r="G2017" s="36" t="s">
        <v>138</v>
      </c>
    </row>
    <row r="2018" spans="1:7" hidden="1">
      <c r="A2018" s="36" t="s">
        <v>2197</v>
      </c>
      <c r="B2018" s="36" t="s">
        <v>826</v>
      </c>
      <c r="C2018" s="36" t="str">
        <f>_xlfn.CONCAT(Table4[[#This Row],[Ledger Name]],Table4[[#This Row],[Entity Name]])</f>
        <v>ARGT/LOC/2025/0114Arha General Trading Co (AGT)</v>
      </c>
      <c r="D2018" s="36" t="s">
        <v>936</v>
      </c>
      <c r="E2018" s="36" t="s">
        <v>152</v>
      </c>
      <c r="F2018" s="49" t="s">
        <v>93</v>
      </c>
      <c r="G2018" s="36" t="s">
        <v>138</v>
      </c>
    </row>
    <row r="2019" spans="1:7" hidden="1">
      <c r="A2019" s="36" t="s">
        <v>2198</v>
      </c>
      <c r="B2019" s="36" t="s">
        <v>826</v>
      </c>
      <c r="C2019" s="36" t="str">
        <f>_xlfn.CONCAT(Table4[[#This Row],[Ledger Name]],Table4[[#This Row],[Entity Name]])</f>
        <v>ARGT/LOC/2025/0117Arha General Trading Co (AGT)</v>
      </c>
      <c r="D2019" s="36" t="s">
        <v>936</v>
      </c>
      <c r="E2019" s="36" t="s">
        <v>152</v>
      </c>
      <c r="F2019" s="49" t="s">
        <v>93</v>
      </c>
      <c r="G2019" s="36" t="s">
        <v>138</v>
      </c>
    </row>
    <row r="2020" spans="1:7" hidden="1">
      <c r="A2020" s="36" t="s">
        <v>1757</v>
      </c>
      <c r="B2020" s="36" t="s">
        <v>826</v>
      </c>
      <c r="C2020" s="36" t="str">
        <f>_xlfn.CONCAT(Table4[[#This Row],[Ledger Name]],Table4[[#This Row],[Entity Name]])</f>
        <v>ARGT/LOC/2025/012AArha General Trading Co (AGT)</v>
      </c>
      <c r="D2020" s="36" t="s">
        <v>936</v>
      </c>
      <c r="E2020" s="36" t="s">
        <v>152</v>
      </c>
      <c r="F2020" s="49" t="s">
        <v>93</v>
      </c>
      <c r="G2020" s="36" t="s">
        <v>138</v>
      </c>
    </row>
    <row r="2021" spans="1:7" hidden="1">
      <c r="A2021" s="36" t="s">
        <v>2199</v>
      </c>
      <c r="B2021" s="36" t="s">
        <v>826</v>
      </c>
      <c r="C2021" s="36" t="str">
        <f>_xlfn.CONCAT(Table4[[#This Row],[Ledger Name]],Table4[[#This Row],[Entity Name]])</f>
        <v>ARGT/LOC/2025/0181Arha General Trading Co (AGT)</v>
      </c>
      <c r="D2021" s="36" t="s">
        <v>936</v>
      </c>
      <c r="E2021" s="36" t="s">
        <v>152</v>
      </c>
      <c r="F2021" s="49" t="s">
        <v>93</v>
      </c>
      <c r="G2021" s="36" t="s">
        <v>138</v>
      </c>
    </row>
    <row r="2022" spans="1:7" hidden="1">
      <c r="A2022" s="36" t="s">
        <v>2200</v>
      </c>
      <c r="B2022" s="36" t="s">
        <v>826</v>
      </c>
      <c r="C2022" s="36" t="str">
        <f>_xlfn.CONCAT(Table4[[#This Row],[Ledger Name]],Table4[[#This Row],[Entity Name]])</f>
        <v>ARGT/LOC/2025/0183Arha General Trading Co (AGT)</v>
      </c>
      <c r="D2022" s="36" t="s">
        <v>936</v>
      </c>
      <c r="E2022" s="36" t="s">
        <v>152</v>
      </c>
      <c r="F2022" s="49" t="s">
        <v>93</v>
      </c>
      <c r="G2022" s="36" t="s">
        <v>138</v>
      </c>
    </row>
    <row r="2023" spans="1:7" hidden="1">
      <c r="A2023" s="36" t="s">
        <v>2201</v>
      </c>
      <c r="B2023" s="36" t="s">
        <v>826</v>
      </c>
      <c r="C2023" s="36" t="str">
        <f>_xlfn.CONCAT(Table4[[#This Row],[Ledger Name]],Table4[[#This Row],[Entity Name]])</f>
        <v>ARGT/LOC/2025/0200Arha General Trading Co (AGT)</v>
      </c>
      <c r="D2023" s="36" t="s">
        <v>936</v>
      </c>
      <c r="E2023" s="36" t="s">
        <v>152</v>
      </c>
      <c r="F2023" s="49" t="s">
        <v>93</v>
      </c>
      <c r="G2023" s="36" t="s">
        <v>138</v>
      </c>
    </row>
    <row r="2024" spans="1:7" hidden="1">
      <c r="A2024" s="36" t="s">
        <v>2203</v>
      </c>
      <c r="B2024" s="36" t="s">
        <v>826</v>
      </c>
      <c r="C2024" s="36" t="str">
        <f>_xlfn.CONCAT(Table4[[#This Row],[Ledger Name]],Table4[[#This Row],[Entity Name]])</f>
        <v>ARGT/LOC/2025/0216Arha General Trading Co (AGT)</v>
      </c>
      <c r="D2024" s="36" t="s">
        <v>936</v>
      </c>
      <c r="E2024" s="36" t="s">
        <v>152</v>
      </c>
      <c r="F2024" s="49" t="s">
        <v>93</v>
      </c>
      <c r="G2024" s="36" t="s">
        <v>138</v>
      </c>
    </row>
    <row r="2025" spans="1:7" hidden="1">
      <c r="A2025" s="36" t="s">
        <v>2204</v>
      </c>
      <c r="B2025" s="36" t="s">
        <v>826</v>
      </c>
      <c r="C2025" s="36" t="str">
        <f>_xlfn.CONCAT(Table4[[#This Row],[Ledger Name]],Table4[[#This Row],[Entity Name]])</f>
        <v>ARGT/LOC/2025/0217Arha General Trading Co (AGT)</v>
      </c>
      <c r="D2025" s="36" t="s">
        <v>936</v>
      </c>
      <c r="E2025" s="36" t="s">
        <v>152</v>
      </c>
      <c r="F2025" s="49" t="s">
        <v>93</v>
      </c>
      <c r="G2025" s="36" t="s">
        <v>138</v>
      </c>
    </row>
    <row r="2026" spans="1:7" hidden="1">
      <c r="A2026" s="36" t="s">
        <v>2205</v>
      </c>
      <c r="B2026" s="36" t="s">
        <v>826</v>
      </c>
      <c r="C2026" s="36" t="str">
        <f>_xlfn.CONCAT(Table4[[#This Row],[Ledger Name]],Table4[[#This Row],[Entity Name]])</f>
        <v>ARGT/LOC/2025/0221Arha General Trading Co (AGT)</v>
      </c>
      <c r="D2026" s="36" t="s">
        <v>936</v>
      </c>
      <c r="E2026" s="36" t="s">
        <v>152</v>
      </c>
      <c r="F2026" s="49" t="s">
        <v>93</v>
      </c>
      <c r="G2026" s="36" t="s">
        <v>138</v>
      </c>
    </row>
    <row r="2027" spans="1:7" hidden="1">
      <c r="A2027" s="36" t="s">
        <v>2207</v>
      </c>
      <c r="B2027" s="36" t="s">
        <v>826</v>
      </c>
      <c r="C2027" s="36" t="str">
        <f>_xlfn.CONCAT(Table4[[#This Row],[Ledger Name]],Table4[[#This Row],[Entity Name]])</f>
        <v>ARGT/LOC/2025/0226Arha General Trading Co (AGT)</v>
      </c>
      <c r="D2027" s="36" t="s">
        <v>936</v>
      </c>
      <c r="E2027" s="36" t="s">
        <v>152</v>
      </c>
      <c r="F2027" s="49" t="s">
        <v>93</v>
      </c>
      <c r="G2027" s="36" t="s">
        <v>138</v>
      </c>
    </row>
    <row r="2028" spans="1:7" hidden="1">
      <c r="A2028" s="36" t="s">
        <v>2206</v>
      </c>
      <c r="B2028" s="36" t="s">
        <v>826</v>
      </c>
      <c r="C2028" s="36" t="str">
        <f>_xlfn.CONCAT(Table4[[#This Row],[Ledger Name]],Table4[[#This Row],[Entity Name]])</f>
        <v>ARGT/LOC/2025/0231Arha General Trading Co (AGT)</v>
      </c>
      <c r="D2028" s="36" t="s">
        <v>936</v>
      </c>
      <c r="E2028" s="36" t="s">
        <v>152</v>
      </c>
      <c r="F2028" s="49" t="s">
        <v>93</v>
      </c>
      <c r="G2028" s="36" t="s">
        <v>138</v>
      </c>
    </row>
    <row r="2029" spans="1:7" hidden="1">
      <c r="A2029" s="36" t="s">
        <v>2208</v>
      </c>
      <c r="B2029" s="36" t="s">
        <v>826</v>
      </c>
      <c r="C2029" s="36" t="str">
        <f>_xlfn.CONCAT(Table4[[#This Row],[Ledger Name]],Table4[[#This Row],[Entity Name]])</f>
        <v>ARGT/LOC/2025/0233Arha General Trading Co (AGT)</v>
      </c>
      <c r="D2029" s="36" t="s">
        <v>936</v>
      </c>
      <c r="E2029" s="36" t="s">
        <v>152</v>
      </c>
      <c r="F2029" s="49" t="s">
        <v>93</v>
      </c>
      <c r="G2029" s="36" t="s">
        <v>138</v>
      </c>
    </row>
    <row r="2030" spans="1:7" hidden="1">
      <c r="A2030" s="36" t="s">
        <v>2209</v>
      </c>
      <c r="B2030" s="36" t="s">
        <v>826</v>
      </c>
      <c r="C2030" s="36" t="str">
        <f>_xlfn.CONCAT(Table4[[#This Row],[Ledger Name]],Table4[[#This Row],[Entity Name]])</f>
        <v>ARGT/LOC/2025/0253Arha General Trading Co (AGT)</v>
      </c>
      <c r="D2030" s="36" t="s">
        <v>936</v>
      </c>
      <c r="E2030" s="36" t="s">
        <v>152</v>
      </c>
      <c r="F2030" s="49" t="s">
        <v>93</v>
      </c>
      <c r="G2030" s="36" t="s">
        <v>138</v>
      </c>
    </row>
    <row r="2031" spans="1:7" hidden="1">
      <c r="A2031" s="36" t="s">
        <v>2210</v>
      </c>
      <c r="B2031" s="36" t="s">
        <v>826</v>
      </c>
      <c r="C2031" s="36" t="str">
        <f>_xlfn.CONCAT(Table4[[#This Row],[Ledger Name]],Table4[[#This Row],[Entity Name]])</f>
        <v>ARGT/LOC/2025/0293Arha General Trading Co (AGT)</v>
      </c>
      <c r="D2031" s="36" t="s">
        <v>936</v>
      </c>
      <c r="E2031" s="36" t="s">
        <v>152</v>
      </c>
      <c r="F2031" s="49" t="s">
        <v>93</v>
      </c>
      <c r="G2031" s="36" t="s">
        <v>138</v>
      </c>
    </row>
    <row r="2032" spans="1:7" hidden="1">
      <c r="A2032" s="36" t="s">
        <v>2193</v>
      </c>
      <c r="B2032" s="36" t="s">
        <v>826</v>
      </c>
      <c r="C2032" s="36" t="str">
        <f>_xlfn.CONCAT(Table4[[#This Row],[Ledger Name]],Table4[[#This Row],[Entity Name]])</f>
        <v>ARGT/LOC/2025/053Arha General Trading Co (AGT)</v>
      </c>
      <c r="D2032" s="36" t="s">
        <v>936</v>
      </c>
      <c r="E2032" s="36" t="s">
        <v>152</v>
      </c>
      <c r="F2032" s="49" t="s">
        <v>93</v>
      </c>
      <c r="G2032" s="36" t="s">
        <v>138</v>
      </c>
    </row>
    <row r="2033" spans="1:7" hidden="1">
      <c r="A2033" s="36" t="s">
        <v>2194</v>
      </c>
      <c r="B2033" s="36" t="s">
        <v>826</v>
      </c>
      <c r="C2033" s="36" t="str">
        <f>_xlfn.CONCAT(Table4[[#This Row],[Ledger Name]],Table4[[#This Row],[Entity Name]])</f>
        <v>ARGT/LOC/2025/075Arha General Trading Co (AGT)</v>
      </c>
      <c r="D2033" s="36" t="s">
        <v>936</v>
      </c>
      <c r="E2033" s="36" t="s">
        <v>152</v>
      </c>
      <c r="F2033" s="49" t="s">
        <v>93</v>
      </c>
      <c r="G2033" s="36" t="s">
        <v>138</v>
      </c>
    </row>
    <row r="2034" spans="1:7" hidden="1">
      <c r="A2034" s="36" t="s">
        <v>2195</v>
      </c>
      <c r="B2034" s="36" t="s">
        <v>826</v>
      </c>
      <c r="C2034" s="36" t="str">
        <f>_xlfn.CONCAT(Table4[[#This Row],[Ledger Name]],Table4[[#This Row],[Entity Name]])</f>
        <v>ARGT/LOC/2025/083Arha General Trading Co (AGT)</v>
      </c>
      <c r="D2034" s="36" t="s">
        <v>936</v>
      </c>
      <c r="E2034" s="36" t="s">
        <v>152</v>
      </c>
      <c r="F2034" s="49" t="s">
        <v>93</v>
      </c>
      <c r="G2034" s="36" t="s">
        <v>138</v>
      </c>
    </row>
    <row r="2035" spans="1:7" hidden="1">
      <c r="A2035" s="36" t="s">
        <v>2196</v>
      </c>
      <c r="B2035" s="36" t="s">
        <v>826</v>
      </c>
      <c r="C2035" s="36" t="str">
        <f>_xlfn.CONCAT(Table4[[#This Row],[Ledger Name]],Table4[[#This Row],[Entity Name]])</f>
        <v>ARGT/LOC/2025/093Arha General Trading Co (AGT)</v>
      </c>
      <c r="D2035" s="36" t="s">
        <v>936</v>
      </c>
      <c r="E2035" s="36" t="s">
        <v>152</v>
      </c>
      <c r="F2035" s="49" t="s">
        <v>93</v>
      </c>
      <c r="G2035" s="36" t="s">
        <v>138</v>
      </c>
    </row>
    <row r="2036" spans="1:7" hidden="1">
      <c r="A2036" s="36" t="s">
        <v>2212</v>
      </c>
      <c r="B2036" s="36" t="s">
        <v>826</v>
      </c>
      <c r="C2036" s="36" t="str">
        <f>_xlfn.CONCAT(Table4[[#This Row],[Ledger Name]],Table4[[#This Row],[Entity Name]])</f>
        <v>ARGT/LOC/2025/305Arha General Trading Co (AGT)</v>
      </c>
      <c r="D2036" s="36" t="s">
        <v>936</v>
      </c>
      <c r="E2036" s="36" t="s">
        <v>152</v>
      </c>
      <c r="F2036" s="49" t="s">
        <v>93</v>
      </c>
      <c r="G2036" s="36" t="s">
        <v>138</v>
      </c>
    </row>
    <row r="2037" spans="1:7" hidden="1">
      <c r="A2037" s="36" t="s">
        <v>2213</v>
      </c>
      <c r="B2037" s="36" t="s">
        <v>826</v>
      </c>
      <c r="C2037" s="36" t="str">
        <f>_xlfn.CONCAT(Table4[[#This Row],[Ledger Name]],Table4[[#This Row],[Entity Name]])</f>
        <v>Onion Powder Write offArha General Trading Co (AGT)</v>
      </c>
      <c r="D2037" s="36" t="s">
        <v>936</v>
      </c>
      <c r="E2037" s="36" t="s">
        <v>152</v>
      </c>
      <c r="F2037" s="49" t="s">
        <v>93</v>
      </c>
      <c r="G2037" s="36" t="s">
        <v>138</v>
      </c>
    </row>
    <row r="2038" spans="1:7" hidden="1">
      <c r="A2038" s="36" t="s">
        <v>2214</v>
      </c>
      <c r="B2038" s="36" t="s">
        <v>826</v>
      </c>
      <c r="C2038" s="36" t="str">
        <f>_xlfn.CONCAT(Table4[[#This Row],[Ledger Name]],Table4[[#This Row],[Entity Name]])</f>
        <v>Sample StockArha General Trading Co (AGT)</v>
      </c>
      <c r="D2038" s="36" t="s">
        <v>936</v>
      </c>
      <c r="E2038" s="36" t="s">
        <v>152</v>
      </c>
      <c r="F2038" s="49" t="s">
        <v>93</v>
      </c>
      <c r="G2038" s="36" t="s">
        <v>138</v>
      </c>
    </row>
    <row r="2039" spans="1:7" hidden="1">
      <c r="A2039" s="189" t="s">
        <v>2227</v>
      </c>
      <c r="B2039" s="36" t="s">
        <v>314</v>
      </c>
      <c r="C2039" s="36" t="str">
        <f>_xlfn.CONCAT(Table4[[#This Row],[Ledger Name]],Table4[[#This Row],[Entity Name]])</f>
        <v>BA-634Expora</v>
      </c>
      <c r="D2039" s="36" t="s">
        <v>936</v>
      </c>
      <c r="E2039" s="36" t="s">
        <v>152</v>
      </c>
      <c r="F2039" s="49" t="s">
        <v>93</v>
      </c>
      <c r="G2039" s="36" t="s">
        <v>138</v>
      </c>
    </row>
    <row r="2040" spans="1:7" hidden="1">
      <c r="A2040" s="189" t="s">
        <v>2228</v>
      </c>
      <c r="B2040" s="36" t="s">
        <v>314</v>
      </c>
      <c r="C2040" s="36" t="str">
        <f>_xlfn.CONCAT(Table4[[#This Row],[Ledger Name]],Table4[[#This Row],[Entity Name]])</f>
        <v>BA-770Expora</v>
      </c>
      <c r="D2040" s="36" t="s">
        <v>936</v>
      </c>
      <c r="E2040" s="36" t="s">
        <v>152</v>
      </c>
      <c r="F2040" s="49" t="s">
        <v>93</v>
      </c>
      <c r="G2040" s="36" t="s">
        <v>138</v>
      </c>
    </row>
    <row r="2041" spans="1:7" hidden="1">
      <c r="A2041" s="189" t="s">
        <v>2192</v>
      </c>
      <c r="B2041" s="36" t="s">
        <v>314</v>
      </c>
      <c r="C2041" s="36" t="str">
        <f>_xlfn.CONCAT(Table4[[#This Row],[Ledger Name]],Table4[[#This Row],[Entity Name]])</f>
        <v>TALOC25260063Expora</v>
      </c>
      <c r="D2041" s="36" t="s">
        <v>936</v>
      </c>
      <c r="E2041" s="36" t="s">
        <v>152</v>
      </c>
      <c r="F2041" s="49" t="s">
        <v>93</v>
      </c>
      <c r="G2041" s="36" t="s">
        <v>138</v>
      </c>
    </row>
    <row r="2042" spans="1:7" hidden="1">
      <c r="A2042" s="36" t="s">
        <v>2230</v>
      </c>
      <c r="B2042" s="36" t="s">
        <v>826</v>
      </c>
      <c r="C2042" s="36" t="str">
        <f>_xlfn.CONCAT(Table4[[#This Row],[Ledger Name]],Table4[[#This Row],[Entity Name]])</f>
        <v>AL ANSARI EXCHANGE LLC-AccountArha General Trading Co (AGT)</v>
      </c>
      <c r="D2042" s="36" t="s">
        <v>936</v>
      </c>
      <c r="E2042" s="49" t="s">
        <v>746</v>
      </c>
      <c r="F2042" s="49" t="s">
        <v>24</v>
      </c>
      <c r="G2042" s="24" t="s">
        <v>1613</v>
      </c>
    </row>
    <row r="2043" spans="1:7" hidden="1">
      <c r="A2043" s="36" t="s">
        <v>2231</v>
      </c>
      <c r="B2043" s="36" t="s">
        <v>826</v>
      </c>
      <c r="C2043" s="36" t="str">
        <f>_xlfn.CONCAT(Table4[[#This Row],[Ledger Name]],Table4[[#This Row],[Entity Name]])</f>
        <v>AL BAHR AL ASWAD ADV GIFTS TR LLCArha General Trading Co (AGT)</v>
      </c>
      <c r="D2043" s="36" t="s">
        <v>936</v>
      </c>
      <c r="E2043" s="49" t="s">
        <v>746</v>
      </c>
      <c r="F2043" s="49" t="s">
        <v>52</v>
      </c>
      <c r="G2043" s="24" t="s">
        <v>1605</v>
      </c>
    </row>
    <row r="2044" spans="1:7" hidden="1">
      <c r="A2044" s="36" t="s">
        <v>2232</v>
      </c>
      <c r="B2044" s="36" t="s">
        <v>826</v>
      </c>
      <c r="C2044" s="36" t="str">
        <f>_xlfn.CONCAT(Table4[[#This Row],[Ledger Name]],Table4[[#This Row],[Entity Name]])</f>
        <v>Ismail ShahArha General Trading Co (AGT)</v>
      </c>
      <c r="D2044" s="36" t="s">
        <v>936</v>
      </c>
      <c r="E2044" s="49" t="s">
        <v>746</v>
      </c>
      <c r="F2044" s="49" t="s">
        <v>52</v>
      </c>
      <c r="G2044" s="24" t="s">
        <v>1605</v>
      </c>
    </row>
    <row r="2045" spans="1:7" hidden="1">
      <c r="A2045" s="36" t="s">
        <v>2233</v>
      </c>
      <c r="B2045" s="36" t="s">
        <v>826</v>
      </c>
      <c r="C2045" s="36" t="str">
        <f>_xlfn.CONCAT(Table4[[#This Row],[Ledger Name]],Table4[[#This Row],[Entity Name]])</f>
        <v>Mohammad Hussain ( Visa )Arha General Trading Co (AGT)</v>
      </c>
      <c r="D2045" s="36" t="s">
        <v>936</v>
      </c>
      <c r="E2045" s="49" t="s">
        <v>746</v>
      </c>
      <c r="F2045" s="49" t="s">
        <v>52</v>
      </c>
      <c r="G2045" s="24" t="s">
        <v>1605</v>
      </c>
    </row>
    <row r="2046" spans="1:7" hidden="1">
      <c r="A2046" s="36" t="s">
        <v>2234</v>
      </c>
      <c r="B2046" s="36" t="s">
        <v>826</v>
      </c>
      <c r="C2046" s="36" t="str">
        <f>_xlfn.CONCAT(Table4[[#This Row],[Ledger Name]],Table4[[#This Row],[Entity Name]])</f>
        <v>Prepaid Rates &amp; TaxesArha General Trading Co (AGT)</v>
      </c>
      <c r="D2046" s="36" t="s">
        <v>936</v>
      </c>
      <c r="E2046" s="49" t="s">
        <v>746</v>
      </c>
      <c r="F2046" s="49" t="s">
        <v>52</v>
      </c>
      <c r="G2046" s="24" t="s">
        <v>1605</v>
      </c>
    </row>
    <row r="2047" spans="1:7" hidden="1">
      <c r="A2047" s="36" t="s">
        <v>2235</v>
      </c>
      <c r="B2047" s="36" t="s">
        <v>826</v>
      </c>
      <c r="C2047" s="36" t="str">
        <f>_xlfn.CONCAT(Table4[[#This Row],[Ledger Name]],Table4[[#This Row],[Entity Name]])</f>
        <v>Prepaid Vat PaymentArha General Trading Co (AGT)</v>
      </c>
      <c r="D2047" s="36" t="s">
        <v>936</v>
      </c>
      <c r="E2047" s="49" t="s">
        <v>746</v>
      </c>
      <c r="F2047" s="49" t="s">
        <v>52</v>
      </c>
      <c r="G2047" s="24" t="s">
        <v>1605</v>
      </c>
    </row>
    <row r="2048" spans="1:7" hidden="1">
      <c r="A2048" s="36" t="s">
        <v>2236</v>
      </c>
      <c r="B2048" s="36" t="s">
        <v>826</v>
      </c>
      <c r="C2048" s="36" t="str">
        <f>_xlfn.CONCAT(Table4[[#This Row],[Ledger Name]],Table4[[#This Row],[Entity Name]])</f>
        <v>corporate taxArha General Trading Co (AGT)</v>
      </c>
      <c r="D2048" s="36" t="s">
        <v>936</v>
      </c>
      <c r="E2048" s="49" t="s">
        <v>746</v>
      </c>
      <c r="F2048" s="49" t="s">
        <v>195</v>
      </c>
      <c r="G2048" s="101" t="s">
        <v>195</v>
      </c>
    </row>
    <row r="2049" spans="1:7" hidden="1">
      <c r="A2049" s="36" t="s">
        <v>712</v>
      </c>
      <c r="B2049" s="36" t="s">
        <v>826</v>
      </c>
      <c r="C2049" s="36" t="str">
        <f>_xlfn.CONCAT(Table4[[#This Row],[Ledger Name]],Table4[[#This Row],[Entity Name]])</f>
        <v>DiscountArha General Trading Co (AGT)</v>
      </c>
      <c r="D2049" s="36" t="s">
        <v>936</v>
      </c>
      <c r="E2049" s="49" t="s">
        <v>152</v>
      </c>
      <c r="F2049" s="49" t="s">
        <v>1</v>
      </c>
      <c r="G2049" s="101" t="s">
        <v>235</v>
      </c>
    </row>
    <row r="2050" spans="1:7" hidden="1">
      <c r="A2050" s="36" t="s">
        <v>2202</v>
      </c>
      <c r="B2050" s="36" t="s">
        <v>826</v>
      </c>
      <c r="C2050" s="36" t="str">
        <f>_xlfn.CONCAT(Table4[[#This Row],[Ledger Name]],Table4[[#This Row],[Entity Name]])</f>
        <v>ARGT/LOC/2025/0206Arha General Trading Co (AGT)</v>
      </c>
      <c r="D2050" s="36" t="s">
        <v>936</v>
      </c>
      <c r="E2050" s="36" t="s">
        <v>152</v>
      </c>
      <c r="F2050" s="49" t="s">
        <v>93</v>
      </c>
      <c r="G2050" s="36" t="s">
        <v>138</v>
      </c>
    </row>
    <row r="2051" spans="1:7" hidden="1">
      <c r="A2051" s="36" t="s">
        <v>2211</v>
      </c>
      <c r="B2051" s="36" t="s">
        <v>826</v>
      </c>
      <c r="C2051" s="36" t="str">
        <f>_xlfn.CONCAT(Table4[[#This Row],[Ledger Name]],Table4[[#This Row],[Entity Name]])</f>
        <v>ARGT/LOC/2025/0295Arha General Trading Co (AGT)</v>
      </c>
      <c r="D2051" s="36" t="s">
        <v>936</v>
      </c>
      <c r="E2051" s="36" t="s">
        <v>152</v>
      </c>
      <c r="F2051" s="49" t="s">
        <v>93</v>
      </c>
      <c r="G2051" s="36" t="s">
        <v>138</v>
      </c>
    </row>
    <row r="2052" spans="1:7" hidden="1">
      <c r="A2052" s="36" t="s">
        <v>2237</v>
      </c>
      <c r="B2052" s="36" t="s">
        <v>826</v>
      </c>
      <c r="C2052" s="36" t="str">
        <f>_xlfn.CONCAT(Table4[[#This Row],[Ledger Name]],Table4[[#This Row],[Entity Name]])</f>
        <v>ARGT/LOC/2025/353Arha General Trading Co (AGT)</v>
      </c>
      <c r="D2052" s="36" t="s">
        <v>936</v>
      </c>
      <c r="E2052" s="36" t="s">
        <v>152</v>
      </c>
      <c r="F2052" s="49" t="s">
        <v>93</v>
      </c>
      <c r="G2052" s="36" t="s">
        <v>138</v>
      </c>
    </row>
    <row r="2053" spans="1:7" hidden="1">
      <c r="A2053" s="36" t="s">
        <v>2238</v>
      </c>
      <c r="B2053" s="36" t="s">
        <v>826</v>
      </c>
      <c r="C2053" s="36" t="str">
        <f>_xlfn.CONCAT(Table4[[#This Row],[Ledger Name]],Table4[[#This Row],[Entity Name]])</f>
        <v>ARGT/LOC/2025/368Arha General Trading Co (AGT)</v>
      </c>
      <c r="D2053" s="36" t="s">
        <v>936</v>
      </c>
      <c r="E2053" s="36" t="s">
        <v>152</v>
      </c>
      <c r="F2053" s="49" t="s">
        <v>93</v>
      </c>
      <c r="G2053" s="36" t="s">
        <v>138</v>
      </c>
    </row>
    <row r="2054" spans="1:7" hidden="1">
      <c r="A2054" s="36" t="s">
        <v>2239</v>
      </c>
      <c r="B2054" s="36" t="s">
        <v>826</v>
      </c>
      <c r="C2054" s="36" t="str">
        <f>_xlfn.CONCAT(Table4[[#This Row],[Ledger Name]],Table4[[#This Row],[Entity Name]])</f>
        <v>ARGT/LOC/2025/388BArha General Trading Co (AGT)</v>
      </c>
      <c r="D2054" s="36" t="s">
        <v>936</v>
      </c>
      <c r="E2054" s="36" t="s">
        <v>152</v>
      </c>
      <c r="F2054" s="49" t="s">
        <v>93</v>
      </c>
      <c r="G2054" s="36" t="s">
        <v>138</v>
      </c>
    </row>
    <row r="2055" spans="1:7" hidden="1">
      <c r="A2055" s="36" t="s">
        <v>2240</v>
      </c>
      <c r="B2055" s="36" t="s">
        <v>826</v>
      </c>
      <c r="C2055" s="36" t="str">
        <f>_xlfn.CONCAT(Table4[[#This Row],[Ledger Name]],Table4[[#This Row],[Entity Name]])</f>
        <v>ARGT/LOC/2025/414Arha General Trading Co (AGT)</v>
      </c>
      <c r="D2055" s="36" t="s">
        <v>936</v>
      </c>
      <c r="E2055" s="36" t="s">
        <v>152</v>
      </c>
      <c r="F2055" s="49" t="s">
        <v>93</v>
      </c>
      <c r="G2055" s="36" t="s">
        <v>138</v>
      </c>
    </row>
    <row r="2056" spans="1:7" hidden="1">
      <c r="A2056" s="36" t="s">
        <v>2241</v>
      </c>
      <c r="B2056" s="36" t="s">
        <v>826</v>
      </c>
      <c r="C2056" s="36" t="str">
        <f>_xlfn.CONCAT(Table4[[#This Row],[Ledger Name]],Table4[[#This Row],[Entity Name]])</f>
        <v>ARGT/LOC/2025/419AArha General Trading Co (AGT)</v>
      </c>
      <c r="D2056" s="36" t="s">
        <v>936</v>
      </c>
      <c r="E2056" s="36" t="s">
        <v>152</v>
      </c>
      <c r="F2056" s="49" t="s">
        <v>93</v>
      </c>
      <c r="G2056" s="36" t="s">
        <v>138</v>
      </c>
    </row>
    <row r="2057" spans="1:7" hidden="1">
      <c r="A2057" s="36" t="s">
        <v>2242</v>
      </c>
      <c r="B2057" s="36" t="s">
        <v>826</v>
      </c>
      <c r="C2057" s="36" t="str">
        <f>_xlfn.CONCAT(Table4[[#This Row],[Ledger Name]],Table4[[#This Row],[Entity Name]])</f>
        <v>ARGT/LOC/2025/549Arha General Trading Co (AGT)</v>
      </c>
      <c r="D2057" s="36" t="s">
        <v>936</v>
      </c>
      <c r="E2057" s="36" t="s">
        <v>152</v>
      </c>
      <c r="F2057" s="49" t="s">
        <v>93</v>
      </c>
      <c r="G2057" s="36" t="s">
        <v>138</v>
      </c>
    </row>
    <row r="2058" spans="1:7" hidden="1">
      <c r="A2058" s="36" t="s">
        <v>2243</v>
      </c>
      <c r="B2058" s="36" t="s">
        <v>826</v>
      </c>
      <c r="C2058" s="36" t="str">
        <f>_xlfn.CONCAT(Table4[[#This Row],[Ledger Name]],Table4[[#This Row],[Entity Name]])</f>
        <v>ARGT/LOC/2025/550Arha General Trading Co (AGT)</v>
      </c>
      <c r="D2058" s="36" t="s">
        <v>936</v>
      </c>
      <c r="E2058" s="36" t="s">
        <v>152</v>
      </c>
      <c r="F2058" s="49" t="s">
        <v>93</v>
      </c>
      <c r="G2058" s="36" t="s">
        <v>138</v>
      </c>
    </row>
    <row r="2059" spans="1:7" hidden="1">
      <c r="A2059" s="36" t="s">
        <v>2244</v>
      </c>
      <c r="B2059" s="36" t="s">
        <v>826</v>
      </c>
      <c r="C2059" s="36" t="str">
        <f>_xlfn.CONCAT(Table4[[#This Row],[Ledger Name]],Table4[[#This Row],[Entity Name]])</f>
        <v>CONVEYANCE EXPArha General Trading Co (AGT)</v>
      </c>
      <c r="D2059" s="36" t="s">
        <v>936</v>
      </c>
      <c r="E2059" s="49" t="s">
        <v>152</v>
      </c>
      <c r="F2059" s="49" t="s">
        <v>8</v>
      </c>
      <c r="G2059" s="101" t="s">
        <v>160</v>
      </c>
    </row>
    <row r="2060" spans="1:7" hidden="1">
      <c r="A2060" s="36" t="s">
        <v>2245</v>
      </c>
      <c r="B2060" s="36" t="s">
        <v>826</v>
      </c>
      <c r="C2060" s="36" t="str">
        <f>_xlfn.CONCAT(Table4[[#This Row],[Ledger Name]],Table4[[#This Row],[Entity Name]])</f>
        <v>Warehouse InsuranceArha General Trading Co (AGT)</v>
      </c>
      <c r="D2060" s="36" t="s">
        <v>936</v>
      </c>
      <c r="E2060" s="49" t="s">
        <v>152</v>
      </c>
      <c r="F2060" s="49" t="s">
        <v>5</v>
      </c>
      <c r="G2060" s="101" t="s">
        <v>132</v>
      </c>
    </row>
    <row r="2061" spans="1:7" hidden="1">
      <c r="A2061" s="36" t="s">
        <v>2247</v>
      </c>
      <c r="B2061" s="36" t="s">
        <v>314</v>
      </c>
      <c r="C2061" s="36" t="str">
        <f>_xlfn.CONCAT(Table4[[#This Row],[Ledger Name]],Table4[[#This Row],[Entity Name]])</f>
        <v>NOKIA 105 DS-CHARCOAL(2023)Expora</v>
      </c>
      <c r="D2061" s="36" t="s">
        <v>936</v>
      </c>
      <c r="E2061" s="49" t="s">
        <v>746</v>
      </c>
      <c r="F2061" s="49" t="s">
        <v>346</v>
      </c>
      <c r="G2061" s="182" t="s">
        <v>346</v>
      </c>
    </row>
    <row r="2062" spans="1:7" hidden="1">
      <c r="A2062" s="36" t="s">
        <v>126</v>
      </c>
      <c r="B2062" s="36" t="s">
        <v>314</v>
      </c>
      <c r="C2062" s="36" t="str">
        <f>_xlfn.CONCAT(Table4[[#This Row],[Ledger Name]],Table4[[#This Row],[Entity Name]])</f>
        <v>Office EquipmentExpora</v>
      </c>
      <c r="D2062" s="36" t="s">
        <v>936</v>
      </c>
      <c r="E2062" s="49" t="s">
        <v>746</v>
      </c>
      <c r="F2062" s="49" t="s">
        <v>346</v>
      </c>
      <c r="G2062" s="182" t="s">
        <v>346</v>
      </c>
    </row>
    <row r="2063" spans="1:7" hidden="1">
      <c r="A2063" s="36" t="s">
        <v>779</v>
      </c>
      <c r="B2063" s="36" t="s">
        <v>314</v>
      </c>
      <c r="C2063" s="36" t="str">
        <f>_xlfn.CONCAT(Table4[[#This Row],[Ledger Name]],Table4[[#This Row],[Entity Name]])</f>
        <v>WAREHOUSING FINANCEExpora</v>
      </c>
      <c r="D2063" s="36" t="s">
        <v>936</v>
      </c>
      <c r="E2063" s="49" t="s">
        <v>152</v>
      </c>
      <c r="F2063" s="49" t="s">
        <v>315</v>
      </c>
      <c r="G2063" s="101" t="s">
        <v>282</v>
      </c>
    </row>
    <row r="2064" spans="1:7" hidden="1">
      <c r="A2064" s="36" t="s">
        <v>2248</v>
      </c>
      <c r="B2064" s="36" t="s">
        <v>314</v>
      </c>
      <c r="C2064" s="36" t="str">
        <f>_xlfn.CONCAT(Table4[[#This Row],[Ledger Name]],Table4[[#This Row],[Entity Name]])</f>
        <v>D14313673/924080007496115Expora</v>
      </c>
      <c r="D2064" s="36" t="s">
        <v>936</v>
      </c>
      <c r="E2064" s="49" t="s">
        <v>746</v>
      </c>
      <c r="F2064" s="49" t="s">
        <v>345</v>
      </c>
      <c r="G2064" s="101" t="s">
        <v>278</v>
      </c>
    </row>
    <row r="2065" spans="1:7" hidden="1">
      <c r="A2065" s="36" t="s">
        <v>2249</v>
      </c>
      <c r="B2065" s="36" t="s">
        <v>314</v>
      </c>
      <c r="C2065" s="36" t="str">
        <f>_xlfn.CONCAT(Table4[[#This Row],[Ledger Name]],Table4[[#This Row],[Entity Name]])</f>
        <v>F02PCFC253145001Expora</v>
      </c>
      <c r="D2065" s="36" t="s">
        <v>936</v>
      </c>
      <c r="E2065" s="49" t="s">
        <v>746</v>
      </c>
      <c r="F2065" s="49" t="s">
        <v>345</v>
      </c>
      <c r="G2065" s="101" t="s">
        <v>278</v>
      </c>
    </row>
    <row r="2066" spans="1:7" hidden="1">
      <c r="A2066" s="36" t="s">
        <v>2250</v>
      </c>
      <c r="B2066" s="36" t="s">
        <v>314</v>
      </c>
      <c r="C2066" s="36" t="str">
        <f>_xlfn.CONCAT(Table4[[#This Row],[Ledger Name]],Table4[[#This Row],[Entity Name]])</f>
        <v>F02PCFC260225002Expora</v>
      </c>
      <c r="D2066" s="36" t="s">
        <v>936</v>
      </c>
      <c r="E2066" s="49" t="s">
        <v>746</v>
      </c>
      <c r="F2066" s="49" t="s">
        <v>345</v>
      </c>
      <c r="G2066" s="101" t="s">
        <v>278</v>
      </c>
    </row>
    <row r="2067" spans="1:7" hidden="1">
      <c r="A2067" s="36" t="s">
        <v>2251</v>
      </c>
      <c r="B2067" s="36" t="s">
        <v>314</v>
      </c>
      <c r="C2067" s="36" t="str">
        <f>_xlfn.CONCAT(Table4[[#This Row],[Ledger Name]],Table4[[#This Row],[Entity Name]])</f>
        <v>PC:D14298893Expora</v>
      </c>
      <c r="D2067" s="36" t="s">
        <v>936</v>
      </c>
      <c r="E2067" s="49" t="s">
        <v>746</v>
      </c>
      <c r="F2067" s="49" t="s">
        <v>345</v>
      </c>
      <c r="G2067" s="101" t="s">
        <v>278</v>
      </c>
    </row>
    <row r="2068" spans="1:7" hidden="1">
      <c r="A2068" s="36" t="s">
        <v>2252</v>
      </c>
      <c r="B2068" s="36" t="s">
        <v>314</v>
      </c>
      <c r="C2068" s="36" t="str">
        <f>_xlfn.CONCAT(Table4[[#This Row],[Ledger Name]],Table4[[#This Row],[Entity Name]])</f>
        <v>TALOC25260094 DISExpora</v>
      </c>
      <c r="D2068" s="36" t="s">
        <v>936</v>
      </c>
      <c r="E2068" s="49" t="s">
        <v>152</v>
      </c>
      <c r="F2068" s="49" t="s">
        <v>1</v>
      </c>
      <c r="G2068" s="101" t="s">
        <v>235</v>
      </c>
    </row>
    <row r="2069" spans="1:7" hidden="1">
      <c r="A2069" s="36" t="s">
        <v>2253</v>
      </c>
      <c r="B2069" s="36" t="s">
        <v>314</v>
      </c>
      <c r="C2069" s="36" t="str">
        <f>_xlfn.CONCAT(Table4[[#This Row],[Ledger Name]],Table4[[#This Row],[Entity Name]])</f>
        <v>TALOC25260099 DISExpora</v>
      </c>
      <c r="D2069" s="36" t="s">
        <v>936</v>
      </c>
      <c r="E2069" s="49" t="s">
        <v>152</v>
      </c>
      <c r="F2069" s="49" t="s">
        <v>1</v>
      </c>
      <c r="G2069" s="101" t="s">
        <v>235</v>
      </c>
    </row>
    <row r="2070" spans="1:7" hidden="1">
      <c r="A2070" s="36" t="s">
        <v>2254</v>
      </c>
      <c r="B2070" s="36" t="s">
        <v>314</v>
      </c>
      <c r="C2070" s="36" t="str">
        <f>_xlfn.CONCAT(Table4[[#This Row],[Ledger Name]],Table4[[#This Row],[Entity Name]])</f>
        <v>TALOC25260100 DISExpora</v>
      </c>
      <c r="D2070" s="36" t="s">
        <v>936</v>
      </c>
      <c r="E2070" s="49" t="s">
        <v>152</v>
      </c>
      <c r="F2070" s="49" t="s">
        <v>1</v>
      </c>
      <c r="G2070" s="101" t="s">
        <v>235</v>
      </c>
    </row>
    <row r="2071" spans="1:7" hidden="1">
      <c r="A2071" s="36" t="s">
        <v>2255</v>
      </c>
      <c r="B2071" s="36" t="s">
        <v>314</v>
      </c>
      <c r="C2071" s="36" t="str">
        <f>_xlfn.CONCAT(Table4[[#This Row],[Ledger Name]],Table4[[#This Row],[Entity Name]])</f>
        <v>TALOC25260101 DISExpora</v>
      </c>
      <c r="D2071" s="36" t="s">
        <v>936</v>
      </c>
      <c r="E2071" s="49" t="s">
        <v>152</v>
      </c>
      <c r="F2071" s="49" t="s">
        <v>1</v>
      </c>
      <c r="G2071" s="101" t="s">
        <v>235</v>
      </c>
    </row>
    <row r="2072" spans="1:7" hidden="1">
      <c r="A2072" s="36" t="s">
        <v>2256</v>
      </c>
      <c r="B2072" s="36" t="s">
        <v>314</v>
      </c>
      <c r="C2072" s="36" t="str">
        <f>_xlfn.CONCAT(Table4[[#This Row],[Ledger Name]],Table4[[#This Row],[Entity Name]])</f>
        <v>TALOC25260102 DISExpora</v>
      </c>
      <c r="D2072" s="36" t="s">
        <v>936</v>
      </c>
      <c r="E2072" s="49" t="s">
        <v>152</v>
      </c>
      <c r="F2072" s="49" t="s">
        <v>1</v>
      </c>
      <c r="G2072" s="101" t="s">
        <v>235</v>
      </c>
    </row>
    <row r="2073" spans="1:7" hidden="1">
      <c r="A2073" s="36" t="s">
        <v>2257</v>
      </c>
      <c r="B2073" s="36" t="s">
        <v>314</v>
      </c>
      <c r="C2073" s="36" t="str">
        <f>_xlfn.CONCAT(Table4[[#This Row],[Ledger Name]],Table4[[#This Row],[Entity Name]])</f>
        <v>TALOC25260104 DISExpora</v>
      </c>
      <c r="D2073" s="36" t="s">
        <v>936</v>
      </c>
      <c r="E2073" s="49" t="s">
        <v>152</v>
      </c>
      <c r="F2073" s="49" t="s">
        <v>1</v>
      </c>
      <c r="G2073" s="101" t="s">
        <v>235</v>
      </c>
    </row>
    <row r="2074" spans="1:7" hidden="1">
      <c r="A2074" s="36" t="s">
        <v>2258</v>
      </c>
      <c r="B2074" s="36" t="s">
        <v>314</v>
      </c>
      <c r="C2074" s="36" t="str">
        <f>_xlfn.CONCAT(Table4[[#This Row],[Ledger Name]],Table4[[#This Row],[Entity Name]])</f>
        <v>TALOC25260107 DISExpora</v>
      </c>
      <c r="D2074" s="36" t="s">
        <v>936</v>
      </c>
      <c r="E2074" s="49" t="s">
        <v>152</v>
      </c>
      <c r="F2074" s="49" t="s">
        <v>1</v>
      </c>
      <c r="G2074" s="101" t="s">
        <v>235</v>
      </c>
    </row>
    <row r="2075" spans="1:7" hidden="1">
      <c r="A2075" s="36" t="s">
        <v>2259</v>
      </c>
      <c r="B2075" s="36" t="s">
        <v>314</v>
      </c>
      <c r="C2075" s="36" t="str">
        <f>_xlfn.CONCAT(Table4[[#This Row],[Ledger Name]],Table4[[#This Row],[Entity Name]])</f>
        <v>TALOC25260109 DISExpora</v>
      </c>
      <c r="D2075" s="36" t="s">
        <v>936</v>
      </c>
      <c r="E2075" s="49" t="s">
        <v>152</v>
      </c>
      <c r="F2075" s="49" t="s">
        <v>1</v>
      </c>
      <c r="G2075" s="101" t="s">
        <v>235</v>
      </c>
    </row>
    <row r="2076" spans="1:7" hidden="1">
      <c r="A2076" s="36" t="s">
        <v>2260</v>
      </c>
      <c r="B2076" s="36" t="s">
        <v>314</v>
      </c>
      <c r="C2076" s="36" t="str">
        <f>_xlfn.CONCAT(Table4[[#This Row],[Ledger Name]],Table4[[#This Row],[Entity Name]])</f>
        <v>TALOC25260112 DISExpora</v>
      </c>
      <c r="D2076" s="36" t="s">
        <v>936</v>
      </c>
      <c r="E2076" s="49" t="s">
        <v>152</v>
      </c>
      <c r="F2076" s="49" t="s">
        <v>1</v>
      </c>
      <c r="G2076" s="101" t="s">
        <v>235</v>
      </c>
    </row>
    <row r="2077" spans="1:7" hidden="1">
      <c r="A2077" s="36" t="s">
        <v>2261</v>
      </c>
      <c r="B2077" s="36" t="s">
        <v>314</v>
      </c>
      <c r="C2077" s="36" t="str">
        <f>_xlfn.CONCAT(Table4[[#This Row],[Ledger Name]],Table4[[#This Row],[Entity Name]])</f>
        <v>SM/2025/1914 DDBExpora</v>
      </c>
      <c r="D2077" s="36" t="s">
        <v>936</v>
      </c>
      <c r="E2077" s="49" t="s">
        <v>152</v>
      </c>
      <c r="F2077" s="49" t="s">
        <v>189</v>
      </c>
      <c r="G2077" s="101" t="s">
        <v>163</v>
      </c>
    </row>
    <row r="2078" spans="1:7" hidden="1">
      <c r="A2078" s="36" t="s">
        <v>2262</v>
      </c>
      <c r="B2078" s="36" t="s">
        <v>314</v>
      </c>
      <c r="C2078" s="36" t="str">
        <f>_xlfn.CONCAT(Table4[[#This Row],[Ledger Name]],Table4[[#This Row],[Entity Name]])</f>
        <v>TAEXP252650 DDBExpora</v>
      </c>
      <c r="D2078" s="36" t="s">
        <v>936</v>
      </c>
      <c r="E2078" s="49" t="s">
        <v>152</v>
      </c>
      <c r="F2078" s="49" t="s">
        <v>189</v>
      </c>
      <c r="G2078" s="101" t="s">
        <v>163</v>
      </c>
    </row>
    <row r="2079" spans="1:7" hidden="1">
      <c r="A2079" s="36" t="s">
        <v>2263</v>
      </c>
      <c r="B2079" s="36" t="s">
        <v>314</v>
      </c>
      <c r="C2079" s="36" t="str">
        <f>_xlfn.CONCAT(Table4[[#This Row],[Ledger Name]],Table4[[#This Row],[Entity Name]])</f>
        <v>TAEXP252656 DDBExpora</v>
      </c>
      <c r="D2079" s="36" t="s">
        <v>936</v>
      </c>
      <c r="E2079" s="49" t="s">
        <v>152</v>
      </c>
      <c r="F2079" s="49" t="s">
        <v>189</v>
      </c>
      <c r="G2079" s="101" t="s">
        <v>163</v>
      </c>
    </row>
    <row r="2080" spans="1:7" hidden="1">
      <c r="A2080" s="36" t="s">
        <v>2264</v>
      </c>
      <c r="B2080" s="36" t="s">
        <v>314</v>
      </c>
      <c r="C2080" s="36" t="str">
        <f>_xlfn.CONCAT(Table4[[#This Row],[Ledger Name]],Table4[[#This Row],[Entity Name]])</f>
        <v>other incomeExpora</v>
      </c>
      <c r="D2080" s="36" t="s">
        <v>936</v>
      </c>
      <c r="E2080" s="49" t="s">
        <v>152</v>
      </c>
      <c r="F2080" s="49" t="s">
        <v>189</v>
      </c>
      <c r="G2080" s="101" t="s">
        <v>235</v>
      </c>
    </row>
    <row r="2081" spans="1:7" hidden="1">
      <c r="A2081" s="36" t="s">
        <v>2265</v>
      </c>
      <c r="B2081" s="36" t="s">
        <v>314</v>
      </c>
      <c r="C2081" s="36" t="str">
        <f>_xlfn.CONCAT(Table4[[#This Row],[Ledger Name]],Table4[[#This Row],[Entity Name]])</f>
        <v>SM/2025/1914 RODTEPExpora</v>
      </c>
      <c r="D2081" s="36" t="s">
        <v>936</v>
      </c>
      <c r="E2081" s="49" t="s">
        <v>152</v>
      </c>
      <c r="F2081" s="49" t="s">
        <v>189</v>
      </c>
      <c r="G2081" s="101" t="s">
        <v>313</v>
      </c>
    </row>
    <row r="2082" spans="1:7" hidden="1">
      <c r="A2082" s="36" t="s">
        <v>2266</v>
      </c>
      <c r="B2082" s="36" t="s">
        <v>314</v>
      </c>
      <c r="C2082" s="36" t="str">
        <f>_xlfn.CONCAT(Table4[[#This Row],[Ledger Name]],Table4[[#This Row],[Entity Name]])</f>
        <v>TAEXP252645 RodtepExpora</v>
      </c>
      <c r="D2082" s="36" t="s">
        <v>936</v>
      </c>
      <c r="E2082" s="49" t="s">
        <v>152</v>
      </c>
      <c r="F2082" s="49" t="s">
        <v>189</v>
      </c>
      <c r="G2082" s="101" t="s">
        <v>313</v>
      </c>
    </row>
    <row r="2083" spans="1:7" hidden="1">
      <c r="A2083" s="36" t="s">
        <v>2267</v>
      </c>
      <c r="B2083" s="36" t="s">
        <v>314</v>
      </c>
      <c r="C2083" s="36" t="str">
        <f>_xlfn.CONCAT(Table4[[#This Row],[Ledger Name]],Table4[[#This Row],[Entity Name]])</f>
        <v>TAEXP252649 RodtepExpora</v>
      </c>
      <c r="D2083" s="36" t="s">
        <v>936</v>
      </c>
      <c r="E2083" s="49" t="s">
        <v>152</v>
      </c>
      <c r="F2083" s="49" t="s">
        <v>189</v>
      </c>
      <c r="G2083" s="101" t="s">
        <v>313</v>
      </c>
    </row>
    <row r="2084" spans="1:7" hidden="1">
      <c r="A2084" s="36" t="s">
        <v>2268</v>
      </c>
      <c r="B2084" s="36" t="s">
        <v>314</v>
      </c>
      <c r="C2084" s="36" t="str">
        <f>_xlfn.CONCAT(Table4[[#This Row],[Ledger Name]],Table4[[#This Row],[Entity Name]])</f>
        <v>TAEXP252650 RodtepExpora</v>
      </c>
      <c r="D2084" s="36" t="s">
        <v>936</v>
      </c>
      <c r="E2084" s="49" t="s">
        <v>152</v>
      </c>
      <c r="F2084" s="49" t="s">
        <v>189</v>
      </c>
      <c r="G2084" s="101" t="s">
        <v>313</v>
      </c>
    </row>
    <row r="2085" spans="1:7" hidden="1">
      <c r="A2085" s="36" t="s">
        <v>2269</v>
      </c>
      <c r="B2085" s="36" t="s">
        <v>314</v>
      </c>
      <c r="C2085" s="36" t="str">
        <f>_xlfn.CONCAT(Table4[[#This Row],[Ledger Name]],Table4[[#This Row],[Entity Name]])</f>
        <v>TAEXP252651 RodtepExpora</v>
      </c>
      <c r="D2085" s="36" t="s">
        <v>936</v>
      </c>
      <c r="E2085" s="49" t="s">
        <v>152</v>
      </c>
      <c r="F2085" s="49" t="s">
        <v>189</v>
      </c>
      <c r="G2085" s="101" t="s">
        <v>313</v>
      </c>
    </row>
    <row r="2086" spans="1:7" hidden="1">
      <c r="A2086" s="36" t="s">
        <v>2270</v>
      </c>
      <c r="B2086" s="36" t="s">
        <v>314</v>
      </c>
      <c r="C2086" s="36" t="str">
        <f>_xlfn.CONCAT(Table4[[#This Row],[Ledger Name]],Table4[[#This Row],[Entity Name]])</f>
        <v>TAEXP252652 RodtepExpora</v>
      </c>
      <c r="D2086" s="36" t="s">
        <v>936</v>
      </c>
      <c r="E2086" s="49" t="s">
        <v>152</v>
      </c>
      <c r="F2086" s="49" t="s">
        <v>189</v>
      </c>
      <c r="G2086" s="101" t="s">
        <v>313</v>
      </c>
    </row>
    <row r="2087" spans="1:7" hidden="1">
      <c r="A2087" s="36" t="s">
        <v>2271</v>
      </c>
      <c r="B2087" s="36" t="s">
        <v>314</v>
      </c>
      <c r="C2087" s="36" t="str">
        <f>_xlfn.CONCAT(Table4[[#This Row],[Ledger Name]],Table4[[#This Row],[Entity Name]])</f>
        <v>TAEXP252653 RodtepExpora</v>
      </c>
      <c r="D2087" s="36" t="s">
        <v>936</v>
      </c>
      <c r="E2087" s="49" t="s">
        <v>152</v>
      </c>
      <c r="F2087" s="49" t="s">
        <v>189</v>
      </c>
      <c r="G2087" s="101" t="s">
        <v>313</v>
      </c>
    </row>
    <row r="2088" spans="1:7" hidden="1">
      <c r="A2088" s="36" t="s">
        <v>2272</v>
      </c>
      <c r="B2088" s="36" t="s">
        <v>314</v>
      </c>
      <c r="C2088" s="36" t="str">
        <f>_xlfn.CONCAT(Table4[[#This Row],[Ledger Name]],Table4[[#This Row],[Entity Name]])</f>
        <v>TAEXP252654 RodtepExpora</v>
      </c>
      <c r="D2088" s="36" t="s">
        <v>936</v>
      </c>
      <c r="E2088" s="49" t="s">
        <v>152</v>
      </c>
      <c r="F2088" s="49" t="s">
        <v>189</v>
      </c>
      <c r="G2088" s="101" t="s">
        <v>313</v>
      </c>
    </row>
    <row r="2089" spans="1:7" hidden="1">
      <c r="A2089" s="36" t="s">
        <v>2273</v>
      </c>
      <c r="B2089" s="36" t="s">
        <v>314</v>
      </c>
      <c r="C2089" s="36" t="str">
        <f>_xlfn.CONCAT(Table4[[#This Row],[Ledger Name]],Table4[[#This Row],[Entity Name]])</f>
        <v>TAEXP252655 RodtepExpora</v>
      </c>
      <c r="D2089" s="36" t="s">
        <v>936</v>
      </c>
      <c r="E2089" s="49" t="s">
        <v>152</v>
      </c>
      <c r="F2089" s="49" t="s">
        <v>189</v>
      </c>
      <c r="G2089" s="101" t="s">
        <v>313</v>
      </c>
    </row>
    <row r="2090" spans="1:7" hidden="1">
      <c r="A2090" s="36" t="s">
        <v>2274</v>
      </c>
      <c r="B2090" s="36" t="s">
        <v>314</v>
      </c>
      <c r="C2090" s="36" t="str">
        <f>_xlfn.CONCAT(Table4[[#This Row],[Ledger Name]],Table4[[#This Row],[Entity Name]])</f>
        <v>TAEXP252656 RodtepExpora</v>
      </c>
      <c r="D2090" s="36" t="s">
        <v>936</v>
      </c>
      <c r="E2090" s="49" t="s">
        <v>152</v>
      </c>
      <c r="F2090" s="49" t="s">
        <v>189</v>
      </c>
      <c r="G2090" s="101" t="s">
        <v>313</v>
      </c>
    </row>
    <row r="2091" spans="1:7" hidden="1">
      <c r="A2091" s="36" t="s">
        <v>2275</v>
      </c>
      <c r="B2091" s="36" t="s">
        <v>314</v>
      </c>
      <c r="C2091" s="36" t="str">
        <f>_xlfn.CONCAT(Table4[[#This Row],[Ledger Name]],Table4[[#This Row],[Entity Name]])</f>
        <v>TAEXP252657 RODTEPExpora</v>
      </c>
      <c r="D2091" s="36" t="s">
        <v>936</v>
      </c>
      <c r="E2091" s="49" t="s">
        <v>152</v>
      </c>
      <c r="F2091" s="49" t="s">
        <v>189</v>
      </c>
      <c r="G2091" s="101" t="s">
        <v>313</v>
      </c>
    </row>
    <row r="2092" spans="1:7" hidden="1">
      <c r="A2092" s="36" t="s">
        <v>2276</v>
      </c>
      <c r="B2092" s="36" t="s">
        <v>314</v>
      </c>
      <c r="C2092" s="36" t="str">
        <f>_xlfn.CONCAT(Table4[[#This Row],[Ledger Name]],Table4[[#This Row],[Entity Name]])</f>
        <v>TAEXP252658 RODTEPExpora</v>
      </c>
      <c r="D2092" s="36" t="s">
        <v>936</v>
      </c>
      <c r="E2092" s="49" t="s">
        <v>152</v>
      </c>
      <c r="F2092" s="49" t="s">
        <v>189</v>
      </c>
      <c r="G2092" s="101" t="s">
        <v>313</v>
      </c>
    </row>
    <row r="2093" spans="1:7" hidden="1">
      <c r="A2093" s="36" t="s">
        <v>2277</v>
      </c>
      <c r="B2093" s="36" t="s">
        <v>314</v>
      </c>
      <c r="C2093" s="36" t="str">
        <f>_xlfn.CONCAT(Table4[[#This Row],[Ledger Name]],Table4[[#This Row],[Entity Name]])</f>
        <v>TAEXP252660 RODTEPExpora</v>
      </c>
      <c r="D2093" s="36" t="s">
        <v>936</v>
      </c>
      <c r="E2093" s="49" t="s">
        <v>152</v>
      </c>
      <c r="F2093" s="49" t="s">
        <v>189</v>
      </c>
      <c r="G2093" s="101" t="s">
        <v>313</v>
      </c>
    </row>
    <row r="2094" spans="1:7" hidden="1">
      <c r="A2094" s="36" t="s">
        <v>2278</v>
      </c>
      <c r="B2094" s="36" t="s">
        <v>314</v>
      </c>
      <c r="C2094" s="36" t="str">
        <f>_xlfn.CONCAT(Table4[[#This Row],[Ledger Name]],Table4[[#This Row],[Entity Name]])</f>
        <v>TAEXP252661 RODTEPExpora</v>
      </c>
      <c r="D2094" s="36" t="s">
        <v>936</v>
      </c>
      <c r="E2094" s="49" t="s">
        <v>152</v>
      </c>
      <c r="F2094" s="49" t="s">
        <v>189</v>
      </c>
      <c r="G2094" s="101" t="s">
        <v>313</v>
      </c>
    </row>
    <row r="2095" spans="1:7" hidden="1">
      <c r="A2095" s="36" t="s">
        <v>2279</v>
      </c>
      <c r="B2095" s="36" t="s">
        <v>314</v>
      </c>
      <c r="C2095" s="36" t="str">
        <f>_xlfn.CONCAT(Table4[[#This Row],[Ledger Name]],Table4[[#This Row],[Entity Name]])</f>
        <v>TAEXP252662 RODTEPExpora</v>
      </c>
      <c r="D2095" s="36" t="s">
        <v>936</v>
      </c>
      <c r="E2095" s="49" t="s">
        <v>152</v>
      </c>
      <c r="F2095" s="49" t="s">
        <v>189</v>
      </c>
      <c r="G2095" s="101" t="s">
        <v>313</v>
      </c>
    </row>
    <row r="2096" spans="1:7" hidden="1">
      <c r="A2096" s="36" t="s">
        <v>2280</v>
      </c>
      <c r="B2096" s="36" t="s">
        <v>314</v>
      </c>
      <c r="C2096" s="36" t="str">
        <f>_xlfn.CONCAT(Table4[[#This Row],[Ledger Name]],Table4[[#This Row],[Entity Name]])</f>
        <v>TAEXP252663 RODTEPExpora</v>
      </c>
      <c r="D2096" s="36" t="s">
        <v>936</v>
      </c>
      <c r="E2096" s="49" t="s">
        <v>152</v>
      </c>
      <c r="F2096" s="49" t="s">
        <v>189</v>
      </c>
      <c r="G2096" s="101" t="s">
        <v>313</v>
      </c>
    </row>
    <row r="2097" spans="1:7" hidden="1">
      <c r="A2097" s="36" t="s">
        <v>2281</v>
      </c>
      <c r="B2097" s="36" t="s">
        <v>314</v>
      </c>
      <c r="C2097" s="36" t="str">
        <f>_xlfn.CONCAT(Table4[[#This Row],[Ledger Name]],Table4[[#This Row],[Entity Name]])</f>
        <v>TAEXP252664 RODTEPExpora</v>
      </c>
      <c r="D2097" s="36" t="s">
        <v>936</v>
      </c>
      <c r="E2097" s="49" t="s">
        <v>152</v>
      </c>
      <c r="F2097" s="49" t="s">
        <v>189</v>
      </c>
      <c r="G2097" s="101" t="s">
        <v>313</v>
      </c>
    </row>
    <row r="2098" spans="1:7" hidden="1">
      <c r="A2098" s="36" t="s">
        <v>2282</v>
      </c>
      <c r="B2098" s="36" t="s">
        <v>314</v>
      </c>
      <c r="C2098" s="36" t="str">
        <f>_xlfn.CONCAT(Table4[[#This Row],[Ledger Name]],Table4[[#This Row],[Entity Name]])</f>
        <v>TAEXP252665 RODTEPExpora</v>
      </c>
      <c r="D2098" s="36" t="s">
        <v>936</v>
      </c>
      <c r="E2098" s="49" t="s">
        <v>152</v>
      </c>
      <c r="F2098" s="49" t="s">
        <v>189</v>
      </c>
      <c r="G2098" s="101" t="s">
        <v>313</v>
      </c>
    </row>
    <row r="2099" spans="1:7" hidden="1">
      <c r="A2099" s="36" t="s">
        <v>2283</v>
      </c>
      <c r="B2099" s="36" t="s">
        <v>314</v>
      </c>
      <c r="C2099" s="36" t="str">
        <f>_xlfn.CONCAT(Table4[[#This Row],[Ledger Name]],Table4[[#This Row],[Entity Name]])</f>
        <v>BA 170, 109, 217, 222,223,233Expora</v>
      </c>
      <c r="D2099" s="36" t="s">
        <v>936</v>
      </c>
      <c r="E2099" s="49" t="s">
        <v>152</v>
      </c>
      <c r="F2099" s="49" t="s">
        <v>93</v>
      </c>
      <c r="G2099" s="101" t="s">
        <v>138</v>
      </c>
    </row>
    <row r="2100" spans="1:7" hidden="1">
      <c r="A2100" s="36" t="s">
        <v>2284</v>
      </c>
      <c r="B2100" s="36" t="s">
        <v>314</v>
      </c>
      <c r="C2100" s="36" t="str">
        <f>_xlfn.CONCAT(Table4[[#This Row],[Ledger Name]],Table4[[#This Row],[Entity Name]])</f>
        <v>BA-563Expora</v>
      </c>
      <c r="D2100" s="36" t="s">
        <v>936</v>
      </c>
      <c r="E2100" s="49" t="s">
        <v>152</v>
      </c>
      <c r="F2100" s="49" t="s">
        <v>93</v>
      </c>
      <c r="G2100" s="101" t="s">
        <v>138</v>
      </c>
    </row>
    <row r="2101" spans="1:7" hidden="1">
      <c r="A2101" s="36" t="s">
        <v>2285</v>
      </c>
      <c r="B2101" s="36" t="s">
        <v>314</v>
      </c>
      <c r="C2101" s="36" t="str">
        <f>_xlfn.CONCAT(Table4[[#This Row],[Ledger Name]],Table4[[#This Row],[Entity Name]])</f>
        <v>BA-580Expora</v>
      </c>
      <c r="D2101" s="36" t="s">
        <v>936</v>
      </c>
      <c r="E2101" s="49" t="s">
        <v>152</v>
      </c>
      <c r="F2101" s="49" t="s">
        <v>93</v>
      </c>
      <c r="G2101" s="101" t="s">
        <v>138</v>
      </c>
    </row>
    <row r="2102" spans="1:7" hidden="1">
      <c r="A2102" s="36" t="s">
        <v>2286</v>
      </c>
      <c r="B2102" s="36" t="s">
        <v>314</v>
      </c>
      <c r="C2102" s="36" t="str">
        <f>_xlfn.CONCAT(Table4[[#This Row],[Ledger Name]],Table4[[#This Row],[Entity Name]])</f>
        <v>BA-912Expora</v>
      </c>
      <c r="D2102" s="36" t="s">
        <v>936</v>
      </c>
      <c r="E2102" s="49" t="s">
        <v>152</v>
      </c>
      <c r="F2102" s="49" t="s">
        <v>93</v>
      </c>
      <c r="G2102" s="101" t="s">
        <v>138</v>
      </c>
    </row>
    <row r="2103" spans="1:7" hidden="1">
      <c r="A2103" s="36" t="s">
        <v>2287</v>
      </c>
      <c r="B2103" s="36" t="s">
        <v>314</v>
      </c>
      <c r="C2103" s="36" t="str">
        <f>_xlfn.CONCAT(Table4[[#This Row],[Ledger Name]],Table4[[#This Row],[Entity Name]])</f>
        <v>BA-915Expora</v>
      </c>
      <c r="D2103" s="36" t="s">
        <v>936</v>
      </c>
      <c r="E2103" s="49" t="s">
        <v>152</v>
      </c>
      <c r="F2103" s="49" t="s">
        <v>93</v>
      </c>
      <c r="G2103" s="101" t="s">
        <v>138</v>
      </c>
    </row>
    <row r="2104" spans="1:7" hidden="1">
      <c r="A2104" s="36" t="s">
        <v>2288</v>
      </c>
      <c r="B2104" s="36" t="s">
        <v>314</v>
      </c>
      <c r="C2104" s="36" t="str">
        <f>_xlfn.CONCAT(Table4[[#This Row],[Ledger Name]],Table4[[#This Row],[Entity Name]])</f>
        <v>BA-920Expora</v>
      </c>
      <c r="D2104" s="36" t="s">
        <v>936</v>
      </c>
      <c r="E2104" s="49" t="s">
        <v>152</v>
      </c>
      <c r="F2104" s="49" t="s">
        <v>93</v>
      </c>
      <c r="G2104" s="101" t="s">
        <v>138</v>
      </c>
    </row>
    <row r="2105" spans="1:7" hidden="1">
      <c r="A2105" s="36" t="s">
        <v>2289</v>
      </c>
      <c r="B2105" s="36" t="s">
        <v>314</v>
      </c>
      <c r="C2105" s="36" t="str">
        <f>_xlfn.CONCAT(Table4[[#This Row],[Ledger Name]],Table4[[#This Row],[Entity Name]])</f>
        <v>BA-935Expora</v>
      </c>
      <c r="D2105" s="36" t="s">
        <v>936</v>
      </c>
      <c r="E2105" s="49" t="s">
        <v>152</v>
      </c>
      <c r="F2105" s="49" t="s">
        <v>93</v>
      </c>
      <c r="G2105" s="101" t="s">
        <v>138</v>
      </c>
    </row>
    <row r="2106" spans="1:7" hidden="1">
      <c r="A2106" s="36" t="s">
        <v>2290</v>
      </c>
      <c r="B2106" s="36" t="s">
        <v>314</v>
      </c>
      <c r="C2106" s="36" t="str">
        <f>_xlfn.CONCAT(Table4[[#This Row],[Ledger Name]],Table4[[#This Row],[Entity Name]])</f>
        <v>SM/2025/1914 INTExpora</v>
      </c>
      <c r="D2106" s="36" t="s">
        <v>936</v>
      </c>
      <c r="E2106" s="49" t="s">
        <v>152</v>
      </c>
      <c r="F2106" s="49" t="s">
        <v>315</v>
      </c>
      <c r="G2106" s="101" t="s">
        <v>282</v>
      </c>
    </row>
    <row r="2107" spans="1:7" hidden="1">
      <c r="A2107" s="36" t="s">
        <v>2291</v>
      </c>
      <c r="B2107" s="36" t="s">
        <v>314</v>
      </c>
      <c r="C2107" s="36" t="str">
        <f>_xlfn.CONCAT(Table4[[#This Row],[Ledger Name]],Table4[[#This Row],[Entity Name]])</f>
        <v>TAEXP-252660 INTExpora</v>
      </c>
      <c r="D2107" s="36" t="s">
        <v>936</v>
      </c>
      <c r="E2107" s="49" t="s">
        <v>152</v>
      </c>
      <c r="F2107" s="49" t="s">
        <v>315</v>
      </c>
      <c r="G2107" s="101" t="s">
        <v>282</v>
      </c>
    </row>
    <row r="2108" spans="1:7" hidden="1">
      <c r="A2108" s="36" t="s">
        <v>2292</v>
      </c>
      <c r="B2108" s="36" t="s">
        <v>314</v>
      </c>
      <c r="C2108" s="36" t="str">
        <f>_xlfn.CONCAT(Table4[[#This Row],[Ledger Name]],Table4[[#This Row],[Entity Name]])</f>
        <v>TAEXP252645 INTExpora</v>
      </c>
      <c r="D2108" s="36" t="s">
        <v>936</v>
      </c>
      <c r="E2108" s="49" t="s">
        <v>152</v>
      </c>
      <c r="F2108" s="49" t="s">
        <v>315</v>
      </c>
      <c r="G2108" s="101" t="s">
        <v>282</v>
      </c>
    </row>
    <row r="2109" spans="1:7" hidden="1">
      <c r="A2109" s="36" t="s">
        <v>2293</v>
      </c>
      <c r="B2109" s="36" t="s">
        <v>314</v>
      </c>
      <c r="C2109" s="36" t="str">
        <f>_xlfn.CONCAT(Table4[[#This Row],[Ledger Name]],Table4[[#This Row],[Entity Name]])</f>
        <v>TAEXP252650 INTExpora</v>
      </c>
      <c r="D2109" s="36" t="s">
        <v>936</v>
      </c>
      <c r="E2109" s="49" t="s">
        <v>152</v>
      </c>
      <c r="F2109" s="49" t="s">
        <v>315</v>
      </c>
      <c r="G2109" s="101" t="s">
        <v>282</v>
      </c>
    </row>
    <row r="2110" spans="1:7" hidden="1">
      <c r="A2110" s="36" t="s">
        <v>2294</v>
      </c>
      <c r="B2110" s="36" t="s">
        <v>314</v>
      </c>
      <c r="C2110" s="36" t="str">
        <f>_xlfn.CONCAT(Table4[[#This Row],[Ledger Name]],Table4[[#This Row],[Entity Name]])</f>
        <v>TAEXP252651 INTExpora</v>
      </c>
      <c r="D2110" s="36" t="s">
        <v>936</v>
      </c>
      <c r="E2110" s="49" t="s">
        <v>152</v>
      </c>
      <c r="F2110" s="49" t="s">
        <v>315</v>
      </c>
      <c r="G2110" s="101" t="s">
        <v>282</v>
      </c>
    </row>
    <row r="2111" spans="1:7" hidden="1">
      <c r="A2111" s="36" t="s">
        <v>2295</v>
      </c>
      <c r="B2111" s="36" t="s">
        <v>314</v>
      </c>
      <c r="C2111" s="36" t="str">
        <f>_xlfn.CONCAT(Table4[[#This Row],[Ledger Name]],Table4[[#This Row],[Entity Name]])</f>
        <v>TAEXP252652 INTExpora</v>
      </c>
      <c r="D2111" s="36" t="s">
        <v>936</v>
      </c>
      <c r="E2111" s="49" t="s">
        <v>152</v>
      </c>
      <c r="F2111" s="49" t="s">
        <v>315</v>
      </c>
      <c r="G2111" s="101" t="s">
        <v>282</v>
      </c>
    </row>
    <row r="2112" spans="1:7" hidden="1">
      <c r="A2112" s="36" t="s">
        <v>2296</v>
      </c>
      <c r="B2112" s="36" t="s">
        <v>314</v>
      </c>
      <c r="C2112" s="36" t="str">
        <f>_xlfn.CONCAT(Table4[[#This Row],[Ledger Name]],Table4[[#This Row],[Entity Name]])</f>
        <v>TAEXP252654 INTExpora</v>
      </c>
      <c r="D2112" s="36" t="s">
        <v>936</v>
      </c>
      <c r="E2112" s="49" t="s">
        <v>152</v>
      </c>
      <c r="F2112" s="49" t="s">
        <v>315</v>
      </c>
      <c r="G2112" s="101" t="s">
        <v>282</v>
      </c>
    </row>
    <row r="2113" spans="1:7" hidden="1">
      <c r="A2113" s="36" t="s">
        <v>2297</v>
      </c>
      <c r="B2113" s="36" t="s">
        <v>314</v>
      </c>
      <c r="C2113" s="36" t="str">
        <f>_xlfn.CONCAT(Table4[[#This Row],[Ledger Name]],Table4[[#This Row],[Entity Name]])</f>
        <v>TAEXP252657 INTExpora</v>
      </c>
      <c r="D2113" s="36" t="s">
        <v>936</v>
      </c>
      <c r="E2113" s="49" t="s">
        <v>152</v>
      </c>
      <c r="F2113" s="49" t="s">
        <v>315</v>
      </c>
      <c r="G2113" s="101" t="s">
        <v>282</v>
      </c>
    </row>
    <row r="2114" spans="1:7" hidden="1">
      <c r="A2114" s="36" t="s">
        <v>2298</v>
      </c>
      <c r="B2114" s="36" t="s">
        <v>314</v>
      </c>
      <c r="C2114" s="36" t="str">
        <f>_xlfn.CONCAT(Table4[[#This Row],[Ledger Name]],Table4[[#This Row],[Entity Name]])</f>
        <v>TAEXP252663 INTExpora</v>
      </c>
      <c r="D2114" s="36" t="s">
        <v>936</v>
      </c>
      <c r="E2114" s="49" t="s">
        <v>152</v>
      </c>
      <c r="F2114" s="49" t="s">
        <v>315</v>
      </c>
      <c r="G2114" s="101" t="s">
        <v>282</v>
      </c>
    </row>
    <row r="2115" spans="1:7" hidden="1">
      <c r="A2115" s="36" t="s">
        <v>2299</v>
      </c>
      <c r="B2115" s="36" t="s">
        <v>314</v>
      </c>
      <c r="C2115" s="36" t="str">
        <f>_xlfn.CONCAT(Table4[[#This Row],[Ledger Name]],Table4[[#This Row],[Entity Name]])</f>
        <v>TAEXP252664 INTExpora</v>
      </c>
      <c r="D2115" s="36" t="s">
        <v>936</v>
      </c>
      <c r="E2115" s="49" t="s">
        <v>152</v>
      </c>
      <c r="F2115" s="49" t="s">
        <v>315</v>
      </c>
      <c r="G2115" s="101" t="s">
        <v>282</v>
      </c>
    </row>
    <row r="2116" spans="1:7" hidden="1">
      <c r="A2116" s="36" t="s">
        <v>2300</v>
      </c>
      <c r="B2116" s="36" t="s">
        <v>314</v>
      </c>
      <c r="C2116" s="36" t="str">
        <f>_xlfn.CONCAT(Table4[[#This Row],[Ledger Name]],Table4[[#This Row],[Entity Name]])</f>
        <v>TAEXP252665 INTExpora</v>
      </c>
      <c r="D2116" s="36" t="s">
        <v>936</v>
      </c>
      <c r="E2116" s="49" t="s">
        <v>152</v>
      </c>
      <c r="F2116" s="49" t="s">
        <v>315</v>
      </c>
      <c r="G2116" s="101" t="s">
        <v>282</v>
      </c>
    </row>
    <row r="2117" spans="1:7" hidden="1">
      <c r="A2117" s="36" t="s">
        <v>2301</v>
      </c>
      <c r="B2117" s="36" t="s">
        <v>314</v>
      </c>
      <c r="C2117" s="36" t="str">
        <f>_xlfn.CONCAT(Table4[[#This Row],[Ledger Name]],Table4[[#This Row],[Entity Name]])</f>
        <v>TALOC25260093 INTExpora</v>
      </c>
      <c r="D2117" s="36" t="s">
        <v>936</v>
      </c>
      <c r="E2117" s="49" t="s">
        <v>152</v>
      </c>
      <c r="F2117" s="49" t="s">
        <v>315</v>
      </c>
      <c r="G2117" s="101" t="s">
        <v>282</v>
      </c>
    </row>
    <row r="2118" spans="1:7" hidden="1">
      <c r="A2118" s="36" t="s">
        <v>2302</v>
      </c>
      <c r="B2118" s="36" t="s">
        <v>314</v>
      </c>
      <c r="C2118" s="36" t="str">
        <f>_xlfn.CONCAT(Table4[[#This Row],[Ledger Name]],Table4[[#This Row],[Entity Name]])</f>
        <v>Property Insurance ChargesExpora</v>
      </c>
      <c r="D2118" s="36" t="s">
        <v>936</v>
      </c>
      <c r="E2118" s="49" t="s">
        <v>152</v>
      </c>
      <c r="F2118" s="49" t="s">
        <v>5</v>
      </c>
      <c r="G2118" s="101" t="s">
        <v>132</v>
      </c>
    </row>
    <row r="2119" spans="1:7" hidden="1">
      <c r="A2119" s="36" t="s">
        <v>2303</v>
      </c>
      <c r="B2119" s="36" t="s">
        <v>314</v>
      </c>
      <c r="C2119" s="36" t="str">
        <f>_xlfn.CONCAT(Table4[[#This Row],[Ledger Name]],Table4[[#This Row],[Entity Name]])</f>
        <v>Miscellaneous Exps.Expora</v>
      </c>
      <c r="D2119" s="36" t="s">
        <v>936</v>
      </c>
      <c r="E2119" s="49" t="s">
        <v>152</v>
      </c>
      <c r="F2119" s="49" t="s">
        <v>93</v>
      </c>
      <c r="G2119" s="101" t="s">
        <v>138</v>
      </c>
    </row>
    <row r="2120" spans="1:7" hidden="1">
      <c r="A2120" s="36" t="s">
        <v>537</v>
      </c>
      <c r="B2120" s="36" t="s">
        <v>314</v>
      </c>
      <c r="C2120" s="36" t="str">
        <f>_xlfn.CONCAT(Table4[[#This Row],[Ledger Name]],Table4[[#This Row],[Entity Name]])</f>
        <v>Salary ExpensesExpora</v>
      </c>
      <c r="D2120" s="36" t="s">
        <v>936</v>
      </c>
      <c r="E2120" s="49" t="s">
        <v>152</v>
      </c>
      <c r="F2120" s="49" t="s">
        <v>2</v>
      </c>
      <c r="G2120" s="101" t="s">
        <v>73</v>
      </c>
    </row>
    <row r="2121" spans="1:7" hidden="1">
      <c r="A2121" s="36" t="s">
        <v>2304</v>
      </c>
      <c r="B2121" s="36" t="s">
        <v>314</v>
      </c>
      <c r="C2121" s="36" t="str">
        <f>_xlfn.CONCAT(Table4[[#This Row],[Ledger Name]],Table4[[#This Row],[Entity Name]])</f>
        <v>SM/2025/1914Expora</v>
      </c>
      <c r="D2121" s="36" t="s">
        <v>936</v>
      </c>
      <c r="E2121" s="49" t="s">
        <v>152</v>
      </c>
      <c r="F2121" s="49" t="s">
        <v>93</v>
      </c>
      <c r="G2121" s="101" t="s">
        <v>138</v>
      </c>
    </row>
    <row r="2122" spans="1:7" s="268" customFormat="1" hidden="1">
      <c r="A2122" s="90" t="s">
        <v>166</v>
      </c>
      <c r="B2122" s="90" t="s">
        <v>314</v>
      </c>
      <c r="C2122" s="90" t="str">
        <f>_xlfn.CONCAT(Table4[[#This Row],[Ledger Name]],Table4[[#This Row],[Entity Name]])</f>
        <v>SuspenseExpora</v>
      </c>
      <c r="D2122" s="90" t="s">
        <v>936</v>
      </c>
      <c r="E2122" s="266" t="s">
        <v>152</v>
      </c>
      <c r="F2122" s="266" t="s">
        <v>93</v>
      </c>
      <c r="G2122" s="267" t="s">
        <v>138</v>
      </c>
    </row>
    <row r="2123" spans="1:7" hidden="1">
      <c r="A2123" s="36" t="s">
        <v>2305</v>
      </c>
      <c r="B2123" s="36" t="s">
        <v>314</v>
      </c>
      <c r="C2123" s="36" t="str">
        <f>_xlfn.CONCAT(Table4[[#This Row],[Ledger Name]],Table4[[#This Row],[Entity Name]])</f>
        <v>TAEXP252649Expora</v>
      </c>
      <c r="D2123" s="36" t="s">
        <v>936</v>
      </c>
      <c r="E2123" s="49" t="s">
        <v>152</v>
      </c>
      <c r="F2123" s="49" t="s">
        <v>93</v>
      </c>
      <c r="G2123" s="101" t="s">
        <v>138</v>
      </c>
    </row>
    <row r="2124" spans="1:7" hidden="1">
      <c r="A2124" s="36" t="s">
        <v>2306</v>
      </c>
      <c r="B2124" s="36" t="s">
        <v>314</v>
      </c>
      <c r="C2124" s="36" t="str">
        <f>_xlfn.CONCAT(Table4[[#This Row],[Ledger Name]],Table4[[#This Row],[Entity Name]])</f>
        <v>TAEXP252650Expora</v>
      </c>
      <c r="D2124" s="36" t="s">
        <v>936</v>
      </c>
      <c r="E2124" s="49" t="s">
        <v>152</v>
      </c>
      <c r="F2124" s="49" t="s">
        <v>93</v>
      </c>
      <c r="G2124" s="101" t="s">
        <v>138</v>
      </c>
    </row>
    <row r="2125" spans="1:7" hidden="1">
      <c r="A2125" s="36" t="s">
        <v>2307</v>
      </c>
      <c r="B2125" s="36" t="s">
        <v>314</v>
      </c>
      <c r="C2125" s="36" t="str">
        <f>_xlfn.CONCAT(Table4[[#This Row],[Ledger Name]],Table4[[#This Row],[Entity Name]])</f>
        <v>TAEXP252652Expora</v>
      </c>
      <c r="D2125" s="36" t="s">
        <v>936</v>
      </c>
      <c r="E2125" s="49" t="s">
        <v>152</v>
      </c>
      <c r="F2125" s="49" t="s">
        <v>93</v>
      </c>
      <c r="G2125" s="101" t="s">
        <v>138</v>
      </c>
    </row>
    <row r="2126" spans="1:7" hidden="1">
      <c r="A2126" s="36" t="s">
        <v>2308</v>
      </c>
      <c r="B2126" s="36" t="s">
        <v>314</v>
      </c>
      <c r="C2126" s="36" t="str">
        <f>_xlfn.CONCAT(Table4[[#This Row],[Ledger Name]],Table4[[#This Row],[Entity Name]])</f>
        <v>TAEXP252653Expora</v>
      </c>
      <c r="D2126" s="36" t="s">
        <v>936</v>
      </c>
      <c r="E2126" s="49" t="s">
        <v>152</v>
      </c>
      <c r="F2126" s="49" t="s">
        <v>93</v>
      </c>
      <c r="G2126" s="101" t="s">
        <v>138</v>
      </c>
    </row>
    <row r="2127" spans="1:7" hidden="1">
      <c r="A2127" s="36" t="s">
        <v>2309</v>
      </c>
      <c r="B2127" s="36" t="s">
        <v>314</v>
      </c>
      <c r="C2127" s="36" t="str">
        <f>_xlfn.CONCAT(Table4[[#This Row],[Ledger Name]],Table4[[#This Row],[Entity Name]])</f>
        <v>TAEXP252654Expora</v>
      </c>
      <c r="D2127" s="36" t="s">
        <v>936</v>
      </c>
      <c r="E2127" s="49" t="s">
        <v>152</v>
      </c>
      <c r="F2127" s="49" t="s">
        <v>93</v>
      </c>
      <c r="G2127" s="101" t="s">
        <v>138</v>
      </c>
    </row>
    <row r="2128" spans="1:7" hidden="1">
      <c r="A2128" s="36" t="s">
        <v>2310</v>
      </c>
      <c r="B2128" s="36" t="s">
        <v>314</v>
      </c>
      <c r="C2128" s="36" t="str">
        <f>_xlfn.CONCAT(Table4[[#This Row],[Ledger Name]],Table4[[#This Row],[Entity Name]])</f>
        <v>TAEXP252655Expora</v>
      </c>
      <c r="D2128" s="36" t="s">
        <v>936</v>
      </c>
      <c r="E2128" s="49" t="s">
        <v>152</v>
      </c>
      <c r="F2128" s="49" t="s">
        <v>93</v>
      </c>
      <c r="G2128" s="101" t="s">
        <v>138</v>
      </c>
    </row>
    <row r="2129" spans="1:7" hidden="1">
      <c r="A2129" s="36" t="s">
        <v>2311</v>
      </c>
      <c r="B2129" s="36" t="s">
        <v>314</v>
      </c>
      <c r="C2129" s="36" t="str">
        <f>_xlfn.CONCAT(Table4[[#This Row],[Ledger Name]],Table4[[#This Row],[Entity Name]])</f>
        <v>TAEXP252656Expora</v>
      </c>
      <c r="D2129" s="36" t="s">
        <v>936</v>
      </c>
      <c r="E2129" s="49" t="s">
        <v>152</v>
      </c>
      <c r="F2129" s="49" t="s">
        <v>93</v>
      </c>
      <c r="G2129" s="101" t="s">
        <v>138</v>
      </c>
    </row>
    <row r="2130" spans="1:7" hidden="1">
      <c r="A2130" s="36" t="s">
        <v>2312</v>
      </c>
      <c r="B2130" s="36" t="s">
        <v>314</v>
      </c>
      <c r="C2130" s="36" t="str">
        <f>_xlfn.CONCAT(Table4[[#This Row],[Ledger Name]],Table4[[#This Row],[Entity Name]])</f>
        <v>TAEXP252657Expora</v>
      </c>
      <c r="D2130" s="36" t="s">
        <v>936</v>
      </c>
      <c r="E2130" s="49" t="s">
        <v>152</v>
      </c>
      <c r="F2130" s="49" t="s">
        <v>93</v>
      </c>
      <c r="G2130" s="101" t="s">
        <v>138</v>
      </c>
    </row>
    <row r="2131" spans="1:7" hidden="1">
      <c r="A2131" s="36" t="s">
        <v>2313</v>
      </c>
      <c r="B2131" s="36" t="s">
        <v>314</v>
      </c>
      <c r="C2131" s="36" t="str">
        <f>_xlfn.CONCAT(Table4[[#This Row],[Ledger Name]],Table4[[#This Row],[Entity Name]])</f>
        <v>TAEXP252658Expora</v>
      </c>
      <c r="D2131" s="36" t="s">
        <v>936</v>
      </c>
      <c r="E2131" s="49" t="s">
        <v>152</v>
      </c>
      <c r="F2131" s="49" t="s">
        <v>93</v>
      </c>
      <c r="G2131" s="101" t="s">
        <v>138</v>
      </c>
    </row>
    <row r="2132" spans="1:7" hidden="1">
      <c r="A2132" s="36" t="s">
        <v>2314</v>
      </c>
      <c r="B2132" s="36" t="s">
        <v>314</v>
      </c>
      <c r="C2132" s="36" t="str">
        <f>_xlfn.CONCAT(Table4[[#This Row],[Ledger Name]],Table4[[#This Row],[Entity Name]])</f>
        <v>TAEXP252660Expora</v>
      </c>
      <c r="D2132" s="36" t="s">
        <v>936</v>
      </c>
      <c r="E2132" s="49" t="s">
        <v>152</v>
      </c>
      <c r="F2132" s="49" t="s">
        <v>93</v>
      </c>
      <c r="G2132" s="101" t="s">
        <v>138</v>
      </c>
    </row>
    <row r="2133" spans="1:7" hidden="1">
      <c r="A2133" s="36" t="s">
        <v>2315</v>
      </c>
      <c r="B2133" s="36" t="s">
        <v>314</v>
      </c>
      <c r="C2133" s="36" t="str">
        <f>_xlfn.CONCAT(Table4[[#This Row],[Ledger Name]],Table4[[#This Row],[Entity Name]])</f>
        <v>TAEXP252661Expora</v>
      </c>
      <c r="D2133" s="36" t="s">
        <v>936</v>
      </c>
      <c r="E2133" s="49" t="s">
        <v>152</v>
      </c>
      <c r="F2133" s="49" t="s">
        <v>93</v>
      </c>
      <c r="G2133" s="101" t="s">
        <v>138</v>
      </c>
    </row>
    <row r="2134" spans="1:7" hidden="1">
      <c r="A2134" s="36" t="s">
        <v>2316</v>
      </c>
      <c r="B2134" s="36" t="s">
        <v>314</v>
      </c>
      <c r="C2134" s="36" t="str">
        <f>_xlfn.CONCAT(Table4[[#This Row],[Ledger Name]],Table4[[#This Row],[Entity Name]])</f>
        <v>TAEXP252662Expora</v>
      </c>
      <c r="D2134" s="36" t="s">
        <v>936</v>
      </c>
      <c r="E2134" s="49" t="s">
        <v>152</v>
      </c>
      <c r="F2134" s="49" t="s">
        <v>93</v>
      </c>
      <c r="G2134" s="101" t="s">
        <v>138</v>
      </c>
    </row>
    <row r="2135" spans="1:7" hidden="1">
      <c r="A2135" s="36" t="s">
        <v>2317</v>
      </c>
      <c r="B2135" s="36" t="s">
        <v>314</v>
      </c>
      <c r="C2135" s="36" t="str">
        <f>_xlfn.CONCAT(Table4[[#This Row],[Ledger Name]],Table4[[#This Row],[Entity Name]])</f>
        <v>TAEXP252663Expora</v>
      </c>
      <c r="D2135" s="36" t="s">
        <v>936</v>
      </c>
      <c r="E2135" s="49" t="s">
        <v>152</v>
      </c>
      <c r="F2135" s="49" t="s">
        <v>93</v>
      </c>
      <c r="G2135" s="101" t="s">
        <v>138</v>
      </c>
    </row>
    <row r="2136" spans="1:7" hidden="1">
      <c r="A2136" s="36" t="s">
        <v>2318</v>
      </c>
      <c r="B2136" s="36" t="s">
        <v>314</v>
      </c>
      <c r="C2136" s="36" t="str">
        <f>_xlfn.CONCAT(Table4[[#This Row],[Ledger Name]],Table4[[#This Row],[Entity Name]])</f>
        <v>TAEXP252664Expora</v>
      </c>
      <c r="D2136" s="36" t="s">
        <v>936</v>
      </c>
      <c r="E2136" s="49" t="s">
        <v>152</v>
      </c>
      <c r="F2136" s="49" t="s">
        <v>93</v>
      </c>
      <c r="G2136" s="101" t="s">
        <v>138</v>
      </c>
    </row>
    <row r="2137" spans="1:7" hidden="1">
      <c r="A2137" s="36" t="s">
        <v>2319</v>
      </c>
      <c r="B2137" s="36" t="s">
        <v>314</v>
      </c>
      <c r="C2137" s="36" t="str">
        <f>_xlfn.CONCAT(Table4[[#This Row],[Ledger Name]],Table4[[#This Row],[Entity Name]])</f>
        <v>TAEXP252665Expora</v>
      </c>
      <c r="D2137" s="36" t="s">
        <v>936</v>
      </c>
      <c r="E2137" s="49" t="s">
        <v>152</v>
      </c>
      <c r="F2137" s="49" t="s">
        <v>93</v>
      </c>
      <c r="G2137" s="101" t="s">
        <v>138</v>
      </c>
    </row>
    <row r="2138" spans="1:7" hidden="1">
      <c r="A2138" s="36" t="s">
        <v>2320</v>
      </c>
      <c r="B2138" s="36" t="s">
        <v>314</v>
      </c>
      <c r="C2138" s="36" t="str">
        <f>_xlfn.CONCAT(Table4[[#This Row],[Ledger Name]],Table4[[#This Row],[Entity Name]])</f>
        <v>TALOC25260092Expora</v>
      </c>
      <c r="D2138" s="36" t="s">
        <v>936</v>
      </c>
      <c r="E2138" s="36" t="s">
        <v>152</v>
      </c>
      <c r="F2138" s="49" t="s">
        <v>93</v>
      </c>
      <c r="G2138" s="36" t="s">
        <v>138</v>
      </c>
    </row>
    <row r="2139" spans="1:7" hidden="1">
      <c r="A2139" s="36" t="s">
        <v>2321</v>
      </c>
      <c r="B2139" s="36" t="s">
        <v>314</v>
      </c>
      <c r="C2139" s="36" t="str">
        <f>_xlfn.CONCAT(Table4[[#This Row],[Ledger Name]],Table4[[#This Row],[Entity Name]])</f>
        <v>TALOC25260095Expora</v>
      </c>
      <c r="D2139" s="36" t="s">
        <v>936</v>
      </c>
      <c r="E2139" s="36" t="s">
        <v>152</v>
      </c>
      <c r="F2139" s="49" t="s">
        <v>93</v>
      </c>
      <c r="G2139" s="36" t="s">
        <v>138</v>
      </c>
    </row>
    <row r="2140" spans="1:7" hidden="1">
      <c r="A2140" s="36" t="s">
        <v>2322</v>
      </c>
      <c r="B2140" s="36" t="s">
        <v>314</v>
      </c>
      <c r="C2140" s="36" t="str">
        <f>_xlfn.CONCAT(Table4[[#This Row],[Ledger Name]],Table4[[#This Row],[Entity Name]])</f>
        <v>TALOC25260096Expora</v>
      </c>
      <c r="D2140" s="36" t="s">
        <v>936</v>
      </c>
      <c r="E2140" s="36" t="s">
        <v>152</v>
      </c>
      <c r="F2140" s="49" t="s">
        <v>93</v>
      </c>
      <c r="G2140" s="36" t="s">
        <v>138</v>
      </c>
    </row>
    <row r="2141" spans="1:7" hidden="1">
      <c r="A2141" s="36" t="s">
        <v>2323</v>
      </c>
      <c r="B2141" s="36" t="s">
        <v>314</v>
      </c>
      <c r="C2141" s="36" t="str">
        <f>_xlfn.CONCAT(Table4[[#This Row],[Ledger Name]],Table4[[#This Row],[Entity Name]])</f>
        <v>TALOC25260103Expora</v>
      </c>
      <c r="D2141" s="36" t="s">
        <v>936</v>
      </c>
      <c r="E2141" s="36" t="s">
        <v>152</v>
      </c>
      <c r="F2141" s="49" t="s">
        <v>93</v>
      </c>
      <c r="G2141" s="36" t="s">
        <v>138</v>
      </c>
    </row>
    <row r="2142" spans="1:7" hidden="1">
      <c r="A2142" s="36" t="s">
        <v>2324</v>
      </c>
      <c r="B2142" s="36" t="s">
        <v>314</v>
      </c>
      <c r="C2142" s="36" t="str">
        <f>_xlfn.CONCAT(Table4[[#This Row],[Ledger Name]],Table4[[#This Row],[Entity Name]])</f>
        <v>TALOC25260106Expora</v>
      </c>
      <c r="D2142" s="36" t="s">
        <v>936</v>
      </c>
      <c r="E2142" s="36" t="s">
        <v>152</v>
      </c>
      <c r="F2142" s="49" t="s">
        <v>93</v>
      </c>
      <c r="G2142" s="36" t="s">
        <v>138</v>
      </c>
    </row>
    <row r="2143" spans="1:7" hidden="1">
      <c r="A2143" s="36" t="s">
        <v>2325</v>
      </c>
      <c r="B2143" s="36" t="s">
        <v>314</v>
      </c>
      <c r="C2143" s="36" t="str">
        <f>_xlfn.CONCAT(Table4[[#This Row],[Ledger Name]],Table4[[#This Row],[Entity Name]])</f>
        <v>TALOC25260108Expora</v>
      </c>
      <c r="D2143" s="36" t="s">
        <v>936</v>
      </c>
      <c r="E2143" s="36" t="s">
        <v>152</v>
      </c>
      <c r="F2143" s="49" t="s">
        <v>93</v>
      </c>
      <c r="G2143" s="36" t="s">
        <v>138</v>
      </c>
    </row>
    <row r="2144" spans="1:7" hidden="1">
      <c r="A2144" s="36" t="s">
        <v>2326</v>
      </c>
      <c r="B2144" s="36" t="s">
        <v>314</v>
      </c>
      <c r="C2144" s="36" t="str">
        <f>_xlfn.CONCAT(Table4[[#This Row],[Ledger Name]],Table4[[#This Row],[Entity Name]])</f>
        <v>TALOC25260111Expora</v>
      </c>
      <c r="D2144" s="36" t="s">
        <v>936</v>
      </c>
      <c r="E2144" s="36" t="s">
        <v>152</v>
      </c>
      <c r="F2144" s="49" t="s">
        <v>93</v>
      </c>
      <c r="G2144" s="36" t="s">
        <v>138</v>
      </c>
    </row>
    <row r="2145" spans="1:7" hidden="1">
      <c r="A2145" s="36" t="s">
        <v>2327</v>
      </c>
      <c r="B2145" s="36" t="s">
        <v>314</v>
      </c>
      <c r="C2145" s="36" t="str">
        <f>_xlfn.CONCAT(Table4[[#This Row],[Ledger Name]],Table4[[#This Row],[Entity Name]])</f>
        <v>TALOC25260120Expora</v>
      </c>
      <c r="D2145" s="36" t="s">
        <v>936</v>
      </c>
      <c r="E2145" s="36" t="s">
        <v>152</v>
      </c>
      <c r="F2145" s="49" t="s">
        <v>93</v>
      </c>
      <c r="G2145" s="36" t="s">
        <v>138</v>
      </c>
    </row>
    <row r="2146" spans="1:7" hidden="1">
      <c r="A2146" s="36" t="s">
        <v>2328</v>
      </c>
      <c r="B2146" s="36" t="s">
        <v>314</v>
      </c>
      <c r="C2146" s="36" t="str">
        <f>_xlfn.CONCAT(Table4[[#This Row],[Ledger Name]],Table4[[#This Row],[Entity Name]])</f>
        <v>VISA EXP-SANJAY SRILANKAExpora</v>
      </c>
      <c r="D2146" s="36" t="s">
        <v>936</v>
      </c>
      <c r="E2146" s="49" t="s">
        <v>152</v>
      </c>
      <c r="F2146" s="49" t="s">
        <v>8</v>
      </c>
      <c r="G2146" s="101" t="s">
        <v>84</v>
      </c>
    </row>
    <row r="2147" spans="1:7" hidden="1">
      <c r="A2147" s="36" t="s">
        <v>2329</v>
      </c>
      <c r="B2147" s="36" t="s">
        <v>314</v>
      </c>
      <c r="C2147" s="36" t="str">
        <f>_xlfn.CONCAT(Table4[[#This Row],[Ledger Name]],Table4[[#This Row],[Entity Name]])</f>
        <v>Toor relatedExpora</v>
      </c>
      <c r="D2147" s="36" t="s">
        <v>936</v>
      </c>
      <c r="E2147" s="49" t="s">
        <v>152</v>
      </c>
      <c r="F2147" s="49" t="s">
        <v>93</v>
      </c>
      <c r="G2147" s="101" t="s">
        <v>138</v>
      </c>
    </row>
    <row r="2148" spans="1:7" hidden="1">
      <c r="A2148" s="188" t="s">
        <v>82</v>
      </c>
      <c r="B2148" s="36" t="s">
        <v>826</v>
      </c>
      <c r="C2148" s="36" t="str">
        <f>_xlfn.CONCAT(Table4[[#This Row],[Ledger Name]],Table4[[#This Row],[Entity Name]])</f>
        <v>Interest IncomeArha General Trading Co (AGT)</v>
      </c>
      <c r="D2148" s="36" t="s">
        <v>936</v>
      </c>
      <c r="E2148" s="49" t="s">
        <v>152</v>
      </c>
      <c r="F2148" s="49" t="s">
        <v>312</v>
      </c>
      <c r="G2148" s="101" t="s">
        <v>121</v>
      </c>
    </row>
    <row r="2149" spans="1:7" hidden="1">
      <c r="A2149" s="36" t="s">
        <v>2330</v>
      </c>
      <c r="B2149" s="36" t="s">
        <v>314</v>
      </c>
      <c r="C2149" s="36" t="str">
        <f>_xlfn.CONCAT(Table4[[#This Row],[Ledger Name]],Table4[[#This Row],[Entity Name]])</f>
        <v>Geetanjali ReimbursementExpora</v>
      </c>
      <c r="D2149" s="162" t="s">
        <v>936</v>
      </c>
      <c r="E2149" s="163" t="s">
        <v>746</v>
      </c>
      <c r="F2149" s="163" t="s">
        <v>195</v>
      </c>
      <c r="G2149" s="6" t="s">
        <v>1625</v>
      </c>
    </row>
    <row r="2150" spans="1:7" hidden="1">
      <c r="A2150" s="36" t="s">
        <v>1196</v>
      </c>
      <c r="B2150" s="36" t="s">
        <v>314</v>
      </c>
      <c r="C2150" s="36" t="str">
        <f>_xlfn.CONCAT(Table4[[#This Row],[Ledger Name]],Table4[[#This Row],[Entity Name]])</f>
        <v>GST Refund receivableExpora</v>
      </c>
      <c r="D2150" s="36" t="s">
        <v>936</v>
      </c>
      <c r="E2150" s="49" t="s">
        <v>746</v>
      </c>
      <c r="F2150" s="49" t="s">
        <v>52</v>
      </c>
      <c r="G2150" s="24" t="s">
        <v>1604</v>
      </c>
    </row>
    <row r="2151" spans="1:7" hidden="1">
      <c r="A2151" s="36" t="s">
        <v>2331</v>
      </c>
      <c r="B2151" s="36" t="s">
        <v>314</v>
      </c>
      <c r="C2151" s="36" t="str">
        <f>_xlfn.CONCAT(Table4[[#This Row],[Ledger Name]],Table4[[#This Row],[Entity Name]])</f>
        <v>Inventory Asset 1Expora</v>
      </c>
      <c r="D2151" s="36" t="s">
        <v>936</v>
      </c>
      <c r="E2151" s="49" t="s">
        <v>746</v>
      </c>
      <c r="F2151" s="49" t="s">
        <v>52</v>
      </c>
      <c r="G2151" s="24" t="s">
        <v>1606</v>
      </c>
    </row>
    <row r="2152" spans="1:7" hidden="1">
      <c r="A2152" s="36" t="s">
        <v>2332</v>
      </c>
      <c r="B2152" s="36" t="s">
        <v>314</v>
      </c>
      <c r="C2152" s="36" t="str">
        <f>_xlfn.CONCAT(Table4[[#This Row],[Ledger Name]],Table4[[#This Row],[Entity Name]])</f>
        <v>Investment in Vishwa HitayExpora</v>
      </c>
      <c r="D2152" s="36" t="s">
        <v>936</v>
      </c>
      <c r="E2152" s="49" t="s">
        <v>746</v>
      </c>
      <c r="F2152" s="49" t="s">
        <v>209</v>
      </c>
      <c r="G2152" s="36" t="s">
        <v>2088</v>
      </c>
    </row>
    <row r="2153" spans="1:7" hidden="1">
      <c r="A2153" s="36" t="s">
        <v>2333</v>
      </c>
      <c r="B2153" s="36" t="s">
        <v>314</v>
      </c>
      <c r="C2153" s="36" t="str">
        <f>_xlfn.CONCAT(Table4[[#This Row],[Ledger Name]],Table4[[#This Row],[Entity Name]])</f>
        <v>Nature ResidenceExpora</v>
      </c>
      <c r="D2153" s="36" t="s">
        <v>936</v>
      </c>
      <c r="E2153" s="49" t="s">
        <v>746</v>
      </c>
      <c r="F2153" s="49" t="s">
        <v>52</v>
      </c>
      <c r="G2153" s="24" t="s">
        <v>1606</v>
      </c>
    </row>
    <row r="2154" spans="1:7" hidden="1">
      <c r="A2154" s="36" t="s">
        <v>2334</v>
      </c>
      <c r="B2154" s="36" t="s">
        <v>314</v>
      </c>
      <c r="C2154" s="36" t="str">
        <f>_xlfn.CONCAT(Table4[[#This Row],[Ledger Name]],Table4[[#This Row],[Entity Name]])</f>
        <v>MKS Rohit MeharExpora</v>
      </c>
      <c r="D2154" s="36" t="s">
        <v>936</v>
      </c>
      <c r="E2154" s="49" t="s">
        <v>746</v>
      </c>
      <c r="F2154" s="49" t="s">
        <v>52</v>
      </c>
      <c r="G2154" s="24" t="s">
        <v>1606</v>
      </c>
    </row>
    <row r="2155" spans="1:7" hidden="1">
      <c r="A2155" s="36" t="s">
        <v>2335</v>
      </c>
      <c r="B2155" s="36" t="s">
        <v>314</v>
      </c>
      <c r="C2155" s="36" t="str">
        <f>_xlfn.CONCAT(Table4[[#This Row],[Ledger Name]],Table4[[#This Row],[Entity Name]])</f>
        <v>MKS ZenumExpora</v>
      </c>
      <c r="D2155" s="36" t="s">
        <v>936</v>
      </c>
      <c r="E2155" s="49" t="s">
        <v>746</v>
      </c>
      <c r="F2155" s="49" t="s">
        <v>52</v>
      </c>
      <c r="G2155" s="24" t="s">
        <v>1606</v>
      </c>
    </row>
    <row r="2156" spans="1:7" hidden="1">
      <c r="A2156" s="36" t="s">
        <v>2336</v>
      </c>
      <c r="B2156" s="36" t="s">
        <v>314</v>
      </c>
      <c r="C2156" s="36" t="str">
        <f>_xlfn.CONCAT(Table4[[#This Row],[Ledger Name]],Table4[[#This Row],[Entity Name]])</f>
        <v>Printing Cylinder-CBRExpora</v>
      </c>
      <c r="D2156" s="36" t="s">
        <v>936</v>
      </c>
      <c r="E2156" s="49" t="s">
        <v>746</v>
      </c>
      <c r="F2156" s="49" t="s">
        <v>346</v>
      </c>
      <c r="G2156" s="182" t="s">
        <v>346</v>
      </c>
    </row>
    <row r="2157" spans="1:7" hidden="1">
      <c r="A2157" s="36" t="s">
        <v>2337</v>
      </c>
      <c r="B2157" s="36" t="s">
        <v>314</v>
      </c>
      <c r="C2157" s="36" t="str">
        <f>_xlfn.CONCAT(Table4[[#This Row],[Ledger Name]],Table4[[#This Row],[Entity Name]])</f>
        <v>TDS Receivable FY 25-26Expora</v>
      </c>
      <c r="D2157" s="36" t="s">
        <v>936</v>
      </c>
      <c r="E2157" s="49" t="s">
        <v>746</v>
      </c>
      <c r="F2157" s="49" t="s">
        <v>52</v>
      </c>
      <c r="G2157" s="24" t="s">
        <v>1601</v>
      </c>
    </row>
    <row r="2158" spans="1:7" hidden="1">
      <c r="A2158" s="36" t="s">
        <v>2338</v>
      </c>
      <c r="B2158" s="36" t="s">
        <v>314</v>
      </c>
      <c r="C2158" s="36" t="str">
        <f>_xlfn.CONCAT(Table4[[#This Row],[Ledger Name]],Table4[[#This Row],[Entity Name]])</f>
        <v>Aditya Goyal ReimbursementExpora</v>
      </c>
      <c r="D2158" s="162" t="s">
        <v>936</v>
      </c>
      <c r="E2158" s="163" t="s">
        <v>746</v>
      </c>
      <c r="F2158" s="163" t="s">
        <v>195</v>
      </c>
      <c r="G2158" s="6" t="s">
        <v>1625</v>
      </c>
    </row>
    <row r="2159" spans="1:7" hidden="1">
      <c r="A2159" s="36" t="s">
        <v>2339</v>
      </c>
      <c r="B2159" s="36" t="s">
        <v>314</v>
      </c>
      <c r="C2159" s="36" t="str">
        <f>_xlfn.CONCAT(Table4[[#This Row],[Ledger Name]],Table4[[#This Row],[Entity Name]])</f>
        <v>Vidya &amp; Sanjay Varma Flexi ReimbursementExpora</v>
      </c>
      <c r="D2159" s="162" t="s">
        <v>936</v>
      </c>
      <c r="E2159" s="163" t="s">
        <v>746</v>
      </c>
      <c r="F2159" s="163" t="s">
        <v>195</v>
      </c>
      <c r="G2159" s="6" t="s">
        <v>1625</v>
      </c>
    </row>
    <row r="2160" spans="1:7" hidden="1">
      <c r="A2160" s="36" t="s">
        <v>2340</v>
      </c>
      <c r="B2160" s="36" t="s">
        <v>314</v>
      </c>
      <c r="C2160" s="36" t="str">
        <f>_xlfn.CONCAT(Table4[[#This Row],[Ledger Name]],Table4[[#This Row],[Entity Name]])</f>
        <v>Aashima ReimbursementExpora</v>
      </c>
      <c r="D2160" s="162" t="s">
        <v>936</v>
      </c>
      <c r="E2160" s="163" t="s">
        <v>746</v>
      </c>
      <c r="F2160" s="163" t="s">
        <v>195</v>
      </c>
      <c r="G2160" s="6" t="s">
        <v>1625</v>
      </c>
    </row>
    <row r="2161" spans="1:7" hidden="1">
      <c r="A2161" s="36" t="s">
        <v>1198</v>
      </c>
      <c r="B2161" s="36" t="s">
        <v>314</v>
      </c>
      <c r="C2161" s="36" t="str">
        <f>_xlfn.CONCAT(Table4[[#This Row],[Ledger Name]],Table4[[#This Row],[Entity Name]])</f>
        <v>Abha Shah reimbursementExpora</v>
      </c>
      <c r="D2161" s="162" t="s">
        <v>936</v>
      </c>
      <c r="E2161" s="163" t="s">
        <v>746</v>
      </c>
      <c r="F2161" s="163" t="s">
        <v>195</v>
      </c>
      <c r="G2161" s="6" t="s">
        <v>1625</v>
      </c>
    </row>
    <row r="2162" spans="1:7" hidden="1">
      <c r="A2162" s="36" t="s">
        <v>1199</v>
      </c>
      <c r="B2162" s="36" t="s">
        <v>314</v>
      </c>
      <c r="C2162" s="36" t="str">
        <f>_xlfn.CONCAT(Table4[[#This Row],[Ledger Name]],Table4[[#This Row],[Entity Name]])</f>
        <v>Akash ReimbursementExpora</v>
      </c>
      <c r="D2162" s="162" t="s">
        <v>936</v>
      </c>
      <c r="E2162" s="163" t="s">
        <v>746</v>
      </c>
      <c r="F2162" s="163" t="s">
        <v>195</v>
      </c>
      <c r="G2162" s="6" t="s">
        <v>1625</v>
      </c>
    </row>
    <row r="2163" spans="1:7" hidden="1">
      <c r="A2163" s="36" t="s">
        <v>388</v>
      </c>
      <c r="B2163" s="36" t="s">
        <v>314</v>
      </c>
      <c r="C2163" s="36" t="str">
        <f>_xlfn.CONCAT(Table4[[#This Row],[Ledger Name]],Table4[[#This Row],[Entity Name]])</f>
        <v>Kaushal Jadhav ReimbursementExpora</v>
      </c>
      <c r="D2163" s="162" t="s">
        <v>936</v>
      </c>
      <c r="E2163" s="163" t="s">
        <v>746</v>
      </c>
      <c r="F2163" s="163" t="s">
        <v>195</v>
      </c>
      <c r="G2163" s="6" t="s">
        <v>1625</v>
      </c>
    </row>
    <row r="2164" spans="1:7" hidden="1">
      <c r="A2164" s="36" t="s">
        <v>2341</v>
      </c>
      <c r="B2164" s="36" t="s">
        <v>314</v>
      </c>
      <c r="C2164" s="36" t="str">
        <f>_xlfn.CONCAT(Table4[[#This Row],[Ledger Name]],Table4[[#This Row],[Entity Name]])</f>
        <v>Krisha ReimbursmentExpora</v>
      </c>
      <c r="D2164" s="162" t="s">
        <v>936</v>
      </c>
      <c r="E2164" s="163" t="s">
        <v>746</v>
      </c>
      <c r="F2164" s="163" t="s">
        <v>195</v>
      </c>
      <c r="G2164" s="6" t="s">
        <v>1625</v>
      </c>
    </row>
    <row r="2165" spans="1:7" hidden="1">
      <c r="A2165" s="36" t="s">
        <v>389</v>
      </c>
      <c r="B2165" s="36" t="s">
        <v>314</v>
      </c>
      <c r="C2165" s="36" t="str">
        <f>_xlfn.CONCAT(Table4[[#This Row],[Ledger Name]],Table4[[#This Row],[Entity Name]])</f>
        <v>Nilesh ReimbursementExpora</v>
      </c>
      <c r="D2165" s="162" t="s">
        <v>936</v>
      </c>
      <c r="E2165" s="163" t="s">
        <v>746</v>
      </c>
      <c r="F2165" s="163" t="s">
        <v>195</v>
      </c>
      <c r="G2165" s="6" t="s">
        <v>1625</v>
      </c>
    </row>
    <row r="2166" spans="1:7" hidden="1">
      <c r="A2166" s="36" t="s">
        <v>2342</v>
      </c>
      <c r="B2166" s="36" t="s">
        <v>314</v>
      </c>
      <c r="C2166" s="36" t="str">
        <f>_xlfn.CONCAT(Table4[[#This Row],[Ledger Name]],Table4[[#This Row],[Entity Name]])</f>
        <v>Rohit Kumar Bhatti ReimbursementExpora</v>
      </c>
      <c r="D2166" s="162" t="s">
        <v>936</v>
      </c>
      <c r="E2166" s="163" t="s">
        <v>746</v>
      </c>
      <c r="F2166" s="163" t="s">
        <v>195</v>
      </c>
      <c r="G2166" s="6" t="s">
        <v>1625</v>
      </c>
    </row>
    <row r="2167" spans="1:7" hidden="1">
      <c r="A2167" s="36" t="s">
        <v>1200</v>
      </c>
      <c r="B2167" s="36" t="s">
        <v>314</v>
      </c>
      <c r="C2167" s="36" t="str">
        <f>_xlfn.CONCAT(Table4[[#This Row],[Ledger Name]],Table4[[#This Row],[Entity Name]])</f>
        <v>Saish reimbursementExpora</v>
      </c>
      <c r="D2167" s="162" t="s">
        <v>936</v>
      </c>
      <c r="E2167" s="163" t="s">
        <v>746</v>
      </c>
      <c r="F2167" s="163" t="s">
        <v>195</v>
      </c>
      <c r="G2167" s="6" t="s">
        <v>1625</v>
      </c>
    </row>
    <row r="2168" spans="1:7" hidden="1">
      <c r="A2168" s="36" t="s">
        <v>2343</v>
      </c>
      <c r="B2168" s="36" t="s">
        <v>314</v>
      </c>
      <c r="C2168" s="36" t="str">
        <f>_xlfn.CONCAT(Table4[[#This Row],[Ledger Name]],Table4[[#This Row],[Entity Name]])</f>
        <v>Ganesh Flexi Reimbursement.Expora</v>
      </c>
      <c r="D2168" s="162" t="s">
        <v>936</v>
      </c>
      <c r="E2168" s="163" t="s">
        <v>746</v>
      </c>
      <c r="F2168" s="163" t="s">
        <v>195</v>
      </c>
      <c r="G2168" s="6" t="s">
        <v>1625</v>
      </c>
    </row>
    <row r="2169" spans="1:7" hidden="1">
      <c r="A2169" s="36" t="s">
        <v>2344</v>
      </c>
      <c r="B2169" s="36" t="s">
        <v>314</v>
      </c>
      <c r="C2169" s="36" t="str">
        <f>_xlfn.CONCAT(Table4[[#This Row],[Ledger Name]],Table4[[#This Row],[Entity Name]])</f>
        <v>Ketan Flexi Reimbursement.Expora</v>
      </c>
      <c r="D2169" s="162" t="s">
        <v>936</v>
      </c>
      <c r="E2169" s="163" t="s">
        <v>746</v>
      </c>
      <c r="F2169" s="163" t="s">
        <v>195</v>
      </c>
      <c r="G2169" s="6" t="s">
        <v>1625</v>
      </c>
    </row>
    <row r="2170" spans="1:7" hidden="1">
      <c r="A2170" s="36" t="s">
        <v>2345</v>
      </c>
      <c r="B2170" s="36" t="s">
        <v>314</v>
      </c>
      <c r="C2170" s="36" t="str">
        <f>_xlfn.CONCAT(Table4[[#This Row],[Ledger Name]],Table4[[#This Row],[Entity Name]])</f>
        <v>Pravin Arora Flexi ReimbursementExpora</v>
      </c>
      <c r="D2170" s="162" t="s">
        <v>936</v>
      </c>
      <c r="E2170" s="163" t="s">
        <v>746</v>
      </c>
      <c r="F2170" s="163" t="s">
        <v>195</v>
      </c>
      <c r="G2170" s="6" t="s">
        <v>1625</v>
      </c>
    </row>
    <row r="2171" spans="1:7" hidden="1">
      <c r="A2171" s="36" t="s">
        <v>2346</v>
      </c>
      <c r="B2171" s="36" t="s">
        <v>314</v>
      </c>
      <c r="C2171" s="36" t="str">
        <f>_xlfn.CONCAT(Table4[[#This Row],[Ledger Name]],Table4[[#This Row],[Entity Name]])</f>
        <v>D14378282Expora</v>
      </c>
      <c r="D2171" s="36" t="s">
        <v>936</v>
      </c>
      <c r="E2171" s="49" t="s">
        <v>746</v>
      </c>
      <c r="F2171" s="49" t="s">
        <v>345</v>
      </c>
      <c r="G2171" s="101" t="s">
        <v>278</v>
      </c>
    </row>
    <row r="2172" spans="1:7" hidden="1">
      <c r="A2172" s="36" t="s">
        <v>2347</v>
      </c>
      <c r="B2172" s="36" t="s">
        <v>314</v>
      </c>
      <c r="C2172" s="36" t="str">
        <f>_xlfn.CONCAT(Table4[[#This Row],[Ledger Name]],Table4[[#This Row],[Entity Name]])</f>
        <v>D14379035Expora</v>
      </c>
      <c r="D2172" s="36" t="s">
        <v>936</v>
      </c>
      <c r="E2172" s="49" t="s">
        <v>746</v>
      </c>
      <c r="F2172" s="49" t="s">
        <v>345</v>
      </c>
      <c r="G2172" s="101" t="s">
        <v>278</v>
      </c>
    </row>
    <row r="2173" spans="1:7" hidden="1">
      <c r="A2173" s="36" t="s">
        <v>2348</v>
      </c>
      <c r="B2173" s="36" t="s">
        <v>314</v>
      </c>
      <c r="C2173" s="36" t="str">
        <f>_xlfn.CONCAT(Table4[[#This Row],[Ledger Name]],Table4[[#This Row],[Entity Name]])</f>
        <v>D14389297Expora</v>
      </c>
      <c r="D2173" s="36" t="s">
        <v>936</v>
      </c>
      <c r="E2173" s="49" t="s">
        <v>746</v>
      </c>
      <c r="F2173" s="49" t="s">
        <v>345</v>
      </c>
      <c r="G2173" s="101" t="s">
        <v>278</v>
      </c>
    </row>
    <row r="2174" spans="1:7" hidden="1">
      <c r="A2174" s="36" t="s">
        <v>2349</v>
      </c>
      <c r="B2174" s="36" t="s">
        <v>314</v>
      </c>
      <c r="C2174" s="36" t="str">
        <f>_xlfn.CONCAT(Table4[[#This Row],[Ledger Name]],Table4[[#This Row],[Entity Name]])</f>
        <v>D14583630Expora</v>
      </c>
      <c r="D2174" s="36" t="s">
        <v>936</v>
      </c>
      <c r="E2174" s="49" t="s">
        <v>746</v>
      </c>
      <c r="F2174" s="49" t="s">
        <v>345</v>
      </c>
      <c r="G2174" s="101" t="s">
        <v>278</v>
      </c>
    </row>
    <row r="2175" spans="1:7" hidden="1">
      <c r="A2175" s="36" t="s">
        <v>2350</v>
      </c>
      <c r="B2175" s="36" t="s">
        <v>314</v>
      </c>
      <c r="C2175" s="36" t="str">
        <f>_xlfn.CONCAT(Table4[[#This Row],[Ledger Name]],Table4[[#This Row],[Entity Name]])</f>
        <v>D14584528Expora</v>
      </c>
      <c r="D2175" s="36" t="s">
        <v>936</v>
      </c>
      <c r="E2175" s="49" t="s">
        <v>746</v>
      </c>
      <c r="F2175" s="49" t="s">
        <v>345</v>
      </c>
      <c r="G2175" s="101" t="s">
        <v>278</v>
      </c>
    </row>
    <row r="2176" spans="1:7" hidden="1">
      <c r="A2176" s="36" t="s">
        <v>2351</v>
      </c>
      <c r="B2176" s="36" t="s">
        <v>314</v>
      </c>
      <c r="C2176" s="36" t="str">
        <f>_xlfn.CONCAT(Table4[[#This Row],[Ledger Name]],Table4[[#This Row],[Entity Name]])</f>
        <v>D14588758Expora</v>
      </c>
      <c r="D2176" s="36" t="s">
        <v>936</v>
      </c>
      <c r="E2176" s="49" t="s">
        <v>746</v>
      </c>
      <c r="F2176" s="49" t="s">
        <v>345</v>
      </c>
      <c r="G2176" s="101" t="s">
        <v>278</v>
      </c>
    </row>
    <row r="2177" spans="1:7" hidden="1">
      <c r="A2177" s="36" t="s">
        <v>2352</v>
      </c>
      <c r="B2177" s="36" t="s">
        <v>314</v>
      </c>
      <c r="C2177" s="36" t="str">
        <f>_xlfn.CONCAT(Table4[[#This Row],[Ledger Name]],Table4[[#This Row],[Entity Name]])</f>
        <v>D14630812Expora</v>
      </c>
      <c r="D2177" s="36" t="s">
        <v>936</v>
      </c>
      <c r="E2177" s="49" t="s">
        <v>746</v>
      </c>
      <c r="F2177" s="49" t="s">
        <v>345</v>
      </c>
      <c r="G2177" s="101" t="s">
        <v>278</v>
      </c>
    </row>
    <row r="2178" spans="1:7" hidden="1">
      <c r="A2178" s="36" t="s">
        <v>2353</v>
      </c>
      <c r="B2178" s="36" t="s">
        <v>314</v>
      </c>
      <c r="C2178" s="36" t="str">
        <f>_xlfn.CONCAT(Table4[[#This Row],[Ledger Name]],Table4[[#This Row],[Entity Name]])</f>
        <v>F02PCFC260365001Expora</v>
      </c>
      <c r="D2178" s="36" t="s">
        <v>936</v>
      </c>
      <c r="E2178" s="49" t="s">
        <v>746</v>
      </c>
      <c r="F2178" s="49" t="s">
        <v>345</v>
      </c>
      <c r="G2178" s="101" t="s">
        <v>278</v>
      </c>
    </row>
    <row r="2179" spans="1:7" hidden="1">
      <c r="A2179" s="36" t="s">
        <v>2354</v>
      </c>
      <c r="B2179" s="36" t="s">
        <v>314</v>
      </c>
      <c r="C2179" s="36" t="str">
        <f>_xlfn.CONCAT(Table4[[#This Row],[Ledger Name]],Table4[[#This Row],[Entity Name]])</f>
        <v>F02PCFC260365002Expora</v>
      </c>
      <c r="D2179" s="36" t="s">
        <v>936</v>
      </c>
      <c r="E2179" s="49" t="s">
        <v>746</v>
      </c>
      <c r="F2179" s="49" t="s">
        <v>345</v>
      </c>
      <c r="G2179" s="101" t="s">
        <v>278</v>
      </c>
    </row>
    <row r="2180" spans="1:7" hidden="1">
      <c r="A2180" s="36" t="s">
        <v>2355</v>
      </c>
      <c r="B2180" s="36" t="s">
        <v>314</v>
      </c>
      <c r="C2180" s="36" t="str">
        <f>_xlfn.CONCAT(Table4[[#This Row],[Ledger Name]],Table4[[#This Row],[Entity Name]])</f>
        <v>F02PCFC260375002Expora</v>
      </c>
      <c r="D2180" s="36" t="s">
        <v>936</v>
      </c>
      <c r="E2180" s="49" t="s">
        <v>746</v>
      </c>
      <c r="F2180" s="49" t="s">
        <v>345</v>
      </c>
      <c r="G2180" s="101" t="s">
        <v>278</v>
      </c>
    </row>
    <row r="2181" spans="1:7" hidden="1">
      <c r="A2181" s="36" t="s">
        <v>2356</v>
      </c>
      <c r="B2181" s="36" t="s">
        <v>314</v>
      </c>
      <c r="C2181" s="36" t="str">
        <f>_xlfn.CONCAT(Table4[[#This Row],[Ledger Name]],Table4[[#This Row],[Entity Name]])</f>
        <v>F02PCFC260485001Expora</v>
      </c>
      <c r="D2181" s="36" t="s">
        <v>936</v>
      </c>
      <c r="E2181" s="49" t="s">
        <v>746</v>
      </c>
      <c r="F2181" s="49" t="s">
        <v>345</v>
      </c>
      <c r="G2181" s="101" t="s">
        <v>278</v>
      </c>
    </row>
    <row r="2182" spans="1:7" hidden="1">
      <c r="A2182" s="36" t="s">
        <v>2357</v>
      </c>
      <c r="B2182" s="36" t="s">
        <v>314</v>
      </c>
      <c r="C2182" s="36" t="str">
        <f>_xlfn.CONCAT(Table4[[#This Row],[Ledger Name]],Table4[[#This Row],[Entity Name]])</f>
        <v>F02PCFC261885001Expora</v>
      </c>
      <c r="D2182" s="36" t="s">
        <v>936</v>
      </c>
      <c r="E2182" s="49" t="s">
        <v>746</v>
      </c>
      <c r="F2182" s="49" t="s">
        <v>345</v>
      </c>
      <c r="G2182" s="101" t="s">
        <v>278</v>
      </c>
    </row>
    <row r="2183" spans="1:7" hidden="1">
      <c r="A2183" s="36" t="s">
        <v>2358</v>
      </c>
      <c r="B2183" s="36" t="s">
        <v>314</v>
      </c>
      <c r="C2183" s="36" t="str">
        <f>_xlfn.CONCAT(Table4[[#This Row],[Ledger Name]],Table4[[#This Row],[Entity Name]])</f>
        <v>F02PCFC261965001Expora</v>
      </c>
      <c r="D2183" s="36" t="s">
        <v>936</v>
      </c>
      <c r="E2183" s="49" t="s">
        <v>746</v>
      </c>
      <c r="F2183" s="49" t="s">
        <v>345</v>
      </c>
      <c r="G2183" s="101" t="s">
        <v>278</v>
      </c>
    </row>
    <row r="2184" spans="1:7" hidden="1">
      <c r="A2184" s="36" t="s">
        <v>2359</v>
      </c>
      <c r="B2184" s="36" t="s">
        <v>314</v>
      </c>
      <c r="C2184" s="36" t="str">
        <f>_xlfn.CONCAT(Table4[[#This Row],[Ledger Name]],Table4[[#This Row],[Entity Name]])</f>
        <v>F02PCFC262125001Expora</v>
      </c>
      <c r="D2184" s="36" t="s">
        <v>936</v>
      </c>
      <c r="E2184" s="49" t="s">
        <v>746</v>
      </c>
      <c r="F2184" s="49" t="s">
        <v>345</v>
      </c>
      <c r="G2184" s="101" t="s">
        <v>278</v>
      </c>
    </row>
    <row r="2185" spans="1:7" hidden="1">
      <c r="A2185" s="36" t="s">
        <v>2360</v>
      </c>
      <c r="B2185" s="36" t="s">
        <v>314</v>
      </c>
      <c r="C2185" s="36" t="str">
        <f>_xlfn.CONCAT(Table4[[#This Row],[Ledger Name]],Table4[[#This Row],[Entity Name]])</f>
        <v>F02PCFC262315001Expora</v>
      </c>
      <c r="D2185" s="36" t="s">
        <v>936</v>
      </c>
      <c r="E2185" s="49" t="s">
        <v>746</v>
      </c>
      <c r="F2185" s="49" t="s">
        <v>345</v>
      </c>
      <c r="G2185" s="101" t="s">
        <v>278</v>
      </c>
    </row>
    <row r="2186" spans="1:7" hidden="1">
      <c r="A2186" s="36" t="s">
        <v>2361</v>
      </c>
      <c r="B2186" s="36" t="s">
        <v>314</v>
      </c>
      <c r="C2186" s="36" t="str">
        <f>_xlfn.CONCAT(Table4[[#This Row],[Ledger Name]],Table4[[#This Row],[Entity Name]])</f>
        <v>F02PCFC262325003Expora</v>
      </c>
      <c r="D2186" s="36" t="s">
        <v>936</v>
      </c>
      <c r="E2186" s="49" t="s">
        <v>746</v>
      </c>
      <c r="F2186" s="49" t="s">
        <v>345</v>
      </c>
      <c r="G2186" s="101" t="s">
        <v>278</v>
      </c>
    </row>
    <row r="2187" spans="1:7" hidden="1">
      <c r="A2187" s="36" t="s">
        <v>2362</v>
      </c>
      <c r="B2187" s="36" t="s">
        <v>314</v>
      </c>
      <c r="C2187" s="36" t="str">
        <f>_xlfn.CONCAT(Table4[[#This Row],[Ledger Name]],Table4[[#This Row],[Entity Name]])</f>
        <v>PC:D14427050Expora</v>
      </c>
      <c r="D2187" s="36" t="s">
        <v>936</v>
      </c>
      <c r="E2187" s="49" t="s">
        <v>746</v>
      </c>
      <c r="F2187" s="49" t="s">
        <v>345</v>
      </c>
      <c r="G2187" s="101" t="s">
        <v>278</v>
      </c>
    </row>
    <row r="2188" spans="1:7" hidden="1">
      <c r="A2188" s="36" t="s">
        <v>2363</v>
      </c>
      <c r="B2188" s="36" t="s">
        <v>314</v>
      </c>
      <c r="C2188" s="36" t="str">
        <f>_xlfn.CONCAT(Table4[[#This Row],[Ledger Name]],Table4[[#This Row],[Entity Name]])</f>
        <v>PC:D14435631Expora</v>
      </c>
      <c r="D2188" s="36" t="s">
        <v>936</v>
      </c>
      <c r="E2188" s="49" t="s">
        <v>746</v>
      </c>
      <c r="F2188" s="49" t="s">
        <v>345</v>
      </c>
      <c r="G2188" s="101" t="s">
        <v>278</v>
      </c>
    </row>
    <row r="2189" spans="1:7" hidden="1">
      <c r="A2189" s="36" t="s">
        <v>2364</v>
      </c>
      <c r="B2189" s="36" t="s">
        <v>314</v>
      </c>
      <c r="C2189" s="36" t="str">
        <f>_xlfn.CONCAT(Table4[[#This Row],[Ledger Name]],Table4[[#This Row],[Entity Name]])</f>
        <v>PC:D14489517Expora</v>
      </c>
      <c r="D2189" s="36" t="s">
        <v>936</v>
      </c>
      <c r="E2189" s="49" t="s">
        <v>746</v>
      </c>
      <c r="F2189" s="49" t="s">
        <v>345</v>
      </c>
      <c r="G2189" s="101" t="s">
        <v>278</v>
      </c>
    </row>
    <row r="2190" spans="1:7" hidden="1">
      <c r="A2190" s="36" t="s">
        <v>2365</v>
      </c>
      <c r="B2190" s="36" t="s">
        <v>314</v>
      </c>
      <c r="C2190" s="36" t="str">
        <f>_xlfn.CONCAT(Table4[[#This Row],[Ledger Name]],Table4[[#This Row],[Entity Name]])</f>
        <v>PC:D14512107Expora</v>
      </c>
      <c r="D2190" s="36" t="s">
        <v>936</v>
      </c>
      <c r="E2190" s="49" t="s">
        <v>746</v>
      </c>
      <c r="F2190" s="49" t="s">
        <v>345</v>
      </c>
      <c r="G2190" s="101" t="s">
        <v>278</v>
      </c>
    </row>
    <row r="2191" spans="1:7" hidden="1">
      <c r="A2191" s="36" t="s">
        <v>2366</v>
      </c>
      <c r="B2191" s="36" t="s">
        <v>314</v>
      </c>
      <c r="C2191" s="36" t="str">
        <f>_xlfn.CONCAT(Table4[[#This Row],[Ledger Name]],Table4[[#This Row],[Entity Name]])</f>
        <v>PC:D14529867Expora</v>
      </c>
      <c r="D2191" s="36" t="s">
        <v>936</v>
      </c>
      <c r="E2191" s="49" t="s">
        <v>746</v>
      </c>
      <c r="F2191" s="49" t="s">
        <v>345</v>
      </c>
      <c r="G2191" s="101" t="s">
        <v>278</v>
      </c>
    </row>
    <row r="2192" spans="1:7" hidden="1">
      <c r="A2192" s="36" t="s">
        <v>2367</v>
      </c>
      <c r="B2192" s="36" t="s">
        <v>314</v>
      </c>
      <c r="C2192" s="36" t="str">
        <f>_xlfn.CONCAT(Table4[[#This Row],[Ledger Name]],Table4[[#This Row],[Entity Name]])</f>
        <v>PC:D14542327Expora</v>
      </c>
      <c r="D2192" s="36" t="s">
        <v>936</v>
      </c>
      <c r="E2192" s="49" t="s">
        <v>746</v>
      </c>
      <c r="F2192" s="49" t="s">
        <v>345</v>
      </c>
      <c r="G2192" s="101" t="s">
        <v>278</v>
      </c>
    </row>
    <row r="2193" spans="1:7" hidden="1">
      <c r="A2193" s="36" t="s">
        <v>2368</v>
      </c>
      <c r="B2193" s="36" t="s">
        <v>314</v>
      </c>
      <c r="C2193" s="36" t="str">
        <f>_xlfn.CONCAT(Table4[[#This Row],[Ledger Name]],Table4[[#This Row],[Entity Name]])</f>
        <v>PC:D14563767Expora</v>
      </c>
      <c r="D2193" s="36" t="s">
        <v>936</v>
      </c>
      <c r="E2193" s="49" t="s">
        <v>746</v>
      </c>
      <c r="F2193" s="49" t="s">
        <v>345</v>
      </c>
      <c r="G2193" s="101" t="s">
        <v>278</v>
      </c>
    </row>
    <row r="2194" spans="1:7" hidden="1">
      <c r="A2194" s="36" t="s">
        <v>2369</v>
      </c>
      <c r="B2194" s="36" t="s">
        <v>314</v>
      </c>
      <c r="C2194" s="36" t="str">
        <f>_xlfn.CONCAT(Table4[[#This Row],[Ledger Name]],Table4[[#This Row],[Entity Name]])</f>
        <v>PC;D14428352Expora</v>
      </c>
      <c r="D2194" s="36" t="s">
        <v>936</v>
      </c>
      <c r="E2194" s="49" t="s">
        <v>746</v>
      </c>
      <c r="F2194" s="49" t="s">
        <v>345</v>
      </c>
      <c r="G2194" s="101" t="s">
        <v>278</v>
      </c>
    </row>
    <row r="2195" spans="1:7" hidden="1">
      <c r="A2195" s="36" t="s">
        <v>2370</v>
      </c>
      <c r="B2195" s="36" t="s">
        <v>314</v>
      </c>
      <c r="C2195" s="36" t="str">
        <f>_xlfn.CONCAT(Table4[[#This Row],[Ledger Name]],Table4[[#This Row],[Entity Name]])</f>
        <v>TDS on Foreign paymentsExpora</v>
      </c>
      <c r="D2195" s="36" t="s">
        <v>936</v>
      </c>
      <c r="E2195" s="49" t="s">
        <v>746</v>
      </c>
      <c r="F2195" s="49" t="s">
        <v>63</v>
      </c>
      <c r="G2195" s="24" t="s">
        <v>63</v>
      </c>
    </row>
    <row r="2196" spans="1:7" hidden="1">
      <c r="A2196" s="36" t="s">
        <v>2371</v>
      </c>
      <c r="B2196" s="36" t="s">
        <v>314</v>
      </c>
      <c r="C2196" s="36" t="str">
        <f>_xlfn.CONCAT(Table4[[#This Row],[Ledger Name]],Table4[[#This Row],[Entity Name]])</f>
        <v>SE/2082/6287 DDBExpora</v>
      </c>
      <c r="D2196" s="36" t="s">
        <v>936</v>
      </c>
      <c r="E2196" s="49" t="s">
        <v>152</v>
      </c>
      <c r="F2196" s="49" t="s">
        <v>189</v>
      </c>
      <c r="G2196" s="101" t="s">
        <v>163</v>
      </c>
    </row>
    <row r="2197" spans="1:7" hidden="1">
      <c r="A2197" s="36" t="s">
        <v>2372</v>
      </c>
      <c r="B2197" s="36" t="s">
        <v>314</v>
      </c>
      <c r="C2197" s="36" t="str">
        <f>_xlfn.CONCAT(Table4[[#This Row],[Ledger Name]],Table4[[#This Row],[Entity Name]])</f>
        <v>TAEXP26271-DDBExpora</v>
      </c>
      <c r="D2197" s="36" t="s">
        <v>936</v>
      </c>
      <c r="E2197" s="49" t="s">
        <v>152</v>
      </c>
      <c r="F2197" s="49" t="s">
        <v>189</v>
      </c>
      <c r="G2197" s="101" t="s">
        <v>163</v>
      </c>
    </row>
    <row r="2198" spans="1:7" hidden="1">
      <c r="A2198" s="36" t="s">
        <v>2373</v>
      </c>
      <c r="B2198" s="36" t="s">
        <v>314</v>
      </c>
      <c r="C2198" s="36" t="str">
        <f>_xlfn.CONCAT(Table4[[#This Row],[Ledger Name]],Table4[[#This Row],[Entity Name]])</f>
        <v>TAEXP26274 DDBExpora</v>
      </c>
      <c r="D2198" s="36" t="s">
        <v>936</v>
      </c>
      <c r="E2198" s="49" t="s">
        <v>152</v>
      </c>
      <c r="F2198" s="49" t="s">
        <v>189</v>
      </c>
      <c r="G2198" s="101" t="s">
        <v>163</v>
      </c>
    </row>
    <row r="2199" spans="1:7" hidden="1">
      <c r="A2199" s="36" t="s">
        <v>2374</v>
      </c>
      <c r="B2199" s="36" t="s">
        <v>314</v>
      </c>
      <c r="C2199" s="36" t="str">
        <f>_xlfn.CONCAT(Table4[[#This Row],[Ledger Name]],Table4[[#This Row],[Entity Name]])</f>
        <v>TAEXP26275 DDBExpora</v>
      </c>
      <c r="D2199" s="36" t="s">
        <v>936</v>
      </c>
      <c r="E2199" s="49" t="s">
        <v>152</v>
      </c>
      <c r="F2199" s="49" t="s">
        <v>189</v>
      </c>
      <c r="G2199" s="101" t="s">
        <v>163</v>
      </c>
    </row>
    <row r="2200" spans="1:7" hidden="1">
      <c r="A2200" s="36" t="s">
        <v>2375</v>
      </c>
      <c r="B2200" s="36" t="s">
        <v>314</v>
      </c>
      <c r="C2200" s="36" t="str">
        <f>_xlfn.CONCAT(Table4[[#This Row],[Ledger Name]],Table4[[#This Row],[Entity Name]])</f>
        <v>SE/2082/6287 RodtepExpora</v>
      </c>
      <c r="D2200" s="36" t="s">
        <v>936</v>
      </c>
      <c r="E2200" s="49" t="s">
        <v>152</v>
      </c>
      <c r="F2200" s="49" t="s">
        <v>189</v>
      </c>
      <c r="G2200" s="101" t="s">
        <v>313</v>
      </c>
    </row>
    <row r="2201" spans="1:7" hidden="1">
      <c r="A2201" s="36" t="s">
        <v>2376</v>
      </c>
      <c r="B2201" s="36" t="s">
        <v>314</v>
      </c>
      <c r="C2201" s="36" t="str">
        <f>_xlfn.CONCAT(Table4[[#This Row],[Ledger Name]],Table4[[#This Row],[Entity Name]])</f>
        <v>TAEXP26271-RodtepExpora</v>
      </c>
      <c r="D2201" s="36" t="s">
        <v>936</v>
      </c>
      <c r="E2201" s="49" t="s">
        <v>152</v>
      </c>
      <c r="F2201" s="49" t="s">
        <v>189</v>
      </c>
      <c r="G2201" s="101" t="s">
        <v>313</v>
      </c>
    </row>
    <row r="2202" spans="1:7" hidden="1">
      <c r="A2202" s="36" t="s">
        <v>2377</v>
      </c>
      <c r="B2202" s="36" t="s">
        <v>314</v>
      </c>
      <c r="C2202" s="36" t="str">
        <f>_xlfn.CONCAT(Table4[[#This Row],[Ledger Name]],Table4[[#This Row],[Entity Name]])</f>
        <v>TAEXP26272-RodtepExpora</v>
      </c>
      <c r="D2202" s="36" t="s">
        <v>936</v>
      </c>
      <c r="E2202" s="49" t="s">
        <v>152</v>
      </c>
      <c r="F2202" s="49" t="s">
        <v>189</v>
      </c>
      <c r="G2202" s="101" t="s">
        <v>313</v>
      </c>
    </row>
    <row r="2203" spans="1:7" hidden="1">
      <c r="A2203" s="36" t="s">
        <v>2378</v>
      </c>
      <c r="B2203" s="36" t="s">
        <v>314</v>
      </c>
      <c r="C2203" s="36" t="str">
        <f>_xlfn.CONCAT(Table4[[#This Row],[Ledger Name]],Table4[[#This Row],[Entity Name]])</f>
        <v>TAEXP26273-RodtepExpora</v>
      </c>
      <c r="D2203" s="36" t="s">
        <v>936</v>
      </c>
      <c r="E2203" s="49" t="s">
        <v>152</v>
      </c>
      <c r="F2203" s="49" t="s">
        <v>189</v>
      </c>
      <c r="G2203" s="101" t="s">
        <v>313</v>
      </c>
    </row>
    <row r="2204" spans="1:7" hidden="1">
      <c r="A2204" s="36" t="s">
        <v>2379</v>
      </c>
      <c r="B2204" s="36" t="s">
        <v>314</v>
      </c>
      <c r="C2204" s="36" t="str">
        <f>_xlfn.CONCAT(Table4[[#This Row],[Ledger Name]],Table4[[#This Row],[Entity Name]])</f>
        <v>TAEXP26274 RodtepExpora</v>
      </c>
      <c r="D2204" s="36" t="s">
        <v>936</v>
      </c>
      <c r="E2204" s="49" t="s">
        <v>152</v>
      </c>
      <c r="F2204" s="49" t="s">
        <v>189</v>
      </c>
      <c r="G2204" s="101" t="s">
        <v>313</v>
      </c>
    </row>
    <row r="2205" spans="1:7" hidden="1">
      <c r="A2205" s="36" t="s">
        <v>2380</v>
      </c>
      <c r="B2205" s="36" t="s">
        <v>314</v>
      </c>
      <c r="C2205" s="36" t="str">
        <f>_xlfn.CONCAT(Table4[[#This Row],[Ledger Name]],Table4[[#This Row],[Entity Name]])</f>
        <v>TAEXP26275 RodtepExpora</v>
      </c>
      <c r="D2205" s="36" t="s">
        <v>936</v>
      </c>
      <c r="E2205" s="49" t="s">
        <v>152</v>
      </c>
      <c r="F2205" s="49" t="s">
        <v>189</v>
      </c>
      <c r="G2205" s="101" t="s">
        <v>313</v>
      </c>
    </row>
    <row r="2206" spans="1:7" hidden="1">
      <c r="A2206" s="36" t="s">
        <v>2381</v>
      </c>
      <c r="B2206" s="36" t="s">
        <v>314</v>
      </c>
      <c r="C2206" s="36" t="str">
        <f>_xlfn.CONCAT(Table4[[#This Row],[Ledger Name]],Table4[[#This Row],[Entity Name]])</f>
        <v>TAEXP26276 RodtepExpora</v>
      </c>
      <c r="D2206" s="36" t="s">
        <v>936</v>
      </c>
      <c r="E2206" s="49" t="s">
        <v>152</v>
      </c>
      <c r="F2206" s="49" t="s">
        <v>189</v>
      </c>
      <c r="G2206" s="101" t="s">
        <v>313</v>
      </c>
    </row>
    <row r="2207" spans="1:7" hidden="1">
      <c r="A2207" s="36" t="s">
        <v>2382</v>
      </c>
      <c r="B2207" s="36" t="s">
        <v>314</v>
      </c>
      <c r="C2207" s="36" t="str">
        <f>_xlfn.CONCAT(Table4[[#This Row],[Ledger Name]],Table4[[#This Row],[Entity Name]])</f>
        <v>TAEXP26278 RodtepExpora</v>
      </c>
      <c r="D2207" s="36" t="s">
        <v>936</v>
      </c>
      <c r="E2207" s="49" t="s">
        <v>152</v>
      </c>
      <c r="F2207" s="49" t="s">
        <v>189</v>
      </c>
      <c r="G2207" s="101" t="s">
        <v>313</v>
      </c>
    </row>
    <row r="2208" spans="1:7" hidden="1">
      <c r="A2208" s="36" t="s">
        <v>2383</v>
      </c>
      <c r="B2208" s="36" t="s">
        <v>314</v>
      </c>
      <c r="C2208" s="36" t="str">
        <f>_xlfn.CONCAT(Table4[[#This Row],[Ledger Name]],Table4[[#This Row],[Entity Name]])</f>
        <v>Air Freight Charges COGSExpora</v>
      </c>
      <c r="D2208" s="36" t="s">
        <v>936</v>
      </c>
      <c r="E2208" s="49" t="s">
        <v>152</v>
      </c>
      <c r="F2208" s="49" t="s">
        <v>93</v>
      </c>
      <c r="G2208" s="101" t="s">
        <v>138</v>
      </c>
    </row>
    <row r="2209" spans="1:7" hidden="1">
      <c r="A2209" s="36" t="s">
        <v>2384</v>
      </c>
      <c r="B2209" s="36" t="s">
        <v>314</v>
      </c>
      <c r="C2209" s="36" t="str">
        <f>_xlfn.CONCAT(Table4[[#This Row],[Ledger Name]],Table4[[#This Row],[Entity Name]])</f>
        <v>Amendment charges COGSExpora</v>
      </c>
      <c r="D2209" s="36" t="s">
        <v>936</v>
      </c>
      <c r="E2209" s="49" t="s">
        <v>152</v>
      </c>
      <c r="F2209" s="49" t="s">
        <v>93</v>
      </c>
      <c r="G2209" s="101" t="s">
        <v>138</v>
      </c>
    </row>
    <row r="2210" spans="1:7" hidden="1">
      <c r="A2210" s="36" t="s">
        <v>2385</v>
      </c>
      <c r="B2210" s="36" t="s">
        <v>314</v>
      </c>
      <c r="C2210" s="36" t="str">
        <f>_xlfn.CONCAT(Table4[[#This Row],[Ledger Name]],Table4[[#This Row],[Entity Name]])</f>
        <v>Analysis Charges COGSExpora</v>
      </c>
      <c r="D2210" s="36" t="s">
        <v>936</v>
      </c>
      <c r="E2210" s="49" t="s">
        <v>152</v>
      </c>
      <c r="F2210" s="49" t="s">
        <v>93</v>
      </c>
      <c r="G2210" s="101" t="s">
        <v>138</v>
      </c>
    </row>
    <row r="2211" spans="1:7" hidden="1">
      <c r="A2211" s="36" t="s">
        <v>2386</v>
      </c>
      <c r="B2211" s="36" t="s">
        <v>314</v>
      </c>
      <c r="C2211" s="36" t="str">
        <f>_xlfn.CONCAT(Table4[[#This Row],[Ledger Name]],Table4[[#This Row],[Entity Name]])</f>
        <v>BOPP BAGS COGSExpora</v>
      </c>
      <c r="D2211" s="36" t="s">
        <v>936</v>
      </c>
      <c r="E2211" s="49" t="s">
        <v>152</v>
      </c>
      <c r="F2211" s="49" t="s">
        <v>93</v>
      </c>
      <c r="G2211" s="101" t="s">
        <v>138</v>
      </c>
    </row>
    <row r="2212" spans="1:7" hidden="1">
      <c r="A2212" s="36" t="s">
        <v>2387</v>
      </c>
      <c r="B2212" s="36" t="s">
        <v>314</v>
      </c>
      <c r="C2212" s="36" t="str">
        <f>_xlfn.CONCAT(Table4[[#This Row],[Ledger Name]],Table4[[#This Row],[Entity Name]])</f>
        <v>Cargo Handling Charges COGSExpora</v>
      </c>
      <c r="D2212" s="36" t="s">
        <v>936</v>
      </c>
      <c r="E2212" s="49" t="s">
        <v>152</v>
      </c>
      <c r="F2212" s="49" t="s">
        <v>93</v>
      </c>
      <c r="G2212" s="101" t="s">
        <v>138</v>
      </c>
    </row>
    <row r="2213" spans="1:7" hidden="1">
      <c r="A2213" s="36" t="s">
        <v>2388</v>
      </c>
      <c r="B2213" s="36" t="s">
        <v>314</v>
      </c>
      <c r="C2213" s="36" t="str">
        <f>_xlfn.CONCAT(Table4[[#This Row],[Ledger Name]],Table4[[#This Row],[Entity Name]])</f>
        <v>CFS Charges COGSExpora</v>
      </c>
      <c r="D2213" s="36" t="s">
        <v>936</v>
      </c>
      <c r="E2213" s="49" t="s">
        <v>152</v>
      </c>
      <c r="F2213" s="49" t="s">
        <v>93</v>
      </c>
      <c r="G2213" s="101" t="s">
        <v>138</v>
      </c>
    </row>
    <row r="2214" spans="1:7" hidden="1">
      <c r="A2214" s="36" t="s">
        <v>2389</v>
      </c>
      <c r="B2214" s="36" t="s">
        <v>314</v>
      </c>
      <c r="C2214" s="36" t="str">
        <f>_xlfn.CONCAT(Table4[[#This Row],[Ledger Name]],Table4[[#This Row],[Entity Name]])</f>
        <v>CHA Charges COGSExpora</v>
      </c>
      <c r="D2214" s="36" t="s">
        <v>936</v>
      </c>
      <c r="E2214" s="49" t="s">
        <v>152</v>
      </c>
      <c r="F2214" s="49" t="s">
        <v>93</v>
      </c>
      <c r="G2214" s="101" t="s">
        <v>138</v>
      </c>
    </row>
    <row r="2215" spans="1:7" hidden="1">
      <c r="A2215" s="36" t="s">
        <v>2390</v>
      </c>
      <c r="B2215" s="36" t="s">
        <v>314</v>
      </c>
      <c r="C2215" s="36" t="str">
        <f>_xlfn.CONCAT(Table4[[#This Row],[Ledger Name]],Table4[[#This Row],[Entity Name]])</f>
        <v>Clearing Expenses CogsExpora</v>
      </c>
      <c r="D2215" s="36" t="s">
        <v>936</v>
      </c>
      <c r="E2215" s="49" t="s">
        <v>152</v>
      </c>
      <c r="F2215" s="49" t="s">
        <v>93</v>
      </c>
      <c r="G2215" s="101" t="s">
        <v>138</v>
      </c>
    </row>
    <row r="2216" spans="1:7" hidden="1">
      <c r="A2216" s="36" t="s">
        <v>2391</v>
      </c>
      <c r="B2216" s="36" t="s">
        <v>314</v>
      </c>
      <c r="C2216" s="36" t="str">
        <f>_xlfn.CONCAT(Table4[[#This Row],[Ledger Name]],Table4[[#This Row],[Entity Name]])</f>
        <v>Commission &amp; brokerage - Prior PeriodExpora</v>
      </c>
      <c r="D2216" s="36" t="s">
        <v>936</v>
      </c>
      <c r="E2216" s="49" t="s">
        <v>152</v>
      </c>
      <c r="F2216" s="49" t="s">
        <v>153</v>
      </c>
      <c r="G2216" s="101" t="s">
        <v>13</v>
      </c>
    </row>
    <row r="2217" spans="1:7" hidden="1">
      <c r="A2217" s="36" t="s">
        <v>2392</v>
      </c>
      <c r="B2217" s="36" t="s">
        <v>314</v>
      </c>
      <c r="C2217" s="36" t="str">
        <f>_xlfn.CONCAT(Table4[[#This Row],[Ledger Name]],Table4[[#This Row],[Entity Name]])</f>
        <v>Container Insurance ChgsExpora</v>
      </c>
      <c r="D2217" s="36" t="s">
        <v>936</v>
      </c>
      <c r="E2217" s="49" t="s">
        <v>152</v>
      </c>
      <c r="F2217" s="49" t="s">
        <v>93</v>
      </c>
      <c r="G2217" s="101" t="s">
        <v>138</v>
      </c>
    </row>
    <row r="2218" spans="1:7" hidden="1">
      <c r="A2218" s="36" t="s">
        <v>2393</v>
      </c>
      <c r="B2218" s="36" t="s">
        <v>314</v>
      </c>
      <c r="C2218" s="36" t="str">
        <f>_xlfn.CONCAT(Table4[[#This Row],[Ledger Name]],Table4[[#This Row],[Entity Name]])</f>
        <v>COO Charges COGSExpora</v>
      </c>
      <c r="D2218" s="36" t="s">
        <v>936</v>
      </c>
      <c r="E2218" s="49" t="s">
        <v>152</v>
      </c>
      <c r="F2218" s="49" t="s">
        <v>153</v>
      </c>
      <c r="G2218" s="101" t="s">
        <v>13</v>
      </c>
    </row>
    <row r="2219" spans="1:7" hidden="1">
      <c r="A2219" s="36" t="s">
        <v>2394</v>
      </c>
      <c r="B2219" s="36" t="s">
        <v>314</v>
      </c>
      <c r="C2219" s="36" t="str">
        <f>_xlfn.CONCAT(Table4[[#This Row],[Ledger Name]],Table4[[#This Row],[Entity Name]])</f>
        <v>Courier Exps COGSExpora</v>
      </c>
      <c r="D2219" s="36" t="s">
        <v>936</v>
      </c>
      <c r="E2219" s="49" t="s">
        <v>152</v>
      </c>
      <c r="F2219" s="49" t="s">
        <v>93</v>
      </c>
      <c r="G2219" s="101" t="s">
        <v>138</v>
      </c>
    </row>
    <row r="2220" spans="1:7" hidden="1">
      <c r="A2220" s="36" t="s">
        <v>2395</v>
      </c>
      <c r="B2220" s="36" t="s">
        <v>314</v>
      </c>
      <c r="C2220" s="36" t="str">
        <f>_xlfn.CONCAT(Table4[[#This Row],[Ledger Name]],Table4[[#This Row],[Entity Name]])</f>
        <v>Craft paper charges COGSExpora</v>
      </c>
      <c r="D2220" s="36" t="s">
        <v>936</v>
      </c>
      <c r="E2220" s="49" t="s">
        <v>152</v>
      </c>
      <c r="F2220" s="49" t="s">
        <v>93</v>
      </c>
      <c r="G2220" s="101" t="s">
        <v>138</v>
      </c>
    </row>
    <row r="2221" spans="1:7" hidden="1">
      <c r="A2221" s="36" t="s">
        <v>2396</v>
      </c>
      <c r="B2221" s="36" t="s">
        <v>314</v>
      </c>
      <c r="C2221" s="36" t="str">
        <f>_xlfn.CONCAT(Table4[[#This Row],[Ledger Name]],Table4[[#This Row],[Entity Name]])</f>
        <v>Development Charges COGSExpora</v>
      </c>
      <c r="D2221" s="36" t="s">
        <v>936</v>
      </c>
      <c r="E2221" s="49" t="s">
        <v>152</v>
      </c>
      <c r="F2221" s="49" t="s">
        <v>93</v>
      </c>
      <c r="G2221" s="101" t="s">
        <v>138</v>
      </c>
    </row>
    <row r="2222" spans="1:7" hidden="1">
      <c r="A2222" s="36" t="s">
        <v>2397</v>
      </c>
      <c r="B2222" s="36" t="s">
        <v>314</v>
      </c>
      <c r="C2222" s="36" t="str">
        <f>_xlfn.CONCAT(Table4[[#This Row],[Ledger Name]],Table4[[#This Row],[Entity Name]])</f>
        <v>Documentation COGSExpora</v>
      </c>
      <c r="D2222" s="36" t="s">
        <v>936</v>
      </c>
      <c r="E2222" s="49" t="s">
        <v>152</v>
      </c>
      <c r="F2222" s="49" t="s">
        <v>93</v>
      </c>
      <c r="G2222" s="101" t="s">
        <v>138</v>
      </c>
    </row>
    <row r="2223" spans="1:7" hidden="1">
      <c r="A2223" s="36" t="s">
        <v>2398</v>
      </c>
      <c r="B2223" s="36" t="s">
        <v>314</v>
      </c>
      <c r="C2223" s="36" t="str">
        <f>_xlfn.CONCAT(Table4[[#This Row],[Ledger Name]],Table4[[#This Row],[Entity Name]])</f>
        <v>Door Plastic Charges COGSExpora</v>
      </c>
      <c r="D2223" s="36" t="s">
        <v>936</v>
      </c>
      <c r="E2223" s="49" t="s">
        <v>152</v>
      </c>
      <c r="F2223" s="49" t="s">
        <v>93</v>
      </c>
      <c r="G2223" s="101" t="s">
        <v>138</v>
      </c>
    </row>
    <row r="2224" spans="1:7" hidden="1">
      <c r="A2224" s="36" t="s">
        <v>2399</v>
      </c>
      <c r="B2224" s="36" t="s">
        <v>314</v>
      </c>
      <c r="C2224" s="36" t="str">
        <f>_xlfn.CONCAT(Table4[[#This Row],[Ledger Name]],Table4[[#This Row],[Entity Name]])</f>
        <v>Freight charges COGSExpora</v>
      </c>
      <c r="D2224" s="36" t="s">
        <v>936</v>
      </c>
      <c r="E2224" s="49" t="s">
        <v>152</v>
      </c>
      <c r="F2224" s="49" t="s">
        <v>93</v>
      </c>
      <c r="G2224" s="101" t="s">
        <v>138</v>
      </c>
    </row>
    <row r="2225" spans="1:7" hidden="1">
      <c r="A2225" s="36" t="s">
        <v>2400</v>
      </c>
      <c r="B2225" s="36" t="s">
        <v>314</v>
      </c>
      <c r="C2225" s="36" t="str">
        <f>_xlfn.CONCAT(Table4[[#This Row],[Ledger Name]],Table4[[#This Row],[Entity Name]])</f>
        <v>Fumigation charges COGSExpora</v>
      </c>
      <c r="D2225" s="36" t="s">
        <v>936</v>
      </c>
      <c r="E2225" s="49" t="s">
        <v>152</v>
      </c>
      <c r="F2225" s="49" t="s">
        <v>93</v>
      </c>
      <c r="G2225" s="101" t="s">
        <v>138</v>
      </c>
    </row>
    <row r="2226" spans="1:7" hidden="1">
      <c r="A2226" s="36" t="s">
        <v>2401</v>
      </c>
      <c r="B2226" s="36" t="s">
        <v>314</v>
      </c>
      <c r="C2226" s="36" t="str">
        <f>_xlfn.CONCAT(Table4[[#This Row],[Ledger Name]],Table4[[#This Row],[Entity Name]])</f>
        <v>GOVT FEEExpora</v>
      </c>
      <c r="D2226" s="36" t="s">
        <v>936</v>
      </c>
      <c r="E2226" s="49" t="s">
        <v>152</v>
      </c>
      <c r="F2226" s="49" t="s">
        <v>153</v>
      </c>
      <c r="G2226" s="101" t="s">
        <v>13</v>
      </c>
    </row>
    <row r="2227" spans="1:7" hidden="1">
      <c r="A2227" s="36" t="s">
        <v>2402</v>
      </c>
      <c r="B2227" s="36" t="s">
        <v>314</v>
      </c>
      <c r="C2227" s="36" t="str">
        <f>_xlfn.CONCAT(Table4[[#This Row],[Ledger Name]],Table4[[#This Row],[Entity Name]])</f>
        <v>GSTP Charges COGSExpora</v>
      </c>
      <c r="D2227" s="36" t="s">
        <v>936</v>
      </c>
      <c r="E2227" s="49" t="s">
        <v>152</v>
      </c>
      <c r="F2227" s="49" t="s">
        <v>93</v>
      </c>
      <c r="G2227" s="101" t="s">
        <v>138</v>
      </c>
    </row>
    <row r="2228" spans="1:7" hidden="1">
      <c r="A2228" s="36" t="s">
        <v>2403</v>
      </c>
      <c r="B2228" s="36" t="s">
        <v>314</v>
      </c>
      <c r="C2228" s="36" t="str">
        <f>_xlfn.CONCAT(Table4[[#This Row],[Ledger Name]],Table4[[#This Row],[Entity Name]])</f>
        <v>Halting Exps COGSExpora</v>
      </c>
      <c r="D2228" s="36" t="s">
        <v>936</v>
      </c>
      <c r="E2228" s="49" t="s">
        <v>152</v>
      </c>
      <c r="F2228" s="49" t="s">
        <v>93</v>
      </c>
      <c r="G2228" s="101" t="s">
        <v>138</v>
      </c>
    </row>
    <row r="2229" spans="1:7" hidden="1">
      <c r="A2229" s="36" t="s">
        <v>2404</v>
      </c>
      <c r="B2229" s="36" t="s">
        <v>314</v>
      </c>
      <c r="C2229" s="36" t="str">
        <f>_xlfn.CONCAT(Table4[[#This Row],[Ledger Name]],Table4[[#This Row],[Entity Name]])</f>
        <v>Health Certificate COGSExpora</v>
      </c>
      <c r="D2229" s="36" t="s">
        <v>936</v>
      </c>
      <c r="E2229" s="49" t="s">
        <v>152</v>
      </c>
      <c r="F2229" s="49" t="s">
        <v>93</v>
      </c>
      <c r="G2229" s="101" t="s">
        <v>138</v>
      </c>
    </row>
    <row r="2230" spans="1:7" hidden="1">
      <c r="A2230" s="36" t="s">
        <v>2405</v>
      </c>
      <c r="B2230" s="36" t="s">
        <v>314</v>
      </c>
      <c r="C2230" s="36" t="str">
        <f>_xlfn.CONCAT(Table4[[#This Row],[Ledger Name]],Table4[[#This Row],[Entity Name]])</f>
        <v>Loading ChargesExpora</v>
      </c>
      <c r="D2230" s="36" t="s">
        <v>936</v>
      </c>
      <c r="E2230" s="49" t="s">
        <v>152</v>
      </c>
      <c r="F2230" s="49" t="s">
        <v>93</v>
      </c>
      <c r="G2230" s="101" t="s">
        <v>138</v>
      </c>
    </row>
    <row r="2231" spans="1:7" hidden="1">
      <c r="A2231" s="36" t="s">
        <v>2406</v>
      </c>
      <c r="B2231" s="36" t="s">
        <v>314</v>
      </c>
      <c r="C2231" s="36" t="str">
        <f>_xlfn.CONCAT(Table4[[#This Row],[Ledger Name]],Table4[[#This Row],[Entity Name]])</f>
        <v>Marine Insurance CogsExpora</v>
      </c>
      <c r="D2231" s="36" t="s">
        <v>936</v>
      </c>
      <c r="E2231" s="49" t="s">
        <v>152</v>
      </c>
      <c r="F2231" s="49" t="s">
        <v>93</v>
      </c>
      <c r="G2231" s="101" t="s">
        <v>138</v>
      </c>
    </row>
    <row r="2232" spans="1:7" hidden="1">
      <c r="A2232" s="36" t="s">
        <v>2407</v>
      </c>
      <c r="B2232" s="36" t="s">
        <v>314</v>
      </c>
      <c r="C2232" s="36" t="str">
        <f>_xlfn.CONCAT(Table4[[#This Row],[Ledger Name]],Table4[[#This Row],[Entity Name]])</f>
        <v>Miscellaneous Charges COGSExpora</v>
      </c>
      <c r="D2232" s="36" t="s">
        <v>936</v>
      </c>
      <c r="E2232" s="49" t="s">
        <v>152</v>
      </c>
      <c r="F2232" s="49" t="s">
        <v>93</v>
      </c>
      <c r="G2232" s="101" t="s">
        <v>138</v>
      </c>
    </row>
    <row r="2233" spans="1:7" hidden="1">
      <c r="A2233" s="36" t="s">
        <v>2408</v>
      </c>
      <c r="B2233" s="36" t="s">
        <v>314</v>
      </c>
      <c r="C2233" s="36" t="str">
        <f>_xlfn.CONCAT(Table4[[#This Row],[Ledger Name]],Table4[[#This Row],[Entity Name]])</f>
        <v>MUC COGSExpora</v>
      </c>
      <c r="D2233" s="36" t="s">
        <v>936</v>
      </c>
      <c r="E2233" s="49" t="s">
        <v>152</v>
      </c>
      <c r="F2233" s="49" t="s">
        <v>93</v>
      </c>
      <c r="G2233" s="101" t="s">
        <v>138</v>
      </c>
    </row>
    <row r="2234" spans="1:7" hidden="1">
      <c r="A2234" s="36" t="s">
        <v>2409</v>
      </c>
      <c r="B2234" s="36" t="s">
        <v>314</v>
      </c>
      <c r="C2234" s="36" t="str">
        <f>_xlfn.CONCAT(Table4[[#This Row],[Ledger Name]],Table4[[#This Row],[Entity Name]])</f>
        <v>Non Freight Charges COGSExpora</v>
      </c>
      <c r="D2234" s="36" t="s">
        <v>936</v>
      </c>
      <c r="E2234" s="49" t="s">
        <v>152</v>
      </c>
      <c r="F2234" s="49" t="s">
        <v>93</v>
      </c>
      <c r="G2234" s="101" t="s">
        <v>138</v>
      </c>
    </row>
    <row r="2235" spans="1:7" hidden="1">
      <c r="A2235" s="36" t="s">
        <v>2410</v>
      </c>
      <c r="B2235" s="36" t="s">
        <v>314</v>
      </c>
      <c r="C2235" s="36" t="str">
        <f>_xlfn.CONCAT(Table4[[#This Row],[Ledger Name]],Table4[[#This Row],[Entity Name]])</f>
        <v>Ocean Freight COGSExpora</v>
      </c>
      <c r="D2235" s="36" t="s">
        <v>936</v>
      </c>
      <c r="E2235" s="49" t="s">
        <v>152</v>
      </c>
      <c r="F2235" s="49" t="s">
        <v>93</v>
      </c>
      <c r="G2235" s="101" t="s">
        <v>138</v>
      </c>
    </row>
    <row r="2236" spans="1:7" hidden="1">
      <c r="A2236" s="36" t="s">
        <v>2411</v>
      </c>
      <c r="B2236" s="36" t="s">
        <v>314</v>
      </c>
      <c r="C2236" s="36" t="str">
        <f>_xlfn.CONCAT(Table4[[#This Row],[Ledger Name]],Table4[[#This Row],[Entity Name]])</f>
        <v>Packaging Exp COGSExpora</v>
      </c>
      <c r="D2236" s="36" t="s">
        <v>936</v>
      </c>
      <c r="E2236" s="49" t="s">
        <v>152</v>
      </c>
      <c r="F2236" s="49" t="s">
        <v>93</v>
      </c>
      <c r="G2236" s="101" t="s">
        <v>138</v>
      </c>
    </row>
    <row r="2237" spans="1:7" hidden="1">
      <c r="A2237" s="36" t="s">
        <v>2412</v>
      </c>
      <c r="B2237" s="36" t="s">
        <v>314</v>
      </c>
      <c r="C2237" s="36" t="str">
        <f>_xlfn.CONCAT(Table4[[#This Row],[Ledger Name]],Table4[[#This Row],[Entity Name]])</f>
        <v>Phytosanitary charges COGSExpora</v>
      </c>
      <c r="D2237" s="36" t="s">
        <v>936</v>
      </c>
      <c r="E2237" s="49" t="s">
        <v>152</v>
      </c>
      <c r="F2237" s="49" t="s">
        <v>93</v>
      </c>
      <c r="G2237" s="101" t="s">
        <v>138</v>
      </c>
    </row>
    <row r="2238" spans="1:7" hidden="1">
      <c r="A2238" s="36" t="s">
        <v>2413</v>
      </c>
      <c r="B2238" s="36" t="s">
        <v>314</v>
      </c>
      <c r="C2238" s="36" t="str">
        <f>_xlfn.CONCAT(Table4[[#This Row],[Ledger Name]],Table4[[#This Row],[Entity Name]])</f>
        <v>Plant Charges COGSExpora</v>
      </c>
      <c r="D2238" s="36" t="s">
        <v>936</v>
      </c>
      <c r="E2238" s="49" t="s">
        <v>152</v>
      </c>
      <c r="F2238" s="49" t="s">
        <v>93</v>
      </c>
      <c r="G2238" s="101" t="s">
        <v>138</v>
      </c>
    </row>
    <row r="2239" spans="1:7" hidden="1">
      <c r="A2239" s="36" t="s">
        <v>2414</v>
      </c>
      <c r="B2239" s="36" t="s">
        <v>314</v>
      </c>
      <c r="C2239" s="36" t="str">
        <f>_xlfn.CONCAT(Table4[[#This Row],[Ledger Name]],Table4[[#This Row],[Entity Name]])</f>
        <v>Repository charges COGSExpora</v>
      </c>
      <c r="D2239" s="36" t="s">
        <v>936</v>
      </c>
      <c r="E2239" s="49" t="s">
        <v>152</v>
      </c>
      <c r="F2239" s="49" t="s">
        <v>93</v>
      </c>
      <c r="G2239" s="101" t="s">
        <v>138</v>
      </c>
    </row>
    <row r="2240" spans="1:7" hidden="1">
      <c r="A2240" s="36" t="s">
        <v>2415</v>
      </c>
      <c r="B2240" s="36" t="s">
        <v>314</v>
      </c>
      <c r="C2240" s="36" t="str">
        <f>_xlfn.CONCAT(Table4[[#This Row],[Ledger Name]],Table4[[#This Row],[Entity Name]])</f>
        <v>RoyaltiesExpora</v>
      </c>
      <c r="D2240" s="36" t="s">
        <v>936</v>
      </c>
      <c r="E2240" s="49" t="s">
        <v>152</v>
      </c>
      <c r="F2240" s="49" t="s">
        <v>93</v>
      </c>
      <c r="G2240" s="106" t="s">
        <v>50</v>
      </c>
    </row>
    <row r="2241" spans="1:7" hidden="1">
      <c r="A2241" s="36" t="s">
        <v>2416</v>
      </c>
      <c r="B2241" s="36" t="s">
        <v>314</v>
      </c>
      <c r="C2241" s="36" t="str">
        <f>_xlfn.CONCAT(Table4[[#This Row],[Ledger Name]],Table4[[#This Row],[Entity Name]])</f>
        <v>SEAL CHARGES COGSExpora</v>
      </c>
      <c r="D2241" s="36" t="s">
        <v>936</v>
      </c>
      <c r="E2241" s="49" t="s">
        <v>152</v>
      </c>
      <c r="F2241" s="49" t="s">
        <v>93</v>
      </c>
      <c r="G2241" s="101" t="s">
        <v>138</v>
      </c>
    </row>
    <row r="2242" spans="1:7" hidden="1">
      <c r="A2242" s="36" t="s">
        <v>2417</v>
      </c>
      <c r="B2242" s="36" t="s">
        <v>314</v>
      </c>
      <c r="C2242" s="36" t="str">
        <f>_xlfn.CONCAT(Table4[[#This Row],[Ledger Name]],Table4[[#This Row],[Entity Name]])</f>
        <v>SEAWAY BL CHARGES COGSExpora</v>
      </c>
      <c r="D2242" s="36" t="s">
        <v>936</v>
      </c>
      <c r="E2242" s="49" t="s">
        <v>152</v>
      </c>
      <c r="F2242" s="49" t="s">
        <v>93</v>
      </c>
      <c r="G2242" s="101" t="s">
        <v>138</v>
      </c>
    </row>
    <row r="2243" spans="1:7" hidden="1">
      <c r="A2243" s="36" t="s">
        <v>2418</v>
      </c>
      <c r="B2243" s="36" t="s">
        <v>314</v>
      </c>
      <c r="C2243" s="36" t="str">
        <f>_xlfn.CONCAT(Table4[[#This Row],[Ledger Name]],Table4[[#This Row],[Entity Name]])</f>
        <v>SHIPPING LINE CHARGESExpora</v>
      </c>
      <c r="D2243" s="36" t="s">
        <v>936</v>
      </c>
      <c r="E2243" s="49" t="s">
        <v>152</v>
      </c>
      <c r="F2243" s="49" t="s">
        <v>153</v>
      </c>
      <c r="G2243" s="101" t="s">
        <v>13</v>
      </c>
    </row>
    <row r="2244" spans="1:7" hidden="1">
      <c r="A2244" s="36" t="s">
        <v>2419</v>
      </c>
      <c r="B2244" s="36" t="s">
        <v>314</v>
      </c>
      <c r="C2244" s="36" t="str">
        <f>_xlfn.CONCAT(Table4[[#This Row],[Ledger Name]],Table4[[#This Row],[Entity Name]])</f>
        <v>SSR Charges COGSExpora</v>
      </c>
      <c r="D2244" s="36" t="s">
        <v>936</v>
      </c>
      <c r="E2244" s="49" t="s">
        <v>152</v>
      </c>
      <c r="F2244" s="49" t="s">
        <v>93</v>
      </c>
      <c r="G2244" s="101" t="s">
        <v>138</v>
      </c>
    </row>
    <row r="2245" spans="1:7" hidden="1">
      <c r="A2245" s="36" t="s">
        <v>2420</v>
      </c>
      <c r="B2245" s="36" t="s">
        <v>314</v>
      </c>
      <c r="C2245" s="36" t="str">
        <f>_xlfn.CONCAT(Table4[[#This Row],[Ledger Name]],Table4[[#This Row],[Entity Name]])</f>
        <v>Stamp duty COGSExpora</v>
      </c>
      <c r="D2245" s="36" t="s">
        <v>936</v>
      </c>
      <c r="E2245" s="49" t="s">
        <v>152</v>
      </c>
      <c r="F2245" s="49" t="s">
        <v>93</v>
      </c>
      <c r="G2245" s="101" t="s">
        <v>138</v>
      </c>
    </row>
    <row r="2246" spans="1:7" hidden="1">
      <c r="A2246" s="36" t="s">
        <v>2421</v>
      </c>
      <c r="B2246" s="36" t="s">
        <v>314</v>
      </c>
      <c r="C2246" s="36" t="str">
        <f>_xlfn.CONCAT(Table4[[#This Row],[Ledger Name]],Table4[[#This Row],[Entity Name]])</f>
        <v>STUFFING CHARGESExpora</v>
      </c>
      <c r="D2246" s="36" t="s">
        <v>936</v>
      </c>
      <c r="E2246" s="49" t="s">
        <v>152</v>
      </c>
      <c r="F2246" s="49" t="s">
        <v>93</v>
      </c>
      <c r="G2246" s="101" t="s">
        <v>138</v>
      </c>
    </row>
    <row r="2247" spans="1:7" hidden="1">
      <c r="A2247" s="36" t="s">
        <v>2422</v>
      </c>
      <c r="B2247" s="36" t="s">
        <v>314</v>
      </c>
      <c r="C2247" s="36" t="str">
        <f>_xlfn.CONCAT(Table4[[#This Row],[Ledger Name]],Table4[[#This Row],[Entity Name]])</f>
        <v>TAEXP26273Expora</v>
      </c>
      <c r="D2247" s="36" t="s">
        <v>936</v>
      </c>
      <c r="E2247" s="49" t="s">
        <v>152</v>
      </c>
      <c r="F2247" s="49" t="s">
        <v>93</v>
      </c>
      <c r="G2247" s="101" t="s">
        <v>138</v>
      </c>
    </row>
    <row r="2248" spans="1:7" hidden="1">
      <c r="A2248" s="36" t="s">
        <v>2423</v>
      </c>
      <c r="B2248" s="36" t="s">
        <v>314</v>
      </c>
      <c r="C2248" s="36" t="str">
        <f>_xlfn.CONCAT(Table4[[#This Row],[Ledger Name]],Table4[[#This Row],[Entity Name]])</f>
        <v>TALOC26270041Expora</v>
      </c>
      <c r="D2248" s="36" t="s">
        <v>936</v>
      </c>
      <c r="E2248" s="36" t="s">
        <v>152</v>
      </c>
      <c r="F2248" s="49" t="s">
        <v>93</v>
      </c>
      <c r="G2248" s="36" t="s">
        <v>138</v>
      </c>
    </row>
    <row r="2249" spans="1:7" hidden="1">
      <c r="A2249" s="36" t="s">
        <v>2424</v>
      </c>
      <c r="B2249" s="36" t="s">
        <v>314</v>
      </c>
      <c r="C2249" s="36" t="str">
        <f>_xlfn.CONCAT(Table4[[#This Row],[Ledger Name]],Table4[[#This Row],[Entity Name]])</f>
        <v>TALOC26270042Expora</v>
      </c>
      <c r="D2249" s="36" t="s">
        <v>936</v>
      </c>
      <c r="E2249" s="36" t="s">
        <v>152</v>
      </c>
      <c r="F2249" s="49" t="s">
        <v>93</v>
      </c>
      <c r="G2249" s="36" t="s">
        <v>138</v>
      </c>
    </row>
    <row r="2250" spans="1:7" hidden="1">
      <c r="A2250" s="36" t="s">
        <v>2425</v>
      </c>
      <c r="B2250" s="36" t="s">
        <v>314</v>
      </c>
      <c r="C2250" s="36" t="str">
        <f>_xlfn.CONCAT(Table4[[#This Row],[Ledger Name]],Table4[[#This Row],[Entity Name]])</f>
        <v>Testing/Inspection Charges CogsExpora</v>
      </c>
      <c r="D2250" s="36" t="s">
        <v>936</v>
      </c>
      <c r="E2250" s="49" t="s">
        <v>152</v>
      </c>
      <c r="F2250" s="49" t="s">
        <v>93</v>
      </c>
      <c r="G2250" s="101" t="s">
        <v>138</v>
      </c>
    </row>
    <row r="2251" spans="1:7" hidden="1">
      <c r="A2251" s="36" t="s">
        <v>2426</v>
      </c>
      <c r="B2251" s="36" t="s">
        <v>314</v>
      </c>
      <c r="C2251" s="36" t="str">
        <f>_xlfn.CONCAT(Table4[[#This Row],[Ledger Name]],Table4[[#This Row],[Entity Name]])</f>
        <v>THC Charges COGSExpora</v>
      </c>
      <c r="D2251" s="36" t="s">
        <v>936</v>
      </c>
      <c r="E2251" s="49" t="s">
        <v>152</v>
      </c>
      <c r="F2251" s="49" t="s">
        <v>93</v>
      </c>
      <c r="G2251" s="101" t="s">
        <v>138</v>
      </c>
    </row>
    <row r="2252" spans="1:7" hidden="1">
      <c r="A2252" s="36" t="s">
        <v>2427</v>
      </c>
      <c r="B2252" s="36" t="s">
        <v>314</v>
      </c>
      <c r="C2252" s="36" t="str">
        <f>_xlfn.CONCAT(Table4[[#This Row],[Ledger Name]],Table4[[#This Row],[Entity Name]])</f>
        <v>Toll Fee COGSExpora</v>
      </c>
      <c r="D2252" s="36" t="s">
        <v>936</v>
      </c>
      <c r="E2252" s="49" t="s">
        <v>152</v>
      </c>
      <c r="F2252" s="49" t="s">
        <v>93</v>
      </c>
      <c r="G2252" s="101" t="s">
        <v>138</v>
      </c>
    </row>
    <row r="2253" spans="1:7" hidden="1">
      <c r="A2253" s="36" t="s">
        <v>2428</v>
      </c>
      <c r="B2253" s="36" t="s">
        <v>314</v>
      </c>
      <c r="C2253" s="36" t="str">
        <f>_xlfn.CONCAT(Table4[[#This Row],[Ledger Name]],Table4[[#This Row],[Entity Name]])</f>
        <v>Transport Expenses COGSExpora</v>
      </c>
      <c r="D2253" s="36" t="s">
        <v>936</v>
      </c>
      <c r="E2253" s="49" t="s">
        <v>152</v>
      </c>
      <c r="F2253" s="49" t="s">
        <v>93</v>
      </c>
      <c r="G2253" s="101" t="s">
        <v>138</v>
      </c>
    </row>
    <row r="2254" spans="1:7" hidden="1">
      <c r="A2254" s="36" t="s">
        <v>2429</v>
      </c>
      <c r="B2254" s="36" t="s">
        <v>314</v>
      </c>
      <c r="C2254" s="36" t="str">
        <f>_xlfn.CONCAT(Table4[[#This Row],[Ledger Name]],Table4[[#This Row],[Entity Name]])</f>
        <v>VISA EXPExpora</v>
      </c>
      <c r="D2254" s="36" t="s">
        <v>936</v>
      </c>
      <c r="E2254" s="49" t="s">
        <v>152</v>
      </c>
      <c r="F2254" s="49" t="s">
        <v>8</v>
      </c>
      <c r="G2254" s="101" t="s">
        <v>84</v>
      </c>
    </row>
    <row r="2255" spans="1:7" hidden="1">
      <c r="A2255" s="36" t="s">
        <v>2430</v>
      </c>
      <c r="B2255" s="36" t="s">
        <v>314</v>
      </c>
      <c r="C2255" s="36" t="str">
        <f>_xlfn.CONCAT(Table4[[#This Row],[Ledger Name]],Table4[[#This Row],[Entity Name]])</f>
        <v>Weighment charges COGSExpora</v>
      </c>
      <c r="D2255" s="36" t="s">
        <v>936</v>
      </c>
      <c r="E2255" s="49" t="s">
        <v>152</v>
      </c>
      <c r="F2255" s="49" t="s">
        <v>93</v>
      </c>
      <c r="G2255" s="101" t="s">
        <v>138</v>
      </c>
    </row>
    <row r="2256" spans="1:7" hidden="1">
      <c r="A2256" s="36" t="s">
        <v>1168</v>
      </c>
      <c r="B2256" s="36" t="s">
        <v>314</v>
      </c>
      <c r="C2256" s="36" t="str">
        <f>_xlfn.CONCAT(Table4[[#This Row],[Ledger Name]],Table4[[#This Row],[Entity Name]])</f>
        <v>write offExpora</v>
      </c>
      <c r="D2256" s="36" t="s">
        <v>936</v>
      </c>
      <c r="E2256" s="49" t="s">
        <v>152</v>
      </c>
      <c r="F2256" s="49" t="s">
        <v>153</v>
      </c>
      <c r="G2256" s="101" t="s">
        <v>13</v>
      </c>
    </row>
    <row r="2257" spans="1:7" hidden="1">
      <c r="A2257" s="36" t="s">
        <v>2431</v>
      </c>
      <c r="B2257" s="36" t="s">
        <v>826</v>
      </c>
      <c r="C2257" s="36" t="str">
        <f>_xlfn.CONCAT(Table4[[#This Row],[Ledger Name]],Table4[[#This Row],[Entity Name]])</f>
        <v>CoolerArha General Trading Co (AGT)</v>
      </c>
      <c r="D2257" s="36" t="s">
        <v>936</v>
      </c>
      <c r="E2257" s="49" t="s">
        <v>746</v>
      </c>
      <c r="F2257" s="49" t="s">
        <v>346</v>
      </c>
      <c r="G2257" s="182" t="s">
        <v>346</v>
      </c>
    </row>
    <row r="2258" spans="1:7" hidden="1">
      <c r="A2258" s="36" t="s">
        <v>2432</v>
      </c>
      <c r="B2258" s="36" t="s">
        <v>826</v>
      </c>
      <c r="C2258" s="36" t="str">
        <f>_xlfn.CONCAT(Table4[[#This Row],[Ledger Name]],Table4[[#This Row],[Entity Name]])</f>
        <v>CycleArha General Trading Co (AGT)</v>
      </c>
      <c r="D2258" s="36" t="s">
        <v>936</v>
      </c>
      <c r="E2258" s="49" t="s">
        <v>746</v>
      </c>
      <c r="F2258" s="49" t="s">
        <v>346</v>
      </c>
      <c r="G2258" s="182" t="s">
        <v>346</v>
      </c>
    </row>
    <row r="2259" spans="1:7" hidden="1">
      <c r="A2259" s="36" t="s">
        <v>2433</v>
      </c>
      <c r="B2259" s="36" t="s">
        <v>826</v>
      </c>
      <c r="C2259" s="36" t="str">
        <f>_xlfn.CONCAT(Table4[[#This Row],[Ledger Name]],Table4[[#This Row],[Entity Name]])</f>
        <v>Security Deposit With Shipping LinceArha General Trading Co (AGT)</v>
      </c>
      <c r="D2259" s="36" t="s">
        <v>936</v>
      </c>
      <c r="E2259" s="49" t="s">
        <v>746</v>
      </c>
      <c r="F2259" s="49" t="s">
        <v>52</v>
      </c>
      <c r="G2259" s="101" t="s">
        <v>1602</v>
      </c>
    </row>
    <row r="2260" spans="1:7" hidden="1">
      <c r="A2260" s="36" t="s">
        <v>2434</v>
      </c>
      <c r="B2260" s="36" t="s">
        <v>826</v>
      </c>
      <c r="C2260" s="36" t="str">
        <f>_xlfn.CONCAT(Table4[[#This Row],[Ledger Name]],Table4[[#This Row],[Entity Name]])</f>
        <v>DTDC Deposit (Warehouse)Arha General Trading Co (AGT)</v>
      </c>
      <c r="D2260" s="36" t="s">
        <v>936</v>
      </c>
      <c r="E2260" s="49" t="s">
        <v>746</v>
      </c>
      <c r="F2260" s="49" t="s">
        <v>52</v>
      </c>
      <c r="G2260" s="101" t="s">
        <v>1602</v>
      </c>
    </row>
    <row r="2261" spans="1:7" hidden="1">
      <c r="A2261" s="36" t="s">
        <v>2435</v>
      </c>
      <c r="B2261" s="36" t="s">
        <v>826</v>
      </c>
      <c r="C2261" s="36" t="str">
        <f>_xlfn.CONCAT(Table4[[#This Row],[Ledger Name]],Table4[[#This Row],[Entity Name]])</f>
        <v>Hand Pallet Truck 3 TonArha General Trading Co (AGT)</v>
      </c>
      <c r="D2261" s="36" t="s">
        <v>936</v>
      </c>
      <c r="E2261" s="49" t="s">
        <v>746</v>
      </c>
      <c r="F2261" s="49" t="s">
        <v>346</v>
      </c>
      <c r="G2261" s="182" t="s">
        <v>346</v>
      </c>
    </row>
    <row r="2262" spans="1:7" hidden="1">
      <c r="A2262" s="36" t="s">
        <v>2436</v>
      </c>
      <c r="B2262" s="36" t="s">
        <v>826</v>
      </c>
      <c r="C2262" s="36" t="str">
        <f>_xlfn.CONCAT(Table4[[#This Row],[Ledger Name]],Table4[[#This Row],[Entity Name]])</f>
        <v>Irshad Ali (Visa)Arha General Trading Co (AGT)</v>
      </c>
      <c r="D2262" s="36" t="s">
        <v>936</v>
      </c>
      <c r="E2262" s="49" t="s">
        <v>746</v>
      </c>
      <c r="F2262" s="49" t="s">
        <v>52</v>
      </c>
      <c r="G2262" s="24" t="s">
        <v>1605</v>
      </c>
    </row>
    <row r="2263" spans="1:7" hidden="1">
      <c r="A2263" s="36" t="s">
        <v>2437</v>
      </c>
      <c r="B2263" s="36" t="s">
        <v>826</v>
      </c>
      <c r="C2263" s="36" t="str">
        <f>_xlfn.CONCAT(Table4[[#This Row],[Ledger Name]],Table4[[#This Row],[Entity Name]])</f>
        <v>Ismail Shah (Visa)Arha General Trading Co (AGT)</v>
      </c>
      <c r="D2263" s="36" t="s">
        <v>936</v>
      </c>
      <c r="E2263" s="49" t="s">
        <v>746</v>
      </c>
      <c r="F2263" s="49" t="s">
        <v>52</v>
      </c>
      <c r="G2263" s="24" t="s">
        <v>1605</v>
      </c>
    </row>
    <row r="2264" spans="1:7" hidden="1">
      <c r="A2264" s="36" t="s">
        <v>2438</v>
      </c>
      <c r="B2264" s="36" t="s">
        <v>826</v>
      </c>
      <c r="C2264" s="36" t="str">
        <f>_xlfn.CONCAT(Table4[[#This Row],[Ledger Name]],Table4[[#This Row],[Entity Name]])</f>
        <v>Muhammad Hussain ( Visa )Arha General Trading Co (AGT)</v>
      </c>
      <c r="D2264" s="36" t="s">
        <v>936</v>
      </c>
      <c r="E2264" s="49" t="s">
        <v>746</v>
      </c>
      <c r="F2264" s="49" t="s">
        <v>52</v>
      </c>
      <c r="G2264" s="24" t="s">
        <v>1605</v>
      </c>
    </row>
    <row r="2265" spans="1:7" hidden="1">
      <c r="A2265" s="36" t="s">
        <v>2439</v>
      </c>
      <c r="B2265" s="36" t="s">
        <v>826</v>
      </c>
      <c r="C2265" s="36" t="str">
        <f>_xlfn.CONCAT(Table4[[#This Row],[Ledger Name]],Table4[[#This Row],[Entity Name]])</f>
        <v>Prepaid Employee InsuranceArha General Trading Co (AGT)</v>
      </c>
      <c r="D2265" s="36" t="s">
        <v>936</v>
      </c>
      <c r="E2265" s="49" t="s">
        <v>746</v>
      </c>
      <c r="F2265" s="49" t="s">
        <v>52</v>
      </c>
      <c r="G2265" s="24" t="s">
        <v>1605</v>
      </c>
    </row>
    <row r="2266" spans="1:7" hidden="1">
      <c r="A2266" s="36" t="s">
        <v>2440</v>
      </c>
      <c r="B2266" s="36" t="s">
        <v>826</v>
      </c>
      <c r="C2266" s="36" t="str">
        <f>_xlfn.CONCAT(Table4[[#This Row],[Ledger Name]],Table4[[#This Row],[Entity Name]])</f>
        <v>Prepaid expenses - wastageArha General Trading Co (AGT)</v>
      </c>
      <c r="D2266" s="36" t="s">
        <v>936</v>
      </c>
      <c r="E2266" s="49" t="s">
        <v>746</v>
      </c>
      <c r="F2266" s="49" t="s">
        <v>52</v>
      </c>
      <c r="G2266" s="24" t="s">
        <v>1605</v>
      </c>
    </row>
    <row r="2267" spans="1:7" hidden="1">
      <c r="A2267" s="36" t="s">
        <v>2441</v>
      </c>
      <c r="B2267" s="36" t="s">
        <v>826</v>
      </c>
      <c r="C2267" s="36" t="str">
        <f>_xlfn.CONCAT(Table4[[#This Row],[Ledger Name]],Table4[[#This Row],[Entity Name]])</f>
        <v>Prepaid Visa ExpenseArha General Trading Co (AGT)</v>
      </c>
      <c r="D2267" s="36" t="s">
        <v>936</v>
      </c>
      <c r="E2267" s="49" t="s">
        <v>746</v>
      </c>
      <c r="F2267" s="49" t="s">
        <v>52</v>
      </c>
      <c r="G2267" s="24" t="s">
        <v>1605</v>
      </c>
    </row>
    <row r="2268" spans="1:7" hidden="1">
      <c r="A2268" s="36" t="s">
        <v>2442</v>
      </c>
      <c r="B2268" s="36" t="s">
        <v>826</v>
      </c>
      <c r="C2268" s="36" t="str">
        <f>_xlfn.CONCAT(Table4[[#This Row],[Ledger Name]],Table4[[#This Row],[Entity Name]])</f>
        <v>PrinterArha General Trading Co (AGT)</v>
      </c>
      <c r="D2268" s="36" t="s">
        <v>936</v>
      </c>
      <c r="E2268" s="49" t="s">
        <v>746</v>
      </c>
      <c r="F2268" s="49" t="s">
        <v>346</v>
      </c>
      <c r="G2268" s="182" t="s">
        <v>346</v>
      </c>
    </row>
    <row r="2269" spans="1:7" hidden="1">
      <c r="A2269" s="36" t="s">
        <v>2443</v>
      </c>
      <c r="B2269" s="36" t="s">
        <v>826</v>
      </c>
      <c r="C2269" s="36" t="str">
        <f>_xlfn.CONCAT(Table4[[#This Row],[Ledger Name]],Table4[[#This Row],[Entity Name]])</f>
        <v>Statching MachineArha General Trading Co (AGT)</v>
      </c>
      <c r="D2269" s="36" t="s">
        <v>936</v>
      </c>
      <c r="E2269" s="49" t="s">
        <v>746</v>
      </c>
      <c r="F2269" s="49" t="s">
        <v>346</v>
      </c>
      <c r="G2269" s="182" t="s">
        <v>346</v>
      </c>
    </row>
    <row r="2270" spans="1:7" hidden="1">
      <c r="A2270" s="36" t="s">
        <v>2444</v>
      </c>
      <c r="B2270" s="36" t="s">
        <v>826</v>
      </c>
      <c r="C2270" s="36" t="str">
        <f>_xlfn.CONCAT(Table4[[#This Row],[Ledger Name]],Table4[[#This Row],[Entity Name]])</f>
        <v>TrolleyArha General Trading Co (AGT)</v>
      </c>
      <c r="D2270" s="36" t="s">
        <v>936</v>
      </c>
      <c r="E2270" s="49" t="s">
        <v>746</v>
      </c>
      <c r="F2270" s="49" t="s">
        <v>346</v>
      </c>
      <c r="G2270" s="182" t="s">
        <v>346</v>
      </c>
    </row>
    <row r="2271" spans="1:7" hidden="1">
      <c r="A2271" s="36" t="s">
        <v>2445</v>
      </c>
      <c r="B2271" s="36" t="s">
        <v>826</v>
      </c>
      <c r="C2271" s="36" t="str">
        <f>_xlfn.CONCAT(Table4[[#This Row],[Ledger Name]],Table4[[#This Row],[Entity Name]])</f>
        <v>Weight MachineArha General Trading Co (AGT)</v>
      </c>
      <c r="D2271" s="36" t="s">
        <v>936</v>
      </c>
      <c r="E2271" s="49" t="s">
        <v>746</v>
      </c>
      <c r="F2271" s="49" t="s">
        <v>346</v>
      </c>
      <c r="G2271" s="182" t="s">
        <v>346</v>
      </c>
    </row>
    <row r="2272" spans="1:7" hidden="1">
      <c r="A2272" s="36" t="s">
        <v>2446</v>
      </c>
      <c r="B2272" s="36" t="s">
        <v>826</v>
      </c>
      <c r="C2272" s="36" t="str">
        <f>_xlfn.CONCAT(Table4[[#This Row],[Ledger Name]],Table4[[#This Row],[Entity Name]])</f>
        <v>Zahid Hussain (Visa)Arha General Trading Co (AGT)</v>
      </c>
      <c r="D2272" s="36" t="s">
        <v>936</v>
      </c>
      <c r="E2272" s="49" t="s">
        <v>746</v>
      </c>
      <c r="F2272" s="49" t="s">
        <v>52</v>
      </c>
      <c r="G2272" s="24" t="s">
        <v>1605</v>
      </c>
    </row>
    <row r="2273" spans="1:7" hidden="1">
      <c r="A2273" s="36" t="s">
        <v>2447</v>
      </c>
      <c r="B2273" s="36" t="s">
        <v>826</v>
      </c>
      <c r="C2273" s="36" t="str">
        <f>_xlfn.CONCAT(Table4[[#This Row],[Ledger Name]],Table4[[#This Row],[Entity Name]])</f>
        <v>Employee GratuityArha General Trading Co (AGT)</v>
      </c>
      <c r="D2273" s="36" t="s">
        <v>936</v>
      </c>
      <c r="E2273" s="49" t="s">
        <v>746</v>
      </c>
      <c r="F2273" s="49" t="s">
        <v>195</v>
      </c>
      <c r="G2273" s="24" t="s">
        <v>1622</v>
      </c>
    </row>
    <row r="2274" spans="1:7" hidden="1">
      <c r="A2274" s="36" t="s">
        <v>2448</v>
      </c>
      <c r="B2274" s="36" t="s">
        <v>826</v>
      </c>
      <c r="C2274" s="36" t="str">
        <f>_xlfn.CONCAT(Table4[[#This Row],[Ledger Name]],Table4[[#This Row],[Entity Name]])</f>
        <v>ARGT/LOC/2025/702GArha General Trading Co (AGT)</v>
      </c>
      <c r="D2274" s="36" t="s">
        <v>936</v>
      </c>
      <c r="E2274" s="36" t="s">
        <v>152</v>
      </c>
      <c r="F2274" s="49" t="s">
        <v>93</v>
      </c>
      <c r="G2274" s="36" t="s">
        <v>138</v>
      </c>
    </row>
    <row r="2275" spans="1:7" hidden="1">
      <c r="A2275" s="36" t="s">
        <v>2449</v>
      </c>
      <c r="B2275" s="36" t="s">
        <v>826</v>
      </c>
      <c r="C2275" s="36" t="str">
        <f>_xlfn.CONCAT(Table4[[#This Row],[Ledger Name]],Table4[[#This Row],[Entity Name]])</f>
        <v>ARGT/LOC/2025/764Arha General Trading Co (AGT)</v>
      </c>
      <c r="D2275" s="36" t="s">
        <v>936</v>
      </c>
      <c r="E2275" s="36" t="s">
        <v>152</v>
      </c>
      <c r="F2275" s="49" t="s">
        <v>93</v>
      </c>
      <c r="G2275" s="36" t="s">
        <v>138</v>
      </c>
    </row>
    <row r="2276" spans="1:7" hidden="1">
      <c r="A2276" s="36" t="s">
        <v>2450</v>
      </c>
      <c r="B2276" s="36" t="s">
        <v>826</v>
      </c>
      <c r="C2276" s="36" t="str">
        <f>_xlfn.CONCAT(Table4[[#This Row],[Ledger Name]],Table4[[#This Row],[Entity Name]])</f>
        <v>ARGT/LOC/2025/772Arha General Trading Co (AGT)</v>
      </c>
      <c r="D2276" s="36" t="s">
        <v>936</v>
      </c>
      <c r="E2276" s="36" t="s">
        <v>152</v>
      </c>
      <c r="F2276" s="49" t="s">
        <v>93</v>
      </c>
      <c r="G2276" s="36" t="s">
        <v>138</v>
      </c>
    </row>
    <row r="2277" spans="1:7" hidden="1">
      <c r="A2277" s="36" t="s">
        <v>2451</v>
      </c>
      <c r="B2277" s="36" t="s">
        <v>826</v>
      </c>
      <c r="C2277" s="36" t="str">
        <f>_xlfn.CONCAT(Table4[[#This Row],[Ledger Name]],Table4[[#This Row],[Entity Name]])</f>
        <v>ARGT/LOC/2026/009AArha General Trading Co (AGT)</v>
      </c>
      <c r="D2277" s="36" t="s">
        <v>936</v>
      </c>
      <c r="E2277" s="36" t="s">
        <v>152</v>
      </c>
      <c r="F2277" s="49" t="s">
        <v>93</v>
      </c>
      <c r="G2277" s="36" t="s">
        <v>138</v>
      </c>
    </row>
    <row r="2278" spans="1:7" hidden="1">
      <c r="A2278" s="36" t="s">
        <v>2452</v>
      </c>
      <c r="B2278" s="36" t="s">
        <v>826</v>
      </c>
      <c r="C2278" s="36" t="str">
        <f>_xlfn.CONCAT(Table4[[#This Row],[Ledger Name]],Table4[[#This Row],[Entity Name]])</f>
        <v>ARGT/LOC/2026/018Arha General Trading Co (AGT)</v>
      </c>
      <c r="D2278" s="36" t="s">
        <v>936</v>
      </c>
      <c r="E2278" s="36" t="s">
        <v>152</v>
      </c>
      <c r="F2278" s="49" t="s">
        <v>93</v>
      </c>
      <c r="G2278" s="36" t="s">
        <v>138</v>
      </c>
    </row>
    <row r="2279" spans="1:7" hidden="1">
      <c r="A2279" s="36" t="s">
        <v>2453</v>
      </c>
      <c r="B2279" s="36" t="s">
        <v>826</v>
      </c>
      <c r="C2279" s="36" t="str">
        <f>_xlfn.CONCAT(Table4[[#This Row],[Ledger Name]],Table4[[#This Row],[Entity Name]])</f>
        <v>ARGT/LOC/2026/143Arha General Trading Co (AGT)</v>
      </c>
      <c r="D2279" s="36" t="s">
        <v>936</v>
      </c>
      <c r="E2279" s="36" t="s">
        <v>152</v>
      </c>
      <c r="F2279" s="49" t="s">
        <v>93</v>
      </c>
      <c r="G2279" s="36" t="s">
        <v>138</v>
      </c>
    </row>
    <row r="2280" spans="1:7" hidden="1">
      <c r="A2280" s="36" t="s">
        <v>2454</v>
      </c>
      <c r="B2280" s="36" t="s">
        <v>826</v>
      </c>
      <c r="C2280" s="36" t="str">
        <f>_xlfn.CONCAT(Table4[[#This Row],[Ledger Name]],Table4[[#This Row],[Entity Name]])</f>
        <v>ARGT/LOC/2026/205Arha General Trading Co (AGT)</v>
      </c>
      <c r="D2280" s="36" t="s">
        <v>936</v>
      </c>
      <c r="E2280" s="36" t="s">
        <v>152</v>
      </c>
      <c r="F2280" s="49" t="s">
        <v>93</v>
      </c>
      <c r="G2280" s="36" t="s">
        <v>138</v>
      </c>
    </row>
    <row r="2281" spans="1:7" hidden="1">
      <c r="A2281" s="36" t="s">
        <v>2455</v>
      </c>
      <c r="B2281" s="36" t="s">
        <v>826</v>
      </c>
      <c r="C2281" s="36" t="str">
        <f>_xlfn.CONCAT(Table4[[#This Row],[Ledger Name]],Table4[[#This Row],[Entity Name]])</f>
        <v>ARGT/LOC/2026/230Arha General Trading Co (AGT)</v>
      </c>
      <c r="D2281" s="36" t="s">
        <v>936</v>
      </c>
      <c r="E2281" s="36" t="s">
        <v>152</v>
      </c>
      <c r="F2281" s="49" t="s">
        <v>93</v>
      </c>
      <c r="G2281" s="36" t="s">
        <v>138</v>
      </c>
    </row>
    <row r="2282" spans="1:7" hidden="1">
      <c r="A2282" s="36" t="s">
        <v>2456</v>
      </c>
      <c r="B2282" s="36" t="s">
        <v>826</v>
      </c>
      <c r="C2282" s="36" t="str">
        <f>_xlfn.CONCAT(Table4[[#This Row],[Ledger Name]],Table4[[#This Row],[Entity Name]])</f>
        <v>ARGT/LOC/2026/241Arha General Trading Co (AGT)</v>
      </c>
      <c r="D2282" s="36" t="s">
        <v>936</v>
      </c>
      <c r="E2282" s="36" t="s">
        <v>152</v>
      </c>
      <c r="F2282" s="49" t="s">
        <v>93</v>
      </c>
      <c r="G2282" s="36" t="s">
        <v>138</v>
      </c>
    </row>
    <row r="2283" spans="1:7" hidden="1">
      <c r="A2283" s="36" t="s">
        <v>2457</v>
      </c>
      <c r="B2283" s="36" t="s">
        <v>826</v>
      </c>
      <c r="C2283" s="36" t="str">
        <f>_xlfn.CONCAT(Table4[[#This Row],[Ledger Name]],Table4[[#This Row],[Entity Name]])</f>
        <v>ARGT/LOC/2026/259Arha General Trading Co (AGT)</v>
      </c>
      <c r="D2283" s="36" t="s">
        <v>936</v>
      </c>
      <c r="E2283" s="36" t="s">
        <v>152</v>
      </c>
      <c r="F2283" s="49" t="s">
        <v>93</v>
      </c>
      <c r="G2283" s="36" t="s">
        <v>138</v>
      </c>
    </row>
    <row r="2284" spans="1:7" hidden="1">
      <c r="A2284" s="36" t="s">
        <v>2458</v>
      </c>
      <c r="B2284" s="36" t="s">
        <v>826</v>
      </c>
      <c r="C2284" s="36" t="str">
        <f>_xlfn.CONCAT(Table4[[#This Row],[Ledger Name]],Table4[[#This Row],[Entity Name]])</f>
        <v>ARGT/LOC/2026/274Arha General Trading Co (AGT)</v>
      </c>
      <c r="D2284" s="36" t="s">
        <v>936</v>
      </c>
      <c r="E2284" s="36" t="s">
        <v>152</v>
      </c>
      <c r="F2284" s="49" t="s">
        <v>93</v>
      </c>
      <c r="G2284" s="36" t="s">
        <v>138</v>
      </c>
    </row>
    <row r="2285" spans="1:7" hidden="1">
      <c r="A2285" s="36" t="s">
        <v>2459</v>
      </c>
      <c r="B2285" s="36" t="s">
        <v>826</v>
      </c>
      <c r="C2285" s="36" t="str">
        <f>_xlfn.CONCAT(Table4[[#This Row],[Ledger Name]],Table4[[#This Row],[Entity Name]])</f>
        <v>ARGT/LOC/2026/275Arha General Trading Co (AGT)</v>
      </c>
      <c r="D2285" s="36" t="s">
        <v>936</v>
      </c>
      <c r="E2285" s="36" t="s">
        <v>152</v>
      </c>
      <c r="F2285" s="49" t="s">
        <v>93</v>
      </c>
      <c r="G2285" s="36" t="s">
        <v>138</v>
      </c>
    </row>
    <row r="2286" spans="1:7" hidden="1">
      <c r="A2286" s="36" t="s">
        <v>2460</v>
      </c>
      <c r="B2286" s="36" t="s">
        <v>826</v>
      </c>
      <c r="C2286" s="36" t="str">
        <f>_xlfn.CONCAT(Table4[[#This Row],[Ledger Name]],Table4[[#This Row],[Entity Name]])</f>
        <v>ARGT/LOC/2026/276Arha General Trading Co (AGT)</v>
      </c>
      <c r="D2286" s="36" t="s">
        <v>936</v>
      </c>
      <c r="E2286" s="36" t="s">
        <v>152</v>
      </c>
      <c r="F2286" s="49" t="s">
        <v>93</v>
      </c>
      <c r="G2286" s="36" t="s">
        <v>138</v>
      </c>
    </row>
    <row r="2287" spans="1:7" hidden="1">
      <c r="A2287" s="36" t="s">
        <v>2461</v>
      </c>
      <c r="B2287" s="36" t="s">
        <v>826</v>
      </c>
      <c r="C2287" s="36" t="str">
        <f>_xlfn.CONCAT(Table4[[#This Row],[Ledger Name]],Table4[[#This Row],[Entity Name]])</f>
        <v>ARGT/LOC/2026/283AArha General Trading Co (AGT)</v>
      </c>
      <c r="D2287" s="36" t="s">
        <v>936</v>
      </c>
      <c r="E2287" s="36" t="s">
        <v>152</v>
      </c>
      <c r="F2287" s="49" t="s">
        <v>93</v>
      </c>
      <c r="G2287" s="36" t="s">
        <v>138</v>
      </c>
    </row>
    <row r="2288" spans="1:7" hidden="1">
      <c r="A2288" s="36" t="s">
        <v>2462</v>
      </c>
      <c r="B2288" s="36" t="s">
        <v>826</v>
      </c>
      <c r="C2288" s="36" t="str">
        <f>_xlfn.CONCAT(Table4[[#This Row],[Ledger Name]],Table4[[#This Row],[Entity Name]])</f>
        <v>ARGT/LOC/2026/284Arha General Trading Co (AGT)</v>
      </c>
      <c r="D2288" s="36" t="s">
        <v>936</v>
      </c>
      <c r="E2288" s="36" t="s">
        <v>152</v>
      </c>
      <c r="F2288" s="49" t="s">
        <v>93</v>
      </c>
      <c r="G2288" s="36" t="s">
        <v>138</v>
      </c>
    </row>
    <row r="2289" spans="1:7" hidden="1">
      <c r="A2289" s="36" t="s">
        <v>2463</v>
      </c>
      <c r="B2289" s="36" t="s">
        <v>826</v>
      </c>
      <c r="C2289" s="36" t="str">
        <f>_xlfn.CONCAT(Table4[[#This Row],[Ledger Name]],Table4[[#This Row],[Entity Name]])</f>
        <v>ARGT/LOC/2026/293Arha General Trading Co (AGT)</v>
      </c>
      <c r="D2289" s="36" t="s">
        <v>936</v>
      </c>
      <c r="E2289" s="36" t="s">
        <v>152</v>
      </c>
      <c r="F2289" s="49" t="s">
        <v>93</v>
      </c>
      <c r="G2289" s="36" t="s">
        <v>138</v>
      </c>
    </row>
    <row r="2290" spans="1:7" hidden="1">
      <c r="A2290" s="36" t="s">
        <v>2464</v>
      </c>
      <c r="B2290" s="36" t="s">
        <v>826</v>
      </c>
      <c r="C2290" s="36" t="str">
        <f>_xlfn.CONCAT(Table4[[#This Row],[Ledger Name]],Table4[[#This Row],[Entity Name]])</f>
        <v>ARGT/LOC/2026/304Arha General Trading Co (AGT)</v>
      </c>
      <c r="D2290" s="36" t="s">
        <v>936</v>
      </c>
      <c r="E2290" s="36" t="s">
        <v>152</v>
      </c>
      <c r="F2290" s="49" t="s">
        <v>93</v>
      </c>
      <c r="G2290" s="36" t="s">
        <v>138</v>
      </c>
    </row>
    <row r="2291" spans="1:7" hidden="1">
      <c r="A2291" s="36" t="s">
        <v>2465</v>
      </c>
      <c r="B2291" s="36" t="s">
        <v>826</v>
      </c>
      <c r="C2291" s="36" t="str">
        <f>_xlfn.CONCAT(Table4[[#This Row],[Ledger Name]],Table4[[#This Row],[Entity Name]])</f>
        <v>ARGT/LOC/2026/392Arha General Trading Co (AGT)</v>
      </c>
      <c r="D2291" s="36" t="s">
        <v>936</v>
      </c>
      <c r="E2291" s="36" t="s">
        <v>152</v>
      </c>
      <c r="F2291" s="49" t="s">
        <v>93</v>
      </c>
      <c r="G2291" s="36" t="s">
        <v>138</v>
      </c>
    </row>
    <row r="2292" spans="1:7" hidden="1">
      <c r="A2292" s="36" t="s">
        <v>2466</v>
      </c>
      <c r="B2292" s="36" t="s">
        <v>826</v>
      </c>
      <c r="C2292" s="36" t="str">
        <f>_xlfn.CONCAT(Table4[[#This Row],[Ledger Name]],Table4[[#This Row],[Entity Name]])</f>
        <v>BCPL/53/26Arha General Trading Co (AGT)</v>
      </c>
      <c r="D2292" s="36" t="s">
        <v>936</v>
      </c>
      <c r="E2292" s="36" t="s">
        <v>152</v>
      </c>
      <c r="F2292" s="49" t="s">
        <v>93</v>
      </c>
      <c r="G2292" s="36" t="s">
        <v>138</v>
      </c>
    </row>
    <row r="2293" spans="1:7" hidden="1">
      <c r="A2293" s="36" t="s">
        <v>200</v>
      </c>
      <c r="B2293" s="36" t="s">
        <v>826</v>
      </c>
      <c r="C2293" s="36" t="str">
        <f>_xlfn.CONCAT(Table4[[#This Row],[Ledger Name]],Table4[[#This Row],[Entity Name]])</f>
        <v>Certificate of OriginArha General Trading Co (AGT)</v>
      </c>
      <c r="D2293" s="36" t="s">
        <v>936</v>
      </c>
      <c r="E2293" s="36" t="s">
        <v>152</v>
      </c>
      <c r="F2293" s="49" t="s">
        <v>93</v>
      </c>
      <c r="G2293" s="36" t="s">
        <v>138</v>
      </c>
    </row>
    <row r="2294" spans="1:7" hidden="1">
      <c r="A2294" s="36" t="s">
        <v>2467</v>
      </c>
      <c r="B2294" s="36" t="s">
        <v>826</v>
      </c>
      <c r="C2294" s="36" t="str">
        <f>_xlfn.CONCAT(Table4[[#This Row],[Ledger Name]],Table4[[#This Row],[Entity Name]])</f>
        <v>Cleaning ExpensesArha General Trading Co (AGT)</v>
      </c>
      <c r="D2294" s="36" t="s">
        <v>936</v>
      </c>
      <c r="E2294" s="49" t="s">
        <v>152</v>
      </c>
      <c r="F2294" s="49" t="s">
        <v>5</v>
      </c>
      <c r="G2294" s="101" t="s">
        <v>13</v>
      </c>
    </row>
    <row r="2295" spans="1:7" hidden="1">
      <c r="A2295" s="36" t="s">
        <v>2468</v>
      </c>
      <c r="B2295" s="36" t="s">
        <v>826</v>
      </c>
      <c r="C2295" s="36" t="str">
        <f>_xlfn.CONCAT(Table4[[#This Row],[Ledger Name]],Table4[[#This Row],[Entity Name]])</f>
        <v>Interest on VATArha General Trading Co (AGT)</v>
      </c>
      <c r="D2295" s="36" t="s">
        <v>936</v>
      </c>
      <c r="E2295" s="49" t="s">
        <v>152</v>
      </c>
      <c r="F2295" s="49" t="s">
        <v>5</v>
      </c>
      <c r="G2295" s="101" t="s">
        <v>13</v>
      </c>
    </row>
    <row r="2296" spans="1:7" hidden="1">
      <c r="A2296" s="36" t="s">
        <v>397</v>
      </c>
      <c r="B2296" s="36" t="s">
        <v>826</v>
      </c>
      <c r="C2296" s="36" t="str">
        <f>_xlfn.CONCAT(Table4[[#This Row],[Ledger Name]],Table4[[#This Row],[Entity Name]])</f>
        <v>IT and Internet ExpensesArha General Trading Co (AGT)</v>
      </c>
      <c r="D2296" s="36" t="s">
        <v>936</v>
      </c>
      <c r="E2296" s="49" t="s">
        <v>152</v>
      </c>
      <c r="F2296" s="49" t="s">
        <v>5</v>
      </c>
      <c r="G2296" s="101" t="s">
        <v>7</v>
      </c>
    </row>
    <row r="2297" spans="1:7" hidden="1">
      <c r="A2297" s="36" t="s">
        <v>2469</v>
      </c>
      <c r="B2297" s="36" t="s">
        <v>826</v>
      </c>
      <c r="C2297" s="36" t="str">
        <f>_xlfn.CONCAT(Table4[[#This Row],[Ledger Name]],Table4[[#This Row],[Entity Name]])</f>
        <v>KGT-IN-062053Arha General Trading Co (AGT)</v>
      </c>
      <c r="D2297" s="36" t="s">
        <v>936</v>
      </c>
      <c r="E2297" s="36" t="s">
        <v>152</v>
      </c>
      <c r="F2297" s="49" t="s">
        <v>93</v>
      </c>
      <c r="G2297" s="36" t="s">
        <v>138</v>
      </c>
    </row>
    <row r="2298" spans="1:7" hidden="1">
      <c r="A2298" s="36" t="s">
        <v>2470</v>
      </c>
      <c r="B2298" s="36" t="s">
        <v>826</v>
      </c>
      <c r="C2298" s="36" t="str">
        <f>_xlfn.CONCAT(Table4[[#This Row],[Ledger Name]],Table4[[#This Row],[Entity Name]])</f>
        <v>MT/50165Arha General Trading Co (AGT)</v>
      </c>
      <c r="D2298" s="36" t="s">
        <v>936</v>
      </c>
      <c r="E2298" s="36" t="s">
        <v>152</v>
      </c>
      <c r="F2298" s="49" t="s">
        <v>93</v>
      </c>
      <c r="G2298" s="36" t="s">
        <v>138</v>
      </c>
    </row>
    <row r="2299" spans="1:7" hidden="1">
      <c r="A2299" s="36" t="s">
        <v>5</v>
      </c>
      <c r="B2299" s="36" t="s">
        <v>826</v>
      </c>
      <c r="C2299" s="36" t="str">
        <f>_xlfn.CONCAT(Table4[[#This Row],[Ledger Name]],Table4[[#This Row],[Entity Name]])</f>
        <v>Office ExpensesArha General Trading Co (AGT)</v>
      </c>
      <c r="D2299" s="36" t="s">
        <v>936</v>
      </c>
      <c r="E2299" s="49" t="s">
        <v>152</v>
      </c>
      <c r="F2299" s="49" t="s">
        <v>5</v>
      </c>
      <c r="G2299" s="101" t="s">
        <v>13</v>
      </c>
    </row>
    <row r="2300" spans="1:7" hidden="1">
      <c r="A2300" s="36" t="s">
        <v>2471</v>
      </c>
      <c r="B2300" s="36" t="s">
        <v>826</v>
      </c>
      <c r="C2300" s="36" t="str">
        <f>_xlfn.CONCAT(Table4[[#This Row],[Ledger Name]],Table4[[#This Row],[Entity Name]])</f>
        <v>Rate DifferenceArha General Trading Co (AGT)</v>
      </c>
      <c r="D2300" s="36" t="s">
        <v>936</v>
      </c>
      <c r="E2300" s="49" t="s">
        <v>152</v>
      </c>
      <c r="F2300" s="49" t="s">
        <v>5</v>
      </c>
      <c r="G2300" s="101" t="s">
        <v>13</v>
      </c>
    </row>
    <row r="2301" spans="1:7" hidden="1">
      <c r="A2301" s="36" t="s">
        <v>2472</v>
      </c>
      <c r="B2301" s="36" t="s">
        <v>826</v>
      </c>
      <c r="C2301" s="36" t="str">
        <f>_xlfn.CONCAT(Table4[[#This Row],[Ledger Name]],Table4[[#This Row],[Entity Name]])</f>
        <v>Petrol Expenses (Salary)Arha General Trading Co (AGT)</v>
      </c>
      <c r="D2301" s="36" t="s">
        <v>936</v>
      </c>
      <c r="E2301" s="49" t="s">
        <v>152</v>
      </c>
      <c r="F2301" s="49" t="s">
        <v>2</v>
      </c>
      <c r="G2301" s="101" t="s">
        <v>73</v>
      </c>
    </row>
    <row r="2302" spans="1:7" hidden="1">
      <c r="A2302" s="36" t="s">
        <v>2473</v>
      </c>
      <c r="B2302" s="36" t="s">
        <v>826</v>
      </c>
      <c r="C2302" s="36" t="str">
        <f>_xlfn.CONCAT(Table4[[#This Row],[Ledger Name]],Table4[[#This Row],[Entity Name]])</f>
        <v>Salary and WagesArha General Trading Co (AGT)</v>
      </c>
      <c r="D2302" s="36" t="s">
        <v>936</v>
      </c>
      <c r="E2302" s="49" t="s">
        <v>152</v>
      </c>
      <c r="F2302" s="49" t="s">
        <v>2</v>
      </c>
      <c r="G2302" s="101" t="s">
        <v>73</v>
      </c>
    </row>
    <row r="2303" spans="1:7" hidden="1">
      <c r="A2303" s="36" t="s">
        <v>2474</v>
      </c>
      <c r="B2303" s="36" t="s">
        <v>826</v>
      </c>
      <c r="C2303" s="36" t="str">
        <f>_xlfn.CONCAT(Table4[[#This Row],[Ledger Name]],Table4[[#This Row],[Entity Name]])</f>
        <v>Sales Promotion (Gift Voucher)Arha General Trading Co (AGT)</v>
      </c>
      <c r="D2303" s="36" t="s">
        <v>936</v>
      </c>
      <c r="E2303" s="36" t="s">
        <v>152</v>
      </c>
      <c r="F2303" s="49" t="s">
        <v>93</v>
      </c>
      <c r="G2303" s="36" t="s">
        <v>138</v>
      </c>
    </row>
    <row r="2304" spans="1:7" hidden="1">
      <c r="A2304" s="36" t="s">
        <v>2475</v>
      </c>
      <c r="B2304" s="36" t="s">
        <v>826</v>
      </c>
      <c r="C2304" s="36" t="str">
        <f>_xlfn.CONCAT(Table4[[#This Row],[Ledger Name]],Table4[[#This Row],[Entity Name]])</f>
        <v>SM/06/26-27Arha General Trading Co (AGT)</v>
      </c>
      <c r="D2304" s="36" t="s">
        <v>936</v>
      </c>
      <c r="E2304" s="36" t="s">
        <v>152</v>
      </c>
      <c r="F2304" s="49" t="s">
        <v>93</v>
      </c>
      <c r="G2304" s="36" t="s">
        <v>138</v>
      </c>
    </row>
    <row r="2305" spans="1:7" hidden="1">
      <c r="A2305" s="36" t="s">
        <v>2476</v>
      </c>
      <c r="B2305" s="36" t="s">
        <v>826</v>
      </c>
      <c r="C2305" s="36" t="str">
        <f>_xlfn.CONCAT(Table4[[#This Row],[Ledger Name]],Table4[[#This Row],[Entity Name]])</f>
        <v>Staff Welfare expArha General Trading Co (AGT)</v>
      </c>
      <c r="D2305" s="36" t="s">
        <v>936</v>
      </c>
      <c r="E2305" s="36" t="s">
        <v>152</v>
      </c>
      <c r="F2305" s="49" t="s">
        <v>2</v>
      </c>
      <c r="G2305" s="101" t="s">
        <v>32</v>
      </c>
    </row>
    <row r="2306" spans="1:7" hidden="1">
      <c r="A2306" s="36" t="s">
        <v>2477</v>
      </c>
      <c r="B2306" s="36" t="s">
        <v>826</v>
      </c>
      <c r="C2306" s="36" t="str">
        <f>_xlfn.CONCAT(Table4[[#This Row],[Ledger Name]],Table4[[#This Row],[Entity Name]])</f>
        <v>Warehouse Municipal ChargesArha General Trading Co (AGT)</v>
      </c>
      <c r="D2306" s="36" t="s">
        <v>936</v>
      </c>
      <c r="E2306" s="49" t="s">
        <v>152</v>
      </c>
      <c r="F2306" s="49" t="s">
        <v>5</v>
      </c>
      <c r="G2306" s="101" t="s">
        <v>13</v>
      </c>
    </row>
    <row r="2307" spans="1:7" hidden="1">
      <c r="A2307" s="36" t="s">
        <v>2478</v>
      </c>
      <c r="B2307" s="36" t="s">
        <v>826</v>
      </c>
      <c r="C2307" s="36" t="str">
        <f>_xlfn.CONCAT(Table4[[#This Row],[Ledger Name]],Table4[[#This Row],[Entity Name]])</f>
        <v>Wastage ExpensesArha General Trading Co (AGT)</v>
      </c>
      <c r="D2307" s="36" t="s">
        <v>936</v>
      </c>
      <c r="E2307" s="49" t="s">
        <v>152</v>
      </c>
      <c r="F2307" s="49" t="s">
        <v>5</v>
      </c>
      <c r="G2307" s="101" t="s">
        <v>13</v>
      </c>
    </row>
    <row r="2308" spans="1:7" hidden="1">
      <c r="A2308" s="36" t="s">
        <v>2479</v>
      </c>
      <c r="B2308" s="36" t="s">
        <v>826</v>
      </c>
      <c r="C2308" s="36" t="str">
        <f>_xlfn.CONCAT(Table4[[#This Row],[Ledger Name]],Table4[[#This Row],[Entity Name]])</f>
        <v>Water chargesArha General Trading Co (AGT)</v>
      </c>
      <c r="D2308" s="36" t="s">
        <v>936</v>
      </c>
      <c r="E2308" s="49" t="s">
        <v>152</v>
      </c>
      <c r="F2308" s="49" t="s">
        <v>5</v>
      </c>
      <c r="G2308" s="101" t="s">
        <v>13</v>
      </c>
    </row>
    <row r="2309" spans="1:7" hidden="1">
      <c r="A2309" s="36" t="s">
        <v>2480</v>
      </c>
      <c r="B2309" s="36" t="s">
        <v>825</v>
      </c>
      <c r="C2309" s="36" t="str">
        <f>_xlfn.CONCAT(Table4[[#This Row],[Ledger Name]],Table4[[#This Row],[Entity Name]])</f>
        <v>FD for DA DocumentsAspirach Lanka</v>
      </c>
      <c r="D2309" s="36" t="s">
        <v>936</v>
      </c>
      <c r="E2309" s="49" t="s">
        <v>746</v>
      </c>
      <c r="F2309" s="49" t="s">
        <v>23</v>
      </c>
      <c r="G2309" s="101" t="s">
        <v>1619</v>
      </c>
    </row>
    <row r="2310" spans="1:7" hidden="1">
      <c r="A2310" s="36" t="s">
        <v>2481</v>
      </c>
      <c r="B2310" s="36" t="s">
        <v>825</v>
      </c>
      <c r="C2310" s="36" t="str">
        <f>_xlfn.CONCAT(Table4[[#This Row],[Ledger Name]],Table4[[#This Row],[Entity Name]])</f>
        <v>Mobile phone OfcAspirach Lanka</v>
      </c>
      <c r="D2310" s="36" t="s">
        <v>936</v>
      </c>
      <c r="E2310" s="49" t="s">
        <v>746</v>
      </c>
      <c r="F2310" s="49" t="s">
        <v>346</v>
      </c>
      <c r="G2310" s="101" t="s">
        <v>346</v>
      </c>
    </row>
    <row r="2311" spans="1:7" hidden="1">
      <c r="A2311" s="36" t="s">
        <v>2482</v>
      </c>
      <c r="B2311" s="36" t="s">
        <v>825</v>
      </c>
      <c r="C2311" s="36" t="str">
        <f>_xlfn.CONCAT(Table4[[#This Row],[Ledger Name]],Table4[[#This Row],[Entity Name]])</f>
        <v>Opening DiffAspirach Lanka</v>
      </c>
      <c r="D2311" s="36" t="s">
        <v>936</v>
      </c>
      <c r="E2311" s="49" t="s">
        <v>746</v>
      </c>
      <c r="F2311" s="49" t="s">
        <v>23</v>
      </c>
      <c r="G2311" s="101" t="s">
        <v>1619</v>
      </c>
    </row>
    <row r="2312" spans="1:7" hidden="1">
      <c r="A2312" s="36" t="s">
        <v>2483</v>
      </c>
      <c r="B2312" s="36" t="s">
        <v>825</v>
      </c>
      <c r="C2312" s="36" t="str">
        <f>_xlfn.CONCAT(Table4[[#This Row],[Ledger Name]],Table4[[#This Row],[Entity Name]])</f>
        <v>Ajit Shah LoanAspirach Lanka</v>
      </c>
      <c r="D2312" s="36" t="s">
        <v>936</v>
      </c>
      <c r="E2312" s="49" t="s">
        <v>746</v>
      </c>
      <c r="F2312" s="49" t="s">
        <v>23</v>
      </c>
      <c r="G2312" s="101" t="s">
        <v>1619</v>
      </c>
    </row>
    <row r="2313" spans="1:7" hidden="1">
      <c r="A2313" s="36" t="s">
        <v>2484</v>
      </c>
      <c r="B2313" s="36" t="s">
        <v>825</v>
      </c>
      <c r="C2313" s="36" t="str">
        <f>_xlfn.CONCAT(Table4[[#This Row],[Ledger Name]],Table4[[#This Row],[Entity Name]])</f>
        <v>Arha General Trading LLC LoanAspirach Lanka</v>
      </c>
      <c r="D2313" s="36" t="s">
        <v>936</v>
      </c>
      <c r="E2313" s="49" t="s">
        <v>746</v>
      </c>
      <c r="F2313" s="49" t="s">
        <v>23</v>
      </c>
      <c r="G2313" s="101" t="s">
        <v>1619</v>
      </c>
    </row>
    <row r="2314" spans="1:7" hidden="1">
      <c r="A2314" s="36" t="s">
        <v>2485</v>
      </c>
      <c r="B2314" s="36" t="s">
        <v>825</v>
      </c>
      <c r="C2314" s="36" t="str">
        <f>_xlfn.CONCAT(Table4[[#This Row],[Ledger Name]],Table4[[#This Row],[Entity Name]])</f>
        <v>PUWANESH SALARYAspirach Lanka</v>
      </c>
      <c r="D2314" s="36" t="s">
        <v>936</v>
      </c>
      <c r="E2314" s="49" t="s">
        <v>746</v>
      </c>
      <c r="F2314" s="49" t="s">
        <v>195</v>
      </c>
      <c r="G2314" s="6" t="s">
        <v>1623</v>
      </c>
    </row>
    <row r="2315" spans="1:7" hidden="1">
      <c r="A2315" s="36" t="s">
        <v>2486</v>
      </c>
      <c r="B2315" s="36" t="s">
        <v>825</v>
      </c>
      <c r="C2315" s="36" t="str">
        <f>_xlfn.CONCAT(Table4[[#This Row],[Ledger Name]],Table4[[#This Row],[Entity Name]])</f>
        <v>Salary payableAspirach Lanka</v>
      </c>
      <c r="D2315" s="36" t="s">
        <v>936</v>
      </c>
      <c r="E2315" s="49" t="s">
        <v>746</v>
      </c>
      <c r="F2315" s="49" t="s">
        <v>195</v>
      </c>
      <c r="G2315" s="6" t="s">
        <v>1623</v>
      </c>
    </row>
    <row r="2316" spans="1:7" hidden="1">
      <c r="A2316" s="36" t="s">
        <v>26</v>
      </c>
      <c r="B2316" s="36" t="s">
        <v>825</v>
      </c>
      <c r="C2316" s="36" t="str">
        <f>_xlfn.CONCAT(Table4[[#This Row],[Ledger Name]],Table4[[#This Row],[Entity Name]])</f>
        <v>Share CapitalAspirach Lanka</v>
      </c>
      <c r="D2316" s="36" t="s">
        <v>936</v>
      </c>
      <c r="E2316" s="49" t="s">
        <v>746</v>
      </c>
      <c r="F2316" s="49" t="s">
        <v>26</v>
      </c>
      <c r="G2316" s="24" t="s">
        <v>1614</v>
      </c>
    </row>
    <row r="2317" spans="1:7" hidden="1">
      <c r="A2317" s="36" t="s">
        <v>1278</v>
      </c>
      <c r="B2317" s="36" t="s">
        <v>825</v>
      </c>
      <c r="C2317" s="36" t="str">
        <f>_xlfn.CONCAT(Table4[[#This Row],[Ledger Name]],Table4[[#This Row],[Entity Name]])</f>
        <v>Shipping ChargeAspirach Lanka</v>
      </c>
      <c r="D2317" s="36" t="s">
        <v>936</v>
      </c>
      <c r="E2317" s="49" t="s">
        <v>152</v>
      </c>
      <c r="F2317" s="49" t="s">
        <v>93</v>
      </c>
      <c r="G2317" s="101" t="s">
        <v>138</v>
      </c>
    </row>
    <row r="2318" spans="1:7" hidden="1">
      <c r="A2318" s="36" t="s">
        <v>2487</v>
      </c>
      <c r="B2318" s="36" t="s">
        <v>825</v>
      </c>
      <c r="C2318" s="36" t="str">
        <f>_xlfn.CONCAT(Table4[[#This Row],[Ledger Name]],Table4[[#This Row],[Entity Name]])</f>
        <v>0001-26-27Aspirach Lanka</v>
      </c>
      <c r="D2318" s="36" t="s">
        <v>936</v>
      </c>
      <c r="E2318" s="49" t="s">
        <v>152</v>
      </c>
      <c r="F2318" s="49" t="s">
        <v>93</v>
      </c>
      <c r="G2318" s="101" t="s">
        <v>138</v>
      </c>
    </row>
    <row r="2319" spans="1:7" hidden="1">
      <c r="A2319" s="36" t="s">
        <v>2488</v>
      </c>
      <c r="B2319" s="36" t="s">
        <v>825</v>
      </c>
      <c r="C2319" s="36" t="str">
        <f>_xlfn.CONCAT(Table4[[#This Row],[Ledger Name]],Table4[[#This Row],[Entity Name]])</f>
        <v>0002/26-27Aspirach Lanka</v>
      </c>
      <c r="D2319" s="36" t="s">
        <v>936</v>
      </c>
      <c r="E2319" s="49" t="s">
        <v>152</v>
      </c>
      <c r="F2319" s="49" t="s">
        <v>93</v>
      </c>
      <c r="G2319" s="101" t="s">
        <v>138</v>
      </c>
    </row>
    <row r="2320" spans="1:7" hidden="1">
      <c r="A2320" s="36" t="s">
        <v>2489</v>
      </c>
      <c r="B2320" s="36" t="s">
        <v>825</v>
      </c>
      <c r="C2320" s="36" t="str">
        <f>_xlfn.CONCAT(Table4[[#This Row],[Ledger Name]],Table4[[#This Row],[Entity Name]])</f>
        <v>0003/26-27Aspirach Lanka</v>
      </c>
      <c r="D2320" s="36" t="s">
        <v>936</v>
      </c>
      <c r="E2320" s="49" t="s">
        <v>152</v>
      </c>
      <c r="F2320" s="49" t="s">
        <v>93</v>
      </c>
      <c r="G2320" s="101" t="s">
        <v>138</v>
      </c>
    </row>
    <row r="2321" spans="1:7" hidden="1">
      <c r="A2321" s="36" t="s">
        <v>2490</v>
      </c>
      <c r="B2321" s="36" t="s">
        <v>825</v>
      </c>
      <c r="C2321" s="36" t="str">
        <f>_xlfn.CONCAT(Table4[[#This Row],[Ledger Name]],Table4[[#This Row],[Entity Name]])</f>
        <v>0004/26-27Aspirach Lanka</v>
      </c>
      <c r="D2321" s="36" t="s">
        <v>936</v>
      </c>
      <c r="E2321" s="49" t="s">
        <v>152</v>
      </c>
      <c r="F2321" s="49" t="s">
        <v>93</v>
      </c>
      <c r="G2321" s="101" t="s">
        <v>138</v>
      </c>
    </row>
    <row r="2322" spans="1:7" hidden="1">
      <c r="A2322" s="36" t="s">
        <v>2491</v>
      </c>
      <c r="B2322" s="36" t="s">
        <v>825</v>
      </c>
      <c r="C2322" s="36" t="str">
        <f>_xlfn.CONCAT(Table4[[#This Row],[Ledger Name]],Table4[[#This Row],[Entity Name]])</f>
        <v>0005/26-27Aspirach Lanka</v>
      </c>
      <c r="D2322" s="36" t="s">
        <v>936</v>
      </c>
      <c r="E2322" s="49" t="s">
        <v>152</v>
      </c>
      <c r="F2322" s="49" t="s">
        <v>93</v>
      </c>
      <c r="G2322" s="101" t="s">
        <v>138</v>
      </c>
    </row>
    <row r="2323" spans="1:7" hidden="1">
      <c r="A2323" s="36" t="s">
        <v>2492</v>
      </c>
      <c r="B2323" s="36" t="s">
        <v>825</v>
      </c>
      <c r="C2323" s="36" t="str">
        <f>_xlfn.CONCAT(Table4[[#This Row],[Ledger Name]],Table4[[#This Row],[Entity Name]])</f>
        <v>0006/26-27Aspirach Lanka</v>
      </c>
      <c r="D2323" s="36" t="s">
        <v>936</v>
      </c>
      <c r="E2323" s="49" t="s">
        <v>152</v>
      </c>
      <c r="F2323" s="49" t="s">
        <v>93</v>
      </c>
      <c r="G2323" s="101" t="s">
        <v>138</v>
      </c>
    </row>
    <row r="2324" spans="1:7" hidden="1">
      <c r="A2324" s="36" t="s">
        <v>2493</v>
      </c>
      <c r="B2324" s="36" t="s">
        <v>825</v>
      </c>
      <c r="C2324" s="36" t="str">
        <f>_xlfn.CONCAT(Table4[[#This Row],[Ledger Name]],Table4[[#This Row],[Entity Name]])</f>
        <v>0007/26-27Aspirach Lanka</v>
      </c>
      <c r="D2324" s="36" t="s">
        <v>936</v>
      </c>
      <c r="E2324" s="49" t="s">
        <v>152</v>
      </c>
      <c r="F2324" s="49" t="s">
        <v>93</v>
      </c>
      <c r="G2324" s="101" t="s">
        <v>138</v>
      </c>
    </row>
    <row r="2325" spans="1:7" hidden="1">
      <c r="A2325" s="36" t="s">
        <v>2494</v>
      </c>
      <c r="B2325" s="36" t="s">
        <v>825</v>
      </c>
      <c r="C2325" s="36" t="str">
        <f>_xlfn.CONCAT(Table4[[#This Row],[Ledger Name]],Table4[[#This Row],[Entity Name]])</f>
        <v>0008/26-27Aspirach Lanka</v>
      </c>
      <c r="D2325" s="36" t="s">
        <v>936</v>
      </c>
      <c r="E2325" s="49" t="s">
        <v>152</v>
      </c>
      <c r="F2325" s="49" t="s">
        <v>93</v>
      </c>
      <c r="G2325" s="101" t="s">
        <v>138</v>
      </c>
    </row>
    <row r="2326" spans="1:7" hidden="1">
      <c r="A2326" s="36" t="s">
        <v>2495</v>
      </c>
      <c r="B2326" s="36" t="s">
        <v>825</v>
      </c>
      <c r="C2326" s="36" t="str">
        <f>_xlfn.CONCAT(Table4[[#This Row],[Ledger Name]],Table4[[#This Row],[Entity Name]])</f>
        <v>0009/26-27Aspirach Lanka</v>
      </c>
      <c r="D2326" s="36" t="s">
        <v>936</v>
      </c>
      <c r="E2326" s="49" t="s">
        <v>152</v>
      </c>
      <c r="F2326" s="49" t="s">
        <v>93</v>
      </c>
      <c r="G2326" s="101" t="s">
        <v>138</v>
      </c>
    </row>
    <row r="2327" spans="1:7" hidden="1">
      <c r="A2327" s="36" t="s">
        <v>2496</v>
      </c>
      <c r="B2327" s="36" t="s">
        <v>825</v>
      </c>
      <c r="C2327" s="36" t="str">
        <f>_xlfn.CONCAT(Table4[[#This Row],[Ledger Name]],Table4[[#This Row],[Entity Name]])</f>
        <v>0010/26-27Aspirach Lanka</v>
      </c>
      <c r="D2327" s="36" t="s">
        <v>936</v>
      </c>
      <c r="E2327" s="49" t="s">
        <v>152</v>
      </c>
      <c r="F2327" s="49" t="s">
        <v>93</v>
      </c>
      <c r="G2327" s="101" t="s">
        <v>138</v>
      </c>
    </row>
    <row r="2328" spans="1:7" hidden="1">
      <c r="A2328" s="36" t="s">
        <v>2497</v>
      </c>
      <c r="B2328" s="36" t="s">
        <v>825</v>
      </c>
      <c r="C2328" s="36" t="str">
        <f>_xlfn.CONCAT(Table4[[#This Row],[Ledger Name]],Table4[[#This Row],[Entity Name]])</f>
        <v>0011/26-27Aspirach Lanka</v>
      </c>
      <c r="D2328" s="36" t="s">
        <v>936</v>
      </c>
      <c r="E2328" s="49" t="s">
        <v>152</v>
      </c>
      <c r="F2328" s="49" t="s">
        <v>93</v>
      </c>
      <c r="G2328" s="101" t="s">
        <v>138</v>
      </c>
    </row>
    <row r="2329" spans="1:7" hidden="1">
      <c r="A2329" s="36" t="s">
        <v>2498</v>
      </c>
      <c r="B2329" s="36" t="s">
        <v>825</v>
      </c>
      <c r="C2329" s="36" t="str">
        <f>_xlfn.CONCAT(Table4[[#This Row],[Ledger Name]],Table4[[#This Row],[Entity Name]])</f>
        <v>0012/26-27Aspirach Lanka</v>
      </c>
      <c r="D2329" s="36" t="s">
        <v>936</v>
      </c>
      <c r="E2329" s="49" t="s">
        <v>152</v>
      </c>
      <c r="F2329" s="49" t="s">
        <v>93</v>
      </c>
      <c r="G2329" s="101" t="s">
        <v>138</v>
      </c>
    </row>
    <row r="2330" spans="1:7" hidden="1">
      <c r="A2330" s="36" t="s">
        <v>2499</v>
      </c>
      <c r="B2330" s="36" t="s">
        <v>825</v>
      </c>
      <c r="C2330" s="36" t="str">
        <f>_xlfn.CONCAT(Table4[[#This Row],[Ledger Name]],Table4[[#This Row],[Entity Name]])</f>
        <v>0013/26-27Aspirach Lanka</v>
      </c>
      <c r="D2330" s="36" t="s">
        <v>936</v>
      </c>
      <c r="E2330" s="49" t="s">
        <v>152</v>
      </c>
      <c r="F2330" s="49" t="s">
        <v>93</v>
      </c>
      <c r="G2330" s="101" t="s">
        <v>138</v>
      </c>
    </row>
    <row r="2331" spans="1:7" hidden="1">
      <c r="A2331" s="36" t="s">
        <v>2500</v>
      </c>
      <c r="B2331" s="36" t="s">
        <v>825</v>
      </c>
      <c r="C2331" s="36" t="str">
        <f>_xlfn.CONCAT(Table4[[#This Row],[Ledger Name]],Table4[[#This Row],[Entity Name]])</f>
        <v>0014/26-27Aspirach Lanka</v>
      </c>
      <c r="D2331" s="36" t="s">
        <v>936</v>
      </c>
      <c r="E2331" s="49" t="s">
        <v>152</v>
      </c>
      <c r="F2331" s="49" t="s">
        <v>93</v>
      </c>
      <c r="G2331" s="101" t="s">
        <v>138</v>
      </c>
    </row>
    <row r="2332" spans="1:7" hidden="1">
      <c r="A2332" s="36" t="s">
        <v>2501</v>
      </c>
      <c r="B2332" s="36" t="s">
        <v>825</v>
      </c>
      <c r="C2332" s="36" t="str">
        <f>_xlfn.CONCAT(Table4[[#This Row],[Ledger Name]],Table4[[#This Row],[Entity Name]])</f>
        <v>0015/26-27Aspirach Lanka</v>
      </c>
      <c r="D2332" s="36" t="s">
        <v>936</v>
      </c>
      <c r="E2332" s="49" t="s">
        <v>152</v>
      </c>
      <c r="F2332" s="49" t="s">
        <v>93</v>
      </c>
      <c r="G2332" s="101" t="s">
        <v>138</v>
      </c>
    </row>
    <row r="2333" spans="1:7" hidden="1">
      <c r="A2333" s="36" t="s">
        <v>2502</v>
      </c>
      <c r="B2333" s="36" t="s">
        <v>825</v>
      </c>
      <c r="C2333" s="36" t="str">
        <f>_xlfn.CONCAT(Table4[[#This Row],[Ledger Name]],Table4[[#This Row],[Entity Name]])</f>
        <v>0016/26-27Aspirach Lanka</v>
      </c>
      <c r="D2333" s="36" t="s">
        <v>936</v>
      </c>
      <c r="E2333" s="49" t="s">
        <v>152</v>
      </c>
      <c r="F2333" s="49" t="s">
        <v>93</v>
      </c>
      <c r="G2333" s="101" t="s">
        <v>138</v>
      </c>
    </row>
    <row r="2334" spans="1:7" hidden="1">
      <c r="A2334" s="36" t="s">
        <v>2503</v>
      </c>
      <c r="B2334" s="36" t="s">
        <v>825</v>
      </c>
      <c r="C2334" s="36" t="str">
        <f>_xlfn.CONCAT(Table4[[#This Row],[Ledger Name]],Table4[[#This Row],[Entity Name]])</f>
        <v>0017/26-2i7Aspirach Lanka</v>
      </c>
      <c r="D2334" s="36" t="s">
        <v>936</v>
      </c>
      <c r="E2334" s="49" t="s">
        <v>152</v>
      </c>
      <c r="F2334" s="49" t="s">
        <v>93</v>
      </c>
      <c r="G2334" s="101" t="s">
        <v>138</v>
      </c>
    </row>
    <row r="2335" spans="1:7" hidden="1">
      <c r="A2335" s="36" t="s">
        <v>2504</v>
      </c>
      <c r="B2335" s="36" t="s">
        <v>825</v>
      </c>
      <c r="C2335" s="36" t="str">
        <f>_xlfn.CONCAT(Table4[[#This Row],[Ledger Name]],Table4[[#This Row],[Entity Name]])</f>
        <v>0018/26-27Aspirach Lanka</v>
      </c>
      <c r="D2335" s="36" t="s">
        <v>936</v>
      </c>
      <c r="E2335" s="49" t="s">
        <v>152</v>
      </c>
      <c r="F2335" s="49" t="s">
        <v>93</v>
      </c>
      <c r="G2335" s="101" t="s">
        <v>138</v>
      </c>
    </row>
    <row r="2336" spans="1:7" hidden="1">
      <c r="A2336" s="36" t="s">
        <v>2505</v>
      </c>
      <c r="B2336" s="36" t="s">
        <v>825</v>
      </c>
      <c r="C2336" s="36" t="str">
        <f>_xlfn.CONCAT(Table4[[#This Row],[Ledger Name]],Table4[[#This Row],[Entity Name]])</f>
        <v>0019/26-27Aspirach Lanka</v>
      </c>
      <c r="D2336" s="36" t="s">
        <v>936</v>
      </c>
      <c r="E2336" s="49" t="s">
        <v>152</v>
      </c>
      <c r="F2336" s="49" t="s">
        <v>93</v>
      </c>
      <c r="G2336" s="101" t="s">
        <v>138</v>
      </c>
    </row>
    <row r="2337" spans="1:7" hidden="1">
      <c r="A2337" s="36" t="s">
        <v>2506</v>
      </c>
      <c r="B2337" s="36" t="s">
        <v>825</v>
      </c>
      <c r="C2337" s="36" t="str">
        <f>_xlfn.CONCAT(Table4[[#This Row],[Ledger Name]],Table4[[#This Row],[Entity Name]])</f>
        <v>0020/26-27Aspirach Lanka</v>
      </c>
      <c r="D2337" s="36" t="s">
        <v>936</v>
      </c>
      <c r="E2337" s="49" t="s">
        <v>152</v>
      </c>
      <c r="F2337" s="49" t="s">
        <v>93</v>
      </c>
      <c r="G2337" s="101" t="s">
        <v>138</v>
      </c>
    </row>
    <row r="2338" spans="1:7" hidden="1">
      <c r="A2338" s="36" t="s">
        <v>2507</v>
      </c>
      <c r="B2338" s="36" t="s">
        <v>825</v>
      </c>
      <c r="C2338" s="36" t="str">
        <f>_xlfn.CONCAT(Table4[[#This Row],[Ledger Name]],Table4[[#This Row],[Entity Name]])</f>
        <v>0021/26-27Aspirach Lanka</v>
      </c>
      <c r="D2338" s="36" t="s">
        <v>936</v>
      </c>
      <c r="E2338" s="49" t="s">
        <v>152</v>
      </c>
      <c r="F2338" s="49" t="s">
        <v>93</v>
      </c>
      <c r="G2338" s="101" t="s">
        <v>138</v>
      </c>
    </row>
    <row r="2339" spans="1:7" hidden="1">
      <c r="A2339" s="36" t="s">
        <v>2508</v>
      </c>
      <c r="B2339" s="36" t="s">
        <v>825</v>
      </c>
      <c r="C2339" s="36" t="str">
        <f>_xlfn.CONCAT(Table4[[#This Row],[Ledger Name]],Table4[[#This Row],[Entity Name]])</f>
        <v>0022/26-27Aspirach Lanka</v>
      </c>
      <c r="D2339" s="36" t="s">
        <v>936</v>
      </c>
      <c r="E2339" s="49" t="s">
        <v>152</v>
      </c>
      <c r="F2339" s="49" t="s">
        <v>93</v>
      </c>
      <c r="G2339" s="101" t="s">
        <v>138</v>
      </c>
    </row>
    <row r="2340" spans="1:7" hidden="1">
      <c r="A2340" s="36" t="s">
        <v>2509</v>
      </c>
      <c r="B2340" s="36" t="s">
        <v>825</v>
      </c>
      <c r="C2340" s="36" t="str">
        <f>_xlfn.CONCAT(Table4[[#This Row],[Ledger Name]],Table4[[#This Row],[Entity Name]])</f>
        <v>0023/26-27Aspirach Lanka</v>
      </c>
      <c r="D2340" s="36" t="s">
        <v>936</v>
      </c>
      <c r="E2340" s="49" t="s">
        <v>152</v>
      </c>
      <c r="F2340" s="49" t="s">
        <v>93</v>
      </c>
      <c r="G2340" s="101" t="s">
        <v>138</v>
      </c>
    </row>
    <row r="2341" spans="1:7" hidden="1">
      <c r="A2341" s="36" t="s">
        <v>2510</v>
      </c>
      <c r="B2341" s="36" t="s">
        <v>825</v>
      </c>
      <c r="C2341" s="36" t="str">
        <f>_xlfn.CONCAT(Table4[[#This Row],[Ledger Name]],Table4[[#This Row],[Entity Name]])</f>
        <v>0024/26-27Aspirach Lanka</v>
      </c>
      <c r="D2341" s="36" t="s">
        <v>936</v>
      </c>
      <c r="E2341" s="49" t="s">
        <v>152</v>
      </c>
      <c r="F2341" s="49" t="s">
        <v>93</v>
      </c>
      <c r="G2341" s="101" t="s">
        <v>138</v>
      </c>
    </row>
    <row r="2342" spans="1:7" hidden="1">
      <c r="A2342" s="36" t="s">
        <v>2511</v>
      </c>
      <c r="B2342" s="36" t="s">
        <v>825</v>
      </c>
      <c r="C2342" s="36" t="str">
        <f>_xlfn.CONCAT(Table4[[#This Row],[Ledger Name]],Table4[[#This Row],[Entity Name]])</f>
        <v>0025/26-27Aspirach Lanka</v>
      </c>
      <c r="D2342" s="36" t="s">
        <v>936</v>
      </c>
      <c r="E2342" s="49" t="s">
        <v>152</v>
      </c>
      <c r="F2342" s="49" t="s">
        <v>93</v>
      </c>
      <c r="G2342" s="101" t="s">
        <v>138</v>
      </c>
    </row>
    <row r="2343" spans="1:7" hidden="1">
      <c r="A2343" s="36" t="s">
        <v>2512</v>
      </c>
      <c r="B2343" s="36" t="s">
        <v>825</v>
      </c>
      <c r="C2343" s="36" t="str">
        <f>_xlfn.CONCAT(Table4[[#This Row],[Ledger Name]],Table4[[#This Row],[Entity Name]])</f>
        <v>0026/26-27Aspirach Lanka</v>
      </c>
      <c r="D2343" s="36" t="s">
        <v>936</v>
      </c>
      <c r="E2343" s="49" t="s">
        <v>152</v>
      </c>
      <c r="F2343" s="49" t="s">
        <v>93</v>
      </c>
      <c r="G2343" s="101" t="s">
        <v>138</v>
      </c>
    </row>
    <row r="2344" spans="1:7" hidden="1">
      <c r="A2344" s="36" t="s">
        <v>2513</v>
      </c>
      <c r="B2344" s="36" t="s">
        <v>825</v>
      </c>
      <c r="C2344" s="36" t="str">
        <f>_xlfn.CONCAT(Table4[[#This Row],[Ledger Name]],Table4[[#This Row],[Entity Name]])</f>
        <v>0027/26-27Aspirach Lanka</v>
      </c>
      <c r="D2344" s="36" t="s">
        <v>936</v>
      </c>
      <c r="E2344" s="49" t="s">
        <v>152</v>
      </c>
      <c r="F2344" s="49" t="s">
        <v>93</v>
      </c>
      <c r="G2344" s="101" t="s">
        <v>138</v>
      </c>
    </row>
    <row r="2345" spans="1:7" hidden="1">
      <c r="A2345" s="36" t="s">
        <v>2514</v>
      </c>
      <c r="B2345" s="36" t="s">
        <v>825</v>
      </c>
      <c r="C2345" s="36" t="str">
        <f>_xlfn.CONCAT(Table4[[#This Row],[Ledger Name]],Table4[[#This Row],[Entity Name]])</f>
        <v>0028/26-27Aspirach Lanka</v>
      </c>
      <c r="D2345" s="36" t="s">
        <v>936</v>
      </c>
      <c r="E2345" s="49" t="s">
        <v>152</v>
      </c>
      <c r="F2345" s="49" t="s">
        <v>93</v>
      </c>
      <c r="G2345" s="101" t="s">
        <v>138</v>
      </c>
    </row>
    <row r="2346" spans="1:7" hidden="1">
      <c r="A2346" s="36" t="s">
        <v>2515</v>
      </c>
      <c r="B2346" s="36" t="s">
        <v>825</v>
      </c>
      <c r="C2346" s="36" t="str">
        <f>_xlfn.CONCAT(Table4[[#This Row],[Ledger Name]],Table4[[#This Row],[Entity Name]])</f>
        <v>0029/26-27Aspirach Lanka</v>
      </c>
      <c r="D2346" s="36" t="s">
        <v>936</v>
      </c>
      <c r="E2346" s="49" t="s">
        <v>152</v>
      </c>
      <c r="F2346" s="49" t="s">
        <v>93</v>
      </c>
      <c r="G2346" s="101" t="s">
        <v>138</v>
      </c>
    </row>
    <row r="2347" spans="1:7" hidden="1">
      <c r="A2347" s="36" t="s">
        <v>2516</v>
      </c>
      <c r="B2347" s="36" t="s">
        <v>825</v>
      </c>
      <c r="C2347" s="36" t="str">
        <f>_xlfn.CONCAT(Table4[[#This Row],[Ledger Name]],Table4[[#This Row],[Entity Name]])</f>
        <v>0030/26-27Aspirach Lanka</v>
      </c>
      <c r="D2347" s="36" t="s">
        <v>936</v>
      </c>
      <c r="E2347" s="49" t="s">
        <v>152</v>
      </c>
      <c r="F2347" s="49" t="s">
        <v>93</v>
      </c>
      <c r="G2347" s="101" t="s">
        <v>138</v>
      </c>
    </row>
    <row r="2348" spans="1:7" hidden="1">
      <c r="A2348" s="36" t="s">
        <v>2517</v>
      </c>
      <c r="B2348" s="36" t="s">
        <v>825</v>
      </c>
      <c r="C2348" s="36" t="str">
        <f>_xlfn.CONCAT(Table4[[#This Row],[Ledger Name]],Table4[[#This Row],[Entity Name]])</f>
        <v>0032/26-27Aspirach Lanka</v>
      </c>
      <c r="D2348" s="36" t="s">
        <v>936</v>
      </c>
      <c r="E2348" s="49" t="s">
        <v>152</v>
      </c>
      <c r="F2348" s="49" t="s">
        <v>93</v>
      </c>
      <c r="G2348" s="101" t="s">
        <v>138</v>
      </c>
    </row>
    <row r="2349" spans="1:7" hidden="1">
      <c r="A2349" s="36" t="s">
        <v>2518</v>
      </c>
      <c r="B2349" s="36" t="s">
        <v>825</v>
      </c>
      <c r="C2349" s="36" t="str">
        <f>_xlfn.CONCAT(Table4[[#This Row],[Ledger Name]],Table4[[#This Row],[Entity Name]])</f>
        <v>0033/26-27Aspirach Lanka</v>
      </c>
      <c r="D2349" s="36" t="s">
        <v>936</v>
      </c>
      <c r="E2349" s="49" t="s">
        <v>152</v>
      </c>
      <c r="F2349" s="49" t="s">
        <v>93</v>
      </c>
      <c r="G2349" s="101" t="s">
        <v>138</v>
      </c>
    </row>
    <row r="2350" spans="1:7" hidden="1">
      <c r="A2350" s="36" t="s">
        <v>2519</v>
      </c>
      <c r="B2350" s="36" t="s">
        <v>825</v>
      </c>
      <c r="C2350" s="36" t="str">
        <f>_xlfn.CONCAT(Table4[[#This Row],[Ledger Name]],Table4[[#This Row],[Entity Name]])</f>
        <v>0034/26-27Aspirach Lanka</v>
      </c>
      <c r="D2350" s="36" t="s">
        <v>936</v>
      </c>
      <c r="E2350" s="49" t="s">
        <v>152</v>
      </c>
      <c r="F2350" s="49" t="s">
        <v>93</v>
      </c>
      <c r="G2350" s="101" t="s">
        <v>138</v>
      </c>
    </row>
    <row r="2351" spans="1:7" hidden="1">
      <c r="A2351" s="36" t="s">
        <v>2520</v>
      </c>
      <c r="B2351" s="36" t="s">
        <v>825</v>
      </c>
      <c r="C2351" s="36" t="str">
        <f>_xlfn.CONCAT(Table4[[#This Row],[Ledger Name]],Table4[[#This Row],[Entity Name]])</f>
        <v>0035/26-27Aspirach Lanka</v>
      </c>
      <c r="D2351" s="36" t="s">
        <v>936</v>
      </c>
      <c r="E2351" s="49" t="s">
        <v>152</v>
      </c>
      <c r="F2351" s="49" t="s">
        <v>93</v>
      </c>
      <c r="G2351" s="101" t="s">
        <v>138</v>
      </c>
    </row>
    <row r="2352" spans="1:7" hidden="1">
      <c r="A2352" s="36" t="s">
        <v>2521</v>
      </c>
      <c r="B2352" s="36" t="s">
        <v>825</v>
      </c>
      <c r="C2352" s="36" t="str">
        <f>_xlfn.CONCAT(Table4[[#This Row],[Ledger Name]],Table4[[#This Row],[Entity Name]])</f>
        <v>0038/26-27Aspirach Lanka</v>
      </c>
      <c r="D2352" s="36" t="s">
        <v>936</v>
      </c>
      <c r="E2352" s="49" t="s">
        <v>152</v>
      </c>
      <c r="F2352" s="49" t="s">
        <v>93</v>
      </c>
      <c r="G2352" s="101" t="s">
        <v>138</v>
      </c>
    </row>
    <row r="2353" spans="1:7" hidden="1">
      <c r="A2353" s="36" t="s">
        <v>2522</v>
      </c>
      <c r="B2353" s="36" t="s">
        <v>825</v>
      </c>
      <c r="C2353" s="36" t="str">
        <f>_xlfn.CONCAT(Table4[[#This Row],[Ledger Name]],Table4[[#This Row],[Entity Name]])</f>
        <v>0039/26-27Aspirach Lanka</v>
      </c>
      <c r="D2353" s="36" t="s">
        <v>936</v>
      </c>
      <c r="E2353" s="49" t="s">
        <v>152</v>
      </c>
      <c r="F2353" s="49" t="s">
        <v>93</v>
      </c>
      <c r="G2353" s="101" t="s">
        <v>138</v>
      </c>
    </row>
    <row r="2354" spans="1:7" hidden="1">
      <c r="A2354" s="36" t="s">
        <v>2523</v>
      </c>
      <c r="B2354" s="36" t="s">
        <v>825</v>
      </c>
      <c r="C2354" s="36" t="str">
        <f>_xlfn.CONCAT(Table4[[#This Row],[Ledger Name]],Table4[[#This Row],[Entity Name]])</f>
        <v>0040/26-27Aspirach Lanka</v>
      </c>
      <c r="D2354" s="36" t="s">
        <v>936</v>
      </c>
      <c r="E2354" s="49" t="s">
        <v>152</v>
      </c>
      <c r="F2354" s="49" t="s">
        <v>93</v>
      </c>
      <c r="G2354" s="101" t="s">
        <v>138</v>
      </c>
    </row>
    <row r="2355" spans="1:7" hidden="1">
      <c r="A2355" s="36" t="s">
        <v>2524</v>
      </c>
      <c r="B2355" s="36" t="s">
        <v>825</v>
      </c>
      <c r="C2355" s="36" t="str">
        <f>_xlfn.CONCAT(Table4[[#This Row],[Ledger Name]],Table4[[#This Row],[Entity Name]])</f>
        <v>0041/26-27Aspirach Lanka</v>
      </c>
      <c r="D2355" s="36" t="s">
        <v>936</v>
      </c>
      <c r="E2355" s="49" t="s">
        <v>152</v>
      </c>
      <c r="F2355" s="49" t="s">
        <v>93</v>
      </c>
      <c r="G2355" s="101" t="s">
        <v>138</v>
      </c>
    </row>
    <row r="2356" spans="1:7" hidden="1">
      <c r="A2356" s="36" t="s">
        <v>2525</v>
      </c>
      <c r="B2356" s="36" t="s">
        <v>825</v>
      </c>
      <c r="C2356" s="36" t="str">
        <f>_xlfn.CONCAT(Table4[[#This Row],[Ledger Name]],Table4[[#This Row],[Entity Name]])</f>
        <v>0147/25-26Aspirach Lanka</v>
      </c>
      <c r="D2356" s="36" t="s">
        <v>936</v>
      </c>
      <c r="E2356" s="49" t="s">
        <v>152</v>
      </c>
      <c r="F2356" s="49" t="s">
        <v>93</v>
      </c>
      <c r="G2356" s="101" t="s">
        <v>138</v>
      </c>
    </row>
    <row r="2357" spans="1:7" hidden="1">
      <c r="A2357" s="36" t="s">
        <v>2526</v>
      </c>
      <c r="B2357" s="36" t="s">
        <v>825</v>
      </c>
      <c r="C2357" s="36" t="str">
        <f>_xlfn.CONCAT(Table4[[#This Row],[Ledger Name]],Table4[[#This Row],[Entity Name]])</f>
        <v>0150/25-26Aspirach Lanka</v>
      </c>
      <c r="D2357" s="36" t="s">
        <v>936</v>
      </c>
      <c r="E2357" s="49" t="s">
        <v>152</v>
      </c>
      <c r="F2357" s="49" t="s">
        <v>93</v>
      </c>
      <c r="G2357" s="101" t="s">
        <v>138</v>
      </c>
    </row>
    <row r="2358" spans="1:7" hidden="1">
      <c r="A2358" s="36" t="s">
        <v>2527</v>
      </c>
      <c r="B2358" s="36" t="s">
        <v>825</v>
      </c>
      <c r="C2358" s="36" t="str">
        <f>_xlfn.CONCAT(Table4[[#This Row],[Ledger Name]],Table4[[#This Row],[Entity Name]])</f>
        <v>Colombo Muncipal CorporationAspirach Lanka</v>
      </c>
      <c r="D2358" s="36" t="s">
        <v>936</v>
      </c>
      <c r="E2358" s="49" t="s">
        <v>152</v>
      </c>
      <c r="F2358" s="49" t="s">
        <v>5</v>
      </c>
      <c r="G2358" s="101" t="s">
        <v>13</v>
      </c>
    </row>
    <row r="2359" spans="1:7" hidden="1">
      <c r="A2359" s="36" t="s">
        <v>2528</v>
      </c>
      <c r="B2359" s="36" t="s">
        <v>825</v>
      </c>
      <c r="C2359" s="36" t="str">
        <f>_xlfn.CONCAT(Table4[[#This Row],[Ledger Name]],Table4[[#This Row],[Entity Name]])</f>
        <v>RATE DIFFERENCEAspirach Lanka</v>
      </c>
      <c r="D2359" s="36" t="s">
        <v>936</v>
      </c>
      <c r="E2359" s="49" t="s">
        <v>152</v>
      </c>
      <c r="F2359" s="49" t="s">
        <v>93</v>
      </c>
      <c r="G2359" s="101" t="s">
        <v>138</v>
      </c>
    </row>
    <row r="2360" spans="1:7" hidden="1">
      <c r="A2360" s="36" t="s">
        <v>2529</v>
      </c>
      <c r="B2360" s="36" t="s">
        <v>825</v>
      </c>
      <c r="C2360" s="36" t="str">
        <f>_xlfn.CONCAT(Table4[[#This Row],[Ledger Name]],Table4[[#This Row],[Entity Name]])</f>
        <v>House Rent Exp.Aspirach Lanka</v>
      </c>
      <c r="D2360" s="36" t="s">
        <v>936</v>
      </c>
      <c r="E2360" s="36" t="s">
        <v>152</v>
      </c>
      <c r="F2360" s="49" t="s">
        <v>2</v>
      </c>
      <c r="G2360" s="101" t="s">
        <v>73</v>
      </c>
    </row>
    <row r="2361" spans="1:7" hidden="1">
      <c r="A2361" s="36" t="s">
        <v>2530</v>
      </c>
      <c r="B2361" s="36" t="s">
        <v>825</v>
      </c>
      <c r="C2361" s="36" t="str">
        <f>_xlfn.CONCAT(Table4[[#This Row],[Ledger Name]],Table4[[#This Row],[Entity Name]])</f>
        <v>Manpower Services Exp.Aspirach Lanka</v>
      </c>
      <c r="D2361" s="36" t="s">
        <v>936</v>
      </c>
      <c r="E2361" s="36" t="s">
        <v>152</v>
      </c>
      <c r="F2361" s="49" t="s">
        <v>2</v>
      </c>
      <c r="G2361" s="101" t="s">
        <v>73</v>
      </c>
    </row>
    <row r="2362" spans="1:7" hidden="1">
      <c r="A2362" s="36" t="s">
        <v>2531</v>
      </c>
      <c r="B2362" s="36" t="s">
        <v>825</v>
      </c>
      <c r="C2362" s="36" t="str">
        <f>_xlfn.CONCAT(Table4[[#This Row],[Ledger Name]],Table4[[#This Row],[Entity Name]])</f>
        <v>Salary &amp; Wages Exp.Aspirach Lanka</v>
      </c>
      <c r="D2362" s="36" t="s">
        <v>936</v>
      </c>
      <c r="E2362" s="36" t="s">
        <v>152</v>
      </c>
      <c r="F2362" s="49" t="s">
        <v>2</v>
      </c>
      <c r="G2362" s="101" t="s">
        <v>73</v>
      </c>
    </row>
    <row r="2363" spans="1:7" hidden="1">
      <c r="A2363" s="36" t="s">
        <v>2532</v>
      </c>
      <c r="B2363" s="36" t="s">
        <v>825</v>
      </c>
      <c r="C2363" s="36" t="str">
        <f>_xlfn.CONCAT(Table4[[#This Row],[Ledger Name]],Table4[[#This Row],[Entity Name]])</f>
        <v>Travelling expenseAspirach Lanka</v>
      </c>
      <c r="D2363" s="36" t="s">
        <v>936</v>
      </c>
      <c r="E2363" s="49" t="s">
        <v>152</v>
      </c>
      <c r="F2363" s="49" t="s">
        <v>8</v>
      </c>
      <c r="G2363" s="101" t="s">
        <v>84</v>
      </c>
    </row>
    <row r="2364" spans="1:7" hidden="1">
      <c r="A2364" s="36" t="s">
        <v>2543</v>
      </c>
      <c r="B2364" s="36" t="s">
        <v>826</v>
      </c>
      <c r="C2364" s="36" t="str">
        <f>_xlfn.CONCAT(Table4[[#This Row],[Ledger Name]],Table4[[#This Row],[Entity Name]])</f>
        <v>Advance Irshad AliArha General Trading Co (AGT)</v>
      </c>
      <c r="D2364" s="36" t="s">
        <v>936</v>
      </c>
      <c r="E2364" s="49" t="s">
        <v>746</v>
      </c>
      <c r="F2364" s="49" t="s">
        <v>195</v>
      </c>
      <c r="G2364" s="24" t="s">
        <v>1608</v>
      </c>
    </row>
    <row r="2365" spans="1:7" hidden="1">
      <c r="A2365" s="36" t="s">
        <v>2544</v>
      </c>
      <c r="B2365" s="36" t="s">
        <v>826</v>
      </c>
      <c r="C2365" s="36" t="str">
        <f>_xlfn.CONCAT(Table4[[#This Row],[Ledger Name]],Table4[[#This Row],[Entity Name]])</f>
        <v>Advance Ismail ShahArha General Trading Co (AGT)</v>
      </c>
      <c r="D2365" s="36" t="s">
        <v>936</v>
      </c>
      <c r="E2365" s="49" t="s">
        <v>746</v>
      </c>
      <c r="F2365" s="49" t="s">
        <v>195</v>
      </c>
      <c r="G2365" s="24" t="s">
        <v>1608</v>
      </c>
    </row>
    <row r="2366" spans="1:7" hidden="1">
      <c r="A2366" s="36" t="s">
        <v>2545</v>
      </c>
      <c r="B2366" s="36" t="s">
        <v>826</v>
      </c>
      <c r="C2366" s="36" t="str">
        <f>_xlfn.CONCAT(Table4[[#This Row],[Ledger Name]],Table4[[#This Row],[Entity Name]])</f>
        <v>Advance Muhammad HussainArha General Trading Co (AGT)</v>
      </c>
      <c r="D2366" s="36" t="s">
        <v>936</v>
      </c>
      <c r="E2366" s="49" t="s">
        <v>746</v>
      </c>
      <c r="F2366" s="49" t="s">
        <v>195</v>
      </c>
      <c r="G2366" s="24" t="s">
        <v>1608</v>
      </c>
    </row>
    <row r="2367" spans="1:7" hidden="1">
      <c r="A2367" s="36" t="s">
        <v>2546</v>
      </c>
      <c r="B2367" s="36" t="s">
        <v>826</v>
      </c>
      <c r="C2367" s="36" t="str">
        <f>_xlfn.CONCAT(Table4[[#This Row],[Ledger Name]],Table4[[#This Row],[Entity Name]])</f>
        <v>Advance Zahid HussainArha General Trading Co (AGT)</v>
      </c>
      <c r="D2367" s="36" t="s">
        <v>936</v>
      </c>
      <c r="E2367" s="49" t="s">
        <v>746</v>
      </c>
      <c r="F2367" s="49" t="s">
        <v>195</v>
      </c>
      <c r="G2367" s="24" t="s">
        <v>1608</v>
      </c>
    </row>
    <row r="2368" spans="1:7" hidden="1">
      <c r="A2368" s="36" t="s">
        <v>2547</v>
      </c>
      <c r="B2368" s="36" t="s">
        <v>826</v>
      </c>
      <c r="C2368" s="36" t="str">
        <f>_xlfn.CONCAT(Table4[[#This Row],[Ledger Name]],Table4[[#This Row],[Entity Name]])</f>
        <v>ARGT/LOC/2026/222Arha General Trading Co (AGT)</v>
      </c>
      <c r="D2368" s="36" t="s">
        <v>936</v>
      </c>
      <c r="E2368" s="36" t="s">
        <v>152</v>
      </c>
      <c r="F2368" s="49" t="s">
        <v>93</v>
      </c>
      <c r="G2368" s="36" t="s">
        <v>138</v>
      </c>
    </row>
    <row r="2369" spans="1:7" hidden="1">
      <c r="A2369" s="36" t="s">
        <v>2548</v>
      </c>
      <c r="B2369" s="36" t="s">
        <v>826</v>
      </c>
      <c r="C2369" s="36" t="str">
        <f>_xlfn.CONCAT(Table4[[#This Row],[Ledger Name]],Table4[[#This Row],[Entity Name]])</f>
        <v>ARGT/LOC/2026/250Arha General Trading Co (AGT)</v>
      </c>
      <c r="D2369" s="36" t="s">
        <v>936</v>
      </c>
      <c r="E2369" s="36" t="s">
        <v>152</v>
      </c>
      <c r="F2369" s="49" t="s">
        <v>93</v>
      </c>
      <c r="G2369" s="36" t="s">
        <v>138</v>
      </c>
    </row>
    <row r="2370" spans="1:7" hidden="1">
      <c r="A2370" s="36" t="s">
        <v>2549</v>
      </c>
      <c r="B2370" s="36" t="s">
        <v>826</v>
      </c>
      <c r="C2370" s="36" t="str">
        <f>_xlfn.CONCAT(Table4[[#This Row],[Ledger Name]],Table4[[#This Row],[Entity Name]])</f>
        <v>ARGT/LOC/2026/266Arha General Trading Co (AGT)</v>
      </c>
      <c r="D2370" s="36" t="s">
        <v>936</v>
      </c>
      <c r="E2370" s="36" t="s">
        <v>152</v>
      </c>
      <c r="F2370" s="49" t="s">
        <v>93</v>
      </c>
      <c r="G2370" s="36" t="s">
        <v>138</v>
      </c>
    </row>
    <row r="2371" spans="1:7" hidden="1">
      <c r="A2371" s="36" t="s">
        <v>2550</v>
      </c>
      <c r="B2371" s="36" t="s">
        <v>826</v>
      </c>
      <c r="C2371" s="36" t="str">
        <f>_xlfn.CONCAT(Table4[[#This Row],[Ledger Name]],Table4[[#This Row],[Entity Name]])</f>
        <v>ARGT/LOC/2026/268Arha General Trading Co (AGT)</v>
      </c>
      <c r="D2371" s="36" t="s">
        <v>936</v>
      </c>
      <c r="E2371" s="36" t="s">
        <v>152</v>
      </c>
      <c r="F2371" s="49" t="s">
        <v>93</v>
      </c>
      <c r="G2371" s="36" t="s">
        <v>138</v>
      </c>
    </row>
    <row r="2372" spans="1:7" hidden="1">
      <c r="A2372" s="36" t="s">
        <v>2551</v>
      </c>
      <c r="B2372" s="36" t="s">
        <v>826</v>
      </c>
      <c r="C2372" s="36" t="str">
        <f>_xlfn.CONCAT(Table4[[#This Row],[Ledger Name]],Table4[[#This Row],[Entity Name]])</f>
        <v>ARGT/LOC/2026/287Arha General Trading Co (AGT)</v>
      </c>
      <c r="D2372" s="36" t="s">
        <v>936</v>
      </c>
      <c r="E2372" s="36" t="s">
        <v>152</v>
      </c>
      <c r="F2372" s="49" t="s">
        <v>93</v>
      </c>
      <c r="G2372" s="36" t="s">
        <v>138</v>
      </c>
    </row>
    <row r="2373" spans="1:7" hidden="1">
      <c r="A2373" s="36" t="s">
        <v>2552</v>
      </c>
      <c r="B2373" s="36" t="s">
        <v>826</v>
      </c>
      <c r="C2373" s="36" t="str">
        <f>_xlfn.CONCAT(Table4[[#This Row],[Ledger Name]],Table4[[#This Row],[Entity Name]])</f>
        <v>ARGT/LOC/2026/289Arha General Trading Co (AGT)</v>
      </c>
      <c r="D2373" s="36" t="s">
        <v>936</v>
      </c>
      <c r="E2373" s="36" t="s">
        <v>152</v>
      </c>
      <c r="F2373" s="49" t="s">
        <v>93</v>
      </c>
      <c r="G2373" s="36" t="s">
        <v>138</v>
      </c>
    </row>
    <row r="2374" spans="1:7" hidden="1">
      <c r="A2374" s="36" t="s">
        <v>2553</v>
      </c>
      <c r="B2374" s="36" t="s">
        <v>826</v>
      </c>
      <c r="C2374" s="36" t="str">
        <f>_xlfn.CONCAT(Table4[[#This Row],[Ledger Name]],Table4[[#This Row],[Entity Name]])</f>
        <v>ARGT/LOC/2026/296Arha General Trading Co (AGT)</v>
      </c>
      <c r="D2374" s="36" t="s">
        <v>936</v>
      </c>
      <c r="E2374" s="36" t="s">
        <v>152</v>
      </c>
      <c r="F2374" s="49" t="s">
        <v>93</v>
      </c>
      <c r="G2374" s="36" t="s">
        <v>138</v>
      </c>
    </row>
    <row r="2375" spans="1:7" hidden="1">
      <c r="A2375" s="36" t="s">
        <v>2554</v>
      </c>
      <c r="B2375" s="36" t="s">
        <v>826</v>
      </c>
      <c r="C2375" s="36" t="str">
        <f>_xlfn.CONCAT(Table4[[#This Row],[Ledger Name]],Table4[[#This Row],[Entity Name]])</f>
        <v>ARGT/LOC/2026/309Arha General Trading Co (AGT)</v>
      </c>
      <c r="D2375" s="36" t="s">
        <v>936</v>
      </c>
      <c r="E2375" s="36" t="s">
        <v>152</v>
      </c>
      <c r="F2375" s="49" t="s">
        <v>93</v>
      </c>
      <c r="G2375" s="36" t="s">
        <v>138</v>
      </c>
    </row>
    <row r="2376" spans="1:7" hidden="1">
      <c r="A2376" s="36" t="s">
        <v>2555</v>
      </c>
      <c r="B2376" s="36" t="s">
        <v>826</v>
      </c>
      <c r="C2376" s="36" t="str">
        <f>_xlfn.CONCAT(Table4[[#This Row],[Ledger Name]],Table4[[#This Row],[Entity Name]])</f>
        <v>ARGT/LOC/2026/310Arha General Trading Co (AGT)</v>
      </c>
      <c r="D2376" s="36" t="s">
        <v>936</v>
      </c>
      <c r="E2376" s="36" t="s">
        <v>152</v>
      </c>
      <c r="F2376" s="49" t="s">
        <v>93</v>
      </c>
      <c r="G2376" s="36" t="s">
        <v>138</v>
      </c>
    </row>
    <row r="2377" spans="1:7" hidden="1">
      <c r="A2377" s="36" t="s">
        <v>2556</v>
      </c>
      <c r="B2377" s="36" t="s">
        <v>826</v>
      </c>
      <c r="C2377" s="36" t="str">
        <f>_xlfn.CONCAT(Table4[[#This Row],[Ledger Name]],Table4[[#This Row],[Entity Name]])</f>
        <v>ARGT/LOC/2026/321Arha General Trading Co (AGT)</v>
      </c>
      <c r="D2377" s="36" t="s">
        <v>936</v>
      </c>
      <c r="E2377" s="36" t="s">
        <v>152</v>
      </c>
      <c r="F2377" s="49" t="s">
        <v>93</v>
      </c>
      <c r="G2377" s="36" t="s">
        <v>138</v>
      </c>
    </row>
    <row r="2378" spans="1:7" hidden="1">
      <c r="A2378" s="36" t="s">
        <v>2557</v>
      </c>
      <c r="B2378" s="36" t="s">
        <v>826</v>
      </c>
      <c r="C2378" s="36" t="str">
        <f>_xlfn.CONCAT(Table4[[#This Row],[Ledger Name]],Table4[[#This Row],[Entity Name]])</f>
        <v>ARGT/LOC/2026/326Arha General Trading Co (AGT)</v>
      </c>
      <c r="D2378" s="36" t="s">
        <v>936</v>
      </c>
      <c r="E2378" s="36" t="s">
        <v>152</v>
      </c>
      <c r="F2378" s="49" t="s">
        <v>93</v>
      </c>
      <c r="G2378" s="36" t="s">
        <v>138</v>
      </c>
    </row>
    <row r="2379" spans="1:7" hidden="1">
      <c r="A2379" s="36" t="s">
        <v>2558</v>
      </c>
      <c r="B2379" s="36" t="s">
        <v>826</v>
      </c>
      <c r="C2379" s="36" t="str">
        <f>_xlfn.CONCAT(Table4[[#This Row],[Ledger Name]],Table4[[#This Row],[Entity Name]])</f>
        <v>ARGT/LOC/2026/340Arha General Trading Co (AGT)</v>
      </c>
      <c r="D2379" s="36" t="s">
        <v>936</v>
      </c>
      <c r="E2379" s="36" t="s">
        <v>152</v>
      </c>
      <c r="F2379" s="49" t="s">
        <v>93</v>
      </c>
      <c r="G2379" s="36" t="s">
        <v>138</v>
      </c>
    </row>
    <row r="2380" spans="1:7" hidden="1">
      <c r="A2380" s="36" t="s">
        <v>2559</v>
      </c>
      <c r="B2380" s="36" t="s">
        <v>826</v>
      </c>
      <c r="C2380" s="36" t="str">
        <f>_xlfn.CONCAT(Table4[[#This Row],[Ledger Name]],Table4[[#This Row],[Entity Name]])</f>
        <v>ARGT/LOC/2026/343Arha General Trading Co (AGT)</v>
      </c>
      <c r="D2380" s="36" t="s">
        <v>936</v>
      </c>
      <c r="E2380" s="36" t="s">
        <v>152</v>
      </c>
      <c r="F2380" s="49" t="s">
        <v>93</v>
      </c>
      <c r="G2380" s="36" t="s">
        <v>138</v>
      </c>
    </row>
    <row r="2381" spans="1:7" hidden="1">
      <c r="A2381" s="36" t="s">
        <v>2560</v>
      </c>
      <c r="B2381" s="36" t="s">
        <v>826</v>
      </c>
      <c r="C2381" s="36" t="str">
        <f>_xlfn.CONCAT(Table4[[#This Row],[Ledger Name]],Table4[[#This Row],[Entity Name]])</f>
        <v>ARGT/LOC/2026/345Arha General Trading Co (AGT)</v>
      </c>
      <c r="D2381" s="36" t="s">
        <v>936</v>
      </c>
      <c r="E2381" s="36" t="s">
        <v>152</v>
      </c>
      <c r="F2381" s="49" t="s">
        <v>93</v>
      </c>
      <c r="G2381" s="36" t="s">
        <v>138</v>
      </c>
    </row>
    <row r="2382" spans="1:7" hidden="1">
      <c r="A2382" s="36" t="s">
        <v>2561</v>
      </c>
      <c r="B2382" s="36" t="s">
        <v>826</v>
      </c>
      <c r="C2382" s="36" t="str">
        <f>_xlfn.CONCAT(Table4[[#This Row],[Ledger Name]],Table4[[#This Row],[Entity Name]])</f>
        <v>ARGT/LOC/2026/347Arha General Trading Co (AGT)</v>
      </c>
      <c r="D2382" s="36" t="s">
        <v>936</v>
      </c>
      <c r="E2382" s="36" t="s">
        <v>152</v>
      </c>
      <c r="F2382" s="49" t="s">
        <v>93</v>
      </c>
      <c r="G2382" s="36" t="s">
        <v>138</v>
      </c>
    </row>
    <row r="2383" spans="1:7" hidden="1">
      <c r="A2383" s="36" t="s">
        <v>2562</v>
      </c>
      <c r="B2383" s="36" t="s">
        <v>826</v>
      </c>
      <c r="C2383" s="36" t="str">
        <f>_xlfn.CONCAT(Table4[[#This Row],[Ledger Name]],Table4[[#This Row],[Entity Name]])</f>
        <v>ARGT/LOC/2026/349Arha General Trading Co (AGT)</v>
      </c>
      <c r="D2383" s="36" t="s">
        <v>936</v>
      </c>
      <c r="E2383" s="36" t="s">
        <v>152</v>
      </c>
      <c r="F2383" s="49" t="s">
        <v>93</v>
      </c>
      <c r="G2383" s="36" t="s">
        <v>138</v>
      </c>
    </row>
    <row r="2384" spans="1:7" hidden="1">
      <c r="A2384" s="36" t="s">
        <v>2563</v>
      </c>
      <c r="B2384" s="36" t="s">
        <v>826</v>
      </c>
      <c r="C2384" s="36" t="str">
        <f>_xlfn.CONCAT(Table4[[#This Row],[Ledger Name]],Table4[[#This Row],[Entity Name]])</f>
        <v>ARGT/LOC/2026/356Arha General Trading Co (AGT)</v>
      </c>
      <c r="D2384" s="36" t="s">
        <v>936</v>
      </c>
      <c r="E2384" s="36" t="s">
        <v>152</v>
      </c>
      <c r="F2384" s="49" t="s">
        <v>93</v>
      </c>
      <c r="G2384" s="36" t="s">
        <v>138</v>
      </c>
    </row>
    <row r="2385" spans="1:7" hidden="1">
      <c r="A2385" s="36" t="s">
        <v>2564</v>
      </c>
      <c r="B2385" s="36" t="s">
        <v>826</v>
      </c>
      <c r="C2385" s="36" t="str">
        <f>_xlfn.CONCAT(Table4[[#This Row],[Ledger Name]],Table4[[#This Row],[Entity Name]])</f>
        <v>ARGT/LOC/2026/412Arha General Trading Co (AGT)</v>
      </c>
      <c r="D2385" s="36" t="s">
        <v>936</v>
      </c>
      <c r="E2385" s="36" t="s">
        <v>152</v>
      </c>
      <c r="F2385" s="49" t="s">
        <v>93</v>
      </c>
      <c r="G2385" s="36" t="s">
        <v>138</v>
      </c>
    </row>
    <row r="2386" spans="1:7" hidden="1">
      <c r="A2386" s="36" t="s">
        <v>2565</v>
      </c>
      <c r="B2386" s="36" t="s">
        <v>826</v>
      </c>
      <c r="C2386" s="36" t="str">
        <f>_xlfn.CONCAT(Table4[[#This Row],[Ledger Name]],Table4[[#This Row],[Entity Name]])</f>
        <v>Disposable chargesArha General Trading Co (AGT)</v>
      </c>
      <c r="D2386" s="36" t="s">
        <v>936</v>
      </c>
      <c r="E2386" s="49" t="s">
        <v>152</v>
      </c>
      <c r="F2386" s="49" t="s">
        <v>5</v>
      </c>
      <c r="G2386" s="101" t="s">
        <v>13</v>
      </c>
    </row>
    <row r="2387" spans="1:7" hidden="1">
      <c r="A2387" s="36" t="s">
        <v>2566</v>
      </c>
      <c r="B2387" s="36" t="s">
        <v>826</v>
      </c>
      <c r="C2387" s="36" t="str">
        <f>_xlfn.CONCAT(Table4[[#This Row],[Ledger Name]],Table4[[#This Row],[Entity Name]])</f>
        <v>Written offArha General Trading Co (AGT)</v>
      </c>
      <c r="D2387" s="36" t="s">
        <v>936</v>
      </c>
      <c r="E2387" s="49" t="s">
        <v>152</v>
      </c>
      <c r="F2387" s="49" t="s">
        <v>5</v>
      </c>
      <c r="G2387" s="101" t="s">
        <v>13</v>
      </c>
    </row>
    <row r="2388" spans="1:7" hidden="1">
      <c r="A2388" s="36" t="s">
        <v>2567</v>
      </c>
      <c r="B2388" s="36" t="s">
        <v>314</v>
      </c>
      <c r="C2388" s="36" t="str">
        <f>_xlfn.CONCAT(Table4[[#This Row],[Ledger Name]],Table4[[#This Row],[Entity Name]])</f>
        <v>Bhavin Bhai Sri LankaExpora</v>
      </c>
      <c r="D2388" s="36" t="s">
        <v>936</v>
      </c>
      <c r="E2388" s="49" t="s">
        <v>746</v>
      </c>
      <c r="F2388" s="49" t="s">
        <v>52</v>
      </c>
      <c r="G2388" s="24" t="s">
        <v>1606</v>
      </c>
    </row>
    <row r="2389" spans="1:7" hidden="1">
      <c r="A2389" s="36" t="s">
        <v>2568</v>
      </c>
      <c r="B2389" s="36" t="s">
        <v>314</v>
      </c>
      <c r="C2389" s="36" t="str">
        <f>_xlfn.CONCAT(Table4[[#This Row],[Ledger Name]],Table4[[#This Row],[Entity Name]])</f>
        <v>FD 140195701461 CanaraExpora</v>
      </c>
      <c r="D2389" s="36" t="s">
        <v>936</v>
      </c>
      <c r="E2389" s="49" t="s">
        <v>746</v>
      </c>
      <c r="F2389" s="49" t="s">
        <v>42</v>
      </c>
      <c r="G2389" s="101" t="s">
        <v>42</v>
      </c>
    </row>
    <row r="2390" spans="1:7" hidden="1">
      <c r="A2390" s="36" t="s">
        <v>2569</v>
      </c>
      <c r="B2390" s="36" t="s">
        <v>314</v>
      </c>
      <c r="C2390" s="36" t="str">
        <f>_xlfn.CONCAT(Table4[[#This Row],[Ledger Name]],Table4[[#This Row],[Entity Name]])</f>
        <v>FD 922040053013469 AxisExpora</v>
      </c>
      <c r="D2390" s="36" t="s">
        <v>936</v>
      </c>
      <c r="E2390" s="49" t="s">
        <v>746</v>
      </c>
      <c r="F2390" s="49" t="s">
        <v>42</v>
      </c>
      <c r="G2390" s="101" t="s">
        <v>42</v>
      </c>
    </row>
    <row r="2391" spans="1:7" hidden="1">
      <c r="A2391" s="36" t="s">
        <v>2570</v>
      </c>
      <c r="B2391" s="36" t="s">
        <v>314</v>
      </c>
      <c r="C2391" s="36" t="str">
        <f>_xlfn.CONCAT(Table4[[#This Row],[Ledger Name]],Table4[[#This Row],[Entity Name]])</f>
        <v>FD 923040093603588 AxisExpora</v>
      </c>
      <c r="D2391" s="36" t="s">
        <v>936</v>
      </c>
      <c r="E2391" s="49" t="s">
        <v>746</v>
      </c>
      <c r="F2391" s="49" t="s">
        <v>42</v>
      </c>
      <c r="G2391" s="101" t="s">
        <v>42</v>
      </c>
    </row>
    <row r="2392" spans="1:7" hidden="1">
      <c r="A2392" s="36" t="s">
        <v>2571</v>
      </c>
      <c r="B2392" s="36" t="s">
        <v>314</v>
      </c>
      <c r="C2392" s="36" t="str">
        <f>_xlfn.CONCAT(Table4[[#This Row],[Ledger Name]],Table4[[#This Row],[Entity Name]])</f>
        <v>FD 924040106039219 AxisExpora</v>
      </c>
      <c r="D2392" s="36" t="s">
        <v>936</v>
      </c>
      <c r="E2392" s="49" t="s">
        <v>746</v>
      </c>
      <c r="F2392" s="49" t="s">
        <v>42</v>
      </c>
      <c r="G2392" s="101" t="s">
        <v>42</v>
      </c>
    </row>
    <row r="2393" spans="1:7" hidden="1">
      <c r="A2393" s="36" t="s">
        <v>2572</v>
      </c>
      <c r="B2393" s="36" t="s">
        <v>314</v>
      </c>
      <c r="C2393" s="36" t="str">
        <f>_xlfn.CONCAT(Table4[[#This Row],[Ledger Name]],Table4[[#This Row],[Entity Name]])</f>
        <v>FD 925040063893641 AxisExpora</v>
      </c>
      <c r="D2393" s="36" t="s">
        <v>936</v>
      </c>
      <c r="E2393" s="49" t="s">
        <v>746</v>
      </c>
      <c r="F2393" s="49" t="s">
        <v>42</v>
      </c>
      <c r="G2393" s="101" t="s">
        <v>42</v>
      </c>
    </row>
    <row r="2394" spans="1:7">
      <c r="A2394" s="36" t="s">
        <v>2573</v>
      </c>
      <c r="B2394" s="36" t="s">
        <v>314</v>
      </c>
      <c r="C2394" s="36" t="str">
        <f>_xlfn.CONCAT(Table4[[#This Row],[Ledger Name]],Table4[[#This Row],[Entity Name]])</f>
        <v>Arha Platform General Trading LLC (ODI)Expora</v>
      </c>
      <c r="D2394" s="36" t="s">
        <v>936</v>
      </c>
      <c r="E2394" s="49" t="s">
        <v>746</v>
      </c>
      <c r="F2394" s="49" t="s">
        <v>52</v>
      </c>
      <c r="G2394" s="24" t="s">
        <v>1606</v>
      </c>
    </row>
    <row r="2395" spans="1:7" hidden="1">
      <c r="A2395" s="36" t="s">
        <v>2574</v>
      </c>
      <c r="B2395" s="36" t="s">
        <v>314</v>
      </c>
      <c r="C2395" s="36" t="str">
        <f>_xlfn.CONCAT(Table4[[#This Row],[Ledger Name]],Table4[[#This Row],[Entity Name]])</f>
        <v>12053 TDSExpora</v>
      </c>
      <c r="D2395" s="36" t="s">
        <v>936</v>
      </c>
      <c r="E2395" s="49" t="s">
        <v>746</v>
      </c>
      <c r="F2395" s="49" t="s">
        <v>63</v>
      </c>
      <c r="G2395" s="24" t="s">
        <v>63</v>
      </c>
    </row>
    <row r="2396" spans="1:7" hidden="1">
      <c r="A2396" s="36" t="s">
        <v>2575</v>
      </c>
      <c r="B2396" s="36" t="s">
        <v>314</v>
      </c>
      <c r="C2396" s="36" t="str">
        <f>_xlfn.CONCAT(Table4[[#This Row],[Ledger Name]],Table4[[#This Row],[Entity Name]])</f>
        <v>15154 TDS94CExpora</v>
      </c>
      <c r="D2396" s="36" t="s">
        <v>936</v>
      </c>
      <c r="E2396" s="49" t="s">
        <v>746</v>
      </c>
      <c r="F2396" s="49" t="s">
        <v>63</v>
      </c>
      <c r="G2396" s="24" t="s">
        <v>63</v>
      </c>
    </row>
    <row r="2397" spans="1:7" hidden="1">
      <c r="A2397" s="36" t="s">
        <v>2576</v>
      </c>
      <c r="B2397" s="36" t="s">
        <v>314</v>
      </c>
      <c r="C2397" s="36" t="str">
        <f>_xlfn.CONCAT(Table4[[#This Row],[Ledger Name]],Table4[[#This Row],[Entity Name]])</f>
        <v>16382 TDS94IExpora</v>
      </c>
      <c r="D2397" s="36" t="s">
        <v>936</v>
      </c>
      <c r="E2397" s="49" t="s">
        <v>746</v>
      </c>
      <c r="F2397" s="49" t="s">
        <v>63</v>
      </c>
      <c r="G2397" s="24" t="s">
        <v>63</v>
      </c>
    </row>
    <row r="2398" spans="1:7" hidden="1">
      <c r="A2398" s="36" t="s">
        <v>2577</v>
      </c>
      <c r="B2398" s="36" t="s">
        <v>314</v>
      </c>
      <c r="C2398" s="36" t="str">
        <f>_xlfn.CONCAT(Table4[[#This Row],[Ledger Name]],Table4[[#This Row],[Entity Name]])</f>
        <v>16511 TDS94IExpora</v>
      </c>
      <c r="D2398" s="36" t="s">
        <v>936</v>
      </c>
      <c r="E2398" s="49" t="s">
        <v>746</v>
      </c>
      <c r="F2398" s="49" t="s">
        <v>63</v>
      </c>
      <c r="G2398" s="24" t="s">
        <v>63</v>
      </c>
    </row>
    <row r="2399" spans="1:7" hidden="1">
      <c r="A2399" s="36" t="s">
        <v>2578</v>
      </c>
      <c r="B2399" s="36" t="s">
        <v>314</v>
      </c>
      <c r="C2399" s="36" t="str">
        <f>_xlfn.CONCAT(Table4[[#This Row],[Ledger Name]],Table4[[#This Row],[Entity Name]])</f>
        <v>16717 TDS94CExpora</v>
      </c>
      <c r="D2399" s="36" t="s">
        <v>936</v>
      </c>
      <c r="E2399" s="49" t="s">
        <v>746</v>
      </c>
      <c r="F2399" s="49" t="s">
        <v>63</v>
      </c>
      <c r="G2399" s="24" t="s">
        <v>63</v>
      </c>
    </row>
    <row r="2400" spans="1:7" hidden="1">
      <c r="A2400" s="36" t="s">
        <v>2579</v>
      </c>
      <c r="B2400" s="36" t="s">
        <v>314</v>
      </c>
      <c r="C2400" s="36" t="str">
        <f>_xlfn.CONCAT(Table4[[#This Row],[Ledger Name]],Table4[[#This Row],[Entity Name]])</f>
        <v>16765 TDS94JExpora</v>
      </c>
      <c r="D2400" s="36" t="s">
        <v>936</v>
      </c>
      <c r="E2400" s="49" t="s">
        <v>746</v>
      </c>
      <c r="F2400" s="49" t="s">
        <v>63</v>
      </c>
      <c r="G2400" s="24" t="s">
        <v>63</v>
      </c>
    </row>
    <row r="2401" spans="1:7" hidden="1">
      <c r="A2401" s="36" t="s">
        <v>2580</v>
      </c>
      <c r="B2401" s="36" t="s">
        <v>314</v>
      </c>
      <c r="C2401" s="36" t="str">
        <f>_xlfn.CONCAT(Table4[[#This Row],[Ledger Name]],Table4[[#This Row],[Entity Name]])</f>
        <v>16854 TDS94CExpora</v>
      </c>
      <c r="D2401" s="36" t="s">
        <v>936</v>
      </c>
      <c r="E2401" s="49" t="s">
        <v>746</v>
      </c>
      <c r="F2401" s="49" t="s">
        <v>63</v>
      </c>
      <c r="G2401" s="24" t="s">
        <v>63</v>
      </c>
    </row>
    <row r="2402" spans="1:7" hidden="1">
      <c r="A2402" s="36" t="s">
        <v>2581</v>
      </c>
      <c r="B2402" s="36" t="s">
        <v>314</v>
      </c>
      <c r="C2402" s="36" t="str">
        <f>_xlfn.CONCAT(Table4[[#This Row],[Ledger Name]],Table4[[#This Row],[Entity Name]])</f>
        <v>17051 TDS94JExpora</v>
      </c>
      <c r="D2402" s="36" t="s">
        <v>936</v>
      </c>
      <c r="E2402" s="49" t="s">
        <v>746</v>
      </c>
      <c r="F2402" s="49" t="s">
        <v>63</v>
      </c>
      <c r="G2402" s="24" t="s">
        <v>63</v>
      </c>
    </row>
    <row r="2403" spans="1:7" hidden="1">
      <c r="A2403" s="36" t="s">
        <v>2582</v>
      </c>
      <c r="B2403" s="36" t="s">
        <v>314</v>
      </c>
      <c r="C2403" s="36" t="str">
        <f>_xlfn.CONCAT(Table4[[#This Row],[Ledger Name]],Table4[[#This Row],[Entity Name]])</f>
        <v>17274 TDS94JExpora</v>
      </c>
      <c r="D2403" s="36" t="s">
        <v>936</v>
      </c>
      <c r="E2403" s="49" t="s">
        <v>746</v>
      </c>
      <c r="F2403" s="49" t="s">
        <v>63</v>
      </c>
      <c r="G2403" s="24" t="s">
        <v>63</v>
      </c>
    </row>
    <row r="2404" spans="1:7" hidden="1">
      <c r="A2404" s="36" t="s">
        <v>2583</v>
      </c>
      <c r="B2404" s="36" t="s">
        <v>314</v>
      </c>
      <c r="C2404" s="36" t="str">
        <f>_xlfn.CONCAT(Table4[[#This Row],[Ledger Name]],Table4[[#This Row],[Entity Name]])</f>
        <v>23030 TDS94AExpora</v>
      </c>
      <c r="D2404" s="36" t="s">
        <v>936</v>
      </c>
      <c r="E2404" s="49" t="s">
        <v>746</v>
      </c>
      <c r="F2404" s="49" t="s">
        <v>63</v>
      </c>
      <c r="G2404" s="24" t="s">
        <v>63</v>
      </c>
    </row>
    <row r="2405" spans="1:7" hidden="1">
      <c r="A2405" s="36" t="s">
        <v>2584</v>
      </c>
      <c r="B2405" s="36" t="s">
        <v>314</v>
      </c>
      <c r="C2405" s="36" t="str">
        <f>_xlfn.CONCAT(Table4[[#This Row],[Ledger Name]],Table4[[#This Row],[Entity Name]])</f>
        <v>23829 TDS94CExpora</v>
      </c>
      <c r="D2405" s="36" t="s">
        <v>936</v>
      </c>
      <c r="E2405" s="49" t="s">
        <v>746</v>
      </c>
      <c r="F2405" s="49" t="s">
        <v>63</v>
      </c>
      <c r="G2405" s="24" t="s">
        <v>63</v>
      </c>
    </row>
    <row r="2406" spans="1:7" hidden="1">
      <c r="A2406" s="36" t="s">
        <v>2585</v>
      </c>
      <c r="B2406" s="36" t="s">
        <v>314</v>
      </c>
      <c r="C2406" s="36" t="str">
        <f>_xlfn.CONCAT(Table4[[#This Row],[Ledger Name]],Table4[[#This Row],[Entity Name]])</f>
        <v>25711 TDS94QExpora</v>
      </c>
      <c r="D2406" s="36" t="s">
        <v>936</v>
      </c>
      <c r="E2406" s="49" t="s">
        <v>746</v>
      </c>
      <c r="F2406" s="49" t="s">
        <v>63</v>
      </c>
      <c r="G2406" s="24" t="s">
        <v>63</v>
      </c>
    </row>
    <row r="2407" spans="1:7" hidden="1">
      <c r="A2407" s="36" t="s">
        <v>2586</v>
      </c>
      <c r="B2407" s="36" t="s">
        <v>314</v>
      </c>
      <c r="C2407" s="36" t="str">
        <f>_xlfn.CONCAT(Table4[[#This Row],[Ledger Name]],Table4[[#This Row],[Entity Name]])</f>
        <v>28889 TDSExpora</v>
      </c>
      <c r="D2407" s="36" t="s">
        <v>936</v>
      </c>
      <c r="E2407" s="49" t="s">
        <v>746</v>
      </c>
      <c r="F2407" s="49" t="s">
        <v>63</v>
      </c>
      <c r="G2407" s="24" t="s">
        <v>63</v>
      </c>
    </row>
    <row r="2408" spans="1:7" hidden="1">
      <c r="A2408" s="36" t="s">
        <v>2587</v>
      </c>
      <c r="B2408" s="36" t="s">
        <v>314</v>
      </c>
      <c r="C2408" s="36" t="str">
        <f>_xlfn.CONCAT(Table4[[#This Row],[Ledger Name]],Table4[[#This Row],[Entity Name]])</f>
        <v>31643 TDS94CExpora</v>
      </c>
      <c r="D2408" s="36" t="s">
        <v>936</v>
      </c>
      <c r="E2408" s="49" t="s">
        <v>746</v>
      </c>
      <c r="F2408" s="49" t="s">
        <v>63</v>
      </c>
      <c r="G2408" s="24" t="s">
        <v>63</v>
      </c>
    </row>
    <row r="2409" spans="1:7" hidden="1">
      <c r="A2409" s="36" t="s">
        <v>2588</v>
      </c>
      <c r="B2409" s="36" t="s">
        <v>314</v>
      </c>
      <c r="C2409" s="36" t="str">
        <f>_xlfn.CONCAT(Table4[[#This Row],[Ledger Name]],Table4[[#This Row],[Entity Name]])</f>
        <v>31905 TDS94AExpora</v>
      </c>
      <c r="D2409" s="36" t="s">
        <v>936</v>
      </c>
      <c r="E2409" s="49" t="s">
        <v>746</v>
      </c>
      <c r="F2409" s="49" t="s">
        <v>63</v>
      </c>
      <c r="G2409" s="24" t="s">
        <v>63</v>
      </c>
    </row>
    <row r="2410" spans="1:7" hidden="1">
      <c r="A2410" s="36" t="s">
        <v>2589</v>
      </c>
      <c r="B2410" s="36" t="s">
        <v>314</v>
      </c>
      <c r="C2410" s="36" t="str">
        <f>_xlfn.CONCAT(Table4[[#This Row],[Ledger Name]],Table4[[#This Row],[Entity Name]])</f>
        <v>3507 TDSExpora</v>
      </c>
      <c r="D2410" s="36" t="s">
        <v>936</v>
      </c>
      <c r="E2410" s="49" t="s">
        <v>746</v>
      </c>
      <c r="F2410" s="49" t="s">
        <v>63</v>
      </c>
      <c r="G2410" s="24" t="s">
        <v>63</v>
      </c>
    </row>
    <row r="2411" spans="1:7" hidden="1">
      <c r="A2411" s="36" t="s">
        <v>2590</v>
      </c>
      <c r="B2411" s="36" t="s">
        <v>314</v>
      </c>
      <c r="C2411" s="36" t="str">
        <f>_xlfn.CONCAT(Table4[[#This Row],[Ledger Name]],Table4[[#This Row],[Entity Name]])</f>
        <v>47588 TDS94QExpora</v>
      </c>
      <c r="D2411" s="36" t="s">
        <v>936</v>
      </c>
      <c r="E2411" s="49" t="s">
        <v>746</v>
      </c>
      <c r="F2411" s="49" t="s">
        <v>63</v>
      </c>
      <c r="G2411" s="24" t="s">
        <v>63</v>
      </c>
    </row>
    <row r="2412" spans="1:7" hidden="1">
      <c r="A2412" s="36" t="s">
        <v>2591</v>
      </c>
      <c r="B2412" s="36" t="s">
        <v>314</v>
      </c>
      <c r="C2412" s="36" t="str">
        <f>_xlfn.CONCAT(Table4[[#This Row],[Ledger Name]],Table4[[#This Row],[Entity Name]])</f>
        <v>48412 TDS195Expora</v>
      </c>
      <c r="D2412" s="36" t="s">
        <v>936</v>
      </c>
      <c r="E2412" s="49" t="s">
        <v>746</v>
      </c>
      <c r="F2412" s="49" t="s">
        <v>63</v>
      </c>
      <c r="G2412" s="24" t="s">
        <v>63</v>
      </c>
    </row>
    <row r="2413" spans="1:7" hidden="1">
      <c r="A2413" s="36" t="s">
        <v>2592</v>
      </c>
      <c r="B2413" s="36" t="s">
        <v>314</v>
      </c>
      <c r="C2413" s="36" t="str">
        <f>_xlfn.CONCAT(Table4[[#This Row],[Ledger Name]],Table4[[#This Row],[Entity Name]])</f>
        <v>54018 TDS94AExpora</v>
      </c>
      <c r="D2413" s="36" t="s">
        <v>936</v>
      </c>
      <c r="E2413" s="49" t="s">
        <v>746</v>
      </c>
      <c r="F2413" s="49" t="s">
        <v>63</v>
      </c>
      <c r="G2413" s="24" t="s">
        <v>63</v>
      </c>
    </row>
    <row r="2414" spans="1:7" hidden="1">
      <c r="A2414" s="36" t="s">
        <v>2593</v>
      </c>
      <c r="B2414" s="36" t="s">
        <v>314</v>
      </c>
      <c r="C2414" s="36" t="str">
        <f>_xlfn.CONCAT(Table4[[#This Row],[Ledger Name]],Table4[[#This Row],[Entity Name]])</f>
        <v>57730 TDS94JExpora</v>
      </c>
      <c r="D2414" s="36" t="s">
        <v>936</v>
      </c>
      <c r="E2414" s="49" t="s">
        <v>746</v>
      </c>
      <c r="F2414" s="49" t="s">
        <v>63</v>
      </c>
      <c r="G2414" s="24" t="s">
        <v>63</v>
      </c>
    </row>
    <row r="2415" spans="1:7" hidden="1">
      <c r="A2415" s="36" t="s">
        <v>2594</v>
      </c>
      <c r="B2415" s="36" t="s">
        <v>314</v>
      </c>
      <c r="C2415" s="36" t="str">
        <f>_xlfn.CONCAT(Table4[[#This Row],[Ledger Name]],Table4[[#This Row],[Entity Name]])</f>
        <v>61094 TDSExpora</v>
      </c>
      <c r="D2415" s="36" t="s">
        <v>936</v>
      </c>
      <c r="E2415" s="49" t="s">
        <v>746</v>
      </c>
      <c r="F2415" s="49" t="s">
        <v>63</v>
      </c>
      <c r="G2415" s="24" t="s">
        <v>63</v>
      </c>
    </row>
    <row r="2416" spans="1:7" hidden="1">
      <c r="A2416" s="36" t="s">
        <v>2595</v>
      </c>
      <c r="B2416" s="36" t="s">
        <v>314</v>
      </c>
      <c r="C2416" s="36" t="str">
        <f>_xlfn.CONCAT(Table4[[#This Row],[Ledger Name]],Table4[[#This Row],[Entity Name]])</f>
        <v>61920 TDSExpora</v>
      </c>
      <c r="D2416" s="36" t="s">
        <v>936</v>
      </c>
      <c r="E2416" s="49" t="s">
        <v>746</v>
      </c>
      <c r="F2416" s="49" t="s">
        <v>63</v>
      </c>
      <c r="G2416" s="24" t="s">
        <v>63</v>
      </c>
    </row>
    <row r="2417" spans="1:7" hidden="1">
      <c r="A2417" s="36" t="s">
        <v>2596</v>
      </c>
      <c r="B2417" s="36" t="s">
        <v>314</v>
      </c>
      <c r="C2417" s="36" t="str">
        <f>_xlfn.CONCAT(Table4[[#This Row],[Ledger Name]],Table4[[#This Row],[Entity Name]])</f>
        <v>62636 TDS94JExpora</v>
      </c>
      <c r="D2417" s="36" t="s">
        <v>936</v>
      </c>
      <c r="E2417" s="49" t="s">
        <v>746</v>
      </c>
      <c r="F2417" s="49" t="s">
        <v>63</v>
      </c>
      <c r="G2417" s="24" t="s">
        <v>63</v>
      </c>
    </row>
    <row r="2418" spans="1:7" hidden="1">
      <c r="A2418" s="36" t="s">
        <v>2597</v>
      </c>
      <c r="B2418" s="36" t="s">
        <v>314</v>
      </c>
      <c r="C2418" s="36" t="str">
        <f>_xlfn.CONCAT(Table4[[#This Row],[Ledger Name]],Table4[[#This Row],[Entity Name]])</f>
        <v>65662 TDS94AExpora</v>
      </c>
      <c r="D2418" s="36" t="s">
        <v>936</v>
      </c>
      <c r="E2418" s="49" t="s">
        <v>746</v>
      </c>
      <c r="F2418" s="49" t="s">
        <v>63</v>
      </c>
      <c r="G2418" s="24" t="s">
        <v>63</v>
      </c>
    </row>
    <row r="2419" spans="1:7" hidden="1">
      <c r="A2419" s="36" t="s">
        <v>2598</v>
      </c>
      <c r="B2419" s="36" t="s">
        <v>314</v>
      </c>
      <c r="C2419" s="36" t="str">
        <f>_xlfn.CONCAT(Table4[[#This Row],[Ledger Name]],Table4[[#This Row],[Entity Name]])</f>
        <v>66159 TDSExpora</v>
      </c>
      <c r="D2419" s="36" t="s">
        <v>936</v>
      </c>
      <c r="E2419" s="49" t="s">
        <v>746</v>
      </c>
      <c r="F2419" s="49" t="s">
        <v>63</v>
      </c>
      <c r="G2419" s="24" t="s">
        <v>63</v>
      </c>
    </row>
    <row r="2420" spans="1:7" hidden="1">
      <c r="A2420" s="36" t="s">
        <v>2599</v>
      </c>
      <c r="B2420" s="36" t="s">
        <v>314</v>
      </c>
      <c r="C2420" s="36" t="str">
        <f>_xlfn.CONCAT(Table4[[#This Row],[Ledger Name]],Table4[[#This Row],[Entity Name]])</f>
        <v>66758 TDSExpora</v>
      </c>
      <c r="D2420" s="36" t="s">
        <v>936</v>
      </c>
      <c r="E2420" s="49" t="s">
        <v>746</v>
      </c>
      <c r="F2420" s="49" t="s">
        <v>63</v>
      </c>
      <c r="G2420" s="24" t="s">
        <v>63</v>
      </c>
    </row>
    <row r="2421" spans="1:7" hidden="1">
      <c r="A2421" s="36" t="s">
        <v>2600</v>
      </c>
      <c r="B2421" s="36" t="s">
        <v>314</v>
      </c>
      <c r="C2421" s="36" t="str">
        <f>_xlfn.CONCAT(Table4[[#This Row],[Ledger Name]],Table4[[#This Row],[Entity Name]])</f>
        <v>70842 TDS94CExpora</v>
      </c>
      <c r="D2421" s="36" t="s">
        <v>936</v>
      </c>
      <c r="E2421" s="49" t="s">
        <v>746</v>
      </c>
      <c r="F2421" s="49" t="s">
        <v>63</v>
      </c>
      <c r="G2421" s="24" t="s">
        <v>63</v>
      </c>
    </row>
    <row r="2422" spans="1:7" hidden="1">
      <c r="A2422" s="36" t="s">
        <v>2601</v>
      </c>
      <c r="B2422" s="36" t="s">
        <v>314</v>
      </c>
      <c r="C2422" s="36" t="str">
        <f>_xlfn.CONCAT(Table4[[#This Row],[Ledger Name]],Table4[[#This Row],[Entity Name]])</f>
        <v>72229 TDS94QExpora</v>
      </c>
      <c r="D2422" s="36" t="s">
        <v>936</v>
      </c>
      <c r="E2422" s="49" t="s">
        <v>746</v>
      </c>
      <c r="F2422" s="49" t="s">
        <v>63</v>
      </c>
      <c r="G2422" s="24" t="s">
        <v>63</v>
      </c>
    </row>
    <row r="2423" spans="1:7" hidden="1">
      <c r="A2423" s="36" t="s">
        <v>2602</v>
      </c>
      <c r="B2423" s="36" t="s">
        <v>314</v>
      </c>
      <c r="C2423" s="36" t="str">
        <f>_xlfn.CONCAT(Table4[[#This Row],[Ledger Name]],Table4[[#This Row],[Entity Name]])</f>
        <v>74401 TDS94CExpora</v>
      </c>
      <c r="D2423" s="36" t="s">
        <v>936</v>
      </c>
      <c r="E2423" s="49" t="s">
        <v>746</v>
      </c>
      <c r="F2423" s="49" t="s">
        <v>63</v>
      </c>
      <c r="G2423" s="24" t="s">
        <v>63</v>
      </c>
    </row>
    <row r="1048565" spans="5:6">
      <c r="F1048565" s="53" t="s">
        <v>1272</v>
      </c>
    </row>
    <row r="1048570" spans="5:6">
      <c r="E1048570" s="162"/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11AE-D134-461B-841D-D07DDA56911F}">
  <dimension ref="A1:T160"/>
  <sheetViews>
    <sheetView showGridLines="0" workbookViewId="0">
      <pane xSplit="1" ySplit="3" topLeftCell="L6" activePane="bottomRight" state="frozen"/>
      <selection activeCell="FJ92" sqref="FJ92"/>
      <selection pane="topRight" activeCell="FJ92" sqref="FJ92"/>
      <selection pane="bottomLeft" activeCell="FJ92" sqref="FJ92"/>
      <selection pane="bottomRight" activeCell="R17" sqref="R17"/>
    </sheetView>
  </sheetViews>
  <sheetFormatPr defaultColWidth="9.109375" defaultRowHeight="13.8"/>
  <cols>
    <col min="1" max="1" width="25.88671875" style="138" customWidth="1"/>
    <col min="2" max="3" width="15.33203125" style="138" bestFit="1" customWidth="1"/>
    <col min="4" max="4" width="12.33203125" style="138" bestFit="1" customWidth="1"/>
    <col min="5" max="6" width="13.33203125" style="138" customWidth="1"/>
    <col min="7" max="7" width="11.44140625" style="138" bestFit="1" customWidth="1"/>
    <col min="8" max="8" width="13.6640625" style="138" bestFit="1" customWidth="1"/>
    <col min="9" max="9" width="14.109375" style="138" bestFit="1" customWidth="1"/>
    <col min="10" max="10" width="14.88671875" style="138" customWidth="1"/>
    <col min="11" max="11" width="13.44140625" style="138" customWidth="1"/>
    <col min="12" max="12" width="14.109375" style="138" customWidth="1"/>
    <col min="13" max="13" width="11" style="138" bestFit="1" customWidth="1"/>
    <col min="14" max="14" width="9.109375" style="138"/>
    <col min="15" max="15" width="9.5546875" style="138" bestFit="1" customWidth="1"/>
    <col min="16" max="16" width="6.6640625" style="138" bestFit="1" customWidth="1"/>
    <col min="17" max="17" width="3.33203125" style="138" customWidth="1"/>
    <col min="18" max="18" width="17.109375" style="138" customWidth="1"/>
    <col min="19" max="19" width="34.88671875" style="138" bestFit="1" customWidth="1"/>
    <col min="20" max="20" width="42.44140625" style="138" bestFit="1" customWidth="1"/>
    <col min="21" max="16384" width="9.109375" style="138"/>
  </cols>
  <sheetData>
    <row r="1" spans="1:20" ht="14.4">
      <c r="D1" s="138">
        <f>C2-D2</f>
        <v>0</v>
      </c>
      <c r="G1" s="138">
        <f>G2/3.67</f>
        <v>0</v>
      </c>
      <c r="N1" s="35">
        <v>26</v>
      </c>
      <c r="O1" s="35">
        <v>23.48</v>
      </c>
      <c r="P1" s="145"/>
    </row>
    <row r="2" spans="1:20">
      <c r="B2" s="140">
        <f t="shared" ref="B2:E2" si="0">SUBTOTAL(9,B4:B161)</f>
        <v>0</v>
      </c>
      <c r="C2" s="140">
        <f t="shared" si="0"/>
        <v>0</v>
      </c>
      <c r="D2" s="140">
        <f t="shared" si="0"/>
        <v>0</v>
      </c>
      <c r="E2" s="140">
        <f t="shared" si="0"/>
        <v>0</v>
      </c>
      <c r="F2" s="140">
        <f>SUBTOTAL(9,F4:F161)</f>
        <v>0</v>
      </c>
      <c r="G2" s="140">
        <f t="shared" ref="G2" si="1">SUBTOTAL(9,G4:G161)</f>
        <v>0</v>
      </c>
      <c r="H2" s="140"/>
      <c r="I2" s="140"/>
      <c r="J2" s="140"/>
      <c r="K2" s="140"/>
      <c r="L2" s="140"/>
      <c r="M2" s="140"/>
    </row>
    <row r="3" spans="1:20">
      <c r="A3" s="142" t="s">
        <v>415</v>
      </c>
      <c r="B3" s="192">
        <v>45748</v>
      </c>
      <c r="C3" s="192">
        <v>45778</v>
      </c>
      <c r="D3" s="192">
        <v>45809</v>
      </c>
      <c r="E3" s="192">
        <v>45839</v>
      </c>
      <c r="F3" s="192">
        <v>45870</v>
      </c>
      <c r="G3" s="100" t="s">
        <v>30</v>
      </c>
      <c r="H3" s="45" t="s">
        <v>1719</v>
      </c>
      <c r="I3" s="45" t="s">
        <v>1720</v>
      </c>
      <c r="J3" s="45" t="s">
        <v>1721</v>
      </c>
      <c r="K3" s="45" t="s">
        <v>1722</v>
      </c>
      <c r="L3" s="45" t="s">
        <v>1723</v>
      </c>
      <c r="M3" s="100" t="s">
        <v>1541</v>
      </c>
      <c r="N3" s="99" t="s">
        <v>918</v>
      </c>
      <c r="O3" s="99" t="s">
        <v>919</v>
      </c>
      <c r="P3" s="99" t="s">
        <v>951</v>
      </c>
      <c r="Q3" s="99" t="s">
        <v>785</v>
      </c>
      <c r="R3" s="99" t="s">
        <v>57</v>
      </c>
      <c r="S3" s="99" t="s">
        <v>243</v>
      </c>
      <c r="T3" s="99" t="s">
        <v>0</v>
      </c>
    </row>
    <row r="4" spans="1:20" ht="14.4">
      <c r="A4" s="323" t="s">
        <v>451</v>
      </c>
      <c r="B4" s="271"/>
      <c r="C4" s="271"/>
      <c r="D4" s="271"/>
      <c r="E4" s="271"/>
      <c r="F4" s="271"/>
      <c r="G4" s="139">
        <f t="shared" ref="G4" si="2">SUM(B4:F4)</f>
        <v>0</v>
      </c>
      <c r="H4" s="180">
        <f t="shared" ref="H4" si="3">B4*$N$1</f>
        <v>0</v>
      </c>
      <c r="I4" s="180">
        <f t="shared" ref="I4" si="4">C4*$N$1</f>
        <v>0</v>
      </c>
      <c r="J4" s="180">
        <f t="shared" ref="J4" si="5">D4*$N$1</f>
        <v>0</v>
      </c>
      <c r="K4" s="180">
        <f t="shared" ref="K4" si="6">E4*$N$1</f>
        <v>0</v>
      </c>
      <c r="L4" s="180">
        <f t="shared" ref="L4" si="7">F4*$N$1</f>
        <v>0</v>
      </c>
      <c r="M4" s="180">
        <f t="shared" ref="M4" si="8">G4*$N$1</f>
        <v>0</v>
      </c>
      <c r="N4" s="50" t="s">
        <v>826</v>
      </c>
      <c r="O4" s="50" t="str">
        <f t="shared" ref="O4" si="9">CONCATENATE(A4,N4)</f>
        <v>Accounts ReceivableArha General Trading Co (AGT)</v>
      </c>
      <c r="P4" s="139" t="str" cm="1">
        <f t="array" ref="P4:S4">_xlfn.XLOOKUP(O4,Table4[Concate],Table4[[Group/Legder]:[Sub Category]],,0)</f>
        <v>Ledger</v>
      </c>
      <c r="Q4" s="139" t="str">
        <v>BS</v>
      </c>
      <c r="R4" s="158" t="str">
        <v>Trade Receivables</v>
      </c>
      <c r="S4" s="139" t="str">
        <v>Trade Receivables</v>
      </c>
      <c r="T4" s="139"/>
    </row>
    <row r="5" spans="1:20" ht="14.4">
      <c r="A5" s="323" t="s">
        <v>2230</v>
      </c>
      <c r="B5" s="271"/>
      <c r="C5" s="271"/>
      <c r="D5" s="271"/>
      <c r="E5" s="271"/>
      <c r="F5" s="271"/>
      <c r="G5" s="139">
        <f t="shared" ref="G5:G68" si="10">SUM(B5:F5)</f>
        <v>0</v>
      </c>
      <c r="H5" s="180">
        <f t="shared" ref="H5:H68" si="11">B5*$N$1</f>
        <v>0</v>
      </c>
      <c r="I5" s="180">
        <f t="shared" ref="I5:I68" si="12">C5*$N$1</f>
        <v>0</v>
      </c>
      <c r="J5" s="180">
        <f t="shared" ref="J5:J68" si="13">D5*$N$1</f>
        <v>0</v>
      </c>
      <c r="K5" s="180">
        <f t="shared" ref="K5:K68" si="14">E5*$N$1</f>
        <v>0</v>
      </c>
      <c r="L5" s="180">
        <f t="shared" ref="L5:L68" si="15">F5*$N$1</f>
        <v>0</v>
      </c>
      <c r="M5" s="180">
        <f t="shared" ref="M5:M68" si="16">G5*$N$1</f>
        <v>0</v>
      </c>
      <c r="N5" s="50" t="s">
        <v>826</v>
      </c>
      <c r="O5" s="50" t="str">
        <f t="shared" ref="O5:O68" si="17">CONCATENATE(A5,N5)</f>
        <v>AL ANSARI EXCHANGE LLC-AccountArha General Trading Co (AGT)</v>
      </c>
      <c r="P5" s="139" t="str" cm="1">
        <f t="array" ref="P5:S5">_xlfn.XLOOKUP(O5,Table4[Concate],Table4[[Group/Legder]:[Sub Category]],,0)</f>
        <v>Ledger</v>
      </c>
      <c r="Q5" s="139" t="str">
        <v>BS</v>
      </c>
      <c r="R5" s="158" t="str">
        <v>Cash and bank balances</v>
      </c>
      <c r="S5" s="139" t="str">
        <v>Bank Balance</v>
      </c>
      <c r="T5" s="139"/>
    </row>
    <row r="6" spans="1:20" ht="14.4">
      <c r="A6" s="323" t="s">
        <v>2231</v>
      </c>
      <c r="B6" s="271"/>
      <c r="C6" s="271"/>
      <c r="D6" s="271"/>
      <c r="E6" s="271"/>
      <c r="F6" s="271"/>
      <c r="G6" s="139">
        <f t="shared" si="10"/>
        <v>0</v>
      </c>
      <c r="H6" s="180">
        <f t="shared" si="11"/>
        <v>0</v>
      </c>
      <c r="I6" s="180">
        <f t="shared" si="12"/>
        <v>0</v>
      </c>
      <c r="J6" s="180">
        <f t="shared" si="13"/>
        <v>0</v>
      </c>
      <c r="K6" s="180">
        <f t="shared" si="14"/>
        <v>0</v>
      </c>
      <c r="L6" s="180">
        <f t="shared" si="15"/>
        <v>0</v>
      </c>
      <c r="M6" s="180">
        <f t="shared" si="16"/>
        <v>0</v>
      </c>
      <c r="N6" s="50" t="s">
        <v>826</v>
      </c>
      <c r="O6" s="50" t="str">
        <f t="shared" si="17"/>
        <v>AL BAHR AL ASWAD ADV GIFTS TR LLCArha General Trading Co (AGT)</v>
      </c>
      <c r="P6" s="139" t="str" cm="1">
        <f t="array" ref="P6:S6">_xlfn.XLOOKUP(O6,Table4[Concate],Table4[[Group/Legder]:[Sub Category]],,0)</f>
        <v>Ledger</v>
      </c>
      <c r="Q6" s="139" t="str">
        <v>BS</v>
      </c>
      <c r="R6" s="158" t="str">
        <v>Other Current Asset</v>
      </c>
      <c r="S6" s="139" t="str">
        <v xml:space="preserve">Prepaid Expenses </v>
      </c>
      <c r="T6" s="139"/>
    </row>
    <row r="7" spans="1:20" ht="14.4">
      <c r="A7" s="323" t="s">
        <v>552</v>
      </c>
      <c r="B7" s="271"/>
      <c r="C7" s="271"/>
      <c r="D7" s="271"/>
      <c r="E7" s="271"/>
      <c r="F7" s="271"/>
      <c r="G7" s="139">
        <f t="shared" si="10"/>
        <v>0</v>
      </c>
      <c r="H7" s="180">
        <f t="shared" si="11"/>
        <v>0</v>
      </c>
      <c r="I7" s="180">
        <f t="shared" si="12"/>
        <v>0</v>
      </c>
      <c r="J7" s="180">
        <f t="shared" si="13"/>
        <v>0</v>
      </c>
      <c r="K7" s="180">
        <f t="shared" si="14"/>
        <v>0</v>
      </c>
      <c r="L7" s="180">
        <f t="shared" si="15"/>
        <v>0</v>
      </c>
      <c r="M7" s="180">
        <f t="shared" si="16"/>
        <v>0</v>
      </c>
      <c r="N7" s="50" t="s">
        <v>826</v>
      </c>
      <c r="O7" s="50" t="str">
        <f t="shared" si="17"/>
        <v>ARHA PLATFORMS GENERAL TRADING L.L.C (Mashreq)Arha General Trading Co (AGT)</v>
      </c>
      <c r="P7" s="139" t="str" cm="1">
        <f t="array" ref="P7:S7">_xlfn.XLOOKUP(O7,Table4[Concate],Table4[[Group/Legder]:[Sub Category]],,0)</f>
        <v>Ledger</v>
      </c>
      <c r="Q7" s="139" t="str">
        <v>BS</v>
      </c>
      <c r="R7" s="158" t="str">
        <v>Cash and bank balances</v>
      </c>
      <c r="S7" s="139" t="str">
        <v>Bank Balance</v>
      </c>
      <c r="T7" s="139"/>
    </row>
    <row r="8" spans="1:20" ht="14.4">
      <c r="A8" s="323" t="s">
        <v>553</v>
      </c>
      <c r="B8" s="271"/>
      <c r="C8" s="271"/>
      <c r="D8" s="271"/>
      <c r="E8" s="271"/>
      <c r="F8" s="271"/>
      <c r="G8" s="139">
        <f t="shared" si="10"/>
        <v>0</v>
      </c>
      <c r="H8" s="180">
        <f t="shared" si="11"/>
        <v>0</v>
      </c>
      <c r="I8" s="180">
        <f t="shared" si="12"/>
        <v>0</v>
      </c>
      <c r="J8" s="180">
        <f t="shared" si="13"/>
        <v>0</v>
      </c>
      <c r="K8" s="180">
        <f t="shared" si="14"/>
        <v>0</v>
      </c>
      <c r="L8" s="180">
        <f t="shared" si="15"/>
        <v>0</v>
      </c>
      <c r="M8" s="180">
        <f t="shared" si="16"/>
        <v>0</v>
      </c>
      <c r="N8" s="50" t="s">
        <v>826</v>
      </c>
      <c r="O8" s="50" t="str">
        <f t="shared" si="17"/>
        <v>ARHA PLATFORMS GENERAL TRADING L.L.C (USD A/c)Arha General Trading Co (AGT)</v>
      </c>
      <c r="P8" s="139" t="str" cm="1">
        <f t="array" ref="P8:S8">_xlfn.XLOOKUP(O8,Table4[Concate],Table4[[Group/Legder]:[Sub Category]],,0)</f>
        <v>Ledger</v>
      </c>
      <c r="Q8" s="139" t="str">
        <v>BS</v>
      </c>
      <c r="R8" s="158" t="str">
        <v>Cash and bank balances</v>
      </c>
      <c r="S8" s="139" t="str">
        <v>Bank Balance</v>
      </c>
      <c r="T8" s="139"/>
    </row>
    <row r="9" spans="1:20" ht="14.4">
      <c r="A9" s="323" t="s">
        <v>752</v>
      </c>
      <c r="B9" s="271"/>
      <c r="C9" s="271"/>
      <c r="D9" s="271"/>
      <c r="E9" s="271"/>
      <c r="F9" s="271"/>
      <c r="G9" s="139">
        <f t="shared" si="10"/>
        <v>0</v>
      </c>
      <c r="H9" s="180">
        <f t="shared" si="11"/>
        <v>0</v>
      </c>
      <c r="I9" s="180">
        <f t="shared" si="12"/>
        <v>0</v>
      </c>
      <c r="J9" s="180">
        <f t="shared" si="13"/>
        <v>0</v>
      </c>
      <c r="K9" s="180">
        <f t="shared" si="14"/>
        <v>0</v>
      </c>
      <c r="L9" s="180">
        <f t="shared" si="15"/>
        <v>0</v>
      </c>
      <c r="M9" s="180">
        <f t="shared" si="16"/>
        <v>0</v>
      </c>
      <c r="N9" s="50" t="s">
        <v>826</v>
      </c>
      <c r="O9" s="50" t="str">
        <f t="shared" si="17"/>
        <v>ARHA PLATFORMS GENERAL TRADING LLC (USD A/c)Arha General Trading Co (AGT)</v>
      </c>
      <c r="P9" s="139" t="str" cm="1">
        <f t="array" ref="P9:S9">_xlfn.XLOOKUP(O9,Table4[Concate],Table4[[Group/Legder]:[Sub Category]],,0)</f>
        <v>Ledger</v>
      </c>
      <c r="Q9" s="139" t="str">
        <v>BS</v>
      </c>
      <c r="R9" s="158" t="str">
        <v>Cash and bank balances</v>
      </c>
      <c r="S9" s="139" t="str">
        <v>Bank Balance</v>
      </c>
      <c r="T9" s="139"/>
    </row>
    <row r="10" spans="1:20" ht="14.4">
      <c r="A10" s="323" t="s">
        <v>453</v>
      </c>
      <c r="B10" s="271"/>
      <c r="C10" s="271"/>
      <c r="D10" s="271"/>
      <c r="E10" s="271"/>
      <c r="F10" s="271"/>
      <c r="G10" s="139">
        <f t="shared" si="10"/>
        <v>0</v>
      </c>
      <c r="H10" s="180">
        <f t="shared" si="11"/>
        <v>0</v>
      </c>
      <c r="I10" s="180">
        <f t="shared" si="12"/>
        <v>0</v>
      </c>
      <c r="J10" s="180">
        <f t="shared" si="13"/>
        <v>0</v>
      </c>
      <c r="K10" s="180">
        <f t="shared" si="14"/>
        <v>0</v>
      </c>
      <c r="L10" s="180">
        <f t="shared" si="15"/>
        <v>0</v>
      </c>
      <c r="M10" s="180">
        <f t="shared" si="16"/>
        <v>0</v>
      </c>
      <c r="N10" s="50" t="s">
        <v>826</v>
      </c>
      <c r="O10" s="50" t="str">
        <f t="shared" si="17"/>
        <v>Clearing GLArha General Trading Co (AGT)</v>
      </c>
      <c r="P10" s="139" t="str" cm="1">
        <f t="array" ref="P10:S10">_xlfn.XLOOKUP(O10,Table4[Concate],Table4[[Group/Legder]:[Sub Category]],,0)</f>
        <v>Ledger</v>
      </c>
      <c r="Q10" s="139" t="str">
        <v>BS</v>
      </c>
      <c r="R10" s="158" t="str">
        <v>Provisions and Other Current Liabilities</v>
      </c>
      <c r="S10" s="139" t="str">
        <v>Other Provision Payable</v>
      </c>
      <c r="T10" s="139"/>
    </row>
    <row r="11" spans="1:20" ht="14.4">
      <c r="A11" s="323" t="s">
        <v>2431</v>
      </c>
      <c r="B11" s="271"/>
      <c r="C11" s="271"/>
      <c r="D11" s="271"/>
      <c r="E11" s="271"/>
      <c r="F11" s="271"/>
      <c r="G11" s="139">
        <f t="shared" si="10"/>
        <v>0</v>
      </c>
      <c r="H11" s="180">
        <f t="shared" si="11"/>
        <v>0</v>
      </c>
      <c r="I11" s="180">
        <f t="shared" si="12"/>
        <v>0</v>
      </c>
      <c r="J11" s="180">
        <f t="shared" si="13"/>
        <v>0</v>
      </c>
      <c r="K11" s="180">
        <f t="shared" si="14"/>
        <v>0</v>
      </c>
      <c r="L11" s="180">
        <f t="shared" si="15"/>
        <v>0</v>
      </c>
      <c r="M11" s="180">
        <f t="shared" si="16"/>
        <v>0</v>
      </c>
      <c r="N11" s="50" t="s">
        <v>826</v>
      </c>
      <c r="O11" s="50" t="str">
        <f t="shared" si="17"/>
        <v>CoolerArha General Trading Co (AGT)</v>
      </c>
      <c r="P11" s="139" t="str" cm="1">
        <f t="array" ref="P11:S11">_xlfn.XLOOKUP(O11,Table4[Concate],Table4[[Group/Legder]:[Sub Category]],,0)</f>
        <v>Ledger</v>
      </c>
      <c r="Q11" s="139" t="str">
        <v>BS</v>
      </c>
      <c r="R11" s="158" t="str">
        <v>Fixed assets -Tangible</v>
      </c>
      <c r="S11" s="139" t="str">
        <v>Fixed assets -Tangible</v>
      </c>
      <c r="T11" s="139"/>
    </row>
    <row r="12" spans="1:20" ht="14.4">
      <c r="A12" s="323" t="s">
        <v>2432</v>
      </c>
      <c r="B12" s="271"/>
      <c r="C12" s="271"/>
      <c r="D12" s="271"/>
      <c r="E12" s="271"/>
      <c r="F12" s="271"/>
      <c r="G12" s="139">
        <f t="shared" si="10"/>
        <v>0</v>
      </c>
      <c r="H12" s="180">
        <f t="shared" si="11"/>
        <v>0</v>
      </c>
      <c r="I12" s="180">
        <f t="shared" si="12"/>
        <v>0</v>
      </c>
      <c r="J12" s="180">
        <f t="shared" si="13"/>
        <v>0</v>
      </c>
      <c r="K12" s="180">
        <f t="shared" si="14"/>
        <v>0</v>
      </c>
      <c r="L12" s="180">
        <f t="shared" si="15"/>
        <v>0</v>
      </c>
      <c r="M12" s="180">
        <f t="shared" si="16"/>
        <v>0</v>
      </c>
      <c r="N12" s="50" t="s">
        <v>826</v>
      </c>
      <c r="O12" s="50" t="str">
        <f t="shared" si="17"/>
        <v>CycleArha General Trading Co (AGT)</v>
      </c>
      <c r="P12" s="139" t="str" cm="1">
        <f t="array" ref="P12:S12">_xlfn.XLOOKUP(O12,Table4[Concate],Table4[[Group/Legder]:[Sub Category]],,0)</f>
        <v>Ledger</v>
      </c>
      <c r="Q12" s="139" t="str">
        <v>BS</v>
      </c>
      <c r="R12" s="158" t="str">
        <v>Fixed assets -Tangible</v>
      </c>
      <c r="S12" s="139" t="str">
        <v>Fixed assets -Tangible</v>
      </c>
      <c r="T12" s="139"/>
    </row>
    <row r="13" spans="1:20" ht="14.4">
      <c r="A13" s="323" t="s">
        <v>1724</v>
      </c>
      <c r="B13" s="271"/>
      <c r="C13" s="271"/>
      <c r="D13" s="271"/>
      <c r="E13" s="271"/>
      <c r="F13" s="271"/>
      <c r="G13" s="139">
        <f t="shared" si="10"/>
        <v>0</v>
      </c>
      <c r="H13" s="180">
        <f t="shared" si="11"/>
        <v>0</v>
      </c>
      <c r="I13" s="180">
        <f t="shared" si="12"/>
        <v>0</v>
      </c>
      <c r="J13" s="180">
        <f t="shared" si="13"/>
        <v>0</v>
      </c>
      <c r="K13" s="180">
        <f t="shared" si="14"/>
        <v>0</v>
      </c>
      <c r="L13" s="180">
        <f t="shared" si="15"/>
        <v>0</v>
      </c>
      <c r="M13" s="180">
        <f t="shared" si="16"/>
        <v>0</v>
      </c>
      <c r="N13" s="50" t="s">
        <v>826</v>
      </c>
      <c r="O13" s="50" t="str">
        <f t="shared" si="17"/>
        <v>Deepak Motwani ( Cash Sales)Arha General Trading Co (AGT)</v>
      </c>
      <c r="P13" s="139" t="str" cm="1">
        <f t="array" ref="P13:S13">_xlfn.XLOOKUP(O13,Table4[Concate],Table4[[Group/Legder]:[Sub Category]],,0)</f>
        <v>Ledger</v>
      </c>
      <c r="Q13" s="139" t="str">
        <v>BS</v>
      </c>
      <c r="R13" s="158" t="str">
        <v>Cash and bank balances</v>
      </c>
      <c r="S13" s="139" t="str">
        <v>Cash Balance</v>
      </c>
      <c r="T13" s="139"/>
    </row>
    <row r="14" spans="1:20" ht="14.4">
      <c r="A14" s="323" t="s">
        <v>289</v>
      </c>
      <c r="B14" s="271"/>
      <c r="C14" s="271"/>
      <c r="D14" s="271"/>
      <c r="E14" s="271"/>
      <c r="F14" s="271"/>
      <c r="G14" s="139">
        <f t="shared" si="10"/>
        <v>0</v>
      </c>
      <c r="H14" s="180">
        <f t="shared" si="11"/>
        <v>0</v>
      </c>
      <c r="I14" s="180">
        <f t="shared" si="12"/>
        <v>0</v>
      </c>
      <c r="J14" s="180">
        <f t="shared" si="13"/>
        <v>0</v>
      </c>
      <c r="K14" s="180">
        <f t="shared" si="14"/>
        <v>0</v>
      </c>
      <c r="L14" s="180">
        <f t="shared" si="15"/>
        <v>0</v>
      </c>
      <c r="M14" s="180">
        <f t="shared" si="16"/>
        <v>0</v>
      </c>
      <c r="N14" s="50" t="s">
        <v>826</v>
      </c>
      <c r="O14" s="50" t="str">
        <f t="shared" si="17"/>
        <v>Car DepositArha General Trading Co (AGT)</v>
      </c>
      <c r="P14" s="139" t="str" cm="1">
        <f t="array" ref="P14:S14">_xlfn.XLOOKUP(O14,Table4[Concate],Table4[[Group/Legder]:[Sub Category]],,0)</f>
        <v>Ledger</v>
      </c>
      <c r="Q14" s="139" t="str">
        <v>BS</v>
      </c>
      <c r="R14" s="158" t="str">
        <v>Other Current Asset</v>
      </c>
      <c r="S14" s="139" t="str">
        <v xml:space="preserve">Security Deposit </v>
      </c>
      <c r="T14" s="139"/>
    </row>
    <row r="15" spans="1:20" ht="14.4">
      <c r="A15" s="323" t="s">
        <v>644</v>
      </c>
      <c r="B15" s="271"/>
      <c r="C15" s="271"/>
      <c r="D15" s="271"/>
      <c r="E15" s="271"/>
      <c r="F15" s="271"/>
      <c r="G15" s="139">
        <f t="shared" si="10"/>
        <v>0</v>
      </c>
      <c r="H15" s="180">
        <f t="shared" si="11"/>
        <v>0</v>
      </c>
      <c r="I15" s="180">
        <f t="shared" si="12"/>
        <v>0</v>
      </c>
      <c r="J15" s="180">
        <f t="shared" si="13"/>
        <v>0</v>
      </c>
      <c r="K15" s="180">
        <f t="shared" si="14"/>
        <v>0</v>
      </c>
      <c r="L15" s="180">
        <f t="shared" si="15"/>
        <v>0</v>
      </c>
      <c r="M15" s="180">
        <f t="shared" si="16"/>
        <v>0</v>
      </c>
      <c r="N15" s="50" t="s">
        <v>826</v>
      </c>
      <c r="O15" s="50" t="str">
        <f t="shared" si="17"/>
        <v>Electricity and Water DepositArha General Trading Co (AGT)</v>
      </c>
      <c r="P15" s="139" t="str" cm="1">
        <f t="array" ref="P15:S15">_xlfn.XLOOKUP(O15,Table4[Concate],Table4[[Group/Legder]:[Sub Category]],,0)</f>
        <v>Ledger</v>
      </c>
      <c r="Q15" s="139" t="str">
        <v>BS</v>
      </c>
      <c r="R15" s="158" t="str">
        <v>Other Current Asset</v>
      </c>
      <c r="S15" s="139" t="str">
        <v xml:space="preserve">Security Deposit </v>
      </c>
      <c r="T15" s="139"/>
    </row>
    <row r="16" spans="1:20" ht="14.4">
      <c r="A16" s="323" t="s">
        <v>645</v>
      </c>
      <c r="B16" s="271"/>
      <c r="C16" s="271"/>
      <c r="D16" s="271"/>
      <c r="E16" s="271"/>
      <c r="F16" s="271"/>
      <c r="G16" s="139">
        <f t="shared" si="10"/>
        <v>0</v>
      </c>
      <c r="H16" s="180">
        <f t="shared" si="11"/>
        <v>0</v>
      </c>
      <c r="I16" s="180">
        <f t="shared" si="12"/>
        <v>0</v>
      </c>
      <c r="J16" s="180">
        <f t="shared" si="13"/>
        <v>0</v>
      </c>
      <c r="K16" s="180">
        <f t="shared" si="14"/>
        <v>0</v>
      </c>
      <c r="L16" s="180">
        <f t="shared" si="15"/>
        <v>0</v>
      </c>
      <c r="M16" s="180">
        <f t="shared" si="16"/>
        <v>0</v>
      </c>
      <c r="N16" s="50" t="s">
        <v>826</v>
      </c>
      <c r="O16" s="50" t="str">
        <f t="shared" si="17"/>
        <v>House Security DepositArha General Trading Co (AGT)</v>
      </c>
      <c r="P16" s="139" t="str" cm="1">
        <f t="array" ref="P16:S16">_xlfn.XLOOKUP(O16,Table4[Concate],Table4[[Group/Legder]:[Sub Category]],,0)</f>
        <v>Ledger</v>
      </c>
      <c r="Q16" s="139" t="str">
        <v>BS</v>
      </c>
      <c r="R16" s="158" t="str">
        <v>Other Current Asset</v>
      </c>
      <c r="S16" s="139" t="str">
        <v xml:space="preserve">Security Deposit </v>
      </c>
      <c r="T16" s="139"/>
    </row>
    <row r="17" spans="1:20" ht="14.4">
      <c r="A17" s="323" t="s">
        <v>2433</v>
      </c>
      <c r="B17" s="271"/>
      <c r="C17" s="271"/>
      <c r="D17" s="271"/>
      <c r="E17" s="271"/>
      <c r="F17" s="271"/>
      <c r="G17" s="139">
        <f t="shared" si="10"/>
        <v>0</v>
      </c>
      <c r="H17" s="180">
        <f t="shared" si="11"/>
        <v>0</v>
      </c>
      <c r="I17" s="180">
        <f t="shared" si="12"/>
        <v>0</v>
      </c>
      <c r="J17" s="180">
        <f t="shared" si="13"/>
        <v>0</v>
      </c>
      <c r="K17" s="180">
        <f t="shared" si="14"/>
        <v>0</v>
      </c>
      <c r="L17" s="180">
        <f t="shared" si="15"/>
        <v>0</v>
      </c>
      <c r="M17" s="180">
        <f t="shared" si="16"/>
        <v>0</v>
      </c>
      <c r="N17" s="50" t="s">
        <v>826</v>
      </c>
      <c r="O17" s="50" t="str">
        <f t="shared" si="17"/>
        <v>Security Deposit With Shipping LinceArha General Trading Co (AGT)</v>
      </c>
      <c r="P17" s="139" t="str" cm="1">
        <f t="array" ref="P17:S17">_xlfn.XLOOKUP(O17,Table4[Concate],Table4[[Group/Legder]:[Sub Category]],,0)</f>
        <v>Ledger</v>
      </c>
      <c r="Q17" s="139" t="str">
        <v>BS</v>
      </c>
      <c r="R17" s="158" t="str">
        <v>Other Current Asset</v>
      </c>
      <c r="S17" s="139" t="str">
        <v xml:space="preserve">Security Deposit </v>
      </c>
      <c r="T17" s="139"/>
    </row>
    <row r="18" spans="1:20" ht="14.4">
      <c r="A18" s="323" t="s">
        <v>1076</v>
      </c>
      <c r="B18" s="271"/>
      <c r="C18" s="271"/>
      <c r="D18" s="271"/>
      <c r="E18" s="271"/>
      <c r="F18" s="271"/>
      <c r="G18" s="139">
        <f t="shared" si="10"/>
        <v>0</v>
      </c>
      <c r="H18" s="180">
        <f t="shared" si="11"/>
        <v>0</v>
      </c>
      <c r="I18" s="180">
        <f t="shared" si="12"/>
        <v>0</v>
      </c>
      <c r="J18" s="180">
        <f t="shared" si="13"/>
        <v>0</v>
      </c>
      <c r="K18" s="180">
        <f t="shared" si="14"/>
        <v>0</v>
      </c>
      <c r="L18" s="180">
        <f t="shared" si="15"/>
        <v>0</v>
      </c>
      <c r="M18" s="180">
        <f t="shared" si="16"/>
        <v>0</v>
      </c>
      <c r="N18" s="50" t="s">
        <v>826</v>
      </c>
      <c r="O18" s="50" t="str">
        <f t="shared" si="17"/>
        <v>Sewerage DepositArha General Trading Co (AGT)</v>
      </c>
      <c r="P18" s="139" t="str" cm="1">
        <f t="array" ref="P18:S18">_xlfn.XLOOKUP(O18,Table4[Concate],Table4[[Group/Legder]:[Sub Category]],,0)</f>
        <v>Ledger</v>
      </c>
      <c r="Q18" s="139" t="str">
        <v>BS</v>
      </c>
      <c r="R18" s="158" t="str">
        <v>Other Current Asset</v>
      </c>
      <c r="S18" s="139" t="str">
        <v xml:space="preserve">Security Deposit </v>
      </c>
      <c r="T18" s="139"/>
    </row>
    <row r="19" spans="1:20" ht="14.4">
      <c r="A19" s="323" t="s">
        <v>827</v>
      </c>
      <c r="B19" s="271"/>
      <c r="C19" s="271"/>
      <c r="D19" s="271"/>
      <c r="E19" s="271"/>
      <c r="F19" s="271"/>
      <c r="G19" s="139">
        <f t="shared" si="10"/>
        <v>0</v>
      </c>
      <c r="H19" s="180">
        <f t="shared" si="11"/>
        <v>0</v>
      </c>
      <c r="I19" s="180">
        <f t="shared" si="12"/>
        <v>0</v>
      </c>
      <c r="J19" s="180">
        <f t="shared" si="13"/>
        <v>0</v>
      </c>
      <c r="K19" s="180">
        <f t="shared" si="14"/>
        <v>0</v>
      </c>
      <c r="L19" s="180">
        <f t="shared" si="15"/>
        <v>0</v>
      </c>
      <c r="M19" s="180">
        <f t="shared" si="16"/>
        <v>0</v>
      </c>
      <c r="N19" s="50" t="s">
        <v>826</v>
      </c>
      <c r="O19" s="50" t="str">
        <f t="shared" si="17"/>
        <v>Warehouse Security DepositArha General Trading Co (AGT)</v>
      </c>
      <c r="P19" s="139" t="str" cm="1">
        <f t="array" ref="P19:S19">_xlfn.XLOOKUP(O19,Table4[Concate],Table4[[Group/Legder]:[Sub Category]],,0)</f>
        <v>Ledger</v>
      </c>
      <c r="Q19" s="139" t="str">
        <v>BS</v>
      </c>
      <c r="R19" s="158" t="str">
        <v>Other Current Asset</v>
      </c>
      <c r="S19" s="139" t="str">
        <v xml:space="preserve">Security Deposit </v>
      </c>
      <c r="T19" s="139"/>
    </row>
    <row r="20" spans="1:20" ht="14.4">
      <c r="A20" s="323" t="s">
        <v>2434</v>
      </c>
      <c r="B20" s="271"/>
      <c r="C20" s="271"/>
      <c r="D20" s="271"/>
      <c r="E20" s="271"/>
      <c r="F20" s="271"/>
      <c r="G20" s="139">
        <f t="shared" si="10"/>
        <v>0</v>
      </c>
      <c r="H20" s="180">
        <f t="shared" si="11"/>
        <v>0</v>
      </c>
      <c r="I20" s="180">
        <f t="shared" si="12"/>
        <v>0</v>
      </c>
      <c r="J20" s="180">
        <f t="shared" si="13"/>
        <v>0</v>
      </c>
      <c r="K20" s="180">
        <f t="shared" si="14"/>
        <v>0</v>
      </c>
      <c r="L20" s="180">
        <f t="shared" si="15"/>
        <v>0</v>
      </c>
      <c r="M20" s="180">
        <f t="shared" si="16"/>
        <v>0</v>
      </c>
      <c r="N20" s="50" t="s">
        <v>826</v>
      </c>
      <c r="O20" s="50" t="str">
        <f t="shared" si="17"/>
        <v>DTDC Deposit (Warehouse)Arha General Trading Co (AGT)</v>
      </c>
      <c r="P20" s="139" t="str" cm="1">
        <f t="array" ref="P20:S20">_xlfn.XLOOKUP(O20,Table4[Concate],Table4[[Group/Legder]:[Sub Category]],,0)</f>
        <v>Ledger</v>
      </c>
      <c r="Q20" s="139" t="str">
        <v>BS</v>
      </c>
      <c r="R20" s="158" t="str">
        <v>Other Current Asset</v>
      </c>
      <c r="S20" s="139" t="str">
        <v xml:space="preserve">Security Deposit </v>
      </c>
      <c r="T20" s="139"/>
    </row>
    <row r="21" spans="1:20" ht="14.4">
      <c r="A21" s="323" t="s">
        <v>2543</v>
      </c>
      <c r="B21" s="271"/>
      <c r="C21" s="271"/>
      <c r="D21" s="271"/>
      <c r="E21" s="271"/>
      <c r="F21" s="271"/>
      <c r="G21" s="139">
        <f t="shared" si="10"/>
        <v>0</v>
      </c>
      <c r="H21" s="180">
        <f t="shared" si="11"/>
        <v>0</v>
      </c>
      <c r="I21" s="180">
        <f t="shared" si="12"/>
        <v>0</v>
      </c>
      <c r="J21" s="180">
        <f t="shared" si="13"/>
        <v>0</v>
      </c>
      <c r="K21" s="180">
        <f t="shared" si="14"/>
        <v>0</v>
      </c>
      <c r="L21" s="180">
        <f t="shared" si="15"/>
        <v>0</v>
      </c>
      <c r="M21" s="180">
        <f t="shared" si="16"/>
        <v>0</v>
      </c>
      <c r="N21" s="50" t="s">
        <v>826</v>
      </c>
      <c r="O21" s="50" t="str">
        <f t="shared" si="17"/>
        <v>Advance Irshad AliArha General Trading Co (AGT)</v>
      </c>
      <c r="P21" s="139" t="str" cm="1">
        <f t="array" ref="P21:S21">_xlfn.XLOOKUP(O21,Table4[Concate],Table4[[Group/Legder]:[Sub Category]],,0)</f>
        <v>Ledger</v>
      </c>
      <c r="Q21" s="139" t="str">
        <v>BS</v>
      </c>
      <c r="R21" s="158" t="str">
        <v>Provisions and Other Current Liabilities</v>
      </c>
      <c r="S21" s="139" t="str">
        <v xml:space="preserve">Employee Advance </v>
      </c>
      <c r="T21" s="139"/>
    </row>
    <row r="22" spans="1:20" ht="14.4">
      <c r="A22" s="323" t="s">
        <v>2544</v>
      </c>
      <c r="B22" s="271"/>
      <c r="C22" s="271"/>
      <c r="D22" s="271"/>
      <c r="E22" s="271"/>
      <c r="F22" s="271"/>
      <c r="G22" s="139">
        <f t="shared" si="10"/>
        <v>0</v>
      </c>
      <c r="H22" s="180">
        <f t="shared" si="11"/>
        <v>0</v>
      </c>
      <c r="I22" s="180">
        <f t="shared" si="12"/>
        <v>0</v>
      </c>
      <c r="J22" s="180">
        <f t="shared" si="13"/>
        <v>0</v>
      </c>
      <c r="K22" s="180">
        <f t="shared" si="14"/>
        <v>0</v>
      </c>
      <c r="L22" s="180">
        <f t="shared" si="15"/>
        <v>0</v>
      </c>
      <c r="M22" s="180">
        <f t="shared" si="16"/>
        <v>0</v>
      </c>
      <c r="N22" s="50" t="s">
        <v>826</v>
      </c>
      <c r="O22" s="50" t="str">
        <f t="shared" si="17"/>
        <v>Advance Ismail ShahArha General Trading Co (AGT)</v>
      </c>
      <c r="P22" s="139" t="str" cm="1">
        <f t="array" ref="P22:S22">_xlfn.XLOOKUP(O22,Table4[Concate],Table4[[Group/Legder]:[Sub Category]],,0)</f>
        <v>Ledger</v>
      </c>
      <c r="Q22" s="139" t="str">
        <v>BS</v>
      </c>
      <c r="R22" s="158" t="str">
        <v>Provisions and Other Current Liabilities</v>
      </c>
      <c r="S22" s="139" t="str">
        <v xml:space="preserve">Employee Advance </v>
      </c>
      <c r="T22" s="139"/>
    </row>
    <row r="23" spans="1:20" ht="14.4">
      <c r="A23" s="323" t="s">
        <v>2545</v>
      </c>
      <c r="B23" s="271"/>
      <c r="C23" s="271"/>
      <c r="D23" s="271"/>
      <c r="E23" s="271"/>
      <c r="F23" s="271"/>
      <c r="G23" s="139">
        <f t="shared" si="10"/>
        <v>0</v>
      </c>
      <c r="H23" s="180">
        <f t="shared" si="11"/>
        <v>0</v>
      </c>
      <c r="I23" s="180">
        <f t="shared" si="12"/>
        <v>0</v>
      </c>
      <c r="J23" s="180">
        <f t="shared" si="13"/>
        <v>0</v>
      </c>
      <c r="K23" s="180">
        <f t="shared" si="14"/>
        <v>0</v>
      </c>
      <c r="L23" s="180">
        <f t="shared" si="15"/>
        <v>0</v>
      </c>
      <c r="M23" s="180">
        <f t="shared" si="16"/>
        <v>0</v>
      </c>
      <c r="N23" s="50" t="s">
        <v>826</v>
      </c>
      <c r="O23" s="50" t="str">
        <f t="shared" si="17"/>
        <v>Advance Muhammad HussainArha General Trading Co (AGT)</v>
      </c>
      <c r="P23" s="139" t="str" cm="1">
        <f t="array" ref="P23:S23">_xlfn.XLOOKUP(O23,Table4[Concate],Table4[[Group/Legder]:[Sub Category]],,0)</f>
        <v>Ledger</v>
      </c>
      <c r="Q23" s="139" t="str">
        <v>BS</v>
      </c>
      <c r="R23" s="158" t="str">
        <v>Provisions and Other Current Liabilities</v>
      </c>
      <c r="S23" s="139" t="str">
        <v xml:space="preserve">Employee Advance </v>
      </c>
      <c r="T23" s="139"/>
    </row>
    <row r="24" spans="1:20" ht="14.4">
      <c r="A24" s="323" t="s">
        <v>2546</v>
      </c>
      <c r="B24" s="271"/>
      <c r="C24" s="271"/>
      <c r="D24" s="271"/>
      <c r="E24" s="271"/>
      <c r="F24" s="271"/>
      <c r="G24" s="139">
        <f t="shared" si="10"/>
        <v>0</v>
      </c>
      <c r="H24" s="180">
        <f t="shared" si="11"/>
        <v>0</v>
      </c>
      <c r="I24" s="180">
        <f t="shared" si="12"/>
        <v>0</v>
      </c>
      <c r="J24" s="180">
        <f t="shared" si="13"/>
        <v>0</v>
      </c>
      <c r="K24" s="180">
        <f t="shared" si="14"/>
        <v>0</v>
      </c>
      <c r="L24" s="180">
        <f t="shared" si="15"/>
        <v>0</v>
      </c>
      <c r="M24" s="180">
        <f t="shared" si="16"/>
        <v>0</v>
      </c>
      <c r="N24" s="50" t="s">
        <v>826</v>
      </c>
      <c r="O24" s="50" t="str">
        <f t="shared" si="17"/>
        <v>Advance Zahid HussainArha General Trading Co (AGT)</v>
      </c>
      <c r="P24" s="139" t="str" cm="1">
        <f t="array" ref="P24:S24">_xlfn.XLOOKUP(O24,Table4[Concate],Table4[[Group/Legder]:[Sub Category]],,0)</f>
        <v>Ledger</v>
      </c>
      <c r="Q24" s="139" t="str">
        <v>BS</v>
      </c>
      <c r="R24" s="158" t="str">
        <v>Provisions and Other Current Liabilities</v>
      </c>
      <c r="S24" s="139" t="str">
        <v xml:space="preserve">Employee Advance </v>
      </c>
      <c r="T24" s="139"/>
    </row>
    <row r="25" spans="1:20" ht="14.4">
      <c r="A25" s="323" t="s">
        <v>2436</v>
      </c>
      <c r="B25" s="271"/>
      <c r="C25" s="271"/>
      <c r="D25" s="271"/>
      <c r="E25" s="271"/>
      <c r="F25" s="271"/>
      <c r="G25" s="139">
        <f t="shared" si="10"/>
        <v>0</v>
      </c>
      <c r="H25" s="180">
        <f t="shared" si="11"/>
        <v>0</v>
      </c>
      <c r="I25" s="180">
        <f t="shared" si="12"/>
        <v>0</v>
      </c>
      <c r="J25" s="180">
        <f t="shared" si="13"/>
        <v>0</v>
      </c>
      <c r="K25" s="180">
        <f t="shared" si="14"/>
        <v>0</v>
      </c>
      <c r="L25" s="180">
        <f t="shared" si="15"/>
        <v>0</v>
      </c>
      <c r="M25" s="180">
        <f t="shared" si="16"/>
        <v>0</v>
      </c>
      <c r="N25" s="50" t="s">
        <v>826</v>
      </c>
      <c r="O25" s="50" t="str">
        <f t="shared" si="17"/>
        <v>Irshad Ali (Visa)Arha General Trading Co (AGT)</v>
      </c>
      <c r="P25" s="139" t="str" cm="1">
        <f t="array" ref="P25:S25">_xlfn.XLOOKUP(O25,Table4[Concate],Table4[[Group/Legder]:[Sub Category]],,0)</f>
        <v>Ledger</v>
      </c>
      <c r="Q25" s="139" t="str">
        <v>BS</v>
      </c>
      <c r="R25" s="158" t="str">
        <v>Other Current Asset</v>
      </c>
      <c r="S25" s="139" t="str">
        <v xml:space="preserve">Prepaid Expenses </v>
      </c>
      <c r="T25" s="139"/>
    </row>
    <row r="26" spans="1:20" ht="14.4">
      <c r="A26" s="323" t="s">
        <v>2437</v>
      </c>
      <c r="B26" s="271"/>
      <c r="C26" s="271"/>
      <c r="D26" s="271"/>
      <c r="E26" s="271"/>
      <c r="F26" s="271"/>
      <c r="G26" s="139">
        <f t="shared" si="10"/>
        <v>0</v>
      </c>
      <c r="H26" s="180">
        <f t="shared" si="11"/>
        <v>0</v>
      </c>
      <c r="I26" s="180">
        <f t="shared" si="12"/>
        <v>0</v>
      </c>
      <c r="J26" s="180">
        <f t="shared" si="13"/>
        <v>0</v>
      </c>
      <c r="K26" s="180">
        <f t="shared" si="14"/>
        <v>0</v>
      </c>
      <c r="L26" s="180">
        <f t="shared" si="15"/>
        <v>0</v>
      </c>
      <c r="M26" s="180">
        <f t="shared" si="16"/>
        <v>0</v>
      </c>
      <c r="N26" s="50" t="s">
        <v>826</v>
      </c>
      <c r="O26" s="50" t="str">
        <f t="shared" si="17"/>
        <v>Ismail Shah (Visa)Arha General Trading Co (AGT)</v>
      </c>
      <c r="P26" s="139" t="str" cm="1">
        <f t="array" ref="P26:S26">_xlfn.XLOOKUP(O26,Table4[Concate],Table4[[Group/Legder]:[Sub Category]],,0)</f>
        <v>Ledger</v>
      </c>
      <c r="Q26" s="139" t="str">
        <v>BS</v>
      </c>
      <c r="R26" s="158" t="str">
        <v>Other Current Asset</v>
      </c>
      <c r="S26" s="139" t="str">
        <v xml:space="preserve">Prepaid Expenses </v>
      </c>
      <c r="T26" s="139"/>
    </row>
    <row r="27" spans="1:20" ht="14.4">
      <c r="A27" s="323" t="s">
        <v>2438</v>
      </c>
      <c r="B27" s="271"/>
      <c r="C27" s="271"/>
      <c r="D27" s="271"/>
      <c r="E27" s="271"/>
      <c r="F27" s="271"/>
      <c r="G27" s="139">
        <f t="shared" si="10"/>
        <v>0</v>
      </c>
      <c r="H27" s="180">
        <f t="shared" si="11"/>
        <v>0</v>
      </c>
      <c r="I27" s="180">
        <f t="shared" si="12"/>
        <v>0</v>
      </c>
      <c r="J27" s="180">
        <f t="shared" si="13"/>
        <v>0</v>
      </c>
      <c r="K27" s="180">
        <f t="shared" si="14"/>
        <v>0</v>
      </c>
      <c r="L27" s="180">
        <f t="shared" si="15"/>
        <v>0</v>
      </c>
      <c r="M27" s="180">
        <f t="shared" si="16"/>
        <v>0</v>
      </c>
      <c r="N27" s="50" t="s">
        <v>826</v>
      </c>
      <c r="O27" s="50" t="str">
        <f t="shared" si="17"/>
        <v>Muhammad Hussain ( Visa )Arha General Trading Co (AGT)</v>
      </c>
      <c r="P27" s="139" t="str" cm="1">
        <f t="array" ref="P27:S27">_xlfn.XLOOKUP(O27,Table4[Concate],Table4[[Group/Legder]:[Sub Category]],,0)</f>
        <v>Ledger</v>
      </c>
      <c r="Q27" s="139" t="str">
        <v>BS</v>
      </c>
      <c r="R27" s="158" t="str">
        <v>Other Current Asset</v>
      </c>
      <c r="S27" s="139" t="str">
        <v xml:space="preserve">Prepaid Expenses </v>
      </c>
      <c r="T27" s="139"/>
    </row>
    <row r="28" spans="1:20" ht="14.4">
      <c r="A28" s="323" t="s">
        <v>2446</v>
      </c>
      <c r="B28" s="271"/>
      <c r="C28" s="271"/>
      <c r="D28" s="271"/>
      <c r="E28" s="271"/>
      <c r="F28" s="271"/>
      <c r="G28" s="139">
        <f t="shared" si="10"/>
        <v>0</v>
      </c>
      <c r="H28" s="180">
        <f t="shared" si="11"/>
        <v>0</v>
      </c>
      <c r="I28" s="180">
        <f t="shared" si="12"/>
        <v>0</v>
      </c>
      <c r="J28" s="180">
        <f t="shared" si="13"/>
        <v>0</v>
      </c>
      <c r="K28" s="180">
        <f t="shared" si="14"/>
        <v>0</v>
      </c>
      <c r="L28" s="180">
        <f t="shared" si="15"/>
        <v>0</v>
      </c>
      <c r="M28" s="180">
        <f t="shared" si="16"/>
        <v>0</v>
      </c>
      <c r="N28" s="50" t="s">
        <v>826</v>
      </c>
      <c r="O28" s="50" t="str">
        <f t="shared" si="17"/>
        <v>Zahid Hussain (Visa)Arha General Trading Co (AGT)</v>
      </c>
      <c r="P28" s="139" t="str" cm="1">
        <f t="array" ref="P28:S28">_xlfn.XLOOKUP(O28,Table4[Concate],Table4[[Group/Legder]:[Sub Category]],,0)</f>
        <v>Ledger</v>
      </c>
      <c r="Q28" s="139" t="str">
        <v>BS</v>
      </c>
      <c r="R28" s="158" t="str">
        <v>Other Current Asset</v>
      </c>
      <c r="S28" s="139" t="str">
        <v xml:space="preserve">Prepaid Expenses </v>
      </c>
      <c r="T28" s="139"/>
    </row>
    <row r="29" spans="1:20" ht="14.4">
      <c r="A29" s="323" t="s">
        <v>1268</v>
      </c>
      <c r="B29" s="271"/>
      <c r="C29" s="271"/>
      <c r="D29" s="271"/>
      <c r="E29" s="271"/>
      <c r="F29" s="271"/>
      <c r="G29" s="139">
        <f t="shared" si="10"/>
        <v>0</v>
      </c>
      <c r="H29" s="180">
        <f t="shared" si="11"/>
        <v>0</v>
      </c>
      <c r="I29" s="180">
        <f t="shared" si="12"/>
        <v>0</v>
      </c>
      <c r="J29" s="180">
        <f t="shared" si="13"/>
        <v>0</v>
      </c>
      <c r="K29" s="180">
        <f t="shared" si="14"/>
        <v>0</v>
      </c>
      <c r="L29" s="180">
        <f t="shared" si="15"/>
        <v>0</v>
      </c>
      <c r="M29" s="180">
        <f t="shared" si="16"/>
        <v>0</v>
      </c>
      <c r="N29" s="50" t="s">
        <v>826</v>
      </c>
      <c r="O29" s="50" t="str">
        <f t="shared" si="17"/>
        <v>Finished GoodsArha General Trading Co (AGT)</v>
      </c>
      <c r="P29" s="139" t="str" cm="1">
        <f t="array" ref="P29:S29">_xlfn.XLOOKUP(O29,Table4[Concate],Table4[[Group/Legder]:[Sub Category]],,0)</f>
        <v>Ledger</v>
      </c>
      <c r="Q29" s="139" t="str">
        <v>BS</v>
      </c>
      <c r="R29" s="158" t="str">
        <v>Closing Stock</v>
      </c>
      <c r="S29" s="139" t="str">
        <v>Closing Stock</v>
      </c>
      <c r="T29" s="139"/>
    </row>
    <row r="30" spans="1:20" ht="14.4">
      <c r="A30" s="323" t="s">
        <v>2435</v>
      </c>
      <c r="B30" s="271"/>
      <c r="C30" s="271"/>
      <c r="D30" s="271"/>
      <c r="E30" s="271"/>
      <c r="F30" s="271"/>
      <c r="G30" s="139">
        <f t="shared" si="10"/>
        <v>0</v>
      </c>
      <c r="H30" s="180">
        <f t="shared" si="11"/>
        <v>0</v>
      </c>
      <c r="I30" s="180">
        <f t="shared" si="12"/>
        <v>0</v>
      </c>
      <c r="J30" s="180">
        <f t="shared" si="13"/>
        <v>0</v>
      </c>
      <c r="K30" s="180">
        <f t="shared" si="14"/>
        <v>0</v>
      </c>
      <c r="L30" s="180">
        <f t="shared" si="15"/>
        <v>0</v>
      </c>
      <c r="M30" s="180">
        <f t="shared" si="16"/>
        <v>0</v>
      </c>
      <c r="N30" s="50" t="s">
        <v>826</v>
      </c>
      <c r="O30" s="50" t="str">
        <f t="shared" si="17"/>
        <v>Hand Pallet Truck 3 TonArha General Trading Co (AGT)</v>
      </c>
      <c r="P30" s="139" t="str" cm="1">
        <f t="array" ref="P30:S30">_xlfn.XLOOKUP(O30,Table4[Concate],Table4[[Group/Legder]:[Sub Category]],,0)</f>
        <v>Ledger</v>
      </c>
      <c r="Q30" s="139" t="str">
        <v>BS</v>
      </c>
      <c r="R30" s="158" t="str">
        <v>Fixed assets -Tangible</v>
      </c>
      <c r="S30" s="139" t="str">
        <v>Fixed assets -Tangible</v>
      </c>
      <c r="T30" s="139"/>
    </row>
    <row r="31" spans="1:20" ht="14.4">
      <c r="A31" s="323" t="s">
        <v>555</v>
      </c>
      <c r="B31" s="271"/>
      <c r="C31" s="271"/>
      <c r="D31" s="271"/>
      <c r="E31" s="271"/>
      <c r="F31" s="271"/>
      <c r="G31" s="139">
        <f t="shared" si="10"/>
        <v>0</v>
      </c>
      <c r="H31" s="180">
        <f t="shared" si="11"/>
        <v>0</v>
      </c>
      <c r="I31" s="180">
        <f t="shared" si="12"/>
        <v>0</v>
      </c>
      <c r="J31" s="180">
        <f t="shared" si="13"/>
        <v>0</v>
      </c>
      <c r="K31" s="180">
        <f t="shared" si="14"/>
        <v>0</v>
      </c>
      <c r="L31" s="180">
        <f t="shared" si="15"/>
        <v>0</v>
      </c>
      <c r="M31" s="180">
        <f t="shared" si="16"/>
        <v>0</v>
      </c>
      <c r="N31" s="50" t="s">
        <v>826</v>
      </c>
      <c r="O31" s="50" t="str">
        <f t="shared" si="17"/>
        <v>Input VATArha General Trading Co (AGT)</v>
      </c>
      <c r="P31" s="139" t="str" cm="1">
        <f t="array" ref="P31:S31">_xlfn.XLOOKUP(O31,Table4[Concate],Table4[[Group/Legder]:[Sub Category]],,0)</f>
        <v>Ledger</v>
      </c>
      <c r="Q31" s="139" t="str">
        <v>BS</v>
      </c>
      <c r="R31" s="158" t="str">
        <v>Statutory Dues</v>
      </c>
      <c r="S31" s="139" t="str">
        <v>Statutory Dues</v>
      </c>
      <c r="T31" s="139"/>
    </row>
    <row r="32" spans="1:20" ht="14.4">
      <c r="A32" s="323" t="s">
        <v>476</v>
      </c>
      <c r="B32" s="271"/>
      <c r="C32" s="271"/>
      <c r="D32" s="271"/>
      <c r="E32" s="271"/>
      <c r="F32" s="271"/>
      <c r="G32" s="139">
        <f t="shared" si="10"/>
        <v>0</v>
      </c>
      <c r="H32" s="180">
        <f t="shared" si="11"/>
        <v>0</v>
      </c>
      <c r="I32" s="180">
        <f t="shared" si="12"/>
        <v>0</v>
      </c>
      <c r="J32" s="180">
        <f t="shared" si="13"/>
        <v>0</v>
      </c>
      <c r="K32" s="180">
        <f t="shared" si="14"/>
        <v>0</v>
      </c>
      <c r="L32" s="180">
        <f t="shared" si="15"/>
        <v>0</v>
      </c>
      <c r="M32" s="180">
        <f t="shared" si="16"/>
        <v>0</v>
      </c>
      <c r="N32" s="50" t="s">
        <v>826</v>
      </c>
      <c r="O32" s="50" t="str">
        <f t="shared" si="17"/>
        <v>Inventory AssetArha General Trading Co (AGT)</v>
      </c>
      <c r="P32" s="139" t="str" cm="1">
        <f t="array" ref="P32:S32">_xlfn.XLOOKUP(O32,Table4[Concate],Table4[[Group/Legder]:[Sub Category]],,0)</f>
        <v>Ledger</v>
      </c>
      <c r="Q32" s="139" t="str">
        <v>BS</v>
      </c>
      <c r="R32" s="158" t="str">
        <v>Closing Stock</v>
      </c>
      <c r="S32" s="139" t="str">
        <v>Closing Stock</v>
      </c>
      <c r="T32" s="139"/>
    </row>
    <row r="33" spans="1:20" ht="14.4">
      <c r="A33" s="323" t="s">
        <v>1727</v>
      </c>
      <c r="B33" s="271"/>
      <c r="C33" s="271"/>
      <c r="D33" s="271"/>
      <c r="E33" s="271"/>
      <c r="F33" s="271"/>
      <c r="G33" s="139">
        <f t="shared" si="10"/>
        <v>0</v>
      </c>
      <c r="H33" s="180">
        <f t="shared" si="11"/>
        <v>0</v>
      </c>
      <c r="I33" s="180">
        <f t="shared" si="12"/>
        <v>0</v>
      </c>
      <c r="J33" s="180">
        <f t="shared" si="13"/>
        <v>0</v>
      </c>
      <c r="K33" s="180">
        <f t="shared" si="14"/>
        <v>0</v>
      </c>
      <c r="L33" s="180">
        <f t="shared" si="15"/>
        <v>0</v>
      </c>
      <c r="M33" s="180">
        <f t="shared" si="16"/>
        <v>0</v>
      </c>
      <c r="N33" s="50" t="s">
        <v>826</v>
      </c>
      <c r="O33" s="50" t="str">
        <f t="shared" si="17"/>
        <v>Manish Petty CashArha General Trading Co (AGT)</v>
      </c>
      <c r="P33" s="139" t="str" cm="1">
        <f t="array" ref="P33:S33">_xlfn.XLOOKUP(O33,Table4[Concate],Table4[[Group/Legder]:[Sub Category]],,0)</f>
        <v>Ledger</v>
      </c>
      <c r="Q33" s="139" t="str">
        <v>BS</v>
      </c>
      <c r="R33" s="158" t="str">
        <v>Cash and bank balances</v>
      </c>
      <c r="S33" s="139" t="str">
        <v>Cash Balance</v>
      </c>
      <c r="T33" s="139"/>
    </row>
    <row r="34" spans="1:20" ht="14.4">
      <c r="A34" s="323" t="s">
        <v>263</v>
      </c>
      <c r="B34" s="271"/>
      <c r="C34" s="271"/>
      <c r="D34" s="271"/>
      <c r="E34" s="271"/>
      <c r="F34" s="271"/>
      <c r="G34" s="139">
        <f t="shared" si="10"/>
        <v>0</v>
      </c>
      <c r="H34" s="180">
        <f t="shared" si="11"/>
        <v>0</v>
      </c>
      <c r="I34" s="180">
        <f t="shared" si="12"/>
        <v>0</v>
      </c>
      <c r="J34" s="180">
        <f t="shared" si="13"/>
        <v>0</v>
      </c>
      <c r="K34" s="180">
        <f t="shared" si="14"/>
        <v>0</v>
      </c>
      <c r="L34" s="180">
        <f t="shared" si="15"/>
        <v>0</v>
      </c>
      <c r="M34" s="180">
        <f t="shared" si="16"/>
        <v>0</v>
      </c>
      <c r="N34" s="50" t="s">
        <v>826</v>
      </c>
      <c r="O34" s="50" t="str">
        <f t="shared" si="17"/>
        <v>Mohammad YaseenArha General Trading Co (AGT)</v>
      </c>
      <c r="P34" s="139" t="str" cm="1">
        <f t="array" ref="P34:S34">_xlfn.XLOOKUP(O34,Table4[Concate],Table4[[Group/Legder]:[Sub Category]],,0)</f>
        <v>Ledger</v>
      </c>
      <c r="Q34" s="139" t="str">
        <v>BL</v>
      </c>
      <c r="R34" s="158" t="str">
        <v>Other Current Asset</v>
      </c>
      <c r="S34" s="139" t="str">
        <v xml:space="preserve">Employee Advance </v>
      </c>
      <c r="T34" s="139"/>
    </row>
    <row r="35" spans="1:20" ht="14.4">
      <c r="A35" s="323" t="s">
        <v>127</v>
      </c>
      <c r="B35" s="271"/>
      <c r="C35" s="271"/>
      <c r="D35" s="271"/>
      <c r="E35" s="271"/>
      <c r="F35" s="271"/>
      <c r="G35" s="139">
        <f t="shared" si="10"/>
        <v>0</v>
      </c>
      <c r="H35" s="180">
        <f t="shared" si="11"/>
        <v>0</v>
      </c>
      <c r="I35" s="180">
        <f t="shared" si="12"/>
        <v>0</v>
      </c>
      <c r="J35" s="180">
        <f t="shared" si="13"/>
        <v>0</v>
      </c>
      <c r="K35" s="180">
        <f t="shared" si="14"/>
        <v>0</v>
      </c>
      <c r="L35" s="180">
        <f t="shared" si="15"/>
        <v>0</v>
      </c>
      <c r="M35" s="180">
        <f t="shared" si="16"/>
        <v>0</v>
      </c>
      <c r="N35" s="50" t="s">
        <v>826</v>
      </c>
      <c r="O35" s="50" t="str">
        <f t="shared" si="17"/>
        <v>Office EquipmentsArha General Trading Co (AGT)</v>
      </c>
      <c r="P35" s="139" t="str" cm="1">
        <f t="array" ref="P35:S35">_xlfn.XLOOKUP(O35,Table4[Concate],Table4[[Group/Legder]:[Sub Category]],,0)</f>
        <v>Ledger</v>
      </c>
      <c r="Q35" s="139" t="str">
        <v>BS</v>
      </c>
      <c r="R35" s="158" t="str">
        <v>Fixed assets -Tangible</v>
      </c>
      <c r="S35" s="139" t="str">
        <v>Fixed assets -Tangible</v>
      </c>
      <c r="T35" s="139"/>
    </row>
    <row r="36" spans="1:20" ht="14.4">
      <c r="A36" s="323" t="s">
        <v>403</v>
      </c>
      <c r="B36" s="271"/>
      <c r="C36" s="271"/>
      <c r="D36" s="271"/>
      <c r="E36" s="271"/>
      <c r="F36" s="271"/>
      <c r="G36" s="139">
        <f t="shared" si="10"/>
        <v>0</v>
      </c>
      <c r="H36" s="180">
        <f t="shared" si="11"/>
        <v>0</v>
      </c>
      <c r="I36" s="180">
        <f t="shared" si="12"/>
        <v>0</v>
      </c>
      <c r="J36" s="180">
        <f t="shared" si="13"/>
        <v>0</v>
      </c>
      <c r="K36" s="180">
        <f t="shared" si="14"/>
        <v>0</v>
      </c>
      <c r="L36" s="180">
        <f t="shared" si="15"/>
        <v>0</v>
      </c>
      <c r="M36" s="180">
        <f t="shared" si="16"/>
        <v>0</v>
      </c>
      <c r="N36" s="50" t="s">
        <v>826</v>
      </c>
      <c r="O36" s="50" t="str">
        <f t="shared" si="17"/>
        <v>Petty CashArha General Trading Co (AGT)</v>
      </c>
      <c r="P36" s="139" t="str" cm="1">
        <f t="array" ref="P36:S36">_xlfn.XLOOKUP(O36,Table4[Concate],Table4[[Group/Legder]:[Sub Category]],,0)</f>
        <v>Ledger</v>
      </c>
      <c r="Q36" s="139" t="str">
        <v>BS</v>
      </c>
      <c r="R36" s="158" t="str">
        <v>Cash and bank balances</v>
      </c>
      <c r="S36" s="139" t="str">
        <v>Cash Balance</v>
      </c>
      <c r="T36" s="139"/>
    </row>
    <row r="37" spans="1:20" ht="14.4">
      <c r="A37" s="323" t="s">
        <v>2439</v>
      </c>
      <c r="B37" s="271"/>
      <c r="C37" s="271"/>
      <c r="D37" s="271"/>
      <c r="E37" s="271"/>
      <c r="F37" s="271"/>
      <c r="G37" s="139">
        <f t="shared" si="10"/>
        <v>0</v>
      </c>
      <c r="H37" s="180">
        <f t="shared" si="11"/>
        <v>0</v>
      </c>
      <c r="I37" s="180">
        <f t="shared" si="12"/>
        <v>0</v>
      </c>
      <c r="J37" s="180">
        <f t="shared" si="13"/>
        <v>0</v>
      </c>
      <c r="K37" s="180">
        <f t="shared" si="14"/>
        <v>0</v>
      </c>
      <c r="L37" s="180">
        <f t="shared" si="15"/>
        <v>0</v>
      </c>
      <c r="M37" s="180">
        <f t="shared" si="16"/>
        <v>0</v>
      </c>
      <c r="N37" s="50" t="s">
        <v>826</v>
      </c>
      <c r="O37" s="50" t="str">
        <f t="shared" si="17"/>
        <v>Prepaid Employee InsuranceArha General Trading Co (AGT)</v>
      </c>
      <c r="P37" s="139" t="str" cm="1">
        <f t="array" ref="P37:S37">_xlfn.XLOOKUP(O37,Table4[Concate],Table4[[Group/Legder]:[Sub Category]],,0)</f>
        <v>Ledger</v>
      </c>
      <c r="Q37" s="139" t="str">
        <v>BS</v>
      </c>
      <c r="R37" s="158" t="str">
        <v>Other Current Asset</v>
      </c>
      <c r="S37" s="139" t="str">
        <v xml:space="preserve">Prepaid Expenses </v>
      </c>
      <c r="T37" s="139"/>
    </row>
    <row r="38" spans="1:20" ht="14.4">
      <c r="A38" s="323" t="s">
        <v>29</v>
      </c>
      <c r="B38" s="271"/>
      <c r="C38" s="271"/>
      <c r="D38" s="271"/>
      <c r="E38" s="271"/>
      <c r="F38" s="271"/>
      <c r="G38" s="139">
        <f t="shared" si="10"/>
        <v>0</v>
      </c>
      <c r="H38" s="180">
        <f t="shared" si="11"/>
        <v>0</v>
      </c>
      <c r="I38" s="180">
        <f t="shared" si="12"/>
        <v>0</v>
      </c>
      <c r="J38" s="180">
        <f t="shared" si="13"/>
        <v>0</v>
      </c>
      <c r="K38" s="180">
        <f t="shared" si="14"/>
        <v>0</v>
      </c>
      <c r="L38" s="180">
        <f t="shared" si="15"/>
        <v>0</v>
      </c>
      <c r="M38" s="180">
        <f t="shared" si="16"/>
        <v>0</v>
      </c>
      <c r="N38" s="50" t="s">
        <v>826</v>
      </c>
      <c r="O38" s="50" t="str">
        <f t="shared" si="17"/>
        <v>Prepaid ExpensesArha General Trading Co (AGT)</v>
      </c>
      <c r="P38" s="139" t="str" cm="1">
        <f t="array" ref="P38:S38">_xlfn.XLOOKUP(O38,Table4[Concate],Table4[[Group/Legder]:[Sub Category]],,0)</f>
        <v>Ledger</v>
      </c>
      <c r="Q38" s="139" t="str">
        <v>BS</v>
      </c>
      <c r="R38" s="158" t="str">
        <v>Other Current Asset</v>
      </c>
      <c r="S38" s="139" t="str">
        <v xml:space="preserve">Prepaid Expenses </v>
      </c>
      <c r="T38" s="139"/>
    </row>
    <row r="39" spans="1:20" ht="14.4">
      <c r="A39" s="323" t="s">
        <v>2440</v>
      </c>
      <c r="B39" s="271"/>
      <c r="C39" s="271"/>
      <c r="D39" s="271"/>
      <c r="E39" s="271"/>
      <c r="F39" s="271"/>
      <c r="G39" s="139">
        <f t="shared" si="10"/>
        <v>0</v>
      </c>
      <c r="H39" s="180">
        <f t="shared" si="11"/>
        <v>0</v>
      </c>
      <c r="I39" s="180">
        <f t="shared" si="12"/>
        <v>0</v>
      </c>
      <c r="J39" s="180">
        <f t="shared" si="13"/>
        <v>0</v>
      </c>
      <c r="K39" s="180">
        <f t="shared" si="14"/>
        <v>0</v>
      </c>
      <c r="L39" s="180">
        <f t="shared" si="15"/>
        <v>0</v>
      </c>
      <c r="M39" s="180">
        <f t="shared" si="16"/>
        <v>0</v>
      </c>
      <c r="N39" s="50" t="s">
        <v>826</v>
      </c>
      <c r="O39" s="50" t="str">
        <f t="shared" si="17"/>
        <v>Prepaid expenses - wastageArha General Trading Co (AGT)</v>
      </c>
      <c r="P39" s="139" t="str" cm="1">
        <f t="array" ref="P39:S39">_xlfn.XLOOKUP(O39,Table4[Concate],Table4[[Group/Legder]:[Sub Category]],,0)</f>
        <v>Ledger</v>
      </c>
      <c r="Q39" s="139" t="str">
        <v>BS</v>
      </c>
      <c r="R39" s="158" t="str">
        <v>Other Current Asset</v>
      </c>
      <c r="S39" s="139" t="str">
        <v xml:space="preserve">Prepaid Expenses </v>
      </c>
      <c r="T39" s="139"/>
    </row>
    <row r="40" spans="1:20" ht="14.4">
      <c r="A40" s="323" t="s">
        <v>681</v>
      </c>
      <c r="B40" s="271"/>
      <c r="C40" s="271"/>
      <c r="D40" s="271"/>
      <c r="E40" s="271"/>
      <c r="F40" s="271"/>
      <c r="G40" s="139">
        <f t="shared" si="10"/>
        <v>0</v>
      </c>
      <c r="H40" s="180">
        <f t="shared" si="11"/>
        <v>0</v>
      </c>
      <c r="I40" s="180">
        <f t="shared" si="12"/>
        <v>0</v>
      </c>
      <c r="J40" s="180">
        <f t="shared" si="13"/>
        <v>0</v>
      </c>
      <c r="K40" s="180">
        <f t="shared" si="14"/>
        <v>0</v>
      </c>
      <c r="L40" s="180">
        <f t="shared" si="15"/>
        <v>0</v>
      </c>
      <c r="M40" s="180">
        <f t="shared" si="16"/>
        <v>0</v>
      </c>
      <c r="N40" s="50" t="s">
        <v>826</v>
      </c>
      <c r="O40" s="50" t="str">
        <f t="shared" si="17"/>
        <v>Prepaid License FeesArha General Trading Co (AGT)</v>
      </c>
      <c r="P40" s="139" t="str" cm="1">
        <f t="array" ref="P40:S40">_xlfn.XLOOKUP(O40,Table4[Concate],Table4[[Group/Legder]:[Sub Category]],,0)</f>
        <v>Ledger</v>
      </c>
      <c r="Q40" s="139" t="str">
        <v>BS</v>
      </c>
      <c r="R40" s="158" t="str">
        <v>Other Current Asset</v>
      </c>
      <c r="S40" s="139" t="str">
        <v xml:space="preserve">Prepaid Expenses </v>
      </c>
      <c r="T40" s="139"/>
    </row>
    <row r="41" spans="1:20" ht="14.4">
      <c r="A41" s="323" t="s">
        <v>2234</v>
      </c>
      <c r="B41" s="271"/>
      <c r="C41" s="271"/>
      <c r="D41" s="271"/>
      <c r="E41" s="271"/>
      <c r="F41" s="271"/>
      <c r="G41" s="139">
        <f t="shared" si="10"/>
        <v>0</v>
      </c>
      <c r="H41" s="180">
        <f t="shared" si="11"/>
        <v>0</v>
      </c>
      <c r="I41" s="180">
        <f t="shared" si="12"/>
        <v>0</v>
      </c>
      <c r="J41" s="180">
        <f t="shared" si="13"/>
        <v>0</v>
      </c>
      <c r="K41" s="180">
        <f t="shared" si="14"/>
        <v>0</v>
      </c>
      <c r="L41" s="180">
        <f t="shared" si="15"/>
        <v>0</v>
      </c>
      <c r="M41" s="180">
        <f t="shared" si="16"/>
        <v>0</v>
      </c>
      <c r="N41" s="50" t="s">
        <v>826</v>
      </c>
      <c r="O41" s="50" t="str">
        <f t="shared" si="17"/>
        <v>Prepaid Rates &amp; TaxesArha General Trading Co (AGT)</v>
      </c>
      <c r="P41" s="139" t="str" cm="1">
        <f t="array" ref="P41:S41">_xlfn.XLOOKUP(O41,Table4[Concate],Table4[[Group/Legder]:[Sub Category]],,0)</f>
        <v>Ledger</v>
      </c>
      <c r="Q41" s="139" t="str">
        <v>BS</v>
      </c>
      <c r="R41" s="158" t="str">
        <v>Other Current Asset</v>
      </c>
      <c r="S41" s="139" t="str">
        <v xml:space="preserve">Prepaid Expenses </v>
      </c>
      <c r="T41" s="139"/>
    </row>
    <row r="42" spans="1:20" ht="14.4">
      <c r="A42" s="323" t="s">
        <v>1078</v>
      </c>
      <c r="B42" s="271"/>
      <c r="C42" s="271"/>
      <c r="D42" s="271"/>
      <c r="E42" s="271"/>
      <c r="F42" s="271"/>
      <c r="G42" s="139">
        <f t="shared" si="10"/>
        <v>0</v>
      </c>
      <c r="H42" s="180">
        <f t="shared" si="11"/>
        <v>0</v>
      </c>
      <c r="I42" s="180">
        <f t="shared" si="12"/>
        <v>0</v>
      </c>
      <c r="J42" s="180">
        <f t="shared" si="13"/>
        <v>0</v>
      </c>
      <c r="K42" s="180">
        <f t="shared" si="14"/>
        <v>0</v>
      </c>
      <c r="L42" s="180">
        <f t="shared" si="15"/>
        <v>0</v>
      </c>
      <c r="M42" s="180">
        <f t="shared" si="16"/>
        <v>0</v>
      </c>
      <c r="N42" s="50" t="s">
        <v>826</v>
      </c>
      <c r="O42" s="50" t="str">
        <f t="shared" si="17"/>
        <v>Prepaid Manish House RentArha General Trading Co (AGT)</v>
      </c>
      <c r="P42" s="139" t="str" cm="1">
        <f t="array" ref="P42:S42">_xlfn.XLOOKUP(O42,Table4[Concate],Table4[[Group/Legder]:[Sub Category]],,0)</f>
        <v>Ledger</v>
      </c>
      <c r="Q42" s="139" t="str">
        <v>BS</v>
      </c>
      <c r="R42" s="158" t="str">
        <v>Other Current Asset</v>
      </c>
      <c r="S42" s="139" t="str">
        <v xml:space="preserve">Security Deposit </v>
      </c>
      <c r="T42" s="139"/>
    </row>
    <row r="43" spans="1:20" ht="14.4">
      <c r="A43" s="323" t="s">
        <v>2149</v>
      </c>
      <c r="B43" s="271"/>
      <c r="C43" s="271"/>
      <c r="D43" s="271"/>
      <c r="E43" s="271"/>
      <c r="F43" s="271"/>
      <c r="G43" s="139">
        <f t="shared" si="10"/>
        <v>0</v>
      </c>
      <c r="H43" s="180">
        <f t="shared" si="11"/>
        <v>0</v>
      </c>
      <c r="I43" s="180">
        <f t="shared" si="12"/>
        <v>0</v>
      </c>
      <c r="J43" s="180">
        <f t="shared" si="13"/>
        <v>0</v>
      </c>
      <c r="K43" s="180">
        <f t="shared" si="14"/>
        <v>0</v>
      </c>
      <c r="L43" s="180">
        <f t="shared" si="15"/>
        <v>0</v>
      </c>
      <c r="M43" s="180">
        <f t="shared" si="16"/>
        <v>0</v>
      </c>
      <c r="N43" s="50" t="s">
        <v>826</v>
      </c>
      <c r="O43" s="50" t="str">
        <f t="shared" si="17"/>
        <v>Prepaid Warehouse RentArha General Trading Co (AGT)</v>
      </c>
      <c r="P43" s="139" t="str" cm="1">
        <f t="array" ref="P43:S43">_xlfn.XLOOKUP(O43,Table4[Concate],Table4[[Group/Legder]:[Sub Category]],,0)</f>
        <v>Ledger</v>
      </c>
      <c r="Q43" s="139" t="str">
        <v>BS</v>
      </c>
      <c r="R43" s="158" t="str">
        <v>Other Current Asset</v>
      </c>
      <c r="S43" s="139" t="str">
        <v>Other Current Asset</v>
      </c>
      <c r="T43" s="139"/>
    </row>
    <row r="44" spans="1:20" ht="14.4">
      <c r="A44" s="323" t="s">
        <v>558</v>
      </c>
      <c r="B44" s="271"/>
      <c r="C44" s="271"/>
      <c r="D44" s="271"/>
      <c r="E44" s="271"/>
      <c r="F44" s="271"/>
      <c r="G44" s="139">
        <f t="shared" si="10"/>
        <v>0</v>
      </c>
      <c r="H44" s="180">
        <f t="shared" si="11"/>
        <v>0</v>
      </c>
      <c r="I44" s="180">
        <f t="shared" si="12"/>
        <v>0</v>
      </c>
      <c r="J44" s="180">
        <f t="shared" si="13"/>
        <v>0</v>
      </c>
      <c r="K44" s="180">
        <f t="shared" si="14"/>
        <v>0</v>
      </c>
      <c r="L44" s="180">
        <f t="shared" si="15"/>
        <v>0</v>
      </c>
      <c r="M44" s="180">
        <f t="shared" si="16"/>
        <v>0</v>
      </c>
      <c r="N44" s="50" t="s">
        <v>826</v>
      </c>
      <c r="O44" s="50" t="str">
        <f t="shared" si="17"/>
        <v>Prepaid Telephone ChargesArha General Trading Co (AGT)</v>
      </c>
      <c r="P44" s="139" t="str" cm="1">
        <f t="array" ref="P44:S44">_xlfn.XLOOKUP(O44,Table4[Concate],Table4[[Group/Legder]:[Sub Category]],,0)</f>
        <v>Ledger</v>
      </c>
      <c r="Q44" s="139" t="str">
        <v>BS</v>
      </c>
      <c r="R44" s="158" t="str">
        <v>Other Current Asset</v>
      </c>
      <c r="S44" s="139" t="str">
        <v xml:space="preserve">Prepaid Expenses </v>
      </c>
      <c r="T44" s="139"/>
    </row>
    <row r="45" spans="1:20" ht="14.4">
      <c r="A45" s="323" t="s">
        <v>2235</v>
      </c>
      <c r="B45" s="271"/>
      <c r="C45" s="271"/>
      <c r="D45" s="271"/>
      <c r="E45" s="271"/>
      <c r="F45" s="271"/>
      <c r="G45" s="139">
        <f t="shared" si="10"/>
        <v>0</v>
      </c>
      <c r="H45" s="180">
        <f t="shared" si="11"/>
        <v>0</v>
      </c>
      <c r="I45" s="180">
        <f t="shared" si="12"/>
        <v>0</v>
      </c>
      <c r="J45" s="180">
        <f t="shared" si="13"/>
        <v>0</v>
      </c>
      <c r="K45" s="180">
        <f t="shared" si="14"/>
        <v>0</v>
      </c>
      <c r="L45" s="180">
        <f t="shared" si="15"/>
        <v>0</v>
      </c>
      <c r="M45" s="180">
        <f t="shared" si="16"/>
        <v>0</v>
      </c>
      <c r="N45" s="50" t="s">
        <v>826</v>
      </c>
      <c r="O45" s="50" t="str">
        <f t="shared" si="17"/>
        <v>Prepaid Vat PaymentArha General Trading Co (AGT)</v>
      </c>
      <c r="P45" s="139" t="str" cm="1">
        <f t="array" ref="P45:S45">_xlfn.XLOOKUP(O45,Table4[Concate],Table4[[Group/Legder]:[Sub Category]],,0)</f>
        <v>Ledger</v>
      </c>
      <c r="Q45" s="139" t="str">
        <v>BS</v>
      </c>
      <c r="R45" s="158" t="str">
        <v>Other Current Asset</v>
      </c>
      <c r="S45" s="139" t="str">
        <v xml:space="preserve">Prepaid Expenses </v>
      </c>
      <c r="T45" s="139"/>
    </row>
    <row r="46" spans="1:20" ht="14.4">
      <c r="A46" s="323" t="s">
        <v>2441</v>
      </c>
      <c r="B46" s="271"/>
      <c r="C46" s="271"/>
      <c r="D46" s="271"/>
      <c r="E46" s="271"/>
      <c r="F46" s="271"/>
      <c r="G46" s="139">
        <f t="shared" si="10"/>
        <v>0</v>
      </c>
      <c r="H46" s="180">
        <f t="shared" si="11"/>
        <v>0</v>
      </c>
      <c r="I46" s="180">
        <f t="shared" si="12"/>
        <v>0</v>
      </c>
      <c r="J46" s="180">
        <f t="shared" si="13"/>
        <v>0</v>
      </c>
      <c r="K46" s="180">
        <f t="shared" si="14"/>
        <v>0</v>
      </c>
      <c r="L46" s="180">
        <f t="shared" si="15"/>
        <v>0</v>
      </c>
      <c r="M46" s="180">
        <f t="shared" si="16"/>
        <v>0</v>
      </c>
      <c r="N46" s="50" t="s">
        <v>826</v>
      </c>
      <c r="O46" s="50" t="str">
        <f t="shared" si="17"/>
        <v>Prepaid Visa ExpenseArha General Trading Co (AGT)</v>
      </c>
      <c r="P46" s="139" t="str" cm="1">
        <f t="array" ref="P46:S46">_xlfn.XLOOKUP(O46,Table4[Concate],Table4[[Group/Legder]:[Sub Category]],,0)</f>
        <v>Ledger</v>
      </c>
      <c r="Q46" s="139" t="str">
        <v>BS</v>
      </c>
      <c r="R46" s="158" t="str">
        <v>Other Current Asset</v>
      </c>
      <c r="S46" s="139" t="str">
        <v xml:space="preserve">Prepaid Expenses </v>
      </c>
      <c r="T46" s="139"/>
    </row>
    <row r="47" spans="1:20" ht="14.4">
      <c r="A47" s="323" t="s">
        <v>2150</v>
      </c>
      <c r="B47" s="271"/>
      <c r="C47" s="271"/>
      <c r="D47" s="271"/>
      <c r="E47" s="271"/>
      <c r="F47" s="271"/>
      <c r="G47" s="139">
        <f t="shared" si="10"/>
        <v>0</v>
      </c>
      <c r="H47" s="180">
        <f t="shared" si="11"/>
        <v>0</v>
      </c>
      <c r="I47" s="180">
        <f t="shared" si="12"/>
        <v>0</v>
      </c>
      <c r="J47" s="180">
        <f t="shared" si="13"/>
        <v>0</v>
      </c>
      <c r="K47" s="180">
        <f t="shared" si="14"/>
        <v>0</v>
      </c>
      <c r="L47" s="180">
        <f t="shared" si="15"/>
        <v>0</v>
      </c>
      <c r="M47" s="180">
        <f t="shared" si="16"/>
        <v>0</v>
      </c>
      <c r="N47" s="50" t="s">
        <v>826</v>
      </c>
      <c r="O47" s="50" t="str">
        <f t="shared" si="17"/>
        <v>Prepaid Warehouse InsuranceArha General Trading Co (AGT)</v>
      </c>
      <c r="P47" s="139" t="str" cm="1">
        <f t="array" ref="P47:S47">_xlfn.XLOOKUP(O47,Table4[Concate],Table4[[Group/Legder]:[Sub Category]],,0)</f>
        <v>Ledger</v>
      </c>
      <c r="Q47" s="139" t="str">
        <v>BS</v>
      </c>
      <c r="R47" s="158" t="str">
        <v>Other Current Asset</v>
      </c>
      <c r="S47" s="139" t="str">
        <v>Other Current Asset</v>
      </c>
      <c r="T47" s="139"/>
    </row>
    <row r="48" spans="1:20" ht="14.4">
      <c r="A48" s="323" t="s">
        <v>2442</v>
      </c>
      <c r="B48" s="271"/>
      <c r="C48" s="271"/>
      <c r="D48" s="271"/>
      <c r="E48" s="271"/>
      <c r="F48" s="271"/>
      <c r="G48" s="139">
        <f t="shared" si="10"/>
        <v>0</v>
      </c>
      <c r="H48" s="180">
        <f t="shared" si="11"/>
        <v>0</v>
      </c>
      <c r="I48" s="180">
        <f t="shared" si="12"/>
        <v>0</v>
      </c>
      <c r="J48" s="180">
        <f t="shared" si="13"/>
        <v>0</v>
      </c>
      <c r="K48" s="180">
        <f t="shared" si="14"/>
        <v>0</v>
      </c>
      <c r="L48" s="180">
        <f t="shared" si="15"/>
        <v>0</v>
      </c>
      <c r="M48" s="180">
        <f t="shared" si="16"/>
        <v>0</v>
      </c>
      <c r="N48" s="50" t="s">
        <v>826</v>
      </c>
      <c r="O48" s="50" t="str">
        <f t="shared" si="17"/>
        <v>PrinterArha General Trading Co (AGT)</v>
      </c>
      <c r="P48" s="139" t="str" cm="1">
        <f t="array" ref="P48:S48">_xlfn.XLOOKUP(O48,Table4[Concate],Table4[[Group/Legder]:[Sub Category]],,0)</f>
        <v>Ledger</v>
      </c>
      <c r="Q48" s="139" t="str">
        <v>BS</v>
      </c>
      <c r="R48" s="158" t="str">
        <v>Fixed assets -Tangible</v>
      </c>
      <c r="S48" s="139" t="str">
        <v>Fixed assets -Tangible</v>
      </c>
      <c r="T48" s="139"/>
    </row>
    <row r="49" spans="1:20" ht="14.4">
      <c r="A49" s="323" t="s">
        <v>2443</v>
      </c>
      <c r="B49" s="271"/>
      <c r="C49" s="271"/>
      <c r="D49" s="271"/>
      <c r="E49" s="271"/>
      <c r="F49" s="271"/>
      <c r="G49" s="139">
        <f t="shared" si="10"/>
        <v>0</v>
      </c>
      <c r="H49" s="180">
        <f t="shared" si="11"/>
        <v>0</v>
      </c>
      <c r="I49" s="180">
        <f t="shared" si="12"/>
        <v>0</v>
      </c>
      <c r="J49" s="180">
        <f t="shared" si="13"/>
        <v>0</v>
      </c>
      <c r="K49" s="180">
        <f t="shared" si="14"/>
        <v>0</v>
      </c>
      <c r="L49" s="180">
        <f t="shared" si="15"/>
        <v>0</v>
      </c>
      <c r="M49" s="180">
        <f t="shared" si="16"/>
        <v>0</v>
      </c>
      <c r="N49" s="50" t="s">
        <v>826</v>
      </c>
      <c r="O49" s="50" t="str">
        <f t="shared" si="17"/>
        <v>Statching MachineArha General Trading Co (AGT)</v>
      </c>
      <c r="P49" s="139" t="str" cm="1">
        <f t="array" ref="P49:S49">_xlfn.XLOOKUP(O49,Table4[Concate],Table4[[Group/Legder]:[Sub Category]],,0)</f>
        <v>Ledger</v>
      </c>
      <c r="Q49" s="139" t="str">
        <v>BS</v>
      </c>
      <c r="R49" s="158" t="str">
        <v>Fixed assets -Tangible</v>
      </c>
      <c r="S49" s="139" t="str">
        <v>Fixed assets -Tangible</v>
      </c>
      <c r="T49" s="139"/>
    </row>
    <row r="50" spans="1:20" ht="14.4">
      <c r="A50" s="323" t="s">
        <v>2151</v>
      </c>
      <c r="B50" s="271"/>
      <c r="C50" s="271"/>
      <c r="D50" s="271"/>
      <c r="E50" s="271"/>
      <c r="F50" s="271"/>
      <c r="G50" s="139">
        <f t="shared" si="10"/>
        <v>0</v>
      </c>
      <c r="H50" s="180">
        <f t="shared" si="11"/>
        <v>0</v>
      </c>
      <c r="I50" s="180">
        <f t="shared" si="12"/>
        <v>0</v>
      </c>
      <c r="J50" s="180">
        <f t="shared" si="13"/>
        <v>0</v>
      </c>
      <c r="K50" s="180">
        <f t="shared" si="14"/>
        <v>0</v>
      </c>
      <c r="L50" s="180">
        <f t="shared" si="15"/>
        <v>0</v>
      </c>
      <c r="M50" s="180">
        <f t="shared" si="16"/>
        <v>0</v>
      </c>
      <c r="N50" s="50" t="s">
        <v>826</v>
      </c>
      <c r="O50" s="50" t="str">
        <f t="shared" si="17"/>
        <v>Toyota HiaceArha General Trading Co (AGT)</v>
      </c>
      <c r="P50" s="139" t="str" cm="1">
        <f t="array" ref="P50:S50">_xlfn.XLOOKUP(O50,Table4[Concate],Table4[[Group/Legder]:[Sub Category]],,0)</f>
        <v>Ledger</v>
      </c>
      <c r="Q50" s="139" t="str">
        <v>BS</v>
      </c>
      <c r="R50" s="158" t="str">
        <v>Fixed assets -Tangible</v>
      </c>
      <c r="S50" s="139" t="str">
        <v>Fixed assets -Tangible</v>
      </c>
      <c r="T50" s="139"/>
    </row>
    <row r="51" spans="1:20" ht="14.4">
      <c r="A51" s="323" t="s">
        <v>2444</v>
      </c>
      <c r="B51" s="271"/>
      <c r="C51" s="271"/>
      <c r="D51" s="271"/>
      <c r="E51" s="271"/>
      <c r="F51" s="271"/>
      <c r="G51" s="139">
        <f t="shared" si="10"/>
        <v>0</v>
      </c>
      <c r="H51" s="180">
        <f t="shared" si="11"/>
        <v>0</v>
      </c>
      <c r="I51" s="180">
        <f t="shared" si="12"/>
        <v>0</v>
      </c>
      <c r="J51" s="180">
        <f t="shared" si="13"/>
        <v>0</v>
      </c>
      <c r="K51" s="180">
        <f t="shared" si="14"/>
        <v>0</v>
      </c>
      <c r="L51" s="180">
        <f t="shared" si="15"/>
        <v>0</v>
      </c>
      <c r="M51" s="180">
        <f t="shared" si="16"/>
        <v>0</v>
      </c>
      <c r="N51" s="50" t="s">
        <v>826</v>
      </c>
      <c r="O51" s="50" t="str">
        <f t="shared" si="17"/>
        <v>TrolleyArha General Trading Co (AGT)</v>
      </c>
      <c r="P51" s="139" t="str" cm="1">
        <f t="array" ref="P51:S51">_xlfn.XLOOKUP(O51,Table4[Concate],Table4[[Group/Legder]:[Sub Category]],,0)</f>
        <v>Ledger</v>
      </c>
      <c r="Q51" s="139" t="str">
        <v>BS</v>
      </c>
      <c r="R51" s="158" t="str">
        <v>Fixed assets -Tangible</v>
      </c>
      <c r="S51" s="139" t="str">
        <v>Fixed assets -Tangible</v>
      </c>
      <c r="T51" s="139"/>
    </row>
    <row r="52" spans="1:20" ht="14.4">
      <c r="A52" s="323" t="s">
        <v>2152</v>
      </c>
      <c r="B52" s="271"/>
      <c r="C52" s="271"/>
      <c r="D52" s="271"/>
      <c r="E52" s="271"/>
      <c r="F52" s="271"/>
      <c r="G52" s="139">
        <f t="shared" si="10"/>
        <v>0</v>
      </c>
      <c r="H52" s="180">
        <f t="shared" si="11"/>
        <v>0</v>
      </c>
      <c r="I52" s="180">
        <f t="shared" si="12"/>
        <v>0</v>
      </c>
      <c r="J52" s="180">
        <f t="shared" si="13"/>
        <v>0</v>
      </c>
      <c r="K52" s="180">
        <f t="shared" si="14"/>
        <v>0</v>
      </c>
      <c r="L52" s="180">
        <f t="shared" si="15"/>
        <v>0</v>
      </c>
      <c r="M52" s="180">
        <f t="shared" si="16"/>
        <v>0</v>
      </c>
      <c r="N52" s="50" t="s">
        <v>826</v>
      </c>
      <c r="O52" s="50" t="str">
        <f t="shared" si="17"/>
        <v>Weight &amp; Bag Stitching MachineArha General Trading Co (AGT)</v>
      </c>
      <c r="P52" s="139" t="str" cm="1">
        <f t="array" ref="P52:S52">_xlfn.XLOOKUP(O52,Table4[Concate],Table4[[Group/Legder]:[Sub Category]],,0)</f>
        <v>Ledger</v>
      </c>
      <c r="Q52" s="139" t="str">
        <v>BS</v>
      </c>
      <c r="R52" s="158" t="str">
        <v>Fixed assets -Tangible</v>
      </c>
      <c r="S52" s="139" t="str">
        <v>Fixed assets -Tangible</v>
      </c>
      <c r="T52" s="139"/>
    </row>
    <row r="53" spans="1:20" ht="14.4">
      <c r="A53" s="323" t="s">
        <v>2445</v>
      </c>
      <c r="B53" s="271"/>
      <c r="C53" s="271"/>
      <c r="D53" s="271"/>
      <c r="E53" s="271"/>
      <c r="F53" s="271"/>
      <c r="G53" s="139">
        <f t="shared" si="10"/>
        <v>0</v>
      </c>
      <c r="H53" s="180">
        <f t="shared" si="11"/>
        <v>0</v>
      </c>
      <c r="I53" s="180">
        <f t="shared" si="12"/>
        <v>0</v>
      </c>
      <c r="J53" s="180">
        <f t="shared" si="13"/>
        <v>0</v>
      </c>
      <c r="K53" s="180">
        <f t="shared" si="14"/>
        <v>0</v>
      </c>
      <c r="L53" s="180">
        <f t="shared" si="15"/>
        <v>0</v>
      </c>
      <c r="M53" s="180">
        <f t="shared" si="16"/>
        <v>0</v>
      </c>
      <c r="N53" s="50" t="s">
        <v>826</v>
      </c>
      <c r="O53" s="50" t="str">
        <f t="shared" si="17"/>
        <v>Weight MachineArha General Trading Co (AGT)</v>
      </c>
      <c r="P53" s="139" t="str" cm="1">
        <f t="array" ref="P53:S53">_xlfn.XLOOKUP(O53,Table4[Concate],Table4[[Group/Legder]:[Sub Category]],,0)</f>
        <v>Ledger</v>
      </c>
      <c r="Q53" s="139" t="str">
        <v>BS</v>
      </c>
      <c r="R53" s="158" t="str">
        <v>Fixed assets -Tangible</v>
      </c>
      <c r="S53" s="139" t="str">
        <v>Fixed assets -Tangible</v>
      </c>
      <c r="T53" s="139"/>
    </row>
    <row r="54" spans="1:20" ht="14.4">
      <c r="A54" s="323" t="s">
        <v>488</v>
      </c>
      <c r="B54" s="271"/>
      <c r="C54" s="271"/>
      <c r="D54" s="271"/>
      <c r="E54" s="271"/>
      <c r="F54" s="271"/>
      <c r="G54" s="139">
        <f t="shared" si="10"/>
        <v>0</v>
      </c>
      <c r="H54" s="180">
        <f t="shared" si="11"/>
        <v>0</v>
      </c>
      <c r="I54" s="180">
        <f t="shared" si="12"/>
        <v>0</v>
      </c>
      <c r="J54" s="180">
        <f t="shared" si="13"/>
        <v>0</v>
      </c>
      <c r="K54" s="180">
        <f t="shared" si="14"/>
        <v>0</v>
      </c>
      <c r="L54" s="180">
        <f t="shared" si="15"/>
        <v>0</v>
      </c>
      <c r="M54" s="180">
        <f t="shared" si="16"/>
        <v>0</v>
      </c>
      <c r="N54" s="50" t="s">
        <v>826</v>
      </c>
      <c r="O54" s="50" t="str">
        <f t="shared" si="17"/>
        <v>Accounts PayableArha General Trading Co (AGT)</v>
      </c>
      <c r="P54" s="139" t="str" cm="1">
        <f t="array" ref="P54:S54">_xlfn.XLOOKUP(O54,Table4[Concate],Table4[[Group/Legder]:[Sub Category]],,0)</f>
        <v>Ledger</v>
      </c>
      <c r="Q54" s="139" t="str">
        <v>BS</v>
      </c>
      <c r="R54" s="158" t="str">
        <v>Trade payables</v>
      </c>
      <c r="S54" s="139" t="str">
        <v>Trade payables</v>
      </c>
      <c r="T54" s="139"/>
    </row>
    <row r="55" spans="1:20" ht="14.4">
      <c r="A55" s="323" t="s">
        <v>2153</v>
      </c>
      <c r="B55" s="271"/>
      <c r="C55" s="271"/>
      <c r="D55" s="271"/>
      <c r="E55" s="271"/>
      <c r="F55" s="271"/>
      <c r="G55" s="139">
        <f t="shared" si="10"/>
        <v>0</v>
      </c>
      <c r="H55" s="180">
        <f t="shared" si="11"/>
        <v>0</v>
      </c>
      <c r="I55" s="180">
        <f t="shared" si="12"/>
        <v>0</v>
      </c>
      <c r="J55" s="180">
        <f t="shared" si="13"/>
        <v>0</v>
      </c>
      <c r="K55" s="180">
        <f t="shared" si="14"/>
        <v>0</v>
      </c>
      <c r="L55" s="180">
        <f t="shared" si="15"/>
        <v>0</v>
      </c>
      <c r="M55" s="180">
        <f t="shared" si="16"/>
        <v>0</v>
      </c>
      <c r="N55" s="50" t="s">
        <v>826</v>
      </c>
      <c r="O55" s="50" t="str">
        <f t="shared" si="17"/>
        <v>Anwar MArha General Trading Co (AGT)</v>
      </c>
      <c r="P55" s="139" t="str" cm="1">
        <f t="array" ref="P55:S55">_xlfn.XLOOKUP(O55,Table4[Concate],Table4[[Group/Legder]:[Sub Category]],,0)</f>
        <v>Ledger</v>
      </c>
      <c r="Q55" s="139" t="str">
        <v>BS</v>
      </c>
      <c r="R55" s="158" t="str">
        <v>Provisions and Other Current Liabilities</v>
      </c>
      <c r="S55" s="139" t="str">
        <v>Provisions and Other Current Liabilities</v>
      </c>
      <c r="T55" s="139"/>
    </row>
    <row r="56" spans="1:20" ht="14.4">
      <c r="A56" s="323" t="s">
        <v>559</v>
      </c>
      <c r="B56" s="271"/>
      <c r="C56" s="271"/>
      <c r="D56" s="271"/>
      <c r="E56" s="271"/>
      <c r="F56" s="271"/>
      <c r="G56" s="139">
        <f t="shared" si="10"/>
        <v>0</v>
      </c>
      <c r="H56" s="180">
        <f t="shared" si="11"/>
        <v>0</v>
      </c>
      <c r="I56" s="180">
        <f t="shared" si="12"/>
        <v>0</v>
      </c>
      <c r="J56" s="180">
        <f t="shared" si="13"/>
        <v>0</v>
      </c>
      <c r="K56" s="180">
        <f t="shared" si="14"/>
        <v>0</v>
      </c>
      <c r="L56" s="180">
        <f t="shared" si="15"/>
        <v>0</v>
      </c>
      <c r="M56" s="180">
        <f t="shared" si="16"/>
        <v>0</v>
      </c>
      <c r="N56" s="50" t="s">
        <v>826</v>
      </c>
      <c r="O56" s="50" t="str">
        <f t="shared" si="17"/>
        <v>Aspirach Market Platform Pvt LtdArha General Trading Co (AGT)</v>
      </c>
      <c r="P56" s="139" t="str" cm="1">
        <f t="array" ref="P56:S56">_xlfn.XLOOKUP(O56,Table4[Concate],Table4[[Group/Legder]:[Sub Category]],,0)</f>
        <v>Ledger</v>
      </c>
      <c r="Q56" s="139" t="str">
        <v>BS</v>
      </c>
      <c r="R56" s="158" t="str">
        <v>Long-term borrowings</v>
      </c>
      <c r="S56" s="139" t="str">
        <v>Related Party Loan</v>
      </c>
      <c r="T56" s="139"/>
    </row>
    <row r="57" spans="1:20" ht="14.4">
      <c r="A57" s="323" t="s">
        <v>1632</v>
      </c>
      <c r="B57" s="271"/>
      <c r="C57" s="271"/>
      <c r="D57" s="271"/>
      <c r="E57" s="271"/>
      <c r="F57" s="271"/>
      <c r="G57" s="139">
        <f t="shared" si="10"/>
        <v>0</v>
      </c>
      <c r="H57" s="180">
        <f t="shared" si="11"/>
        <v>0</v>
      </c>
      <c r="I57" s="180">
        <f t="shared" si="12"/>
        <v>0</v>
      </c>
      <c r="J57" s="180">
        <f t="shared" si="13"/>
        <v>0</v>
      </c>
      <c r="K57" s="180">
        <f t="shared" si="14"/>
        <v>0</v>
      </c>
      <c r="L57" s="180">
        <f t="shared" si="15"/>
        <v>0</v>
      </c>
      <c r="M57" s="180">
        <f t="shared" si="16"/>
        <v>0</v>
      </c>
      <c r="N57" s="50" t="s">
        <v>826</v>
      </c>
      <c r="O57" s="50" t="str">
        <f t="shared" si="17"/>
        <v>Deepak MotwaniArha General Trading Co (AGT)</v>
      </c>
      <c r="P57" s="139" t="str" cm="1">
        <f t="array" ref="P57:S57">_xlfn.XLOOKUP(O57,Table4[Concate],Table4[[Group/Legder]:[Sub Category]],,0)</f>
        <v>Ledger</v>
      </c>
      <c r="Q57" s="139" t="str">
        <v>BS</v>
      </c>
      <c r="R57" s="158" t="str">
        <v>Provisions and Other Current Liabilities</v>
      </c>
      <c r="S57" s="139" t="str">
        <v>Other Provision Payable</v>
      </c>
      <c r="T57" s="139"/>
    </row>
    <row r="58" spans="1:20" ht="14.4">
      <c r="A58" s="323" t="s">
        <v>2447</v>
      </c>
      <c r="B58" s="271"/>
      <c r="C58" s="271"/>
      <c r="D58" s="271"/>
      <c r="E58" s="271"/>
      <c r="F58" s="271"/>
      <c r="G58" s="139">
        <f t="shared" si="10"/>
        <v>0</v>
      </c>
      <c r="H58" s="180">
        <f t="shared" si="11"/>
        <v>0</v>
      </c>
      <c r="I58" s="180">
        <f t="shared" si="12"/>
        <v>0</v>
      </c>
      <c r="J58" s="180">
        <f t="shared" si="13"/>
        <v>0</v>
      </c>
      <c r="K58" s="180">
        <f t="shared" si="14"/>
        <v>0</v>
      </c>
      <c r="L58" s="180">
        <f t="shared" si="15"/>
        <v>0</v>
      </c>
      <c r="M58" s="180">
        <f t="shared" si="16"/>
        <v>0</v>
      </c>
      <c r="N58" s="50" t="s">
        <v>826</v>
      </c>
      <c r="O58" s="50" t="str">
        <f t="shared" si="17"/>
        <v>Employee GratuityArha General Trading Co (AGT)</v>
      </c>
      <c r="P58" s="139" t="str" cm="1">
        <f t="array" ref="P58:S58">_xlfn.XLOOKUP(O58,Table4[Concate],Table4[[Group/Legder]:[Sub Category]],,0)</f>
        <v>Ledger</v>
      </c>
      <c r="Q58" s="139" t="str">
        <v>BS</v>
      </c>
      <c r="R58" s="158" t="str">
        <v>Provisions and Other Current Liabilities</v>
      </c>
      <c r="S58" s="139" t="str">
        <v>Gratuity Payable</v>
      </c>
      <c r="T58" s="139"/>
    </row>
    <row r="59" spans="1:20" ht="14.4">
      <c r="A59" s="323" t="s">
        <v>54</v>
      </c>
      <c r="B59" s="271"/>
      <c r="C59" s="271"/>
      <c r="D59" s="271"/>
      <c r="E59" s="271"/>
      <c r="F59" s="271"/>
      <c r="G59" s="139">
        <f t="shared" si="10"/>
        <v>0</v>
      </c>
      <c r="H59" s="180">
        <f t="shared" si="11"/>
        <v>0</v>
      </c>
      <c r="I59" s="180">
        <f t="shared" si="12"/>
        <v>0</v>
      </c>
      <c r="J59" s="180">
        <f t="shared" si="13"/>
        <v>0</v>
      </c>
      <c r="K59" s="180">
        <f t="shared" si="14"/>
        <v>0</v>
      </c>
      <c r="L59" s="180">
        <f t="shared" si="15"/>
        <v>0</v>
      </c>
      <c r="M59" s="180">
        <f t="shared" si="16"/>
        <v>0</v>
      </c>
      <c r="N59" s="50" t="s">
        <v>826</v>
      </c>
      <c r="O59" s="50" t="str">
        <f t="shared" si="17"/>
        <v>Manish KhiyaniArha General Trading Co (AGT)</v>
      </c>
      <c r="P59" s="139" t="str" cm="1">
        <f t="array" ref="P59:S59">_xlfn.XLOOKUP(O59,Table4[Concate],Table4[[Group/Legder]:[Sub Category]],,0)</f>
        <v>Ledger</v>
      </c>
      <c r="Q59" s="139" t="str">
        <v>BS</v>
      </c>
      <c r="R59" s="158" t="str">
        <v>Provisions and Other Current Liabilities</v>
      </c>
      <c r="S59" s="139" t="str">
        <v xml:space="preserve">Employee Advance </v>
      </c>
      <c r="T59" s="139"/>
    </row>
    <row r="60" spans="1:20" ht="14.4">
      <c r="A60" s="323" t="s">
        <v>741</v>
      </c>
      <c r="B60" s="271"/>
      <c r="C60" s="271"/>
      <c r="D60" s="271"/>
      <c r="E60" s="271"/>
      <c r="F60" s="271"/>
      <c r="G60" s="139">
        <f t="shared" si="10"/>
        <v>0</v>
      </c>
      <c r="H60" s="180">
        <f t="shared" si="11"/>
        <v>0</v>
      </c>
      <c r="I60" s="180">
        <f t="shared" si="12"/>
        <v>0</v>
      </c>
      <c r="J60" s="180">
        <f t="shared" si="13"/>
        <v>0</v>
      </c>
      <c r="K60" s="180">
        <f t="shared" si="14"/>
        <v>0</v>
      </c>
      <c r="L60" s="180">
        <f t="shared" si="15"/>
        <v>0</v>
      </c>
      <c r="M60" s="180">
        <f t="shared" si="16"/>
        <v>0</v>
      </c>
      <c r="N60" s="50" t="s">
        <v>826</v>
      </c>
      <c r="O60" s="50" t="str">
        <f t="shared" si="17"/>
        <v>Shahid MArha General Trading Co (AGT)</v>
      </c>
      <c r="P60" s="139" t="str" cm="1">
        <f t="array" ref="P60:S60">_xlfn.XLOOKUP(O60,Table4[Concate],Table4[[Group/Legder]:[Sub Category]],,0)</f>
        <v>Ledger</v>
      </c>
      <c r="Q60" s="139" t="str">
        <v>BS</v>
      </c>
      <c r="R60" s="158" t="str">
        <v>Provisions and Other Current Liabilities</v>
      </c>
      <c r="S60" s="139" t="str">
        <v>Other Provision Payable</v>
      </c>
      <c r="T60" s="139"/>
    </row>
    <row r="61" spans="1:20" ht="14.4">
      <c r="A61" s="323" t="s">
        <v>753</v>
      </c>
      <c r="B61" s="271"/>
      <c r="C61" s="271"/>
      <c r="D61" s="271"/>
      <c r="E61" s="271"/>
      <c r="F61" s="271"/>
      <c r="G61" s="139">
        <f t="shared" si="10"/>
        <v>0</v>
      </c>
      <c r="H61" s="180">
        <f t="shared" si="11"/>
        <v>0</v>
      </c>
      <c r="I61" s="180">
        <f t="shared" si="12"/>
        <v>0</v>
      </c>
      <c r="J61" s="180">
        <f t="shared" si="13"/>
        <v>0</v>
      </c>
      <c r="K61" s="180">
        <f t="shared" si="14"/>
        <v>0</v>
      </c>
      <c r="L61" s="180">
        <f t="shared" si="15"/>
        <v>0</v>
      </c>
      <c r="M61" s="180">
        <f t="shared" si="16"/>
        <v>0</v>
      </c>
      <c r="N61" s="50" t="s">
        <v>826</v>
      </c>
      <c r="O61" s="50" t="str">
        <f t="shared" si="17"/>
        <v>GCC VAT PayableArha General Trading Co (AGT)</v>
      </c>
      <c r="P61" s="139" t="str" cm="1">
        <f t="array" ref="P61:S61">_xlfn.XLOOKUP(O61,Table4[Concate],Table4[[Group/Legder]:[Sub Category]],,0)</f>
        <v>Ledger</v>
      </c>
      <c r="Q61" s="139" t="str">
        <v>BS</v>
      </c>
      <c r="R61" s="158" t="str">
        <v>Statutory Dues</v>
      </c>
      <c r="S61" s="139" t="str">
        <v>Statutory Dues</v>
      </c>
      <c r="T61" s="139"/>
    </row>
    <row r="62" spans="1:20" ht="14.4">
      <c r="A62" s="323" t="s">
        <v>998</v>
      </c>
      <c r="B62" s="271"/>
      <c r="C62" s="271"/>
      <c r="D62" s="271"/>
      <c r="E62" s="271"/>
      <c r="F62" s="271"/>
      <c r="G62" s="139">
        <f t="shared" si="10"/>
        <v>0</v>
      </c>
      <c r="H62" s="180">
        <f t="shared" si="11"/>
        <v>0</v>
      </c>
      <c r="I62" s="180">
        <f t="shared" si="12"/>
        <v>0</v>
      </c>
      <c r="J62" s="180">
        <f t="shared" si="13"/>
        <v>0</v>
      </c>
      <c r="K62" s="180">
        <f t="shared" si="14"/>
        <v>0</v>
      </c>
      <c r="L62" s="180">
        <f t="shared" si="15"/>
        <v>0</v>
      </c>
      <c r="M62" s="180">
        <f t="shared" si="16"/>
        <v>0</v>
      </c>
      <c r="N62" s="50" t="s">
        <v>826</v>
      </c>
      <c r="O62" s="50" t="str">
        <f t="shared" si="17"/>
        <v>Interest Payable To Tradearch Market PlatformsArha General Trading Co (AGT)</v>
      </c>
      <c r="P62" s="139" t="str" cm="1">
        <f t="array" ref="P62:S62">_xlfn.XLOOKUP(O62,Table4[Concate],Table4[[Group/Legder]:[Sub Category]],,0)</f>
        <v>Ledger</v>
      </c>
      <c r="Q62" s="139" t="str">
        <v>BS</v>
      </c>
      <c r="R62" s="158" t="str">
        <v>Provisions and Other Current Liabilities</v>
      </c>
      <c r="S62" s="139" t="str">
        <v>Related Party Loan</v>
      </c>
      <c r="T62" s="139"/>
    </row>
    <row r="63" spans="1:20" ht="14.4">
      <c r="A63" s="323" t="s">
        <v>562</v>
      </c>
      <c r="B63" s="271"/>
      <c r="C63" s="271"/>
      <c r="D63" s="271"/>
      <c r="E63" s="271"/>
      <c r="F63" s="271"/>
      <c r="G63" s="139">
        <f t="shared" si="10"/>
        <v>0</v>
      </c>
      <c r="H63" s="180">
        <f t="shared" si="11"/>
        <v>0</v>
      </c>
      <c r="I63" s="180">
        <f t="shared" si="12"/>
        <v>0</v>
      </c>
      <c r="J63" s="180">
        <f t="shared" si="13"/>
        <v>0</v>
      </c>
      <c r="K63" s="180">
        <f t="shared" si="14"/>
        <v>0</v>
      </c>
      <c r="L63" s="180">
        <f t="shared" si="15"/>
        <v>0</v>
      </c>
      <c r="M63" s="180">
        <f t="shared" si="16"/>
        <v>0</v>
      </c>
      <c r="N63" s="50" t="s">
        <v>826</v>
      </c>
      <c r="O63" s="50" t="str">
        <f t="shared" si="17"/>
        <v>Output VATArha General Trading Co (AGT)</v>
      </c>
      <c r="P63" s="139" t="str" cm="1">
        <f t="array" ref="P63:S63">_xlfn.XLOOKUP(O63,Table4[Concate],Table4[[Group/Legder]:[Sub Category]],,0)</f>
        <v>Ledger</v>
      </c>
      <c r="Q63" s="139" t="str">
        <v>BS</v>
      </c>
      <c r="R63" s="158" t="str">
        <v>Statutory Dues</v>
      </c>
      <c r="S63" s="139" t="str">
        <v>Statutory Dues</v>
      </c>
      <c r="T63" s="139"/>
    </row>
    <row r="64" spans="1:20" ht="14.4">
      <c r="A64" s="323" t="s">
        <v>136</v>
      </c>
      <c r="B64" s="271"/>
      <c r="C64" s="271"/>
      <c r="D64" s="271"/>
      <c r="E64" s="271"/>
      <c r="F64" s="271"/>
      <c r="G64" s="139">
        <f t="shared" si="10"/>
        <v>0</v>
      </c>
      <c r="H64" s="180">
        <f t="shared" si="11"/>
        <v>0</v>
      </c>
      <c r="I64" s="180">
        <f t="shared" si="12"/>
        <v>0</v>
      </c>
      <c r="J64" s="180">
        <f t="shared" si="13"/>
        <v>0</v>
      </c>
      <c r="K64" s="180">
        <f t="shared" si="14"/>
        <v>0</v>
      </c>
      <c r="L64" s="180">
        <f t="shared" si="15"/>
        <v>0</v>
      </c>
      <c r="M64" s="180">
        <f t="shared" si="16"/>
        <v>0</v>
      </c>
      <c r="N64" s="50" t="s">
        <v>826</v>
      </c>
      <c r="O64" s="50" t="str">
        <f t="shared" si="17"/>
        <v>Provision for ExpensesArha General Trading Co (AGT)</v>
      </c>
      <c r="P64" s="139" t="str" cm="1">
        <f t="array" ref="P64:S64">_xlfn.XLOOKUP(O64,Table4[Concate],Table4[[Group/Legder]:[Sub Category]],,0)</f>
        <v>Ledger</v>
      </c>
      <c r="Q64" s="139" t="str">
        <v>BS</v>
      </c>
      <c r="R64" s="158" t="str">
        <v>Provisions and Other Current Liabilities</v>
      </c>
      <c r="S64" s="139" t="str">
        <v>Other Provision Payable</v>
      </c>
      <c r="T64" s="139"/>
    </row>
    <row r="65" spans="1:20" ht="14.4">
      <c r="A65" s="323" t="s">
        <v>207</v>
      </c>
      <c r="B65" s="271"/>
      <c r="C65" s="271"/>
      <c r="D65" s="271"/>
      <c r="E65" s="271"/>
      <c r="F65" s="271"/>
      <c r="G65" s="139">
        <f t="shared" si="10"/>
        <v>0</v>
      </c>
      <c r="H65" s="180">
        <f t="shared" si="11"/>
        <v>0</v>
      </c>
      <c r="I65" s="180">
        <f t="shared" si="12"/>
        <v>0</v>
      </c>
      <c r="J65" s="180">
        <f t="shared" si="13"/>
        <v>0</v>
      </c>
      <c r="K65" s="180">
        <f t="shared" si="14"/>
        <v>0</v>
      </c>
      <c r="L65" s="180">
        <f t="shared" si="15"/>
        <v>0</v>
      </c>
      <c r="M65" s="180">
        <f t="shared" si="16"/>
        <v>0</v>
      </c>
      <c r="N65" s="50" t="s">
        <v>826</v>
      </c>
      <c r="O65" s="50" t="str">
        <f t="shared" si="17"/>
        <v>Salary PayableArha General Trading Co (AGT)</v>
      </c>
      <c r="P65" s="139" t="str" cm="1">
        <f t="array" ref="P65:S65">_xlfn.XLOOKUP(O65,Table4[Concate],Table4[[Group/Legder]:[Sub Category]],,0)</f>
        <v>Ledger</v>
      </c>
      <c r="Q65" s="139" t="str">
        <v>BS</v>
      </c>
      <c r="R65" s="158" t="str">
        <v>Provisions and Other Current Liabilities</v>
      </c>
      <c r="S65" s="139" t="str">
        <v xml:space="preserve">Salary Payable </v>
      </c>
      <c r="T65" s="139"/>
    </row>
    <row r="66" spans="1:20" ht="14.4">
      <c r="A66" s="323" t="s">
        <v>597</v>
      </c>
      <c r="B66" s="271"/>
      <c r="C66" s="271"/>
      <c r="D66" s="271"/>
      <c r="E66" s="271"/>
      <c r="F66" s="271"/>
      <c r="G66" s="139">
        <f t="shared" si="10"/>
        <v>0</v>
      </c>
      <c r="H66" s="180">
        <f t="shared" si="11"/>
        <v>0</v>
      </c>
      <c r="I66" s="180">
        <f t="shared" si="12"/>
        <v>0</v>
      </c>
      <c r="J66" s="180">
        <f t="shared" si="13"/>
        <v>0</v>
      </c>
      <c r="K66" s="180">
        <f t="shared" si="14"/>
        <v>0</v>
      </c>
      <c r="L66" s="180">
        <f t="shared" si="15"/>
        <v>0</v>
      </c>
      <c r="M66" s="180">
        <f t="shared" si="16"/>
        <v>0</v>
      </c>
      <c r="N66" s="50" t="s">
        <v>826</v>
      </c>
      <c r="O66" s="50" t="str">
        <f t="shared" si="17"/>
        <v>Unearned RevenueArha General Trading Co (AGT)</v>
      </c>
      <c r="P66" s="139" t="str" cm="1">
        <f t="array" ref="P66:S66">_xlfn.XLOOKUP(O66,Table4[Concate],Table4[[Group/Legder]:[Sub Category]],,0)</f>
        <v>Ledger</v>
      </c>
      <c r="Q66" s="139" t="str">
        <v>BS</v>
      </c>
      <c r="R66" s="158" t="str">
        <v>Advance from customer</v>
      </c>
      <c r="S66" s="139" t="str">
        <v>Advance from customer</v>
      </c>
      <c r="T66" s="139"/>
    </row>
    <row r="67" spans="1:20" ht="14.4">
      <c r="A67" s="323" t="s">
        <v>773</v>
      </c>
      <c r="B67" s="271"/>
      <c r="C67" s="271"/>
      <c r="D67" s="271"/>
      <c r="E67" s="271"/>
      <c r="F67" s="271"/>
      <c r="G67" s="139">
        <f t="shared" si="10"/>
        <v>0</v>
      </c>
      <c r="H67" s="180">
        <f t="shared" si="11"/>
        <v>0</v>
      </c>
      <c r="I67" s="180">
        <f t="shared" si="12"/>
        <v>0</v>
      </c>
      <c r="J67" s="180">
        <f t="shared" si="13"/>
        <v>0</v>
      </c>
      <c r="K67" s="180">
        <f t="shared" si="14"/>
        <v>0</v>
      </c>
      <c r="L67" s="180">
        <f t="shared" si="15"/>
        <v>0</v>
      </c>
      <c r="M67" s="180">
        <f t="shared" si="16"/>
        <v>0</v>
      </c>
      <c r="N67" s="50" t="s">
        <v>826</v>
      </c>
      <c r="O67" s="50" t="str">
        <f t="shared" si="17"/>
        <v>HMW General Trading LLC ( Loan)Arha General Trading Co (AGT)</v>
      </c>
      <c r="P67" s="139" t="str" cm="1">
        <f t="array" ref="P67:S67">_xlfn.XLOOKUP(O67,Table4[Concate],Table4[[Group/Legder]:[Sub Category]],,0)</f>
        <v>Ledger</v>
      </c>
      <c r="Q67" s="139" t="str">
        <v>BS</v>
      </c>
      <c r="R67" s="158" t="str">
        <v>Short-term borrowings</v>
      </c>
      <c r="S67" s="139" t="str">
        <v>ICD</v>
      </c>
      <c r="T67" s="139"/>
    </row>
    <row r="68" spans="1:20" ht="14.4">
      <c r="A68" s="323" t="s">
        <v>1499</v>
      </c>
      <c r="B68" s="271"/>
      <c r="C68" s="271"/>
      <c r="D68" s="271"/>
      <c r="E68" s="271"/>
      <c r="F68" s="271"/>
      <c r="G68" s="139">
        <f t="shared" si="10"/>
        <v>0</v>
      </c>
      <c r="H68" s="180">
        <f t="shared" si="11"/>
        <v>0</v>
      </c>
      <c r="I68" s="180">
        <f t="shared" si="12"/>
        <v>0</v>
      </c>
      <c r="J68" s="180">
        <f t="shared" si="13"/>
        <v>0</v>
      </c>
      <c r="K68" s="180">
        <f t="shared" si="14"/>
        <v>0</v>
      </c>
      <c r="L68" s="180">
        <f t="shared" si="15"/>
        <v>0</v>
      </c>
      <c r="M68" s="180">
        <f t="shared" si="16"/>
        <v>0</v>
      </c>
      <c r="N68" s="50" t="s">
        <v>826</v>
      </c>
      <c r="O68" s="50" t="str">
        <f t="shared" si="17"/>
        <v>Loan From Tradearch Market Platforms Pvt LtdArha General Trading Co (AGT)</v>
      </c>
      <c r="P68" s="139" t="str" cm="1">
        <f t="array" ref="P68:S68">_xlfn.XLOOKUP(O68,Table4[Concate],Table4[[Group/Legder]:[Sub Category]],,0)</f>
        <v>Ledger</v>
      </c>
      <c r="Q68" s="139" t="str">
        <v>BS</v>
      </c>
      <c r="R68" s="158" t="str">
        <v>Long-term borrowings</v>
      </c>
      <c r="S68" s="139" t="str">
        <v>Related Party Loan</v>
      </c>
      <c r="T68" s="139"/>
    </row>
    <row r="69" spans="1:20" ht="14.4">
      <c r="A69" s="323" t="s">
        <v>2155</v>
      </c>
      <c r="B69" s="271"/>
      <c r="C69" s="271"/>
      <c r="D69" s="271"/>
      <c r="E69" s="271"/>
      <c r="F69" s="271"/>
      <c r="G69" s="139">
        <f t="shared" ref="G69:G132" si="18">SUM(B69:F69)</f>
        <v>0</v>
      </c>
      <c r="H69" s="180">
        <f t="shared" ref="H69:H132" si="19">B69*$N$1</f>
        <v>0</v>
      </c>
      <c r="I69" s="180">
        <f t="shared" ref="I69:I132" si="20">C69*$N$1</f>
        <v>0</v>
      </c>
      <c r="J69" s="180">
        <f t="shared" ref="J69:J132" si="21">D69*$N$1</f>
        <v>0</v>
      </c>
      <c r="K69" s="180">
        <f t="shared" ref="K69:K132" si="22">E69*$N$1</f>
        <v>0</v>
      </c>
      <c r="L69" s="180">
        <f t="shared" ref="L69:L132" si="23">F69*$N$1</f>
        <v>0</v>
      </c>
      <c r="M69" s="180">
        <f t="shared" ref="M69:M132" si="24">G69*$N$1</f>
        <v>0</v>
      </c>
      <c r="N69" s="50" t="s">
        <v>826</v>
      </c>
      <c r="O69" s="50" t="str">
        <f t="shared" ref="O69:O132" si="25">CONCATENATE(A69,N69)</f>
        <v>Vehicle Loan (Emirates NBD )Arha General Trading Co (AGT)</v>
      </c>
      <c r="P69" s="139" t="str" cm="1">
        <f t="array" ref="P69:S69">_xlfn.XLOOKUP(O69,Table4[Concate],Table4[[Group/Legder]:[Sub Category]],,0)</f>
        <v>Ledger</v>
      </c>
      <c r="Q69" s="139" t="str">
        <v>BS</v>
      </c>
      <c r="R69" s="158" t="str">
        <v>Vehicle Loan</v>
      </c>
      <c r="S69" s="139" t="str">
        <v>Vehicle Loan</v>
      </c>
      <c r="T69" s="139"/>
    </row>
    <row r="70" spans="1:20" ht="14.4">
      <c r="A70" s="323" t="s">
        <v>2156</v>
      </c>
      <c r="B70" s="271"/>
      <c r="C70" s="271"/>
      <c r="D70" s="271"/>
      <c r="E70" s="271"/>
      <c r="F70" s="271"/>
      <c r="G70" s="139">
        <f t="shared" si="18"/>
        <v>0</v>
      </c>
      <c r="H70" s="180">
        <f t="shared" si="19"/>
        <v>0</v>
      </c>
      <c r="I70" s="180">
        <f t="shared" si="20"/>
        <v>0</v>
      </c>
      <c r="J70" s="180">
        <f t="shared" si="21"/>
        <v>0</v>
      </c>
      <c r="K70" s="180">
        <f t="shared" si="22"/>
        <v>0</v>
      </c>
      <c r="L70" s="180">
        <f t="shared" si="23"/>
        <v>0</v>
      </c>
      <c r="M70" s="180">
        <f t="shared" si="24"/>
        <v>0</v>
      </c>
      <c r="N70" s="50" t="s">
        <v>826</v>
      </c>
      <c r="O70" s="50" t="str">
        <f t="shared" si="25"/>
        <v>Yashim IqbalArha General Trading Co (AGT)</v>
      </c>
      <c r="P70" s="139" t="str" cm="1">
        <f t="array" ref="P70:S70">_xlfn.XLOOKUP(O70,Table4[Concate],Table4[[Group/Legder]:[Sub Category]],,0)</f>
        <v>Ledger</v>
      </c>
      <c r="Q70" s="139" t="str">
        <v>BL</v>
      </c>
      <c r="R70" s="158" t="str">
        <v>Other Current Asset</v>
      </c>
      <c r="S70" s="139" t="str">
        <v xml:space="preserve">Employee Advance </v>
      </c>
      <c r="T70" s="139"/>
    </row>
    <row r="71" spans="1:20" ht="14.4">
      <c r="A71" s="323" t="s">
        <v>550</v>
      </c>
      <c r="B71" s="271"/>
      <c r="C71" s="271"/>
      <c r="D71" s="271"/>
      <c r="E71" s="271"/>
      <c r="F71" s="271"/>
      <c r="G71" s="139">
        <f t="shared" si="18"/>
        <v>0</v>
      </c>
      <c r="H71" s="180">
        <f t="shared" si="19"/>
        <v>0</v>
      </c>
      <c r="I71" s="180">
        <f t="shared" si="20"/>
        <v>0</v>
      </c>
      <c r="J71" s="180">
        <f t="shared" si="21"/>
        <v>0</v>
      </c>
      <c r="K71" s="180">
        <f t="shared" si="22"/>
        <v>0</v>
      </c>
      <c r="L71" s="180">
        <f t="shared" si="23"/>
        <v>0</v>
      </c>
      <c r="M71" s="180">
        <f t="shared" si="24"/>
        <v>0</v>
      </c>
      <c r="N71" s="50" t="s">
        <v>826</v>
      </c>
      <c r="O71" s="50" t="str">
        <f t="shared" si="25"/>
        <v>Current Year EarningsArha General Trading Co (AGT)</v>
      </c>
      <c r="P71" s="139" t="str" cm="1">
        <f t="array" ref="P71:S71">_xlfn.XLOOKUP(O71,Table4[Concate],Table4[[Group/Legder]:[Sub Category]],,0)</f>
        <v>Ledger</v>
      </c>
      <c r="Q71" s="139" t="str">
        <v>BS</v>
      </c>
      <c r="R71" s="158" t="str">
        <v>Reserves and surplus</v>
      </c>
      <c r="S71" s="139" t="str">
        <v xml:space="preserve">Current Year Earnings </v>
      </c>
      <c r="T71" s="139"/>
    </row>
    <row r="72" spans="1:20" ht="14.4">
      <c r="A72" s="323" t="s">
        <v>508</v>
      </c>
      <c r="B72" s="271"/>
      <c r="C72" s="271"/>
      <c r="D72" s="271"/>
      <c r="E72" s="271"/>
      <c r="F72" s="271"/>
      <c r="G72" s="139">
        <f t="shared" si="18"/>
        <v>0</v>
      </c>
      <c r="H72" s="180">
        <f t="shared" si="19"/>
        <v>0</v>
      </c>
      <c r="I72" s="180">
        <f t="shared" si="20"/>
        <v>0</v>
      </c>
      <c r="J72" s="180">
        <f t="shared" si="21"/>
        <v>0</v>
      </c>
      <c r="K72" s="180">
        <f t="shared" si="22"/>
        <v>0</v>
      </c>
      <c r="L72" s="180">
        <f t="shared" si="23"/>
        <v>0</v>
      </c>
      <c r="M72" s="180">
        <f t="shared" si="24"/>
        <v>0</v>
      </c>
      <c r="N72" s="50" t="s">
        <v>826</v>
      </c>
      <c r="O72" s="50" t="str">
        <f t="shared" si="25"/>
        <v>Retained EarningsArha General Trading Co (AGT)</v>
      </c>
      <c r="P72" s="139" t="str" cm="1">
        <f t="array" ref="P72:S72">_xlfn.XLOOKUP(O72,Table4[Concate],Table4[[Group/Legder]:[Sub Category]],,0)</f>
        <v>Ledger</v>
      </c>
      <c r="Q72" s="139" t="str">
        <v>BS</v>
      </c>
      <c r="R72" s="158" t="str">
        <v>Reserves and surplus</v>
      </c>
      <c r="S72" s="139" t="str">
        <v>Retained earning</v>
      </c>
      <c r="T72" s="139"/>
    </row>
    <row r="73" spans="1:20" ht="14.4">
      <c r="A73" s="323" t="s">
        <v>564</v>
      </c>
      <c r="B73" s="271"/>
      <c r="C73" s="271"/>
      <c r="D73" s="271"/>
      <c r="E73" s="271"/>
      <c r="F73" s="271"/>
      <c r="G73" s="139">
        <f t="shared" si="18"/>
        <v>0</v>
      </c>
      <c r="H73" s="180">
        <f t="shared" si="19"/>
        <v>0</v>
      </c>
      <c r="I73" s="180">
        <f t="shared" si="20"/>
        <v>0</v>
      </c>
      <c r="J73" s="180">
        <f t="shared" si="21"/>
        <v>0</v>
      </c>
      <c r="K73" s="180">
        <f t="shared" si="22"/>
        <v>0</v>
      </c>
      <c r="L73" s="180">
        <f t="shared" si="23"/>
        <v>0</v>
      </c>
      <c r="M73" s="180">
        <f t="shared" si="24"/>
        <v>0</v>
      </c>
      <c r="N73" s="50" t="s">
        <v>826</v>
      </c>
      <c r="O73" s="50" t="str">
        <f t="shared" si="25"/>
        <v>Aspirach Market Platform Pvt Ltd (SC)Arha General Trading Co (AGT)</v>
      </c>
      <c r="P73" s="139" t="str" cm="1">
        <f t="array" ref="P73:S73">_xlfn.XLOOKUP(O73,Table4[Concate],Table4[[Group/Legder]:[Sub Category]],,0)</f>
        <v>Ledger</v>
      </c>
      <c r="Q73" s="139" t="str">
        <v>BS</v>
      </c>
      <c r="R73" s="158" t="str">
        <v>Share Capital</v>
      </c>
      <c r="S73" s="139" t="str">
        <v>Equity Sahare Capital</v>
      </c>
      <c r="T73" s="139"/>
    </row>
    <row r="74" spans="1:20" ht="14.4">
      <c r="A74" s="323" t="s">
        <v>712</v>
      </c>
      <c r="B74" s="271"/>
      <c r="C74" s="271"/>
      <c r="D74" s="271"/>
      <c r="E74" s="271"/>
      <c r="F74" s="271"/>
      <c r="G74" s="139">
        <f t="shared" si="18"/>
        <v>0</v>
      </c>
      <c r="H74" s="180">
        <f t="shared" si="19"/>
        <v>0</v>
      </c>
      <c r="I74" s="180">
        <f t="shared" si="20"/>
        <v>0</v>
      </c>
      <c r="J74" s="180">
        <f t="shared" si="21"/>
        <v>0</v>
      </c>
      <c r="K74" s="180">
        <f t="shared" si="22"/>
        <v>0</v>
      </c>
      <c r="L74" s="180">
        <f t="shared" si="23"/>
        <v>0</v>
      </c>
      <c r="M74" s="180">
        <f t="shared" si="24"/>
        <v>0</v>
      </c>
      <c r="N74" s="50" t="s">
        <v>826</v>
      </c>
      <c r="O74" s="50" t="str">
        <f t="shared" si="25"/>
        <v>DiscountArha General Trading Co (AGT)</v>
      </c>
      <c r="P74" s="139" t="str" cm="1">
        <f t="array" ref="P74:S74">_xlfn.XLOOKUP(O74,Table4[Concate],Table4[[Group/Legder]:[Sub Category]],,0)</f>
        <v>Ledger</v>
      </c>
      <c r="Q74" s="139" t="str">
        <v>PL</v>
      </c>
      <c r="R74" s="158" t="str">
        <v>Revenue Booked</v>
      </c>
      <c r="S74" s="139" t="str">
        <v>Cash Discount - Income</v>
      </c>
      <c r="T74" s="139"/>
    </row>
    <row r="75" spans="1:20" ht="14.4">
      <c r="A75" s="323" t="s">
        <v>91</v>
      </c>
      <c r="B75" s="271"/>
      <c r="C75" s="271"/>
      <c r="D75" s="271"/>
      <c r="E75" s="271"/>
      <c r="F75" s="271"/>
      <c r="G75" s="139">
        <f t="shared" si="18"/>
        <v>0</v>
      </c>
      <c r="H75" s="180">
        <f t="shared" si="19"/>
        <v>0</v>
      </c>
      <c r="I75" s="180">
        <f t="shared" si="20"/>
        <v>0</v>
      </c>
      <c r="J75" s="180">
        <f t="shared" si="21"/>
        <v>0</v>
      </c>
      <c r="K75" s="180">
        <f t="shared" si="22"/>
        <v>0</v>
      </c>
      <c r="L75" s="180">
        <f t="shared" si="23"/>
        <v>0</v>
      </c>
      <c r="M75" s="180">
        <f t="shared" si="24"/>
        <v>0</v>
      </c>
      <c r="N75" s="50" t="s">
        <v>826</v>
      </c>
      <c r="O75" s="50" t="str">
        <f t="shared" si="25"/>
        <v>SalesArha General Trading Co (AGT)</v>
      </c>
      <c r="P75" s="139" t="str" cm="1">
        <f t="array" ref="P75:S75">_xlfn.XLOOKUP(O75,Table4[Concate],Table4[[Group/Legder]:[Sub Category]],,0)</f>
        <v>Ledger</v>
      </c>
      <c r="Q75" s="139" t="str">
        <v>PL</v>
      </c>
      <c r="R75" s="158" t="str">
        <v>Revenue Booked</v>
      </c>
      <c r="S75" s="139" t="str">
        <v>Sales</v>
      </c>
      <c r="T75" s="139"/>
    </row>
    <row r="76" spans="1:20" ht="14.4">
      <c r="A76" s="323" t="s">
        <v>2448</v>
      </c>
      <c r="B76" s="271"/>
      <c r="C76" s="271"/>
      <c r="D76" s="271"/>
      <c r="E76" s="271"/>
      <c r="F76" s="271"/>
      <c r="G76" s="139">
        <f t="shared" si="18"/>
        <v>0</v>
      </c>
      <c r="H76" s="180">
        <f t="shared" si="19"/>
        <v>0</v>
      </c>
      <c r="I76" s="180">
        <f t="shared" si="20"/>
        <v>0</v>
      </c>
      <c r="J76" s="180">
        <f t="shared" si="21"/>
        <v>0</v>
      </c>
      <c r="K76" s="180">
        <f t="shared" si="22"/>
        <v>0</v>
      </c>
      <c r="L76" s="180">
        <f t="shared" si="23"/>
        <v>0</v>
      </c>
      <c r="M76" s="180">
        <f t="shared" si="24"/>
        <v>0</v>
      </c>
      <c r="N76" s="50" t="s">
        <v>826</v>
      </c>
      <c r="O76" s="50" t="str">
        <f t="shared" si="25"/>
        <v>ARGT/LOC/2025/702GArha General Trading Co (AGT)</v>
      </c>
      <c r="P76" s="139" t="str" cm="1">
        <f t="array" ref="P76:S76">_xlfn.XLOOKUP(O76,Table4[Concate],Table4[[Group/Legder]:[Sub Category]],,0)</f>
        <v>Ledger</v>
      </c>
      <c r="Q76" s="139" t="str">
        <v>PL</v>
      </c>
      <c r="R76" s="158" t="str">
        <v>Direct Expenses</v>
      </c>
      <c r="S76" s="139" t="str">
        <v>Freight &amp; forwarding Charges</v>
      </c>
      <c r="T76" s="139"/>
    </row>
    <row r="77" spans="1:20" ht="14.4">
      <c r="A77" s="323" t="s">
        <v>2449</v>
      </c>
      <c r="B77" s="271"/>
      <c r="C77" s="271"/>
      <c r="D77" s="271"/>
      <c r="E77" s="271"/>
      <c r="F77" s="271"/>
      <c r="G77" s="139">
        <f t="shared" si="18"/>
        <v>0</v>
      </c>
      <c r="H77" s="180">
        <f t="shared" si="19"/>
        <v>0</v>
      </c>
      <c r="I77" s="180">
        <f t="shared" si="20"/>
        <v>0</v>
      </c>
      <c r="J77" s="180">
        <f t="shared" si="21"/>
        <v>0</v>
      </c>
      <c r="K77" s="180">
        <f t="shared" si="22"/>
        <v>0</v>
      </c>
      <c r="L77" s="180">
        <f t="shared" si="23"/>
        <v>0</v>
      </c>
      <c r="M77" s="180">
        <f t="shared" si="24"/>
        <v>0</v>
      </c>
      <c r="N77" s="50" t="s">
        <v>826</v>
      </c>
      <c r="O77" s="50" t="str">
        <f t="shared" si="25"/>
        <v>ARGT/LOC/2025/764Arha General Trading Co (AGT)</v>
      </c>
      <c r="P77" s="139" t="str" cm="1">
        <f t="array" ref="P77:S77">_xlfn.XLOOKUP(O77,Table4[Concate],Table4[[Group/Legder]:[Sub Category]],,0)</f>
        <v>Ledger</v>
      </c>
      <c r="Q77" s="139" t="str">
        <v>PL</v>
      </c>
      <c r="R77" s="158" t="str">
        <v>Direct Expenses</v>
      </c>
      <c r="S77" s="139" t="str">
        <v>Freight &amp; forwarding Charges</v>
      </c>
      <c r="T77" s="139"/>
    </row>
    <row r="78" spans="1:20" ht="14.4">
      <c r="A78" s="323" t="s">
        <v>2450</v>
      </c>
      <c r="B78" s="271"/>
      <c r="C78" s="271"/>
      <c r="D78" s="271"/>
      <c r="E78" s="271"/>
      <c r="F78" s="271"/>
      <c r="G78" s="139">
        <f t="shared" si="18"/>
        <v>0</v>
      </c>
      <c r="H78" s="180">
        <f t="shared" si="19"/>
        <v>0</v>
      </c>
      <c r="I78" s="180">
        <f t="shared" si="20"/>
        <v>0</v>
      </c>
      <c r="J78" s="180">
        <f t="shared" si="21"/>
        <v>0</v>
      </c>
      <c r="K78" s="180">
        <f t="shared" si="22"/>
        <v>0</v>
      </c>
      <c r="L78" s="180">
        <f t="shared" si="23"/>
        <v>0</v>
      </c>
      <c r="M78" s="180">
        <f t="shared" si="24"/>
        <v>0</v>
      </c>
      <c r="N78" s="50" t="s">
        <v>826</v>
      </c>
      <c r="O78" s="50" t="str">
        <f t="shared" si="25"/>
        <v>ARGT/LOC/2025/772Arha General Trading Co (AGT)</v>
      </c>
      <c r="P78" s="139" t="str" cm="1">
        <f t="array" ref="P78:S78">_xlfn.XLOOKUP(O78,Table4[Concate],Table4[[Group/Legder]:[Sub Category]],,0)</f>
        <v>Ledger</v>
      </c>
      <c r="Q78" s="139" t="str">
        <v>PL</v>
      </c>
      <c r="R78" s="158" t="str">
        <v>Direct Expenses</v>
      </c>
      <c r="S78" s="139" t="str">
        <v>Freight &amp; forwarding Charges</v>
      </c>
      <c r="T78" s="139"/>
    </row>
    <row r="79" spans="1:20" ht="14.4">
      <c r="A79" s="323" t="s">
        <v>2451</v>
      </c>
      <c r="B79" s="271"/>
      <c r="C79" s="271"/>
      <c r="D79" s="271"/>
      <c r="E79" s="271"/>
      <c r="F79" s="271"/>
      <c r="G79" s="139">
        <f t="shared" si="18"/>
        <v>0</v>
      </c>
      <c r="H79" s="180">
        <f t="shared" si="19"/>
        <v>0</v>
      </c>
      <c r="I79" s="180">
        <f t="shared" si="20"/>
        <v>0</v>
      </c>
      <c r="J79" s="180">
        <f t="shared" si="21"/>
        <v>0</v>
      </c>
      <c r="K79" s="180">
        <f t="shared" si="22"/>
        <v>0</v>
      </c>
      <c r="L79" s="180">
        <f t="shared" si="23"/>
        <v>0</v>
      </c>
      <c r="M79" s="180">
        <f t="shared" si="24"/>
        <v>0</v>
      </c>
      <c r="N79" s="50" t="s">
        <v>826</v>
      </c>
      <c r="O79" s="50" t="str">
        <f t="shared" si="25"/>
        <v>ARGT/LOC/2026/009AArha General Trading Co (AGT)</v>
      </c>
      <c r="P79" s="139" t="str" cm="1">
        <f t="array" ref="P79:S79">_xlfn.XLOOKUP(O79,Table4[Concate],Table4[[Group/Legder]:[Sub Category]],,0)</f>
        <v>Ledger</v>
      </c>
      <c r="Q79" s="139" t="str">
        <v>PL</v>
      </c>
      <c r="R79" s="158" t="str">
        <v>Direct Expenses</v>
      </c>
      <c r="S79" s="139" t="str">
        <v>Freight &amp; forwarding Charges</v>
      </c>
      <c r="T79" s="139"/>
    </row>
    <row r="80" spans="1:20" ht="14.4">
      <c r="A80" s="323" t="s">
        <v>2452</v>
      </c>
      <c r="B80" s="271"/>
      <c r="C80" s="271"/>
      <c r="D80" s="271"/>
      <c r="E80" s="271"/>
      <c r="F80" s="271"/>
      <c r="G80" s="139">
        <f t="shared" si="18"/>
        <v>0</v>
      </c>
      <c r="H80" s="180">
        <f t="shared" si="19"/>
        <v>0</v>
      </c>
      <c r="I80" s="180">
        <f t="shared" si="20"/>
        <v>0</v>
      </c>
      <c r="J80" s="180">
        <f t="shared" si="21"/>
        <v>0</v>
      </c>
      <c r="K80" s="180">
        <f t="shared" si="22"/>
        <v>0</v>
      </c>
      <c r="L80" s="180">
        <f t="shared" si="23"/>
        <v>0</v>
      </c>
      <c r="M80" s="180">
        <f t="shared" si="24"/>
        <v>0</v>
      </c>
      <c r="N80" s="50" t="s">
        <v>826</v>
      </c>
      <c r="O80" s="50" t="str">
        <f t="shared" si="25"/>
        <v>ARGT/LOC/2026/018Arha General Trading Co (AGT)</v>
      </c>
      <c r="P80" s="139" t="str" cm="1">
        <f t="array" ref="P80:S80">_xlfn.XLOOKUP(O80,Table4[Concate],Table4[[Group/Legder]:[Sub Category]],,0)</f>
        <v>Ledger</v>
      </c>
      <c r="Q80" s="139" t="str">
        <v>PL</v>
      </c>
      <c r="R80" s="158" t="str">
        <v>Direct Expenses</v>
      </c>
      <c r="S80" s="139" t="str">
        <v>Freight &amp; forwarding Charges</v>
      </c>
      <c r="T80" s="139"/>
    </row>
    <row r="81" spans="1:20" ht="14.4">
      <c r="A81" s="323" t="s">
        <v>2453</v>
      </c>
      <c r="B81" s="271"/>
      <c r="C81" s="271"/>
      <c r="D81" s="271"/>
      <c r="E81" s="271"/>
      <c r="F81" s="271"/>
      <c r="G81" s="139">
        <f t="shared" si="18"/>
        <v>0</v>
      </c>
      <c r="H81" s="180">
        <f t="shared" si="19"/>
        <v>0</v>
      </c>
      <c r="I81" s="180">
        <f t="shared" si="20"/>
        <v>0</v>
      </c>
      <c r="J81" s="180">
        <f t="shared" si="21"/>
        <v>0</v>
      </c>
      <c r="K81" s="180">
        <f t="shared" si="22"/>
        <v>0</v>
      </c>
      <c r="L81" s="180">
        <f t="shared" si="23"/>
        <v>0</v>
      </c>
      <c r="M81" s="180">
        <f t="shared" si="24"/>
        <v>0</v>
      </c>
      <c r="N81" s="50" t="s">
        <v>826</v>
      </c>
      <c r="O81" s="50" t="str">
        <f t="shared" si="25"/>
        <v>ARGT/LOC/2026/143Arha General Trading Co (AGT)</v>
      </c>
      <c r="P81" s="139" t="str" cm="1">
        <f t="array" ref="P81:S81">_xlfn.XLOOKUP(O81,Table4[Concate],Table4[[Group/Legder]:[Sub Category]],,0)</f>
        <v>Ledger</v>
      </c>
      <c r="Q81" s="139" t="str">
        <v>PL</v>
      </c>
      <c r="R81" s="158" t="str">
        <v>Direct Expenses</v>
      </c>
      <c r="S81" s="139" t="str">
        <v>Freight &amp; forwarding Charges</v>
      </c>
      <c r="T81" s="139"/>
    </row>
    <row r="82" spans="1:20" ht="14.4">
      <c r="A82" s="323" t="s">
        <v>2454</v>
      </c>
      <c r="B82" s="271"/>
      <c r="C82" s="271"/>
      <c r="D82" s="271"/>
      <c r="E82" s="271"/>
      <c r="F82" s="271"/>
      <c r="G82" s="139">
        <f t="shared" si="18"/>
        <v>0</v>
      </c>
      <c r="H82" s="180">
        <f t="shared" si="19"/>
        <v>0</v>
      </c>
      <c r="I82" s="180">
        <f t="shared" si="20"/>
        <v>0</v>
      </c>
      <c r="J82" s="180">
        <f t="shared" si="21"/>
        <v>0</v>
      </c>
      <c r="K82" s="180">
        <f t="shared" si="22"/>
        <v>0</v>
      </c>
      <c r="L82" s="180">
        <f t="shared" si="23"/>
        <v>0</v>
      </c>
      <c r="M82" s="180">
        <f t="shared" si="24"/>
        <v>0</v>
      </c>
      <c r="N82" s="50" t="s">
        <v>826</v>
      </c>
      <c r="O82" s="50" t="str">
        <f t="shared" si="25"/>
        <v>ARGT/LOC/2026/205Arha General Trading Co (AGT)</v>
      </c>
      <c r="P82" s="139" t="str" cm="1">
        <f t="array" ref="P82:S82">_xlfn.XLOOKUP(O82,Table4[Concate],Table4[[Group/Legder]:[Sub Category]],,0)</f>
        <v>Ledger</v>
      </c>
      <c r="Q82" s="139" t="str">
        <v>PL</v>
      </c>
      <c r="R82" s="158" t="str">
        <v>Direct Expenses</v>
      </c>
      <c r="S82" s="139" t="str">
        <v>Freight &amp; forwarding Charges</v>
      </c>
      <c r="T82" s="139"/>
    </row>
    <row r="83" spans="1:20" ht="14.4">
      <c r="A83" s="323" t="s">
        <v>2547</v>
      </c>
      <c r="B83" s="271"/>
      <c r="C83" s="271"/>
      <c r="D83" s="271"/>
      <c r="E83" s="271"/>
      <c r="F83" s="271"/>
      <c r="G83" s="139">
        <f t="shared" si="18"/>
        <v>0</v>
      </c>
      <c r="H83" s="180">
        <f t="shared" si="19"/>
        <v>0</v>
      </c>
      <c r="I83" s="180">
        <f t="shared" si="20"/>
        <v>0</v>
      </c>
      <c r="J83" s="180">
        <f t="shared" si="21"/>
        <v>0</v>
      </c>
      <c r="K83" s="180">
        <f t="shared" si="22"/>
        <v>0</v>
      </c>
      <c r="L83" s="180">
        <f t="shared" si="23"/>
        <v>0</v>
      </c>
      <c r="M83" s="180">
        <f t="shared" si="24"/>
        <v>0</v>
      </c>
      <c r="N83" s="50" t="s">
        <v>826</v>
      </c>
      <c r="O83" s="50" t="str">
        <f t="shared" si="25"/>
        <v>ARGT/LOC/2026/222Arha General Trading Co (AGT)</v>
      </c>
      <c r="P83" s="139" t="str" cm="1">
        <f t="array" ref="P83:S83">_xlfn.XLOOKUP(O83,Table4[Concate],Table4[[Group/Legder]:[Sub Category]],,0)</f>
        <v>Ledger</v>
      </c>
      <c r="Q83" s="139" t="str">
        <v>PL</v>
      </c>
      <c r="R83" s="158" t="str">
        <v>Direct Expenses</v>
      </c>
      <c r="S83" s="139" t="str">
        <v>Freight &amp; forwarding Charges</v>
      </c>
      <c r="T83" s="139"/>
    </row>
    <row r="84" spans="1:20" ht="14.4">
      <c r="A84" s="323" t="s">
        <v>2455</v>
      </c>
      <c r="B84" s="271"/>
      <c r="C84" s="271"/>
      <c r="D84" s="271"/>
      <c r="E84" s="271"/>
      <c r="F84" s="271"/>
      <c r="G84" s="139">
        <f t="shared" si="18"/>
        <v>0</v>
      </c>
      <c r="H84" s="180">
        <f t="shared" si="19"/>
        <v>0</v>
      </c>
      <c r="I84" s="180">
        <f t="shared" si="20"/>
        <v>0</v>
      </c>
      <c r="J84" s="180">
        <f t="shared" si="21"/>
        <v>0</v>
      </c>
      <c r="K84" s="180">
        <f t="shared" si="22"/>
        <v>0</v>
      </c>
      <c r="L84" s="180">
        <f t="shared" si="23"/>
        <v>0</v>
      </c>
      <c r="M84" s="180">
        <f t="shared" si="24"/>
        <v>0</v>
      </c>
      <c r="N84" s="50" t="s">
        <v>826</v>
      </c>
      <c r="O84" s="50" t="str">
        <f t="shared" si="25"/>
        <v>ARGT/LOC/2026/230Arha General Trading Co (AGT)</v>
      </c>
      <c r="P84" s="139" t="str" cm="1">
        <f t="array" ref="P84:S84">_xlfn.XLOOKUP(O84,Table4[Concate],Table4[[Group/Legder]:[Sub Category]],,0)</f>
        <v>Ledger</v>
      </c>
      <c r="Q84" s="139" t="str">
        <v>PL</v>
      </c>
      <c r="R84" s="158" t="str">
        <v>Direct Expenses</v>
      </c>
      <c r="S84" s="139" t="str">
        <v>Freight &amp; forwarding Charges</v>
      </c>
      <c r="T84" s="139"/>
    </row>
    <row r="85" spans="1:20" ht="14.4">
      <c r="A85" s="323" t="s">
        <v>2456</v>
      </c>
      <c r="B85" s="271"/>
      <c r="C85" s="271"/>
      <c r="D85" s="271"/>
      <c r="E85" s="271"/>
      <c r="F85" s="271"/>
      <c r="G85" s="139">
        <f t="shared" si="18"/>
        <v>0</v>
      </c>
      <c r="H85" s="180">
        <f t="shared" si="19"/>
        <v>0</v>
      </c>
      <c r="I85" s="180">
        <f t="shared" si="20"/>
        <v>0</v>
      </c>
      <c r="J85" s="180">
        <f t="shared" si="21"/>
        <v>0</v>
      </c>
      <c r="K85" s="180">
        <f t="shared" si="22"/>
        <v>0</v>
      </c>
      <c r="L85" s="180">
        <f t="shared" si="23"/>
        <v>0</v>
      </c>
      <c r="M85" s="180">
        <f t="shared" si="24"/>
        <v>0</v>
      </c>
      <c r="N85" s="50" t="s">
        <v>826</v>
      </c>
      <c r="O85" s="50" t="str">
        <f t="shared" si="25"/>
        <v>ARGT/LOC/2026/241Arha General Trading Co (AGT)</v>
      </c>
      <c r="P85" s="139" t="str" cm="1">
        <f t="array" ref="P85:S85">_xlfn.XLOOKUP(O85,Table4[Concate],Table4[[Group/Legder]:[Sub Category]],,0)</f>
        <v>Ledger</v>
      </c>
      <c r="Q85" s="139" t="str">
        <v>PL</v>
      </c>
      <c r="R85" s="158" t="str">
        <v>Direct Expenses</v>
      </c>
      <c r="S85" s="139" t="str">
        <v>Freight &amp; forwarding Charges</v>
      </c>
      <c r="T85" s="139"/>
    </row>
    <row r="86" spans="1:20" ht="14.4">
      <c r="A86" s="323" t="s">
        <v>2548</v>
      </c>
      <c r="B86" s="271"/>
      <c r="C86" s="271"/>
      <c r="D86" s="271"/>
      <c r="E86" s="271"/>
      <c r="F86" s="271"/>
      <c r="G86" s="139">
        <f t="shared" si="18"/>
        <v>0</v>
      </c>
      <c r="H86" s="180">
        <f t="shared" si="19"/>
        <v>0</v>
      </c>
      <c r="I86" s="180">
        <f t="shared" si="20"/>
        <v>0</v>
      </c>
      <c r="J86" s="180">
        <f t="shared" si="21"/>
        <v>0</v>
      </c>
      <c r="K86" s="180">
        <f t="shared" si="22"/>
        <v>0</v>
      </c>
      <c r="L86" s="180">
        <f t="shared" si="23"/>
        <v>0</v>
      </c>
      <c r="M86" s="180">
        <f t="shared" si="24"/>
        <v>0</v>
      </c>
      <c r="N86" s="50" t="s">
        <v>826</v>
      </c>
      <c r="O86" s="50" t="str">
        <f t="shared" si="25"/>
        <v>ARGT/LOC/2026/250Arha General Trading Co (AGT)</v>
      </c>
      <c r="P86" s="139" t="str" cm="1">
        <f t="array" ref="P86:S86">_xlfn.XLOOKUP(O86,Table4[Concate],Table4[[Group/Legder]:[Sub Category]],,0)</f>
        <v>Ledger</v>
      </c>
      <c r="Q86" s="139" t="str">
        <v>PL</v>
      </c>
      <c r="R86" s="158" t="str">
        <v>Direct Expenses</v>
      </c>
      <c r="S86" s="139" t="str">
        <v>Freight &amp; forwarding Charges</v>
      </c>
      <c r="T86" s="139"/>
    </row>
    <row r="87" spans="1:20" ht="14.4">
      <c r="A87" s="323" t="s">
        <v>2457</v>
      </c>
      <c r="B87" s="271"/>
      <c r="C87" s="271"/>
      <c r="D87" s="271"/>
      <c r="E87" s="271"/>
      <c r="F87" s="271"/>
      <c r="G87" s="139">
        <f t="shared" si="18"/>
        <v>0</v>
      </c>
      <c r="H87" s="180">
        <f t="shared" si="19"/>
        <v>0</v>
      </c>
      <c r="I87" s="180">
        <f t="shared" si="20"/>
        <v>0</v>
      </c>
      <c r="J87" s="180">
        <f t="shared" si="21"/>
        <v>0</v>
      </c>
      <c r="K87" s="180">
        <f t="shared" si="22"/>
        <v>0</v>
      </c>
      <c r="L87" s="180">
        <f t="shared" si="23"/>
        <v>0</v>
      </c>
      <c r="M87" s="180">
        <f t="shared" si="24"/>
        <v>0</v>
      </c>
      <c r="N87" s="50" t="s">
        <v>826</v>
      </c>
      <c r="O87" s="50" t="str">
        <f t="shared" si="25"/>
        <v>ARGT/LOC/2026/259Arha General Trading Co (AGT)</v>
      </c>
      <c r="P87" s="139" t="str" cm="1">
        <f t="array" ref="P87:S87">_xlfn.XLOOKUP(O87,Table4[Concate],Table4[[Group/Legder]:[Sub Category]],,0)</f>
        <v>Ledger</v>
      </c>
      <c r="Q87" s="139" t="str">
        <v>PL</v>
      </c>
      <c r="R87" s="158" t="str">
        <v>Direct Expenses</v>
      </c>
      <c r="S87" s="139" t="str">
        <v>Freight &amp; forwarding Charges</v>
      </c>
      <c r="T87" s="139"/>
    </row>
    <row r="88" spans="1:20" ht="14.4">
      <c r="A88" s="323" t="s">
        <v>2549</v>
      </c>
      <c r="B88" s="271"/>
      <c r="C88" s="271"/>
      <c r="D88" s="271"/>
      <c r="E88" s="271"/>
      <c r="F88" s="271"/>
      <c r="G88" s="139">
        <f t="shared" si="18"/>
        <v>0</v>
      </c>
      <c r="H88" s="180">
        <f t="shared" si="19"/>
        <v>0</v>
      </c>
      <c r="I88" s="180">
        <f t="shared" si="20"/>
        <v>0</v>
      </c>
      <c r="J88" s="180">
        <f t="shared" si="21"/>
        <v>0</v>
      </c>
      <c r="K88" s="180">
        <f t="shared" si="22"/>
        <v>0</v>
      </c>
      <c r="L88" s="180">
        <f t="shared" si="23"/>
        <v>0</v>
      </c>
      <c r="M88" s="180">
        <f t="shared" si="24"/>
        <v>0</v>
      </c>
      <c r="N88" s="50" t="s">
        <v>826</v>
      </c>
      <c r="O88" s="50" t="str">
        <f t="shared" si="25"/>
        <v>ARGT/LOC/2026/266Arha General Trading Co (AGT)</v>
      </c>
      <c r="P88" s="139" t="str" cm="1">
        <f t="array" ref="P88:S88">_xlfn.XLOOKUP(O88,Table4[Concate],Table4[[Group/Legder]:[Sub Category]],,0)</f>
        <v>Ledger</v>
      </c>
      <c r="Q88" s="139" t="str">
        <v>PL</v>
      </c>
      <c r="R88" s="158" t="str">
        <v>Direct Expenses</v>
      </c>
      <c r="S88" s="139" t="str">
        <v>Freight &amp; forwarding Charges</v>
      </c>
      <c r="T88" s="139" t="s">
        <v>62</v>
      </c>
    </row>
    <row r="89" spans="1:20" ht="14.4">
      <c r="A89" s="323" t="s">
        <v>2550</v>
      </c>
      <c r="B89" s="271"/>
      <c r="C89" s="271"/>
      <c r="D89" s="271"/>
      <c r="E89" s="271"/>
      <c r="F89" s="271"/>
      <c r="G89" s="139">
        <f t="shared" si="18"/>
        <v>0</v>
      </c>
      <c r="H89" s="180">
        <f t="shared" si="19"/>
        <v>0</v>
      </c>
      <c r="I89" s="180">
        <f t="shared" si="20"/>
        <v>0</v>
      </c>
      <c r="J89" s="180">
        <f t="shared" si="21"/>
        <v>0</v>
      </c>
      <c r="K89" s="180">
        <f t="shared" si="22"/>
        <v>0</v>
      </c>
      <c r="L89" s="180">
        <f t="shared" si="23"/>
        <v>0</v>
      </c>
      <c r="M89" s="180">
        <f t="shared" si="24"/>
        <v>0</v>
      </c>
      <c r="N89" s="50" t="s">
        <v>826</v>
      </c>
      <c r="O89" s="50" t="str">
        <f t="shared" si="25"/>
        <v>ARGT/LOC/2026/268Arha General Trading Co (AGT)</v>
      </c>
      <c r="P89" s="139" t="str" cm="1">
        <f t="array" ref="P89:S89">_xlfn.XLOOKUP(O89,Table4[Concate],Table4[[Group/Legder]:[Sub Category]],,0)</f>
        <v>Ledger</v>
      </c>
      <c r="Q89" s="139" t="str">
        <v>PL</v>
      </c>
      <c r="R89" s="158" t="str">
        <v>Direct Expenses</v>
      </c>
      <c r="S89" s="139" t="str">
        <v>Freight &amp; forwarding Charges</v>
      </c>
      <c r="T89" s="139"/>
    </row>
    <row r="90" spans="1:20" ht="14.4">
      <c r="A90" s="323" t="s">
        <v>2458</v>
      </c>
      <c r="B90" s="271"/>
      <c r="C90" s="271"/>
      <c r="D90" s="271"/>
      <c r="E90" s="271"/>
      <c r="F90" s="271"/>
      <c r="G90" s="139">
        <f t="shared" si="18"/>
        <v>0</v>
      </c>
      <c r="H90" s="180">
        <f t="shared" si="19"/>
        <v>0</v>
      </c>
      <c r="I90" s="180">
        <f t="shared" si="20"/>
        <v>0</v>
      </c>
      <c r="J90" s="180">
        <f t="shared" si="21"/>
        <v>0</v>
      </c>
      <c r="K90" s="180">
        <f t="shared" si="22"/>
        <v>0</v>
      </c>
      <c r="L90" s="180">
        <f t="shared" si="23"/>
        <v>0</v>
      </c>
      <c r="M90" s="180">
        <f t="shared" si="24"/>
        <v>0</v>
      </c>
      <c r="N90" s="50" t="s">
        <v>826</v>
      </c>
      <c r="O90" s="50" t="str">
        <f t="shared" si="25"/>
        <v>ARGT/LOC/2026/274Arha General Trading Co (AGT)</v>
      </c>
      <c r="P90" s="139" t="str" cm="1">
        <f t="array" ref="P90:S90">_xlfn.XLOOKUP(O90,Table4[Concate],Table4[[Group/Legder]:[Sub Category]],,0)</f>
        <v>Ledger</v>
      </c>
      <c r="Q90" s="139" t="str">
        <v>PL</v>
      </c>
      <c r="R90" s="158" t="str">
        <v>Direct Expenses</v>
      </c>
      <c r="S90" s="139" t="str">
        <v>Freight &amp; forwarding Charges</v>
      </c>
      <c r="T90" s="139"/>
    </row>
    <row r="91" spans="1:20" ht="14.4">
      <c r="A91" s="323" t="s">
        <v>2459</v>
      </c>
      <c r="B91" s="271"/>
      <c r="C91" s="271"/>
      <c r="D91" s="271"/>
      <c r="E91" s="271"/>
      <c r="F91" s="271"/>
      <c r="G91" s="139">
        <f t="shared" si="18"/>
        <v>0</v>
      </c>
      <c r="H91" s="180">
        <f t="shared" si="19"/>
        <v>0</v>
      </c>
      <c r="I91" s="180">
        <f t="shared" si="20"/>
        <v>0</v>
      </c>
      <c r="J91" s="180">
        <f t="shared" si="21"/>
        <v>0</v>
      </c>
      <c r="K91" s="180">
        <f t="shared" si="22"/>
        <v>0</v>
      </c>
      <c r="L91" s="180">
        <f t="shared" si="23"/>
        <v>0</v>
      </c>
      <c r="M91" s="180">
        <f t="shared" si="24"/>
        <v>0</v>
      </c>
      <c r="N91" s="50" t="s">
        <v>826</v>
      </c>
      <c r="O91" s="50" t="str">
        <f t="shared" si="25"/>
        <v>ARGT/LOC/2026/275Arha General Trading Co (AGT)</v>
      </c>
      <c r="P91" s="139" t="str" cm="1">
        <f t="array" ref="P91:S91">_xlfn.XLOOKUP(O91,Table4[Concate],Table4[[Group/Legder]:[Sub Category]],,0)</f>
        <v>Ledger</v>
      </c>
      <c r="Q91" s="139" t="str">
        <v>PL</v>
      </c>
      <c r="R91" s="158" t="str">
        <v>Direct Expenses</v>
      </c>
      <c r="S91" s="139" t="str">
        <v>Freight &amp; forwarding Charges</v>
      </c>
      <c r="T91" s="139"/>
    </row>
    <row r="92" spans="1:20" ht="14.4">
      <c r="A92" s="323" t="s">
        <v>2460</v>
      </c>
      <c r="B92" s="271"/>
      <c r="C92" s="271"/>
      <c r="D92" s="271"/>
      <c r="E92" s="271"/>
      <c r="F92" s="271"/>
      <c r="G92" s="139">
        <f t="shared" si="18"/>
        <v>0</v>
      </c>
      <c r="H92" s="180">
        <f t="shared" si="19"/>
        <v>0</v>
      </c>
      <c r="I92" s="180">
        <f t="shared" si="20"/>
        <v>0</v>
      </c>
      <c r="J92" s="180">
        <f t="shared" si="21"/>
        <v>0</v>
      </c>
      <c r="K92" s="180">
        <f t="shared" si="22"/>
        <v>0</v>
      </c>
      <c r="L92" s="180">
        <f t="shared" si="23"/>
        <v>0</v>
      </c>
      <c r="M92" s="180">
        <f t="shared" si="24"/>
        <v>0</v>
      </c>
      <c r="N92" s="50" t="s">
        <v>826</v>
      </c>
      <c r="O92" s="50" t="str">
        <f t="shared" si="25"/>
        <v>ARGT/LOC/2026/276Arha General Trading Co (AGT)</v>
      </c>
      <c r="P92" s="139" t="str" cm="1">
        <f t="array" ref="P92:S92">_xlfn.XLOOKUP(O92,Table4[Concate],Table4[[Group/Legder]:[Sub Category]],,0)</f>
        <v>Ledger</v>
      </c>
      <c r="Q92" s="139" t="str">
        <v>PL</v>
      </c>
      <c r="R92" s="158" t="str">
        <v>Direct Expenses</v>
      </c>
      <c r="S92" s="139" t="str">
        <v>Freight &amp; forwarding Charges</v>
      </c>
      <c r="T92" s="139"/>
    </row>
    <row r="93" spans="1:20" ht="14.4">
      <c r="A93" s="323" t="s">
        <v>2461</v>
      </c>
      <c r="B93" s="271"/>
      <c r="C93" s="271"/>
      <c r="D93" s="271"/>
      <c r="E93" s="271"/>
      <c r="F93" s="271"/>
      <c r="G93" s="139">
        <f t="shared" si="18"/>
        <v>0</v>
      </c>
      <c r="H93" s="180">
        <f t="shared" si="19"/>
        <v>0</v>
      </c>
      <c r="I93" s="180">
        <f t="shared" si="20"/>
        <v>0</v>
      </c>
      <c r="J93" s="180">
        <f t="shared" si="21"/>
        <v>0</v>
      </c>
      <c r="K93" s="180">
        <f t="shared" si="22"/>
        <v>0</v>
      </c>
      <c r="L93" s="180">
        <f t="shared" si="23"/>
        <v>0</v>
      </c>
      <c r="M93" s="180">
        <f t="shared" si="24"/>
        <v>0</v>
      </c>
      <c r="N93" s="50" t="s">
        <v>826</v>
      </c>
      <c r="O93" s="50" t="str">
        <f t="shared" si="25"/>
        <v>ARGT/LOC/2026/283AArha General Trading Co (AGT)</v>
      </c>
      <c r="P93" s="139" t="str" cm="1">
        <f t="array" ref="P93:S93">_xlfn.XLOOKUP(O93,Table4[Concate],Table4[[Group/Legder]:[Sub Category]],,0)</f>
        <v>Ledger</v>
      </c>
      <c r="Q93" s="139" t="str">
        <v>PL</v>
      </c>
      <c r="R93" s="158" t="str">
        <v>Direct Expenses</v>
      </c>
      <c r="S93" s="139" t="str">
        <v>Freight &amp; forwarding Charges</v>
      </c>
      <c r="T93" s="139"/>
    </row>
    <row r="94" spans="1:20" ht="14.4">
      <c r="A94" s="323" t="s">
        <v>2462</v>
      </c>
      <c r="B94" s="271"/>
      <c r="C94" s="271"/>
      <c r="D94" s="271"/>
      <c r="E94" s="271"/>
      <c r="F94" s="271"/>
      <c r="G94" s="139">
        <f t="shared" si="18"/>
        <v>0</v>
      </c>
      <c r="H94" s="180">
        <f t="shared" si="19"/>
        <v>0</v>
      </c>
      <c r="I94" s="180">
        <f t="shared" si="20"/>
        <v>0</v>
      </c>
      <c r="J94" s="180">
        <f t="shared" si="21"/>
        <v>0</v>
      </c>
      <c r="K94" s="180">
        <f t="shared" si="22"/>
        <v>0</v>
      </c>
      <c r="L94" s="180">
        <f t="shared" si="23"/>
        <v>0</v>
      </c>
      <c r="M94" s="180">
        <f t="shared" si="24"/>
        <v>0</v>
      </c>
      <c r="N94" s="50" t="s">
        <v>826</v>
      </c>
      <c r="O94" s="50" t="str">
        <f t="shared" si="25"/>
        <v>ARGT/LOC/2026/284Arha General Trading Co (AGT)</v>
      </c>
      <c r="P94" s="139" t="str" cm="1">
        <f t="array" ref="P94:S94">_xlfn.XLOOKUP(O94,Table4[Concate],Table4[[Group/Legder]:[Sub Category]],,0)</f>
        <v>Ledger</v>
      </c>
      <c r="Q94" s="139" t="str">
        <v>PL</v>
      </c>
      <c r="R94" s="158" t="str">
        <v>Direct Expenses</v>
      </c>
      <c r="S94" s="139" t="str">
        <v>Freight &amp; forwarding Charges</v>
      </c>
      <c r="T94" s="139"/>
    </row>
    <row r="95" spans="1:20" ht="14.4">
      <c r="A95" s="323" t="s">
        <v>2551</v>
      </c>
      <c r="B95" s="271"/>
      <c r="C95" s="271"/>
      <c r="D95" s="271"/>
      <c r="E95" s="271"/>
      <c r="F95" s="271"/>
      <c r="G95" s="139">
        <f t="shared" si="18"/>
        <v>0</v>
      </c>
      <c r="H95" s="180">
        <f t="shared" si="19"/>
        <v>0</v>
      </c>
      <c r="I95" s="180">
        <f t="shared" si="20"/>
        <v>0</v>
      </c>
      <c r="J95" s="180">
        <f t="shared" si="21"/>
        <v>0</v>
      </c>
      <c r="K95" s="180">
        <f t="shared" si="22"/>
        <v>0</v>
      </c>
      <c r="L95" s="180">
        <f t="shared" si="23"/>
        <v>0</v>
      </c>
      <c r="M95" s="180">
        <f t="shared" si="24"/>
        <v>0</v>
      </c>
      <c r="N95" s="50" t="s">
        <v>826</v>
      </c>
      <c r="O95" s="50" t="str">
        <f t="shared" si="25"/>
        <v>ARGT/LOC/2026/287Arha General Trading Co (AGT)</v>
      </c>
      <c r="P95" s="139" t="str" cm="1">
        <f t="array" ref="P95:S95">_xlfn.XLOOKUP(O95,Table4[Concate],Table4[[Group/Legder]:[Sub Category]],,0)</f>
        <v>Ledger</v>
      </c>
      <c r="Q95" s="139" t="str">
        <v>PL</v>
      </c>
      <c r="R95" s="158" t="str">
        <v>Direct Expenses</v>
      </c>
      <c r="S95" s="139" t="str">
        <v>Freight &amp; forwarding Charges</v>
      </c>
      <c r="T95" s="139"/>
    </row>
    <row r="96" spans="1:20" ht="14.4">
      <c r="A96" s="323" t="s">
        <v>2552</v>
      </c>
      <c r="B96" s="271"/>
      <c r="C96" s="271"/>
      <c r="D96" s="271"/>
      <c r="E96" s="271"/>
      <c r="F96" s="271"/>
      <c r="G96" s="139">
        <f t="shared" si="18"/>
        <v>0</v>
      </c>
      <c r="H96" s="180">
        <f t="shared" si="19"/>
        <v>0</v>
      </c>
      <c r="I96" s="180">
        <f t="shared" si="20"/>
        <v>0</v>
      </c>
      <c r="J96" s="180">
        <f t="shared" si="21"/>
        <v>0</v>
      </c>
      <c r="K96" s="180">
        <f t="shared" si="22"/>
        <v>0</v>
      </c>
      <c r="L96" s="180">
        <f t="shared" si="23"/>
        <v>0</v>
      </c>
      <c r="M96" s="180">
        <f t="shared" si="24"/>
        <v>0</v>
      </c>
      <c r="N96" s="50" t="s">
        <v>826</v>
      </c>
      <c r="O96" s="50" t="str">
        <f t="shared" si="25"/>
        <v>ARGT/LOC/2026/289Arha General Trading Co (AGT)</v>
      </c>
      <c r="P96" s="139" t="str" cm="1">
        <f t="array" ref="P96:S96">_xlfn.XLOOKUP(O96,Table4[Concate],Table4[[Group/Legder]:[Sub Category]],,0)</f>
        <v>Ledger</v>
      </c>
      <c r="Q96" s="139" t="str">
        <v>PL</v>
      </c>
      <c r="R96" s="158" t="str">
        <v>Direct Expenses</v>
      </c>
      <c r="S96" s="139" t="str">
        <v>Freight &amp; forwarding Charges</v>
      </c>
      <c r="T96" s="139"/>
    </row>
    <row r="97" spans="1:20" ht="14.4">
      <c r="A97" s="323" t="s">
        <v>2463</v>
      </c>
      <c r="B97" s="271"/>
      <c r="C97" s="271"/>
      <c r="D97" s="271"/>
      <c r="E97" s="271"/>
      <c r="F97" s="271"/>
      <c r="G97" s="139">
        <f t="shared" si="18"/>
        <v>0</v>
      </c>
      <c r="H97" s="180">
        <f t="shared" si="19"/>
        <v>0</v>
      </c>
      <c r="I97" s="180">
        <f t="shared" si="20"/>
        <v>0</v>
      </c>
      <c r="J97" s="180">
        <f t="shared" si="21"/>
        <v>0</v>
      </c>
      <c r="K97" s="180">
        <f t="shared" si="22"/>
        <v>0</v>
      </c>
      <c r="L97" s="180">
        <f t="shared" si="23"/>
        <v>0</v>
      </c>
      <c r="M97" s="180">
        <f t="shared" si="24"/>
        <v>0</v>
      </c>
      <c r="N97" s="50" t="s">
        <v>826</v>
      </c>
      <c r="O97" s="50" t="str">
        <f t="shared" si="25"/>
        <v>ARGT/LOC/2026/293Arha General Trading Co (AGT)</v>
      </c>
      <c r="P97" s="139" t="str" cm="1">
        <f t="array" ref="P97:S97">_xlfn.XLOOKUP(O97,Table4[Concate],Table4[[Group/Legder]:[Sub Category]],,0)</f>
        <v>Ledger</v>
      </c>
      <c r="Q97" s="139" t="str">
        <v>PL</v>
      </c>
      <c r="R97" s="158" t="str">
        <v>Direct Expenses</v>
      </c>
      <c r="S97" s="139" t="str">
        <v>Freight &amp; forwarding Charges</v>
      </c>
      <c r="T97" s="139"/>
    </row>
    <row r="98" spans="1:20" ht="14.4">
      <c r="A98" s="323" t="s">
        <v>2553</v>
      </c>
      <c r="B98" s="271"/>
      <c r="C98" s="271"/>
      <c r="D98" s="271"/>
      <c r="E98" s="271"/>
      <c r="F98" s="271"/>
      <c r="G98" s="139">
        <f t="shared" si="18"/>
        <v>0</v>
      </c>
      <c r="H98" s="180">
        <f t="shared" si="19"/>
        <v>0</v>
      </c>
      <c r="I98" s="180">
        <f t="shared" si="20"/>
        <v>0</v>
      </c>
      <c r="J98" s="180">
        <f t="shared" si="21"/>
        <v>0</v>
      </c>
      <c r="K98" s="180">
        <f t="shared" si="22"/>
        <v>0</v>
      </c>
      <c r="L98" s="180">
        <f t="shared" si="23"/>
        <v>0</v>
      </c>
      <c r="M98" s="180">
        <f t="shared" si="24"/>
        <v>0</v>
      </c>
      <c r="N98" s="50" t="s">
        <v>826</v>
      </c>
      <c r="O98" s="50" t="str">
        <f t="shared" si="25"/>
        <v>ARGT/LOC/2026/296Arha General Trading Co (AGT)</v>
      </c>
      <c r="P98" s="139" t="str" cm="1">
        <f t="array" ref="P98:S98">_xlfn.XLOOKUP(O98,Table4[Concate],Table4[[Group/Legder]:[Sub Category]],,0)</f>
        <v>Ledger</v>
      </c>
      <c r="Q98" s="139" t="str">
        <v>PL</v>
      </c>
      <c r="R98" s="158" t="str">
        <v>Direct Expenses</v>
      </c>
      <c r="S98" s="139" t="str">
        <v>Freight &amp; forwarding Charges</v>
      </c>
      <c r="T98" s="139"/>
    </row>
    <row r="99" spans="1:20" ht="14.4">
      <c r="A99" s="323" t="s">
        <v>2464</v>
      </c>
      <c r="B99" s="271"/>
      <c r="C99" s="271"/>
      <c r="D99" s="271"/>
      <c r="E99" s="271"/>
      <c r="F99" s="271"/>
      <c r="G99" s="139">
        <f t="shared" si="18"/>
        <v>0</v>
      </c>
      <c r="H99" s="180">
        <f t="shared" si="19"/>
        <v>0</v>
      </c>
      <c r="I99" s="180">
        <f t="shared" si="20"/>
        <v>0</v>
      </c>
      <c r="J99" s="180">
        <f t="shared" si="21"/>
        <v>0</v>
      </c>
      <c r="K99" s="180">
        <f t="shared" si="22"/>
        <v>0</v>
      </c>
      <c r="L99" s="180">
        <f t="shared" si="23"/>
        <v>0</v>
      </c>
      <c r="M99" s="180">
        <f t="shared" si="24"/>
        <v>0</v>
      </c>
      <c r="N99" s="50" t="s">
        <v>826</v>
      </c>
      <c r="O99" s="50" t="str">
        <f t="shared" si="25"/>
        <v>ARGT/LOC/2026/304Arha General Trading Co (AGT)</v>
      </c>
      <c r="P99" s="139" t="str" cm="1">
        <f t="array" ref="P99:S99">_xlfn.XLOOKUP(O99,Table4[Concate],Table4[[Group/Legder]:[Sub Category]],,0)</f>
        <v>Ledger</v>
      </c>
      <c r="Q99" s="139" t="str">
        <v>PL</v>
      </c>
      <c r="R99" s="158" t="str">
        <v>Direct Expenses</v>
      </c>
      <c r="S99" s="139" t="str">
        <v>Freight &amp; forwarding Charges</v>
      </c>
      <c r="T99" s="139"/>
    </row>
    <row r="100" spans="1:20" ht="14.4">
      <c r="A100" s="323" t="s">
        <v>2554</v>
      </c>
      <c r="B100" s="271"/>
      <c r="C100" s="271"/>
      <c r="D100" s="271"/>
      <c r="E100" s="271"/>
      <c r="F100" s="271"/>
      <c r="G100" s="139">
        <f t="shared" si="18"/>
        <v>0</v>
      </c>
      <c r="H100" s="180">
        <f t="shared" si="19"/>
        <v>0</v>
      </c>
      <c r="I100" s="180">
        <f t="shared" si="20"/>
        <v>0</v>
      </c>
      <c r="J100" s="180">
        <f t="shared" si="21"/>
        <v>0</v>
      </c>
      <c r="K100" s="180">
        <f t="shared" si="22"/>
        <v>0</v>
      </c>
      <c r="L100" s="180">
        <f t="shared" si="23"/>
        <v>0</v>
      </c>
      <c r="M100" s="180">
        <f t="shared" si="24"/>
        <v>0</v>
      </c>
      <c r="N100" s="50" t="s">
        <v>826</v>
      </c>
      <c r="O100" s="50" t="str">
        <f t="shared" si="25"/>
        <v>ARGT/LOC/2026/309Arha General Trading Co (AGT)</v>
      </c>
      <c r="P100" s="139" t="str" cm="1">
        <f t="array" ref="P100:S100">_xlfn.XLOOKUP(O100,Table4[Concate],Table4[[Group/Legder]:[Sub Category]],,0)</f>
        <v>Ledger</v>
      </c>
      <c r="Q100" s="139" t="str">
        <v>PL</v>
      </c>
      <c r="R100" s="158" t="str">
        <v>Direct Expenses</v>
      </c>
      <c r="S100" s="139" t="str">
        <v>Freight &amp; forwarding Charges</v>
      </c>
      <c r="T100" s="139"/>
    </row>
    <row r="101" spans="1:20" ht="14.4">
      <c r="A101" s="323" t="s">
        <v>2555</v>
      </c>
      <c r="B101" s="271"/>
      <c r="C101" s="271"/>
      <c r="D101" s="271"/>
      <c r="E101" s="271"/>
      <c r="F101" s="271"/>
      <c r="G101" s="139">
        <f t="shared" si="18"/>
        <v>0</v>
      </c>
      <c r="H101" s="180">
        <f t="shared" si="19"/>
        <v>0</v>
      </c>
      <c r="I101" s="180">
        <f t="shared" si="20"/>
        <v>0</v>
      </c>
      <c r="J101" s="180">
        <f t="shared" si="21"/>
        <v>0</v>
      </c>
      <c r="K101" s="180">
        <f t="shared" si="22"/>
        <v>0</v>
      </c>
      <c r="L101" s="180">
        <f t="shared" si="23"/>
        <v>0</v>
      </c>
      <c r="M101" s="180">
        <f t="shared" si="24"/>
        <v>0</v>
      </c>
      <c r="N101" s="50" t="s">
        <v>826</v>
      </c>
      <c r="O101" s="50" t="str">
        <f t="shared" si="25"/>
        <v>ARGT/LOC/2026/310Arha General Trading Co (AGT)</v>
      </c>
      <c r="P101" s="139" t="str" cm="1">
        <f t="array" ref="P101:S101">_xlfn.XLOOKUP(O101,Table4[Concate],Table4[[Group/Legder]:[Sub Category]],,0)</f>
        <v>Ledger</v>
      </c>
      <c r="Q101" s="139" t="str">
        <v>PL</v>
      </c>
      <c r="R101" s="158" t="str">
        <v>Direct Expenses</v>
      </c>
      <c r="S101" s="139" t="str">
        <v>Freight &amp; forwarding Charges</v>
      </c>
      <c r="T101" s="139"/>
    </row>
    <row r="102" spans="1:20" ht="14.4">
      <c r="A102" s="323" t="s">
        <v>2556</v>
      </c>
      <c r="B102" s="271"/>
      <c r="C102" s="271"/>
      <c r="D102" s="271"/>
      <c r="E102" s="271"/>
      <c r="F102" s="271"/>
      <c r="G102" s="139">
        <f t="shared" si="18"/>
        <v>0</v>
      </c>
      <c r="H102" s="180">
        <f t="shared" si="19"/>
        <v>0</v>
      </c>
      <c r="I102" s="180">
        <f t="shared" si="20"/>
        <v>0</v>
      </c>
      <c r="J102" s="180">
        <f t="shared" si="21"/>
        <v>0</v>
      </c>
      <c r="K102" s="180">
        <f t="shared" si="22"/>
        <v>0</v>
      </c>
      <c r="L102" s="180">
        <f t="shared" si="23"/>
        <v>0</v>
      </c>
      <c r="M102" s="180">
        <f t="shared" si="24"/>
        <v>0</v>
      </c>
      <c r="N102" s="50" t="s">
        <v>826</v>
      </c>
      <c r="O102" s="50" t="str">
        <f t="shared" si="25"/>
        <v>ARGT/LOC/2026/321Arha General Trading Co (AGT)</v>
      </c>
      <c r="P102" s="139" t="str" cm="1">
        <f t="array" ref="P102:S102">_xlfn.XLOOKUP(O102,Table4[Concate],Table4[[Group/Legder]:[Sub Category]],,0)</f>
        <v>Ledger</v>
      </c>
      <c r="Q102" s="139" t="str">
        <v>PL</v>
      </c>
      <c r="R102" s="158" t="str">
        <v>Direct Expenses</v>
      </c>
      <c r="S102" s="139" t="str">
        <v>Freight &amp; forwarding Charges</v>
      </c>
      <c r="T102" s="139"/>
    </row>
    <row r="103" spans="1:20" ht="14.4">
      <c r="A103" s="323" t="s">
        <v>2557</v>
      </c>
      <c r="B103" s="271"/>
      <c r="C103" s="271"/>
      <c r="D103" s="271"/>
      <c r="E103" s="271"/>
      <c r="F103" s="271"/>
      <c r="G103" s="139">
        <f t="shared" si="18"/>
        <v>0</v>
      </c>
      <c r="H103" s="180">
        <f t="shared" si="19"/>
        <v>0</v>
      </c>
      <c r="I103" s="180">
        <f t="shared" si="20"/>
        <v>0</v>
      </c>
      <c r="J103" s="180">
        <f t="shared" si="21"/>
        <v>0</v>
      </c>
      <c r="K103" s="180">
        <f t="shared" si="22"/>
        <v>0</v>
      </c>
      <c r="L103" s="180">
        <f t="shared" si="23"/>
        <v>0</v>
      </c>
      <c r="M103" s="180">
        <f t="shared" si="24"/>
        <v>0</v>
      </c>
      <c r="N103" s="50" t="s">
        <v>826</v>
      </c>
      <c r="O103" s="50" t="str">
        <f t="shared" si="25"/>
        <v>ARGT/LOC/2026/326Arha General Trading Co (AGT)</v>
      </c>
      <c r="P103" s="139" t="str" cm="1">
        <f t="array" ref="P103:S103">_xlfn.XLOOKUP(O103,Table4[Concate],Table4[[Group/Legder]:[Sub Category]],,0)</f>
        <v>Ledger</v>
      </c>
      <c r="Q103" s="139" t="str">
        <v>PL</v>
      </c>
      <c r="R103" s="158" t="str">
        <v>Direct Expenses</v>
      </c>
      <c r="S103" s="139" t="str">
        <v>Freight &amp; forwarding Charges</v>
      </c>
      <c r="T103" s="139"/>
    </row>
    <row r="104" spans="1:20" ht="14.4">
      <c r="A104" s="323" t="s">
        <v>2558</v>
      </c>
      <c r="B104" s="271"/>
      <c r="C104" s="271"/>
      <c r="D104" s="271"/>
      <c r="E104" s="271"/>
      <c r="F104" s="271"/>
      <c r="G104" s="139">
        <f t="shared" si="18"/>
        <v>0</v>
      </c>
      <c r="H104" s="180">
        <f t="shared" si="19"/>
        <v>0</v>
      </c>
      <c r="I104" s="180">
        <f t="shared" si="20"/>
        <v>0</v>
      </c>
      <c r="J104" s="180">
        <f t="shared" si="21"/>
        <v>0</v>
      </c>
      <c r="K104" s="180">
        <f t="shared" si="22"/>
        <v>0</v>
      </c>
      <c r="L104" s="180">
        <f t="shared" si="23"/>
        <v>0</v>
      </c>
      <c r="M104" s="180">
        <f t="shared" si="24"/>
        <v>0</v>
      </c>
      <c r="N104" s="50" t="s">
        <v>826</v>
      </c>
      <c r="O104" s="50" t="str">
        <f t="shared" si="25"/>
        <v>ARGT/LOC/2026/340Arha General Trading Co (AGT)</v>
      </c>
      <c r="P104" s="139" t="str" cm="1">
        <f t="array" ref="P104:S104">_xlfn.XLOOKUP(O104,Table4[Concate],Table4[[Group/Legder]:[Sub Category]],,0)</f>
        <v>Ledger</v>
      </c>
      <c r="Q104" s="139" t="str">
        <v>PL</v>
      </c>
      <c r="R104" s="158" t="str">
        <v>Direct Expenses</v>
      </c>
      <c r="S104" s="139" t="str">
        <v>Freight &amp; forwarding Charges</v>
      </c>
      <c r="T104" s="139"/>
    </row>
    <row r="105" spans="1:20" ht="14.4">
      <c r="A105" s="323" t="s">
        <v>2559</v>
      </c>
      <c r="B105" s="271"/>
      <c r="C105" s="271"/>
      <c r="D105" s="271"/>
      <c r="E105" s="271"/>
      <c r="F105" s="271"/>
      <c r="G105" s="139">
        <f t="shared" si="18"/>
        <v>0</v>
      </c>
      <c r="H105" s="180">
        <f t="shared" si="19"/>
        <v>0</v>
      </c>
      <c r="I105" s="180">
        <f t="shared" si="20"/>
        <v>0</v>
      </c>
      <c r="J105" s="180">
        <f t="shared" si="21"/>
        <v>0</v>
      </c>
      <c r="K105" s="180">
        <f t="shared" si="22"/>
        <v>0</v>
      </c>
      <c r="L105" s="180">
        <f t="shared" si="23"/>
        <v>0</v>
      </c>
      <c r="M105" s="180">
        <f t="shared" si="24"/>
        <v>0</v>
      </c>
      <c r="N105" s="50" t="s">
        <v>826</v>
      </c>
      <c r="O105" s="50" t="str">
        <f t="shared" si="25"/>
        <v>ARGT/LOC/2026/343Arha General Trading Co (AGT)</v>
      </c>
      <c r="P105" s="139" t="str" cm="1">
        <f t="array" ref="P105:S105">_xlfn.XLOOKUP(O105,Table4[Concate],Table4[[Group/Legder]:[Sub Category]],,0)</f>
        <v>Ledger</v>
      </c>
      <c r="Q105" s="139" t="str">
        <v>PL</v>
      </c>
      <c r="R105" s="158" t="str">
        <v>Direct Expenses</v>
      </c>
      <c r="S105" s="139" t="str">
        <v>Freight &amp; forwarding Charges</v>
      </c>
      <c r="T105" s="139"/>
    </row>
    <row r="106" spans="1:20" ht="14.4">
      <c r="A106" s="323" t="s">
        <v>2560</v>
      </c>
      <c r="B106" s="271"/>
      <c r="C106" s="271"/>
      <c r="D106" s="271"/>
      <c r="E106" s="271"/>
      <c r="F106" s="271"/>
      <c r="G106" s="139">
        <f t="shared" si="18"/>
        <v>0</v>
      </c>
      <c r="H106" s="180">
        <f t="shared" si="19"/>
        <v>0</v>
      </c>
      <c r="I106" s="180">
        <f t="shared" si="20"/>
        <v>0</v>
      </c>
      <c r="J106" s="180">
        <f t="shared" si="21"/>
        <v>0</v>
      </c>
      <c r="K106" s="180">
        <f t="shared" si="22"/>
        <v>0</v>
      </c>
      <c r="L106" s="180">
        <f t="shared" si="23"/>
        <v>0</v>
      </c>
      <c r="M106" s="180">
        <f t="shared" si="24"/>
        <v>0</v>
      </c>
      <c r="N106" s="50" t="s">
        <v>826</v>
      </c>
      <c r="O106" s="50" t="str">
        <f t="shared" si="25"/>
        <v>ARGT/LOC/2026/345Arha General Trading Co (AGT)</v>
      </c>
      <c r="P106" s="139" t="str" cm="1">
        <f t="array" ref="P106:S106">_xlfn.XLOOKUP(O106,Table4[Concate],Table4[[Group/Legder]:[Sub Category]],,0)</f>
        <v>Ledger</v>
      </c>
      <c r="Q106" s="139" t="str">
        <v>PL</v>
      </c>
      <c r="R106" s="158" t="str">
        <v>Direct Expenses</v>
      </c>
      <c r="S106" s="139" t="str">
        <v>Freight &amp; forwarding Charges</v>
      </c>
      <c r="T106" s="139"/>
    </row>
    <row r="107" spans="1:20" ht="14.4">
      <c r="A107" s="323" t="s">
        <v>2561</v>
      </c>
      <c r="B107" s="271"/>
      <c r="C107" s="271"/>
      <c r="D107" s="271"/>
      <c r="E107" s="271"/>
      <c r="F107" s="271"/>
      <c r="G107" s="139">
        <f t="shared" si="18"/>
        <v>0</v>
      </c>
      <c r="H107" s="180">
        <f t="shared" si="19"/>
        <v>0</v>
      </c>
      <c r="I107" s="180">
        <f t="shared" si="20"/>
        <v>0</v>
      </c>
      <c r="J107" s="180">
        <f t="shared" si="21"/>
        <v>0</v>
      </c>
      <c r="K107" s="180">
        <f t="shared" si="22"/>
        <v>0</v>
      </c>
      <c r="L107" s="180">
        <f t="shared" si="23"/>
        <v>0</v>
      </c>
      <c r="M107" s="180">
        <f t="shared" si="24"/>
        <v>0</v>
      </c>
      <c r="N107" s="50" t="s">
        <v>826</v>
      </c>
      <c r="O107" s="50" t="str">
        <f t="shared" si="25"/>
        <v>ARGT/LOC/2026/347Arha General Trading Co (AGT)</v>
      </c>
      <c r="P107" s="139" t="str" cm="1">
        <f t="array" ref="P107:S107">_xlfn.XLOOKUP(O107,Table4[Concate],Table4[[Group/Legder]:[Sub Category]],,0)</f>
        <v>Ledger</v>
      </c>
      <c r="Q107" s="139" t="str">
        <v>PL</v>
      </c>
      <c r="R107" s="158" t="str">
        <v>Direct Expenses</v>
      </c>
      <c r="S107" s="139" t="str">
        <v>Freight &amp; forwarding Charges</v>
      </c>
      <c r="T107" s="139"/>
    </row>
    <row r="108" spans="1:20" ht="14.4">
      <c r="A108" s="323" t="s">
        <v>2562</v>
      </c>
      <c r="B108" s="271"/>
      <c r="C108" s="271"/>
      <c r="D108" s="271"/>
      <c r="E108" s="271"/>
      <c r="F108" s="271"/>
      <c r="G108" s="139">
        <f t="shared" si="18"/>
        <v>0</v>
      </c>
      <c r="H108" s="180">
        <f t="shared" si="19"/>
        <v>0</v>
      </c>
      <c r="I108" s="180">
        <f t="shared" si="20"/>
        <v>0</v>
      </c>
      <c r="J108" s="180">
        <f t="shared" si="21"/>
        <v>0</v>
      </c>
      <c r="K108" s="180">
        <f t="shared" si="22"/>
        <v>0</v>
      </c>
      <c r="L108" s="180">
        <f t="shared" si="23"/>
        <v>0</v>
      </c>
      <c r="M108" s="180">
        <f t="shared" si="24"/>
        <v>0</v>
      </c>
      <c r="N108" s="50" t="s">
        <v>826</v>
      </c>
      <c r="O108" s="50" t="str">
        <f t="shared" si="25"/>
        <v>ARGT/LOC/2026/349Arha General Trading Co (AGT)</v>
      </c>
      <c r="P108" s="139" t="str" cm="1">
        <f t="array" ref="P108:S108">_xlfn.XLOOKUP(O108,Table4[Concate],Table4[[Group/Legder]:[Sub Category]],,0)</f>
        <v>Ledger</v>
      </c>
      <c r="Q108" s="139" t="str">
        <v>PL</v>
      </c>
      <c r="R108" s="158" t="str">
        <v>Direct Expenses</v>
      </c>
      <c r="S108" s="139" t="str">
        <v>Freight &amp; forwarding Charges</v>
      </c>
      <c r="T108" s="139"/>
    </row>
    <row r="109" spans="1:20" ht="14.4">
      <c r="A109" s="323" t="s">
        <v>2563</v>
      </c>
      <c r="B109" s="271"/>
      <c r="C109" s="271"/>
      <c r="D109" s="271"/>
      <c r="E109" s="271"/>
      <c r="F109" s="271"/>
      <c r="G109" s="139">
        <f t="shared" si="18"/>
        <v>0</v>
      </c>
      <c r="H109" s="180">
        <f t="shared" si="19"/>
        <v>0</v>
      </c>
      <c r="I109" s="180">
        <f t="shared" si="20"/>
        <v>0</v>
      </c>
      <c r="J109" s="180">
        <f t="shared" si="21"/>
        <v>0</v>
      </c>
      <c r="K109" s="180">
        <f t="shared" si="22"/>
        <v>0</v>
      </c>
      <c r="L109" s="180">
        <f t="shared" si="23"/>
        <v>0</v>
      </c>
      <c r="M109" s="180">
        <f t="shared" si="24"/>
        <v>0</v>
      </c>
      <c r="N109" s="50" t="s">
        <v>826</v>
      </c>
      <c r="O109" s="50" t="str">
        <f t="shared" si="25"/>
        <v>ARGT/LOC/2026/356Arha General Trading Co (AGT)</v>
      </c>
      <c r="P109" s="139" t="str" cm="1">
        <f t="array" ref="P109:S109">_xlfn.XLOOKUP(O109,Table4[Concate],Table4[[Group/Legder]:[Sub Category]],,0)</f>
        <v>Ledger</v>
      </c>
      <c r="Q109" s="139" t="str">
        <v>PL</v>
      </c>
      <c r="R109" s="158" t="str">
        <v>Direct Expenses</v>
      </c>
      <c r="S109" s="139" t="str">
        <v>Freight &amp; forwarding Charges</v>
      </c>
      <c r="T109" s="139"/>
    </row>
    <row r="110" spans="1:20" ht="14.4">
      <c r="A110" s="323" t="s">
        <v>2465</v>
      </c>
      <c r="B110" s="271"/>
      <c r="C110" s="271"/>
      <c r="D110" s="271"/>
      <c r="E110" s="271"/>
      <c r="F110" s="271"/>
      <c r="G110" s="139">
        <f t="shared" si="18"/>
        <v>0</v>
      </c>
      <c r="H110" s="180">
        <f t="shared" si="19"/>
        <v>0</v>
      </c>
      <c r="I110" s="180">
        <f t="shared" si="20"/>
        <v>0</v>
      </c>
      <c r="J110" s="180">
        <f t="shared" si="21"/>
        <v>0</v>
      </c>
      <c r="K110" s="180">
        <f t="shared" si="22"/>
        <v>0</v>
      </c>
      <c r="L110" s="180">
        <f t="shared" si="23"/>
        <v>0</v>
      </c>
      <c r="M110" s="180">
        <f t="shared" si="24"/>
        <v>0</v>
      </c>
      <c r="N110" s="50" t="s">
        <v>826</v>
      </c>
      <c r="O110" s="50" t="str">
        <f t="shared" si="25"/>
        <v>ARGT/LOC/2026/392Arha General Trading Co (AGT)</v>
      </c>
      <c r="P110" s="139" t="str" cm="1">
        <f t="array" ref="P110:S110">_xlfn.XLOOKUP(O110,Table4[Concate],Table4[[Group/Legder]:[Sub Category]],,0)</f>
        <v>Ledger</v>
      </c>
      <c r="Q110" s="139" t="str">
        <v>PL</v>
      </c>
      <c r="R110" s="158" t="str">
        <v>Direct Expenses</v>
      </c>
      <c r="S110" s="139" t="str">
        <v>Freight &amp; forwarding Charges</v>
      </c>
      <c r="T110" s="139"/>
    </row>
    <row r="111" spans="1:20" ht="14.4">
      <c r="A111" s="323" t="s">
        <v>2564</v>
      </c>
      <c r="B111" s="271"/>
      <c r="C111" s="271"/>
      <c r="D111" s="271"/>
      <c r="E111" s="271"/>
      <c r="F111" s="271"/>
      <c r="G111" s="139">
        <f t="shared" si="18"/>
        <v>0</v>
      </c>
      <c r="H111" s="180">
        <f t="shared" si="19"/>
        <v>0</v>
      </c>
      <c r="I111" s="180">
        <f t="shared" si="20"/>
        <v>0</v>
      </c>
      <c r="J111" s="180">
        <f t="shared" si="21"/>
        <v>0</v>
      </c>
      <c r="K111" s="180">
        <f t="shared" si="22"/>
        <v>0</v>
      </c>
      <c r="L111" s="180">
        <f t="shared" si="23"/>
        <v>0</v>
      </c>
      <c r="M111" s="180">
        <f t="shared" si="24"/>
        <v>0</v>
      </c>
      <c r="N111" s="50" t="s">
        <v>826</v>
      </c>
      <c r="O111" s="50" t="str">
        <f t="shared" si="25"/>
        <v>ARGT/LOC/2026/412Arha General Trading Co (AGT)</v>
      </c>
      <c r="P111" s="139" t="str" cm="1">
        <f t="array" ref="P111:S111">_xlfn.XLOOKUP(O111,Table4[Concate],Table4[[Group/Legder]:[Sub Category]],,0)</f>
        <v>Ledger</v>
      </c>
      <c r="Q111" s="139" t="str">
        <v>PL</v>
      </c>
      <c r="R111" s="158" t="str">
        <v>Direct Expenses</v>
      </c>
      <c r="S111" s="139" t="str">
        <v>Freight &amp; forwarding Charges</v>
      </c>
      <c r="T111" s="139"/>
    </row>
    <row r="112" spans="1:20" ht="14.4">
      <c r="A112" s="323" t="s">
        <v>802</v>
      </c>
      <c r="B112" s="271"/>
      <c r="C112" s="271"/>
      <c r="D112" s="271"/>
      <c r="E112" s="271"/>
      <c r="F112" s="271"/>
      <c r="G112" s="139">
        <f t="shared" si="18"/>
        <v>0</v>
      </c>
      <c r="H112" s="180">
        <f t="shared" si="19"/>
        <v>0</v>
      </c>
      <c r="I112" s="180">
        <f t="shared" si="20"/>
        <v>0</v>
      </c>
      <c r="J112" s="180">
        <f t="shared" si="21"/>
        <v>0</v>
      </c>
      <c r="K112" s="180">
        <f t="shared" si="22"/>
        <v>0</v>
      </c>
      <c r="L112" s="180">
        <f t="shared" si="23"/>
        <v>0</v>
      </c>
      <c r="M112" s="180">
        <f t="shared" si="24"/>
        <v>0</v>
      </c>
      <c r="N112" s="50" t="s">
        <v>826</v>
      </c>
      <c r="O112" s="50" t="str">
        <f t="shared" si="25"/>
        <v>Bad DebtArha General Trading Co (AGT)</v>
      </c>
      <c r="P112" s="139" t="str" cm="1">
        <f t="array" ref="P112:S112">_xlfn.XLOOKUP(O112,Table4[Concate],Table4[[Group/Legder]:[Sub Category]],,0)</f>
        <v>Ledger</v>
      </c>
      <c r="Q112" s="139" t="str">
        <v>PL</v>
      </c>
      <c r="R112" s="158" t="str">
        <v>Bad Debt/Provision for Loss</v>
      </c>
      <c r="S112" s="139" t="str">
        <v>Provision for Doubtful debts</v>
      </c>
      <c r="T112" s="139"/>
    </row>
    <row r="113" spans="1:20" ht="14.4">
      <c r="A113" s="323" t="s">
        <v>202</v>
      </c>
      <c r="B113" s="271"/>
      <c r="C113" s="271"/>
      <c r="D113" s="271"/>
      <c r="E113" s="271"/>
      <c r="F113" s="271"/>
      <c r="G113" s="139">
        <f t="shared" si="18"/>
        <v>0</v>
      </c>
      <c r="H113" s="180">
        <f t="shared" si="19"/>
        <v>0</v>
      </c>
      <c r="I113" s="180">
        <f t="shared" si="20"/>
        <v>0</v>
      </c>
      <c r="J113" s="180">
        <f t="shared" si="21"/>
        <v>0</v>
      </c>
      <c r="K113" s="180">
        <f t="shared" si="22"/>
        <v>0</v>
      </c>
      <c r="L113" s="180">
        <f t="shared" si="23"/>
        <v>0</v>
      </c>
      <c r="M113" s="180">
        <f t="shared" si="24"/>
        <v>0</v>
      </c>
      <c r="N113" s="50" t="s">
        <v>826</v>
      </c>
      <c r="O113" s="50" t="str">
        <f t="shared" si="25"/>
        <v>Bank Charges Against Import/MTT TransactionArha General Trading Co (AGT)</v>
      </c>
      <c r="P113" s="139" t="str" cm="1">
        <f t="array" ref="P113:S113">_xlfn.XLOOKUP(O113,Table4[Concate],Table4[[Group/Legder]:[Sub Category]],,0)</f>
        <v>Ledger</v>
      </c>
      <c r="Q113" s="139" t="str">
        <v>PL</v>
      </c>
      <c r="R113" s="158" t="str">
        <v>Direct Expenses</v>
      </c>
      <c r="S113" s="139" t="str">
        <v>Bank charges against Import/MTT Transaction</v>
      </c>
      <c r="T113" s="139" t="s">
        <v>1193</v>
      </c>
    </row>
    <row r="114" spans="1:20" ht="14.4">
      <c r="A114" s="323" t="s">
        <v>386</v>
      </c>
      <c r="B114" s="271"/>
      <c r="C114" s="271"/>
      <c r="D114" s="271"/>
      <c r="E114" s="271"/>
      <c r="F114" s="271"/>
      <c r="G114" s="139">
        <f t="shared" si="18"/>
        <v>0</v>
      </c>
      <c r="H114" s="180">
        <f t="shared" si="19"/>
        <v>0</v>
      </c>
      <c r="I114" s="180">
        <f t="shared" si="20"/>
        <v>0</v>
      </c>
      <c r="J114" s="180">
        <f t="shared" si="21"/>
        <v>0</v>
      </c>
      <c r="K114" s="180">
        <f t="shared" si="22"/>
        <v>0</v>
      </c>
      <c r="L114" s="180">
        <f t="shared" si="23"/>
        <v>0</v>
      </c>
      <c r="M114" s="180">
        <f t="shared" si="24"/>
        <v>0</v>
      </c>
      <c r="N114" s="50" t="s">
        <v>826</v>
      </c>
      <c r="O114" s="50" t="str">
        <f t="shared" si="25"/>
        <v>Bank Fees and ChargesArha General Trading Co (AGT)</v>
      </c>
      <c r="P114" s="139" t="str" cm="1">
        <f t="array" ref="P114:S114">_xlfn.XLOOKUP(O114,Table4[Concate],Table4[[Group/Legder]:[Sub Category]],,0)</f>
        <v>Ledger</v>
      </c>
      <c r="Q114" s="139" t="str">
        <v>PL</v>
      </c>
      <c r="R114" s="158" t="str">
        <v>Other Expenses</v>
      </c>
      <c r="S114" s="139" t="str">
        <v>Other Bank Charges</v>
      </c>
    </row>
    <row r="115" spans="1:20" ht="14.4">
      <c r="A115" s="323" t="s">
        <v>2466</v>
      </c>
      <c r="B115" s="271"/>
      <c r="C115" s="271"/>
      <c r="D115" s="271"/>
      <c r="E115" s="271"/>
      <c r="F115" s="271"/>
      <c r="G115" s="139">
        <f t="shared" si="18"/>
        <v>0</v>
      </c>
      <c r="H115" s="180">
        <f t="shared" si="19"/>
        <v>0</v>
      </c>
      <c r="I115" s="180">
        <f t="shared" si="20"/>
        <v>0</v>
      </c>
      <c r="J115" s="180">
        <f t="shared" si="21"/>
        <v>0</v>
      </c>
      <c r="K115" s="180">
        <f t="shared" si="22"/>
        <v>0</v>
      </c>
      <c r="L115" s="180">
        <f t="shared" si="23"/>
        <v>0</v>
      </c>
      <c r="M115" s="180">
        <f t="shared" si="24"/>
        <v>0</v>
      </c>
      <c r="N115" s="50" t="s">
        <v>826</v>
      </c>
      <c r="O115" s="50" t="str">
        <f t="shared" si="25"/>
        <v>BCPL/53/26Arha General Trading Co (AGT)</v>
      </c>
      <c r="P115" s="139" t="str" cm="1">
        <f t="array" ref="P115:S115">_xlfn.XLOOKUP(O115,Table4[Concate],Table4[[Group/Legder]:[Sub Category]],,0)</f>
        <v>Ledger</v>
      </c>
      <c r="Q115" s="139" t="str">
        <v>PL</v>
      </c>
      <c r="R115" s="158" t="str">
        <v>Direct Expenses</v>
      </c>
      <c r="S115" s="139" t="str">
        <v>Freight &amp; forwarding Charges</v>
      </c>
    </row>
    <row r="116" spans="1:20" ht="14.4">
      <c r="A116" s="324" t="s">
        <v>646</v>
      </c>
      <c r="B116" s="271"/>
      <c r="C116" s="271"/>
      <c r="D116" s="271"/>
      <c r="E116" s="271"/>
      <c r="F116" s="271"/>
      <c r="G116" s="139">
        <f t="shared" si="18"/>
        <v>0</v>
      </c>
      <c r="H116" s="180">
        <f t="shared" si="19"/>
        <v>0</v>
      </c>
      <c r="I116" s="180">
        <f t="shared" si="20"/>
        <v>0</v>
      </c>
      <c r="J116" s="180">
        <f t="shared" si="21"/>
        <v>0</v>
      </c>
      <c r="K116" s="180">
        <f t="shared" si="22"/>
        <v>0</v>
      </c>
      <c r="L116" s="180">
        <f t="shared" si="23"/>
        <v>0</v>
      </c>
      <c r="M116" s="180">
        <f t="shared" si="24"/>
        <v>0</v>
      </c>
      <c r="N116" s="50" t="s">
        <v>826</v>
      </c>
      <c r="O116" s="50" t="str">
        <f t="shared" si="25"/>
        <v>Brokerage &amp; CommissionArha General Trading Co (AGT)</v>
      </c>
      <c r="P116" s="139" t="str" cm="1">
        <f t="array" ref="P116:S116">_xlfn.XLOOKUP(O116,Table4[Concate],Table4[[Group/Legder]:[Sub Category]],,0)</f>
        <v>Ledger</v>
      </c>
      <c r="Q116" s="139" t="str">
        <v>PL</v>
      </c>
      <c r="R116" s="158" t="str">
        <v>Direct Expenses</v>
      </c>
      <c r="S116" s="139" t="str">
        <v>Commission &amp; Brokerage Charges.</v>
      </c>
      <c r="T116" s="138" t="s">
        <v>1271</v>
      </c>
    </row>
    <row r="117" spans="1:20" ht="14.4">
      <c r="A117" s="324" t="s">
        <v>200</v>
      </c>
      <c r="B117" s="271"/>
      <c r="C117" s="271"/>
      <c r="D117" s="271"/>
      <c r="E117" s="271"/>
      <c r="F117" s="271"/>
      <c r="G117" s="139">
        <f t="shared" si="18"/>
        <v>0</v>
      </c>
      <c r="H117" s="180">
        <f t="shared" si="19"/>
        <v>0</v>
      </c>
      <c r="I117" s="180">
        <f t="shared" si="20"/>
        <v>0</v>
      </c>
      <c r="J117" s="180">
        <f t="shared" si="21"/>
        <v>0</v>
      </c>
      <c r="K117" s="180">
        <f t="shared" si="22"/>
        <v>0</v>
      </c>
      <c r="L117" s="180">
        <f t="shared" si="23"/>
        <v>0</v>
      </c>
      <c r="M117" s="180">
        <f t="shared" si="24"/>
        <v>0</v>
      </c>
      <c r="N117" s="50" t="s">
        <v>826</v>
      </c>
      <c r="O117" s="50" t="str">
        <f t="shared" si="25"/>
        <v>Certificate of OriginArha General Trading Co (AGT)</v>
      </c>
      <c r="P117" s="139" t="str" cm="1">
        <f t="array" ref="P117:S117">_xlfn.XLOOKUP(O117,Table4[Concate],Table4[[Group/Legder]:[Sub Category]],,0)</f>
        <v>Ledger</v>
      </c>
      <c r="Q117" s="139" t="str">
        <v>PL</v>
      </c>
      <c r="R117" s="158" t="str">
        <v>Direct Expenses</v>
      </c>
      <c r="S117" s="139" t="str">
        <v>Freight &amp; forwarding Charges</v>
      </c>
      <c r="T117" s="138" t="s">
        <v>1271</v>
      </c>
    </row>
    <row r="118" spans="1:20" ht="14.4">
      <c r="A118" s="323" t="s">
        <v>2467</v>
      </c>
      <c r="B118" s="271"/>
      <c r="C118" s="271"/>
      <c r="D118" s="271"/>
      <c r="E118" s="271"/>
      <c r="F118" s="271"/>
      <c r="G118" s="139">
        <f t="shared" si="18"/>
        <v>0</v>
      </c>
      <c r="H118" s="180">
        <f t="shared" si="19"/>
        <v>0</v>
      </c>
      <c r="I118" s="180">
        <f t="shared" si="20"/>
        <v>0</v>
      </c>
      <c r="J118" s="180">
        <f t="shared" si="21"/>
        <v>0</v>
      </c>
      <c r="K118" s="180">
        <f t="shared" si="22"/>
        <v>0</v>
      </c>
      <c r="L118" s="180">
        <f t="shared" si="23"/>
        <v>0</v>
      </c>
      <c r="M118" s="180">
        <f t="shared" si="24"/>
        <v>0</v>
      </c>
      <c r="N118" s="50" t="s">
        <v>826</v>
      </c>
      <c r="O118" s="50" t="str">
        <f t="shared" si="25"/>
        <v>Cleaning ExpensesArha General Trading Co (AGT)</v>
      </c>
      <c r="P118" s="139" t="str" cm="1">
        <f t="array" ref="P118:S118">_xlfn.XLOOKUP(O118,Table4[Concate],Table4[[Group/Legder]:[Sub Category]],,0)</f>
        <v>Ledger</v>
      </c>
      <c r="Q118" s="139" t="str">
        <v>PL</v>
      </c>
      <c r="R118" s="158" t="str">
        <v>Office Expenses</v>
      </c>
      <c r="S118" s="139" t="str">
        <v>Other Expenses</v>
      </c>
    </row>
    <row r="119" spans="1:20" ht="14.4">
      <c r="A119" s="323" t="s">
        <v>2244</v>
      </c>
      <c r="B119" s="271"/>
      <c r="C119" s="271"/>
      <c r="D119" s="271"/>
      <c r="E119" s="271"/>
      <c r="F119" s="271"/>
      <c r="G119" s="139">
        <f t="shared" si="18"/>
        <v>0</v>
      </c>
      <c r="H119" s="180">
        <f t="shared" si="19"/>
        <v>0</v>
      </c>
      <c r="I119" s="180">
        <f t="shared" si="20"/>
        <v>0</v>
      </c>
      <c r="J119" s="180">
        <f t="shared" si="21"/>
        <v>0</v>
      </c>
      <c r="K119" s="180">
        <f t="shared" si="22"/>
        <v>0</v>
      </c>
      <c r="L119" s="180">
        <f t="shared" si="23"/>
        <v>0</v>
      </c>
      <c r="M119" s="180">
        <f t="shared" si="24"/>
        <v>0</v>
      </c>
      <c r="N119" s="50" t="s">
        <v>826</v>
      </c>
      <c r="O119" s="50" t="str">
        <f t="shared" si="25"/>
        <v>CONVEYANCE EXPArha General Trading Co (AGT)</v>
      </c>
      <c r="P119" s="139" t="str" cm="1">
        <f t="array" ref="P119:S119">_xlfn.XLOOKUP(O119,Table4[Concate],Table4[[Group/Legder]:[Sub Category]],,0)</f>
        <v>Ledger</v>
      </c>
      <c r="Q119" s="139" t="str">
        <v>PL</v>
      </c>
      <c r="R119" s="158" t="str">
        <v>Travelling &amp; Conveyance</v>
      </c>
      <c r="S119" s="139" t="str">
        <v>Travelling Expenses (Cash &amp; Local)</v>
      </c>
    </row>
    <row r="120" spans="1:20" ht="14.4">
      <c r="A120" s="323" t="s">
        <v>523</v>
      </c>
      <c r="B120" s="271"/>
      <c r="C120" s="271"/>
      <c r="D120" s="271"/>
      <c r="E120" s="271"/>
      <c r="F120" s="271"/>
      <c r="G120" s="139">
        <f t="shared" si="18"/>
        <v>0</v>
      </c>
      <c r="H120" s="180">
        <f t="shared" si="19"/>
        <v>0</v>
      </c>
      <c r="I120" s="180">
        <f t="shared" si="20"/>
        <v>0</v>
      </c>
      <c r="J120" s="180">
        <f t="shared" si="21"/>
        <v>0</v>
      </c>
      <c r="K120" s="180">
        <f t="shared" si="22"/>
        <v>0</v>
      </c>
      <c r="L120" s="180">
        <f t="shared" si="23"/>
        <v>0</v>
      </c>
      <c r="M120" s="180">
        <f t="shared" si="24"/>
        <v>0</v>
      </c>
      <c r="N120" s="50" t="s">
        <v>826</v>
      </c>
      <c r="O120" s="50" t="str">
        <f t="shared" si="25"/>
        <v>Cost of Goods SoldArha General Trading Co (AGT)</v>
      </c>
      <c r="P120" s="139" t="str" cm="1">
        <f t="array" ref="P120:S120">_xlfn.XLOOKUP(O120,Table4[Concate],Table4[[Group/Legder]:[Sub Category]],,0)</f>
        <v>Ledger</v>
      </c>
      <c r="Q120" s="139" t="str">
        <v>PL</v>
      </c>
      <c r="R120" s="158" t="str">
        <v>COGS</v>
      </c>
      <c r="S120" s="139" t="str">
        <v>COGS</v>
      </c>
    </row>
    <row r="121" spans="1:20" ht="14.4">
      <c r="A121" s="323" t="s">
        <v>2565</v>
      </c>
      <c r="B121" s="271"/>
      <c r="C121" s="271"/>
      <c r="D121" s="271"/>
      <c r="E121" s="271"/>
      <c r="F121" s="271"/>
      <c r="G121" s="139">
        <f t="shared" si="18"/>
        <v>0</v>
      </c>
      <c r="H121" s="180">
        <f t="shared" si="19"/>
        <v>0</v>
      </c>
      <c r="I121" s="180">
        <f t="shared" si="20"/>
        <v>0</v>
      </c>
      <c r="J121" s="180">
        <f t="shared" si="21"/>
        <v>0</v>
      </c>
      <c r="K121" s="180">
        <f t="shared" si="22"/>
        <v>0</v>
      </c>
      <c r="L121" s="180">
        <f t="shared" si="23"/>
        <v>0</v>
      </c>
      <c r="M121" s="180">
        <f t="shared" si="24"/>
        <v>0</v>
      </c>
      <c r="N121" s="50" t="s">
        <v>826</v>
      </c>
      <c r="O121" s="50" t="str">
        <f t="shared" si="25"/>
        <v>Disposable chargesArha General Trading Co (AGT)</v>
      </c>
      <c r="P121" s="139" t="str" cm="1">
        <f t="array" ref="P121:S121">_xlfn.XLOOKUP(O121,Table4[Concate],Table4[[Group/Legder]:[Sub Category]],,0)</f>
        <v>Ledger</v>
      </c>
      <c r="Q121" s="139" t="str">
        <v>PL</v>
      </c>
      <c r="R121" s="158" t="str">
        <v>Office Expenses</v>
      </c>
      <c r="S121" s="139" t="str">
        <v>Other Expenses</v>
      </c>
    </row>
    <row r="122" spans="1:20" ht="14.4">
      <c r="A122" s="323" t="s">
        <v>742</v>
      </c>
      <c r="B122" s="271"/>
      <c r="C122" s="271"/>
      <c r="D122" s="271"/>
      <c r="E122" s="271"/>
      <c r="F122" s="271"/>
      <c r="G122" s="139">
        <f t="shared" si="18"/>
        <v>0</v>
      </c>
      <c r="H122" s="180">
        <f t="shared" si="19"/>
        <v>0</v>
      </c>
      <c r="I122" s="180">
        <f t="shared" si="20"/>
        <v>0</v>
      </c>
      <c r="J122" s="180">
        <f t="shared" si="21"/>
        <v>0</v>
      </c>
      <c r="K122" s="180">
        <f t="shared" si="22"/>
        <v>0</v>
      </c>
      <c r="L122" s="180">
        <f t="shared" si="23"/>
        <v>0</v>
      </c>
      <c r="M122" s="180">
        <f t="shared" si="24"/>
        <v>0</v>
      </c>
      <c r="N122" s="50" t="s">
        <v>826</v>
      </c>
      <c r="O122" s="50" t="str">
        <f t="shared" si="25"/>
        <v>Employee InsuranceArha General Trading Co (AGT)</v>
      </c>
      <c r="P122" s="139" t="str" cm="1">
        <f t="array" ref="P122:S122">_xlfn.XLOOKUP(O122,Table4[Concate],Table4[[Group/Legder]:[Sub Category]],,0)</f>
        <v>Ledger</v>
      </c>
      <c r="Q122" s="139" t="str">
        <v>PL</v>
      </c>
      <c r="R122" s="158" t="str">
        <v>Employee Costs</v>
      </c>
      <c r="S122" s="139" t="str">
        <v>Staff Welfare</v>
      </c>
    </row>
    <row r="123" spans="1:20" ht="14.4">
      <c r="A123" s="323" t="s">
        <v>2171</v>
      </c>
      <c r="B123" s="271"/>
      <c r="C123" s="271"/>
      <c r="D123" s="271"/>
      <c r="E123" s="271"/>
      <c r="F123" s="271"/>
      <c r="G123" s="139">
        <f t="shared" si="18"/>
        <v>0</v>
      </c>
      <c r="H123" s="180">
        <f t="shared" si="19"/>
        <v>0</v>
      </c>
      <c r="I123" s="180">
        <f t="shared" si="20"/>
        <v>0</v>
      </c>
      <c r="J123" s="180">
        <f t="shared" si="21"/>
        <v>0</v>
      </c>
      <c r="K123" s="180">
        <f t="shared" si="22"/>
        <v>0</v>
      </c>
      <c r="L123" s="180">
        <f t="shared" si="23"/>
        <v>0</v>
      </c>
      <c r="M123" s="180">
        <f t="shared" si="24"/>
        <v>0</v>
      </c>
      <c r="N123" s="50" t="s">
        <v>826</v>
      </c>
      <c r="O123" s="50" t="str">
        <f t="shared" si="25"/>
        <v>Employee WelfareArha General Trading Co (AGT)</v>
      </c>
      <c r="P123" s="139" t="str" cm="1">
        <f t="array" ref="P123:S123">_xlfn.XLOOKUP(O123,Table4[Concate],Table4[[Group/Legder]:[Sub Category]],,0)</f>
        <v>Ledger</v>
      </c>
      <c r="Q123" s="139" t="str">
        <v>PL</v>
      </c>
      <c r="R123" s="158" t="str">
        <v>Employee Costs</v>
      </c>
      <c r="S123" s="139" t="str">
        <v>Staff Welfare</v>
      </c>
    </row>
    <row r="124" spans="1:20" ht="14.4">
      <c r="A124" s="323" t="s">
        <v>1077</v>
      </c>
      <c r="B124" s="271"/>
      <c r="C124" s="271"/>
      <c r="D124" s="271"/>
      <c r="E124" s="271"/>
      <c r="F124" s="271"/>
      <c r="G124" s="139">
        <f t="shared" si="18"/>
        <v>0</v>
      </c>
      <c r="H124" s="180">
        <f t="shared" si="19"/>
        <v>0</v>
      </c>
      <c r="I124" s="180">
        <f t="shared" si="20"/>
        <v>0</v>
      </c>
      <c r="J124" s="180">
        <f t="shared" si="21"/>
        <v>0</v>
      </c>
      <c r="K124" s="180">
        <f t="shared" si="22"/>
        <v>0</v>
      </c>
      <c r="L124" s="180">
        <f t="shared" si="23"/>
        <v>0</v>
      </c>
      <c r="M124" s="180">
        <f t="shared" si="24"/>
        <v>0</v>
      </c>
      <c r="N124" s="50" t="s">
        <v>826</v>
      </c>
      <c r="O124" s="50" t="str">
        <f t="shared" si="25"/>
        <v>Employment Visa ExpArha General Trading Co (AGT)</v>
      </c>
      <c r="P124" s="139" t="str" cm="1">
        <f t="array" ref="P124:S124">_xlfn.XLOOKUP(O124,Table4[Concate],Table4[[Group/Legder]:[Sub Category]],,0)</f>
        <v>Ledger</v>
      </c>
      <c r="Q124" s="139" t="str">
        <v>PL</v>
      </c>
      <c r="R124" s="158" t="str">
        <v>Travelling &amp; Conveyance</v>
      </c>
      <c r="S124" s="139" t="str">
        <v>Travelling Expenses</v>
      </c>
    </row>
    <row r="125" spans="1:20" ht="14.4">
      <c r="A125" s="323" t="s">
        <v>414</v>
      </c>
      <c r="B125" s="271"/>
      <c r="C125" s="271"/>
      <c r="D125" s="271"/>
      <c r="E125" s="271"/>
      <c r="F125" s="271"/>
      <c r="G125" s="139">
        <f t="shared" si="18"/>
        <v>0</v>
      </c>
      <c r="H125" s="180">
        <f t="shared" si="19"/>
        <v>0</v>
      </c>
      <c r="I125" s="180">
        <f t="shared" si="20"/>
        <v>0</v>
      </c>
      <c r="J125" s="180">
        <f t="shared" si="21"/>
        <v>0</v>
      </c>
      <c r="K125" s="180">
        <f t="shared" si="22"/>
        <v>0</v>
      </c>
      <c r="L125" s="180">
        <f t="shared" si="23"/>
        <v>0</v>
      </c>
      <c r="M125" s="180">
        <f t="shared" si="24"/>
        <v>0</v>
      </c>
      <c r="N125" s="50" t="s">
        <v>826</v>
      </c>
      <c r="O125" s="50" t="str">
        <f t="shared" si="25"/>
        <v>Exchange Gain or LossArha General Trading Co (AGT)</v>
      </c>
      <c r="P125" s="139" t="str" cm="1">
        <f t="array" ref="P125:S125">_xlfn.XLOOKUP(O125,Table4[Concate],Table4[[Group/Legder]:[Sub Category]],,0)</f>
        <v>Ledger</v>
      </c>
      <c r="Q125" s="139" t="str">
        <v>PL</v>
      </c>
      <c r="R125" s="158" t="str">
        <v>Finance Cost</v>
      </c>
      <c r="S125" s="139" t="str">
        <v>Foreign Exchange Gain/(Loss)</v>
      </c>
    </row>
    <row r="126" spans="1:20" ht="14.4">
      <c r="A126" s="323" t="s">
        <v>2173</v>
      </c>
      <c r="B126" s="271"/>
      <c r="C126" s="271"/>
      <c r="D126" s="271"/>
      <c r="E126" s="271"/>
      <c r="F126" s="271"/>
      <c r="G126" s="139">
        <f t="shared" si="18"/>
        <v>0</v>
      </c>
      <c r="H126" s="180">
        <f t="shared" si="19"/>
        <v>0</v>
      </c>
      <c r="I126" s="180">
        <f t="shared" si="20"/>
        <v>0</v>
      </c>
      <c r="J126" s="180">
        <f t="shared" si="21"/>
        <v>0</v>
      </c>
      <c r="K126" s="180">
        <f t="shared" si="22"/>
        <v>0</v>
      </c>
      <c r="L126" s="180">
        <f t="shared" si="23"/>
        <v>0</v>
      </c>
      <c r="M126" s="180">
        <f t="shared" si="24"/>
        <v>0</v>
      </c>
      <c r="N126" s="50" t="s">
        <v>826</v>
      </c>
      <c r="O126" s="50" t="str">
        <f t="shared" si="25"/>
        <v>Interest in Vehicle LoanArha General Trading Co (AGT)</v>
      </c>
      <c r="P126" s="139" t="str" cm="1">
        <f t="array" ref="P126:S126">_xlfn.XLOOKUP(O126,Table4[Concate],Table4[[Group/Legder]:[Sub Category]],,0)</f>
        <v>Ledger</v>
      </c>
      <c r="Q126" s="139" t="str">
        <v>PL</v>
      </c>
      <c r="R126" s="158" t="str">
        <v>Finance Cost</v>
      </c>
      <c r="S126" s="139" t="str">
        <v>Interest On Vehicle Loan</v>
      </c>
    </row>
    <row r="127" spans="1:20" ht="14.4">
      <c r="A127" s="323" t="s">
        <v>2468</v>
      </c>
      <c r="B127" s="271"/>
      <c r="C127" s="271"/>
      <c r="D127" s="271"/>
      <c r="E127" s="271"/>
      <c r="F127" s="271"/>
      <c r="G127" s="139">
        <f t="shared" si="18"/>
        <v>0</v>
      </c>
      <c r="H127" s="180">
        <f t="shared" si="19"/>
        <v>0</v>
      </c>
      <c r="I127" s="180">
        <f t="shared" si="20"/>
        <v>0</v>
      </c>
      <c r="J127" s="180">
        <f t="shared" si="21"/>
        <v>0</v>
      </c>
      <c r="K127" s="180">
        <f t="shared" si="22"/>
        <v>0</v>
      </c>
      <c r="L127" s="180">
        <f t="shared" si="23"/>
        <v>0</v>
      </c>
      <c r="M127" s="180">
        <f t="shared" si="24"/>
        <v>0</v>
      </c>
      <c r="N127" s="50" t="s">
        <v>826</v>
      </c>
      <c r="O127" s="50" t="str">
        <f t="shared" si="25"/>
        <v>Interest on VATArha General Trading Co (AGT)</v>
      </c>
      <c r="P127" s="139" t="str" cm="1">
        <f t="array" ref="P127:S127">_xlfn.XLOOKUP(O127,Table4[Concate],Table4[[Group/Legder]:[Sub Category]],,0)</f>
        <v>Ledger</v>
      </c>
      <c r="Q127" s="139" t="str">
        <v>PL</v>
      </c>
      <c r="R127" s="158" t="str">
        <v>Office Expenses</v>
      </c>
      <c r="S127" s="139" t="str">
        <v>Other Expenses</v>
      </c>
    </row>
    <row r="128" spans="1:20" ht="14.4">
      <c r="A128" s="323" t="s">
        <v>397</v>
      </c>
      <c r="B128" s="271"/>
      <c r="C128" s="271"/>
      <c r="D128" s="271"/>
      <c r="E128" s="271"/>
      <c r="F128" s="271"/>
      <c r="G128" s="139">
        <f t="shared" si="18"/>
        <v>0</v>
      </c>
      <c r="H128" s="180">
        <f t="shared" si="19"/>
        <v>0</v>
      </c>
      <c r="I128" s="180">
        <f t="shared" si="20"/>
        <v>0</v>
      </c>
      <c r="J128" s="180">
        <f t="shared" si="21"/>
        <v>0</v>
      </c>
      <c r="K128" s="180">
        <f t="shared" si="22"/>
        <v>0</v>
      </c>
      <c r="L128" s="180">
        <f t="shared" si="23"/>
        <v>0</v>
      </c>
      <c r="M128" s="180">
        <f t="shared" si="24"/>
        <v>0</v>
      </c>
      <c r="N128" s="50" t="s">
        <v>826</v>
      </c>
      <c r="O128" s="50" t="str">
        <f t="shared" si="25"/>
        <v>IT and Internet ExpensesArha General Trading Co (AGT)</v>
      </c>
      <c r="P128" s="139" t="str" cm="1">
        <f t="array" ref="P128:S128">_xlfn.XLOOKUP(O128,Table4[Concate],Table4[[Group/Legder]:[Sub Category]],,0)</f>
        <v>Ledger</v>
      </c>
      <c r="Q128" s="139" t="str">
        <v>PL</v>
      </c>
      <c r="R128" s="158" t="str">
        <v>Office Expenses</v>
      </c>
      <c r="S128" s="139" t="str">
        <v>Telephone Expenses</v>
      </c>
    </row>
    <row r="129" spans="1:19" ht="14.4">
      <c r="A129" s="323" t="s">
        <v>2469</v>
      </c>
      <c r="B129" s="271"/>
      <c r="C129" s="271"/>
      <c r="D129" s="271"/>
      <c r="E129" s="271"/>
      <c r="F129" s="271"/>
      <c r="G129" s="139">
        <f t="shared" si="18"/>
        <v>0</v>
      </c>
      <c r="H129" s="180">
        <f t="shared" si="19"/>
        <v>0</v>
      </c>
      <c r="I129" s="180">
        <f t="shared" si="20"/>
        <v>0</v>
      </c>
      <c r="J129" s="180">
        <f t="shared" si="21"/>
        <v>0</v>
      </c>
      <c r="K129" s="180">
        <f t="shared" si="22"/>
        <v>0</v>
      </c>
      <c r="L129" s="180">
        <f t="shared" si="23"/>
        <v>0</v>
      </c>
      <c r="M129" s="180">
        <f t="shared" si="24"/>
        <v>0</v>
      </c>
      <c r="N129" s="50" t="s">
        <v>826</v>
      </c>
      <c r="O129" s="50" t="str">
        <f t="shared" si="25"/>
        <v>KGT-IN-062053Arha General Trading Co (AGT)</v>
      </c>
      <c r="P129" s="139" t="str" cm="1">
        <f t="array" ref="P129:S129">_xlfn.XLOOKUP(O129,Table4[Concate],Table4[[Group/Legder]:[Sub Category]],,0)</f>
        <v>Ledger</v>
      </c>
      <c r="Q129" s="139" t="str">
        <v>PL</v>
      </c>
      <c r="R129" s="158" t="str">
        <v>Direct Expenses</v>
      </c>
      <c r="S129" s="139" t="str">
        <v>Freight &amp; forwarding Charges</v>
      </c>
    </row>
    <row r="130" spans="1:19" ht="14.4">
      <c r="A130" s="323" t="s">
        <v>650</v>
      </c>
      <c r="B130" s="271"/>
      <c r="C130" s="271"/>
      <c r="D130" s="271"/>
      <c r="E130" s="271"/>
      <c r="F130" s="271"/>
      <c r="G130" s="139">
        <f t="shared" si="18"/>
        <v>0</v>
      </c>
      <c r="H130" s="180">
        <f t="shared" si="19"/>
        <v>0</v>
      </c>
      <c r="I130" s="180">
        <f t="shared" si="20"/>
        <v>0</v>
      </c>
      <c r="J130" s="180">
        <f t="shared" si="21"/>
        <v>0</v>
      </c>
      <c r="K130" s="180">
        <f t="shared" si="22"/>
        <v>0</v>
      </c>
      <c r="L130" s="180">
        <f t="shared" si="23"/>
        <v>0</v>
      </c>
      <c r="M130" s="180">
        <f t="shared" si="24"/>
        <v>0</v>
      </c>
      <c r="N130" s="50" t="s">
        <v>826</v>
      </c>
      <c r="O130" s="50" t="str">
        <f t="shared" si="25"/>
        <v>License Renewal ExpensesArha General Trading Co (AGT)</v>
      </c>
      <c r="P130" s="139" t="str" cm="1">
        <f t="array" ref="P130:S130">_xlfn.XLOOKUP(O130,Table4[Concate],Table4[[Group/Legder]:[Sub Category]],,0)</f>
        <v>Ledger</v>
      </c>
      <c r="Q130" s="139" t="str">
        <v>PL</v>
      </c>
      <c r="R130" s="158" t="str">
        <v>Office Expenses</v>
      </c>
      <c r="S130" s="139" t="str">
        <v>Licenses and Custodian Charges</v>
      </c>
    </row>
    <row r="131" spans="1:19" ht="14.4">
      <c r="A131" s="323" t="s">
        <v>651</v>
      </c>
      <c r="B131" s="271"/>
      <c r="C131" s="271"/>
      <c r="D131" s="271"/>
      <c r="E131" s="271"/>
      <c r="F131" s="271"/>
      <c r="G131" s="139">
        <f t="shared" si="18"/>
        <v>0</v>
      </c>
      <c r="H131" s="180">
        <f t="shared" si="19"/>
        <v>0</v>
      </c>
      <c r="I131" s="180">
        <f t="shared" si="20"/>
        <v>0</v>
      </c>
      <c r="J131" s="180">
        <f t="shared" si="21"/>
        <v>0</v>
      </c>
      <c r="K131" s="180">
        <f t="shared" si="22"/>
        <v>0</v>
      </c>
      <c r="L131" s="180">
        <f t="shared" si="23"/>
        <v>0</v>
      </c>
      <c r="M131" s="180">
        <f t="shared" si="24"/>
        <v>0</v>
      </c>
      <c r="N131" s="50" t="s">
        <v>826</v>
      </c>
      <c r="O131" s="50" t="str">
        <f t="shared" si="25"/>
        <v>Loading &amp; UnloadingArha General Trading Co (AGT)</v>
      </c>
      <c r="P131" s="139" t="str" cm="1">
        <f t="array" ref="P131:S131">_xlfn.XLOOKUP(O131,Table4[Concate],Table4[[Group/Legder]:[Sub Category]],,0)</f>
        <v>Ledger</v>
      </c>
      <c r="Q131" s="139" t="str">
        <v>PL</v>
      </c>
      <c r="R131" s="158" t="str">
        <v>Direct Expenses</v>
      </c>
      <c r="S131" s="139" t="str">
        <v>Labour Charges</v>
      </c>
    </row>
    <row r="132" spans="1:19" ht="14.4">
      <c r="A132" s="323" t="s">
        <v>683</v>
      </c>
      <c r="B132" s="271"/>
      <c r="C132" s="271"/>
      <c r="D132" s="271"/>
      <c r="E132" s="271"/>
      <c r="F132" s="271"/>
      <c r="G132" s="139">
        <f t="shared" si="18"/>
        <v>0</v>
      </c>
      <c r="H132" s="180">
        <f t="shared" si="19"/>
        <v>0</v>
      </c>
      <c r="I132" s="180">
        <f t="shared" si="20"/>
        <v>0</v>
      </c>
      <c r="J132" s="180">
        <f t="shared" si="21"/>
        <v>0</v>
      </c>
      <c r="K132" s="180">
        <f t="shared" si="22"/>
        <v>0</v>
      </c>
      <c r="L132" s="180">
        <f t="shared" si="23"/>
        <v>0</v>
      </c>
      <c r="M132" s="180">
        <f t="shared" si="24"/>
        <v>0</v>
      </c>
      <c r="N132" s="50" t="s">
        <v>826</v>
      </c>
      <c r="O132" s="50" t="str">
        <f t="shared" si="25"/>
        <v>MISCELLANEOUS EXPENSES FOR OFFICE PURPOSEArha General Trading Co (AGT)</v>
      </c>
      <c r="P132" s="139" t="str" cm="1">
        <f t="array" ref="P132:S132">_xlfn.XLOOKUP(O132,Table4[Concate],Table4[[Group/Legder]:[Sub Category]],,0)</f>
        <v>Ledger</v>
      </c>
      <c r="Q132" s="139" t="str">
        <v>PL</v>
      </c>
      <c r="R132" s="158" t="str">
        <v>Office Expenses</v>
      </c>
      <c r="S132" s="139" t="str">
        <v>Other</v>
      </c>
    </row>
    <row r="133" spans="1:19" ht="14.4">
      <c r="A133" s="323" t="s">
        <v>2470</v>
      </c>
      <c r="B133" s="271"/>
      <c r="C133" s="271"/>
      <c r="D133" s="271"/>
      <c r="E133" s="271"/>
      <c r="F133" s="271"/>
      <c r="G133" s="139">
        <f t="shared" ref="G133:G160" si="26">SUM(B133:F133)</f>
        <v>0</v>
      </c>
      <c r="H133" s="180">
        <f t="shared" ref="H133:H160" si="27">B133*$N$1</f>
        <v>0</v>
      </c>
      <c r="I133" s="180">
        <f t="shared" ref="I133:I160" si="28">C133*$N$1</f>
        <v>0</v>
      </c>
      <c r="J133" s="180">
        <f t="shared" ref="J133:J160" si="29">D133*$N$1</f>
        <v>0</v>
      </c>
      <c r="K133" s="180">
        <f t="shared" ref="K133:K160" si="30">E133*$N$1</f>
        <v>0</v>
      </c>
      <c r="L133" s="180">
        <f t="shared" ref="L133:L160" si="31">F133*$N$1</f>
        <v>0</v>
      </c>
      <c r="M133" s="180">
        <f t="shared" ref="M133:M160" si="32">G133*$N$1</f>
        <v>0</v>
      </c>
      <c r="N133" s="50" t="s">
        <v>826</v>
      </c>
      <c r="O133" s="50" t="str">
        <f t="shared" ref="O133:O159" si="33">CONCATENATE(A133,N133)</f>
        <v>MT/50165Arha General Trading Co (AGT)</v>
      </c>
      <c r="P133" s="139" t="str" cm="1">
        <f t="array" ref="P133:S133">_xlfn.XLOOKUP(O133,Table4[Concate],Table4[[Group/Legder]:[Sub Category]],,0)</f>
        <v>Ledger</v>
      </c>
      <c r="Q133" s="139" t="str">
        <v>PL</v>
      </c>
      <c r="R133" s="158" t="str">
        <v>Direct Expenses</v>
      </c>
      <c r="S133" s="139" t="str">
        <v>Freight &amp; forwarding Charges</v>
      </c>
    </row>
    <row r="134" spans="1:19" ht="14.4">
      <c r="A134" s="323" t="s">
        <v>5</v>
      </c>
      <c r="B134" s="271"/>
      <c r="C134" s="271"/>
      <c r="D134" s="271"/>
      <c r="E134" s="271"/>
      <c r="F134" s="271"/>
      <c r="G134" s="139">
        <f t="shared" si="26"/>
        <v>0</v>
      </c>
      <c r="H134" s="180">
        <f t="shared" si="27"/>
        <v>0</v>
      </c>
      <c r="I134" s="180">
        <f t="shared" si="28"/>
        <v>0</v>
      </c>
      <c r="J134" s="180">
        <f t="shared" si="29"/>
        <v>0</v>
      </c>
      <c r="K134" s="180">
        <f t="shared" si="30"/>
        <v>0</v>
      </c>
      <c r="L134" s="180">
        <f t="shared" si="31"/>
        <v>0</v>
      </c>
      <c r="M134" s="180">
        <f t="shared" si="32"/>
        <v>0</v>
      </c>
      <c r="N134" s="50" t="s">
        <v>826</v>
      </c>
      <c r="O134" s="50" t="str">
        <f t="shared" si="33"/>
        <v>Office ExpensesArha General Trading Co (AGT)</v>
      </c>
      <c r="P134" s="139" t="str" cm="1">
        <f t="array" ref="P134:S134">_xlfn.XLOOKUP(O134,Table4[Concate],Table4[[Group/Legder]:[Sub Category]],,0)</f>
        <v>Ledger</v>
      </c>
      <c r="Q134" s="139" t="str">
        <v>PL</v>
      </c>
      <c r="R134" s="158" t="str">
        <v>Office Expenses</v>
      </c>
      <c r="S134" s="139" t="str">
        <v>Other Expenses</v>
      </c>
    </row>
    <row r="135" spans="1:19" ht="14.4">
      <c r="A135" s="323" t="s">
        <v>13</v>
      </c>
      <c r="B135" s="271"/>
      <c r="C135" s="271"/>
      <c r="D135" s="271"/>
      <c r="E135" s="271"/>
      <c r="F135" s="271"/>
      <c r="G135" s="139">
        <f t="shared" si="26"/>
        <v>0</v>
      </c>
      <c r="H135" s="180">
        <f t="shared" si="27"/>
        <v>0</v>
      </c>
      <c r="I135" s="180">
        <f t="shared" si="28"/>
        <v>0</v>
      </c>
      <c r="J135" s="180">
        <f t="shared" si="29"/>
        <v>0</v>
      </c>
      <c r="K135" s="180">
        <f t="shared" si="30"/>
        <v>0</v>
      </c>
      <c r="L135" s="180">
        <f t="shared" si="31"/>
        <v>0</v>
      </c>
      <c r="M135" s="180">
        <f t="shared" si="32"/>
        <v>0</v>
      </c>
      <c r="N135" s="50" t="s">
        <v>826</v>
      </c>
      <c r="O135" s="50" t="str">
        <f t="shared" si="33"/>
        <v>Other ExpensesArha General Trading Co (AGT)</v>
      </c>
      <c r="P135" s="139" t="str" cm="1">
        <f t="array" ref="P135:S135">_xlfn.XLOOKUP(O135,Table4[Concate],Table4[[Group/Legder]:[Sub Category]],,0)</f>
        <v>Ledger</v>
      </c>
      <c r="Q135" s="139" t="str">
        <v>PL</v>
      </c>
      <c r="R135" s="158" t="str">
        <v>Office Expenses</v>
      </c>
      <c r="S135" s="139" t="str">
        <v>Other Expenses</v>
      </c>
    </row>
    <row r="136" spans="1:19" ht="14.4">
      <c r="A136" s="323" t="s">
        <v>566</v>
      </c>
      <c r="B136" s="271"/>
      <c r="C136" s="271"/>
      <c r="D136" s="271"/>
      <c r="E136" s="271"/>
      <c r="F136" s="271"/>
      <c r="G136" s="139">
        <f t="shared" si="26"/>
        <v>0</v>
      </c>
      <c r="H136" s="180">
        <f t="shared" si="27"/>
        <v>0</v>
      </c>
      <c r="I136" s="180">
        <f t="shared" si="28"/>
        <v>0</v>
      </c>
      <c r="J136" s="180">
        <f t="shared" si="29"/>
        <v>0</v>
      </c>
      <c r="K136" s="180">
        <f t="shared" si="30"/>
        <v>0</v>
      </c>
      <c r="L136" s="180">
        <f t="shared" si="31"/>
        <v>0</v>
      </c>
      <c r="M136" s="180">
        <f t="shared" si="32"/>
        <v>0</v>
      </c>
      <c r="N136" s="50" t="s">
        <v>826</v>
      </c>
      <c r="O136" s="50" t="str">
        <f t="shared" si="33"/>
        <v>Petrol ExpensesArha General Trading Co (AGT)</v>
      </c>
      <c r="P136" s="139" t="str" cm="1">
        <f t="array" ref="P136:S136">_xlfn.XLOOKUP(O136,Table4[Concate],Table4[[Group/Legder]:[Sub Category]],,0)</f>
        <v>Ledger</v>
      </c>
      <c r="Q136" s="139" t="str">
        <v>PL</v>
      </c>
      <c r="R136" s="158" t="str">
        <v>Employee Costs</v>
      </c>
      <c r="S136" s="139" t="str">
        <v>Conveyance</v>
      </c>
    </row>
    <row r="137" spans="1:19" ht="14.4">
      <c r="A137" s="323" t="s">
        <v>535</v>
      </c>
      <c r="B137" s="271"/>
      <c r="C137" s="271"/>
      <c r="D137" s="271"/>
      <c r="E137" s="271"/>
      <c r="F137" s="271"/>
      <c r="G137" s="139">
        <f t="shared" si="26"/>
        <v>0</v>
      </c>
      <c r="H137" s="180">
        <f t="shared" si="27"/>
        <v>0</v>
      </c>
      <c r="I137" s="180">
        <f t="shared" si="28"/>
        <v>0</v>
      </c>
      <c r="J137" s="180">
        <f t="shared" si="29"/>
        <v>0</v>
      </c>
      <c r="K137" s="180">
        <f t="shared" si="30"/>
        <v>0</v>
      </c>
      <c r="L137" s="180">
        <f t="shared" si="31"/>
        <v>0</v>
      </c>
      <c r="M137" s="180">
        <f t="shared" si="32"/>
        <v>0</v>
      </c>
      <c r="N137" s="50" t="s">
        <v>826</v>
      </c>
      <c r="O137" s="50" t="str">
        <f t="shared" si="33"/>
        <v>Postage and Courier ChargesArha General Trading Co (AGT)</v>
      </c>
      <c r="P137" s="139" t="str" cm="1">
        <f t="array" ref="P137:S137">_xlfn.XLOOKUP(O137,Table4[Concate],Table4[[Group/Legder]:[Sub Category]],,0)</f>
        <v>Ledger</v>
      </c>
      <c r="Q137" s="139" t="str">
        <v>PL</v>
      </c>
      <c r="R137" s="158" t="str">
        <v>Cash and bank balances</v>
      </c>
      <c r="S137" s="139" t="str">
        <v>Other</v>
      </c>
    </row>
    <row r="138" spans="1:19" ht="14.4">
      <c r="A138" s="323" t="s">
        <v>804</v>
      </c>
      <c r="B138" s="271"/>
      <c r="C138" s="271"/>
      <c r="D138" s="271"/>
      <c r="E138" s="271"/>
      <c r="F138" s="271"/>
      <c r="G138" s="139">
        <f t="shared" si="26"/>
        <v>0</v>
      </c>
      <c r="H138" s="180">
        <f t="shared" si="27"/>
        <v>0</v>
      </c>
      <c r="I138" s="180">
        <f t="shared" si="28"/>
        <v>0</v>
      </c>
      <c r="J138" s="180">
        <f t="shared" si="29"/>
        <v>0</v>
      </c>
      <c r="K138" s="180">
        <f t="shared" si="30"/>
        <v>0</v>
      </c>
      <c r="L138" s="180">
        <f t="shared" si="31"/>
        <v>0</v>
      </c>
      <c r="M138" s="180">
        <f t="shared" si="32"/>
        <v>0</v>
      </c>
      <c r="N138" s="50" t="s">
        <v>826</v>
      </c>
      <c r="O138" s="50" t="str">
        <f t="shared" si="33"/>
        <v>PP Bags ExpensesArha General Trading Co (AGT)</v>
      </c>
      <c r="P138" s="139" t="str" cm="1">
        <f t="array" ref="P138:S138">_xlfn.XLOOKUP(O138,Table4[Concate],Table4[[Group/Legder]:[Sub Category]],,0)</f>
        <v>Ledger</v>
      </c>
      <c r="Q138" s="139" t="str">
        <v>PL</v>
      </c>
      <c r="R138" s="158" t="str">
        <v>Direct Expenses</v>
      </c>
      <c r="S138" s="139" t="str">
        <v>Cleaning &amp; Packing</v>
      </c>
    </row>
    <row r="139" spans="1:19" ht="14.4">
      <c r="A139" s="323" t="s">
        <v>33</v>
      </c>
      <c r="B139" s="271"/>
      <c r="C139" s="271"/>
      <c r="D139" s="271"/>
      <c r="E139" s="271"/>
      <c r="F139" s="271"/>
      <c r="G139" s="139">
        <f t="shared" si="26"/>
        <v>0</v>
      </c>
      <c r="H139" s="180">
        <f t="shared" si="27"/>
        <v>0</v>
      </c>
      <c r="I139" s="180">
        <f t="shared" si="28"/>
        <v>0</v>
      </c>
      <c r="J139" s="180">
        <f t="shared" si="29"/>
        <v>0</v>
      </c>
      <c r="K139" s="180">
        <f t="shared" si="30"/>
        <v>0</v>
      </c>
      <c r="L139" s="180">
        <f t="shared" si="31"/>
        <v>0</v>
      </c>
      <c r="M139" s="180">
        <f t="shared" si="32"/>
        <v>0</v>
      </c>
      <c r="N139" s="50" t="s">
        <v>826</v>
      </c>
      <c r="O139" s="50" t="str">
        <f t="shared" si="33"/>
        <v>Printing and StationeryArha General Trading Co (AGT)</v>
      </c>
      <c r="P139" s="139" t="str" cm="1">
        <f t="array" ref="P139:S139">_xlfn.XLOOKUP(O139,Table4[Concate],Table4[[Group/Legder]:[Sub Category]],,0)</f>
        <v>Ledger</v>
      </c>
      <c r="Q139" s="139" t="str">
        <v>PL</v>
      </c>
      <c r="R139" s="158" t="str">
        <v>Office Expenses</v>
      </c>
      <c r="S139" s="139" t="str">
        <v>Printing and Stationery</v>
      </c>
    </row>
    <row r="140" spans="1:19" ht="14.4">
      <c r="A140" s="323" t="s">
        <v>114</v>
      </c>
      <c r="B140" s="271"/>
      <c r="C140" s="271"/>
      <c r="D140" s="271"/>
      <c r="E140" s="271"/>
      <c r="F140" s="271"/>
      <c r="G140" s="139">
        <f t="shared" si="26"/>
        <v>0</v>
      </c>
      <c r="H140" s="180">
        <f t="shared" si="27"/>
        <v>0</v>
      </c>
      <c r="I140" s="180">
        <f t="shared" si="28"/>
        <v>0</v>
      </c>
      <c r="J140" s="180">
        <f t="shared" si="29"/>
        <v>0</v>
      </c>
      <c r="K140" s="180">
        <f t="shared" si="30"/>
        <v>0</v>
      </c>
      <c r="L140" s="180">
        <f t="shared" si="31"/>
        <v>0</v>
      </c>
      <c r="M140" s="180">
        <f t="shared" si="32"/>
        <v>0</v>
      </c>
      <c r="N140" s="50" t="s">
        <v>826</v>
      </c>
      <c r="O140" s="50" t="str">
        <f t="shared" si="33"/>
        <v>Professional FeesArha General Trading Co (AGT)</v>
      </c>
      <c r="P140" s="139" t="str" cm="1">
        <f t="array" ref="P140:S140">_xlfn.XLOOKUP(O140,Table4[Concate],Table4[[Group/Legder]:[Sub Category]],,0)</f>
        <v>Ledger</v>
      </c>
      <c r="Q140" s="139" t="str">
        <v>PL</v>
      </c>
      <c r="R140" s="158" t="str">
        <v>Legal &amp; Professional Fees</v>
      </c>
      <c r="S140" s="139" t="str">
        <v>Professional Fees</v>
      </c>
    </row>
    <row r="141" spans="1:19" ht="14.4">
      <c r="A141" s="323" t="s">
        <v>2471</v>
      </c>
      <c r="B141" s="271"/>
      <c r="C141" s="271"/>
      <c r="D141" s="271"/>
      <c r="E141" s="271"/>
      <c r="F141" s="271"/>
      <c r="G141" s="139">
        <f t="shared" si="26"/>
        <v>0</v>
      </c>
      <c r="H141" s="180">
        <f t="shared" si="27"/>
        <v>0</v>
      </c>
      <c r="I141" s="180">
        <f t="shared" si="28"/>
        <v>0</v>
      </c>
      <c r="J141" s="180">
        <f t="shared" si="29"/>
        <v>0</v>
      </c>
      <c r="K141" s="180">
        <f t="shared" si="30"/>
        <v>0</v>
      </c>
      <c r="L141" s="180">
        <f t="shared" si="31"/>
        <v>0</v>
      </c>
      <c r="M141" s="180">
        <f t="shared" si="32"/>
        <v>0</v>
      </c>
      <c r="N141" s="50" t="s">
        <v>826</v>
      </c>
      <c r="O141" s="50" t="str">
        <f t="shared" si="33"/>
        <v>Rate DifferenceArha General Trading Co (AGT)</v>
      </c>
      <c r="P141" s="139" t="str" cm="1">
        <f t="array" ref="P141:S141">_xlfn.XLOOKUP(O141,Table4[Concate],Table4[[Group/Legder]:[Sub Category]],,0)</f>
        <v>Ledger</v>
      </c>
      <c r="Q141" s="139" t="str">
        <v>PL</v>
      </c>
      <c r="R141" s="158" t="str">
        <v>Office Expenses</v>
      </c>
      <c r="S141" s="139" t="str">
        <v>Other Expenses</v>
      </c>
    </row>
    <row r="142" spans="1:19" ht="14.4">
      <c r="A142" s="323" t="s">
        <v>342</v>
      </c>
      <c r="B142" s="271"/>
      <c r="C142" s="271"/>
      <c r="D142" s="271"/>
      <c r="E142" s="271"/>
      <c r="F142" s="271"/>
      <c r="G142" s="139">
        <f t="shared" si="26"/>
        <v>0</v>
      </c>
      <c r="H142" s="180">
        <f t="shared" si="27"/>
        <v>0</v>
      </c>
      <c r="I142" s="180">
        <f t="shared" si="28"/>
        <v>0</v>
      </c>
      <c r="J142" s="180">
        <f t="shared" si="29"/>
        <v>0</v>
      </c>
      <c r="K142" s="180">
        <f t="shared" si="30"/>
        <v>0</v>
      </c>
      <c r="L142" s="180">
        <f t="shared" si="31"/>
        <v>0</v>
      </c>
      <c r="M142" s="180">
        <f t="shared" si="32"/>
        <v>0</v>
      </c>
      <c r="N142" s="50" t="s">
        <v>826</v>
      </c>
      <c r="O142" s="50" t="str">
        <f t="shared" si="33"/>
        <v>Rates and TaxesArha General Trading Co (AGT)</v>
      </c>
      <c r="P142" s="139" t="str" cm="1">
        <f t="array" ref="P142:S142">_xlfn.XLOOKUP(O142,Table4[Concate],Table4[[Group/Legder]:[Sub Category]],,0)</f>
        <v>Ledger</v>
      </c>
      <c r="Q142" s="139" t="str">
        <v>PL</v>
      </c>
      <c r="R142" s="158" t="str">
        <v>Office Expenses</v>
      </c>
      <c r="S142" s="139" t="str">
        <v>Rates and Taxes</v>
      </c>
    </row>
    <row r="143" spans="1:19" ht="14.4">
      <c r="A143" s="323" t="s">
        <v>2178</v>
      </c>
      <c r="B143" s="271"/>
      <c r="C143" s="271"/>
      <c r="D143" s="271"/>
      <c r="E143" s="271"/>
      <c r="F143" s="271"/>
      <c r="G143" s="139">
        <f t="shared" si="26"/>
        <v>0</v>
      </c>
      <c r="H143" s="180">
        <f t="shared" si="27"/>
        <v>0</v>
      </c>
      <c r="I143" s="180">
        <f t="shared" si="28"/>
        <v>0</v>
      </c>
      <c r="J143" s="180">
        <f t="shared" si="29"/>
        <v>0</v>
      </c>
      <c r="K143" s="180">
        <f t="shared" si="30"/>
        <v>0</v>
      </c>
      <c r="L143" s="180">
        <f t="shared" si="31"/>
        <v>0</v>
      </c>
      <c r="M143" s="180">
        <f t="shared" si="32"/>
        <v>0</v>
      </c>
      <c r="N143" s="50" t="s">
        <v>826</v>
      </c>
      <c r="O143" s="50" t="str">
        <f t="shared" si="33"/>
        <v>Repair and Maintenance ChgArha General Trading Co (AGT)</v>
      </c>
      <c r="P143" s="139" t="str" cm="1">
        <f t="array" ref="P143:S143">_xlfn.XLOOKUP(O143,Table4[Concate],Table4[[Group/Legder]:[Sub Category]],,0)</f>
        <v>Ledger</v>
      </c>
      <c r="Q143" s="139" t="str">
        <v>PL</v>
      </c>
      <c r="R143" s="158" t="str">
        <v>Office Expenses</v>
      </c>
      <c r="S143" s="139" t="str">
        <v>Other Expenses</v>
      </c>
    </row>
    <row r="144" spans="1:19" ht="14.4">
      <c r="A144" s="323" t="s">
        <v>2180</v>
      </c>
      <c r="B144" s="271"/>
      <c r="C144" s="271"/>
      <c r="D144" s="271"/>
      <c r="E144" s="271"/>
      <c r="F144" s="271"/>
      <c r="G144" s="139">
        <f t="shared" si="26"/>
        <v>0</v>
      </c>
      <c r="H144" s="180">
        <f t="shared" si="27"/>
        <v>0</v>
      </c>
      <c r="I144" s="180">
        <f t="shared" si="28"/>
        <v>0</v>
      </c>
      <c r="J144" s="180">
        <f t="shared" si="29"/>
        <v>0</v>
      </c>
      <c r="K144" s="180">
        <f t="shared" si="30"/>
        <v>0</v>
      </c>
      <c r="L144" s="180">
        <f t="shared" si="31"/>
        <v>0</v>
      </c>
      <c r="M144" s="180">
        <f t="shared" si="32"/>
        <v>0</v>
      </c>
      <c r="N144" s="50" t="s">
        <v>826</v>
      </c>
      <c r="O144" s="50" t="str">
        <f t="shared" si="33"/>
        <v>RIC-0283Arha General Trading Co (AGT)</v>
      </c>
      <c r="P144" s="139" t="str" cm="1">
        <f t="array" ref="P144:S144">_xlfn.XLOOKUP(O144,Table4[Concate],Table4[[Group/Legder]:[Sub Category]],,0)</f>
        <v>Ledger</v>
      </c>
      <c r="Q144" s="139" t="str">
        <v>PL</v>
      </c>
      <c r="R144" s="158" t="str">
        <v>Direct Expenses</v>
      </c>
      <c r="S144" s="139" t="str">
        <v>Freight &amp; forwarding Charges</v>
      </c>
    </row>
    <row r="145" spans="1:19" ht="14.4">
      <c r="A145" s="323" t="s">
        <v>565</v>
      </c>
      <c r="B145" s="271"/>
      <c r="C145" s="271"/>
      <c r="D145" s="271"/>
      <c r="E145" s="271"/>
      <c r="F145" s="271"/>
      <c r="G145" s="139">
        <f t="shared" si="26"/>
        <v>0</v>
      </c>
      <c r="H145" s="180">
        <f t="shared" si="27"/>
        <v>0</v>
      </c>
      <c r="I145" s="180">
        <f t="shared" si="28"/>
        <v>0</v>
      </c>
      <c r="J145" s="180">
        <f t="shared" si="29"/>
        <v>0</v>
      </c>
      <c r="K145" s="180">
        <f t="shared" si="30"/>
        <v>0</v>
      </c>
      <c r="L145" s="180">
        <f t="shared" si="31"/>
        <v>0</v>
      </c>
      <c r="M145" s="180">
        <f t="shared" si="32"/>
        <v>0</v>
      </c>
      <c r="N145" s="50" t="s">
        <v>826</v>
      </c>
      <c r="O145" s="50" t="str">
        <f t="shared" si="33"/>
        <v>Car Rental ChargesArha General Trading Co (AGT)</v>
      </c>
      <c r="P145" s="139" t="str" cm="1">
        <f t="array" ref="P145:S145">_xlfn.XLOOKUP(O145,Table4[Concate],Table4[[Group/Legder]:[Sub Category]],,0)</f>
        <v>Ledger</v>
      </c>
      <c r="Q145" s="139" t="str">
        <v>PL</v>
      </c>
      <c r="R145" s="158" t="str">
        <v>Employee Costs</v>
      </c>
      <c r="S145" s="139" t="str">
        <v>Salaries*</v>
      </c>
    </row>
    <row r="146" spans="1:19" ht="14.4">
      <c r="A146" s="323" t="s">
        <v>718</v>
      </c>
      <c r="B146" s="271"/>
      <c r="C146" s="271"/>
      <c r="D146" s="271"/>
      <c r="E146" s="271"/>
      <c r="F146" s="271"/>
      <c r="G146" s="139">
        <f t="shared" si="26"/>
        <v>0</v>
      </c>
      <c r="H146" s="180">
        <f t="shared" si="27"/>
        <v>0</v>
      </c>
      <c r="I146" s="180">
        <f t="shared" si="28"/>
        <v>0</v>
      </c>
      <c r="J146" s="180">
        <f t="shared" si="29"/>
        <v>0</v>
      </c>
      <c r="K146" s="180">
        <f t="shared" si="30"/>
        <v>0</v>
      </c>
      <c r="L146" s="180">
        <f t="shared" si="31"/>
        <v>0</v>
      </c>
      <c r="M146" s="180">
        <f t="shared" si="32"/>
        <v>0</v>
      </c>
      <c r="N146" s="50" t="s">
        <v>826</v>
      </c>
      <c r="O146" s="50" t="str">
        <f t="shared" si="33"/>
        <v>Employee Reimbursements ExpArha General Trading Co (AGT)</v>
      </c>
      <c r="P146" s="139" t="str" cm="1">
        <f t="array" ref="P146:S146">_xlfn.XLOOKUP(O146,Table4[Concate],Table4[[Group/Legder]:[Sub Category]],,0)</f>
        <v>Ledger</v>
      </c>
      <c r="Q146" s="139" t="str">
        <v>PL</v>
      </c>
      <c r="R146" s="158" t="str">
        <v>Employee Costs</v>
      </c>
      <c r="S146" s="139" t="str">
        <v>Salaries*</v>
      </c>
    </row>
    <row r="147" spans="1:19" ht="14.4">
      <c r="A147" s="323" t="s">
        <v>2472</v>
      </c>
      <c r="B147" s="271"/>
      <c r="C147" s="271"/>
      <c r="D147" s="271"/>
      <c r="E147" s="271"/>
      <c r="F147" s="271"/>
      <c r="G147" s="139">
        <f t="shared" si="26"/>
        <v>0</v>
      </c>
      <c r="H147" s="180">
        <f t="shared" si="27"/>
        <v>0</v>
      </c>
      <c r="I147" s="180">
        <f t="shared" si="28"/>
        <v>0</v>
      </c>
      <c r="J147" s="180">
        <f t="shared" si="29"/>
        <v>0</v>
      </c>
      <c r="K147" s="180">
        <f t="shared" si="30"/>
        <v>0</v>
      </c>
      <c r="L147" s="180">
        <f t="shared" si="31"/>
        <v>0</v>
      </c>
      <c r="M147" s="180">
        <f t="shared" si="32"/>
        <v>0</v>
      </c>
      <c r="N147" s="50" t="s">
        <v>826</v>
      </c>
      <c r="O147" s="50" t="str">
        <f t="shared" si="33"/>
        <v>Petrol Expenses (Salary)Arha General Trading Co (AGT)</v>
      </c>
      <c r="P147" s="139" t="str" cm="1">
        <f t="array" ref="P147:S147">_xlfn.XLOOKUP(O147,Table4[Concate],Table4[[Group/Legder]:[Sub Category]],,0)</f>
        <v>Ledger</v>
      </c>
      <c r="Q147" s="139" t="str">
        <v>PL</v>
      </c>
      <c r="R147" s="158" t="str">
        <v>Employee Costs</v>
      </c>
      <c r="S147" s="139" t="str">
        <v>Salaries*</v>
      </c>
    </row>
    <row r="148" spans="1:19" ht="14.4">
      <c r="A148" s="323" t="s">
        <v>2473</v>
      </c>
      <c r="B148" s="271"/>
      <c r="C148" s="271"/>
      <c r="D148" s="271"/>
      <c r="E148" s="271"/>
      <c r="F148" s="271"/>
      <c r="G148" s="139">
        <f t="shared" si="26"/>
        <v>0</v>
      </c>
      <c r="H148" s="180">
        <f t="shared" si="27"/>
        <v>0</v>
      </c>
      <c r="I148" s="180">
        <f t="shared" si="28"/>
        <v>0</v>
      </c>
      <c r="J148" s="180">
        <f t="shared" si="29"/>
        <v>0</v>
      </c>
      <c r="K148" s="180">
        <f t="shared" si="30"/>
        <v>0</v>
      </c>
      <c r="L148" s="180">
        <f t="shared" si="31"/>
        <v>0</v>
      </c>
      <c r="M148" s="180">
        <f t="shared" si="32"/>
        <v>0</v>
      </c>
      <c r="N148" s="50" t="s">
        <v>826</v>
      </c>
      <c r="O148" s="50" t="str">
        <f t="shared" si="33"/>
        <v>Salary and WagesArha General Trading Co (AGT)</v>
      </c>
      <c r="P148" s="139" t="str" cm="1">
        <f t="array" ref="P148:S148">_xlfn.XLOOKUP(O148,Table4[Concate],Table4[[Group/Legder]:[Sub Category]],,0)</f>
        <v>Ledger</v>
      </c>
      <c r="Q148" s="139" t="str">
        <v>PL</v>
      </c>
      <c r="R148" s="158" t="str">
        <v>Employee Costs</v>
      </c>
      <c r="S148" s="139" t="str">
        <v>Salaries*</v>
      </c>
    </row>
    <row r="149" spans="1:19" ht="14.4">
      <c r="A149" s="323" t="s">
        <v>2474</v>
      </c>
      <c r="B149" s="271"/>
      <c r="C149" s="271"/>
      <c r="D149" s="271"/>
      <c r="E149" s="271"/>
      <c r="F149" s="271"/>
      <c r="G149" s="139">
        <f t="shared" si="26"/>
        <v>0</v>
      </c>
      <c r="H149" s="180">
        <f t="shared" si="27"/>
        <v>0</v>
      </c>
      <c r="I149" s="180">
        <f t="shared" si="28"/>
        <v>0</v>
      </c>
      <c r="J149" s="180">
        <f t="shared" si="29"/>
        <v>0</v>
      </c>
      <c r="K149" s="180">
        <f t="shared" si="30"/>
        <v>0</v>
      </c>
      <c r="L149" s="180">
        <f t="shared" si="31"/>
        <v>0</v>
      </c>
      <c r="M149" s="180">
        <f t="shared" si="32"/>
        <v>0</v>
      </c>
      <c r="N149" s="50" t="s">
        <v>826</v>
      </c>
      <c r="O149" s="50" t="str">
        <f t="shared" si="33"/>
        <v>Sales Promotion (Gift Voucher)Arha General Trading Co (AGT)</v>
      </c>
      <c r="P149" s="139" t="str" cm="1">
        <f t="array" ref="P149:S149">_xlfn.XLOOKUP(O149,Table4[Concate],Table4[[Group/Legder]:[Sub Category]],,0)</f>
        <v>Ledger</v>
      </c>
      <c r="Q149" s="139" t="str">
        <v>PL</v>
      </c>
      <c r="R149" s="158" t="str">
        <v>Direct Expenses</v>
      </c>
      <c r="S149" s="139" t="str">
        <v>Freight &amp; forwarding Charges</v>
      </c>
    </row>
    <row r="150" spans="1:19" ht="14.4">
      <c r="A150" s="323" t="s">
        <v>2475</v>
      </c>
      <c r="B150" s="271"/>
      <c r="C150" s="271"/>
      <c r="D150" s="271"/>
      <c r="E150" s="271"/>
      <c r="F150" s="271"/>
      <c r="G150" s="139">
        <f t="shared" si="26"/>
        <v>0</v>
      </c>
      <c r="H150" s="180">
        <f t="shared" si="27"/>
        <v>0</v>
      </c>
      <c r="I150" s="180">
        <f t="shared" si="28"/>
        <v>0</v>
      </c>
      <c r="J150" s="180">
        <f t="shared" si="29"/>
        <v>0</v>
      </c>
      <c r="K150" s="180">
        <f t="shared" si="30"/>
        <v>0</v>
      </c>
      <c r="L150" s="180">
        <f t="shared" si="31"/>
        <v>0</v>
      </c>
      <c r="M150" s="180">
        <f t="shared" si="32"/>
        <v>0</v>
      </c>
      <c r="N150" s="50" t="s">
        <v>826</v>
      </c>
      <c r="O150" s="50" t="str">
        <f t="shared" si="33"/>
        <v>SM/06/26-27Arha General Trading Co (AGT)</v>
      </c>
      <c r="P150" s="139" t="str" cm="1">
        <f t="array" ref="P150:S150">_xlfn.XLOOKUP(O150,Table4[Concate],Table4[[Group/Legder]:[Sub Category]],,0)</f>
        <v>Ledger</v>
      </c>
      <c r="Q150" s="139" t="str">
        <v>PL</v>
      </c>
      <c r="R150" s="158" t="str">
        <v>Direct Expenses</v>
      </c>
      <c r="S150" s="139" t="str">
        <v>Freight &amp; forwarding Charges</v>
      </c>
    </row>
    <row r="151" spans="1:19" ht="14.4">
      <c r="A151" s="323" t="s">
        <v>2476</v>
      </c>
      <c r="B151" s="271"/>
      <c r="C151" s="271"/>
      <c r="D151" s="271"/>
      <c r="E151" s="271"/>
      <c r="F151" s="271"/>
      <c r="G151" s="139">
        <f t="shared" si="26"/>
        <v>0</v>
      </c>
      <c r="H151" s="180">
        <f t="shared" si="27"/>
        <v>0</v>
      </c>
      <c r="I151" s="180">
        <f t="shared" si="28"/>
        <v>0</v>
      </c>
      <c r="J151" s="180">
        <f t="shared" si="29"/>
        <v>0</v>
      </c>
      <c r="K151" s="180">
        <f t="shared" si="30"/>
        <v>0</v>
      </c>
      <c r="L151" s="180">
        <f t="shared" si="31"/>
        <v>0</v>
      </c>
      <c r="M151" s="180">
        <f t="shared" si="32"/>
        <v>0</v>
      </c>
      <c r="N151" s="50" t="s">
        <v>826</v>
      </c>
      <c r="O151" s="50" t="str">
        <f t="shared" si="33"/>
        <v>Staff Welfare expArha General Trading Co (AGT)</v>
      </c>
      <c r="P151" s="139" t="str" cm="1">
        <f t="array" ref="P151:S151">_xlfn.XLOOKUP(O151,Table4[Concate],Table4[[Group/Legder]:[Sub Category]],,0)</f>
        <v>Ledger</v>
      </c>
      <c r="Q151" s="139" t="str">
        <v>PL</v>
      </c>
      <c r="R151" s="158" t="str">
        <v>Employee Costs</v>
      </c>
      <c r="S151" s="139" t="str">
        <v>Staff Welfare</v>
      </c>
    </row>
    <row r="152" spans="1:19" ht="14.4">
      <c r="A152" s="323" t="s">
        <v>450</v>
      </c>
      <c r="B152" s="271"/>
      <c r="C152" s="271"/>
      <c r="D152" s="271"/>
      <c r="E152" s="271"/>
      <c r="F152" s="271"/>
      <c r="G152" s="139">
        <f t="shared" si="26"/>
        <v>0</v>
      </c>
      <c r="H152" s="180">
        <f t="shared" si="27"/>
        <v>0</v>
      </c>
      <c r="I152" s="180">
        <f t="shared" si="28"/>
        <v>0</v>
      </c>
      <c r="J152" s="180">
        <f t="shared" si="29"/>
        <v>0</v>
      </c>
      <c r="K152" s="180">
        <f t="shared" si="30"/>
        <v>0</v>
      </c>
      <c r="L152" s="180">
        <f t="shared" si="31"/>
        <v>0</v>
      </c>
      <c r="M152" s="180">
        <f t="shared" si="32"/>
        <v>0</v>
      </c>
      <c r="N152" s="50" t="s">
        <v>826</v>
      </c>
      <c r="O152" s="50" t="str">
        <f t="shared" si="33"/>
        <v>Telephone ExpenseArha General Trading Co (AGT)</v>
      </c>
      <c r="P152" s="139" t="str" cm="1">
        <f t="array" ref="P152:S152">_xlfn.XLOOKUP(O152,Table4[Concate],Table4[[Group/Legder]:[Sub Category]],,0)</f>
        <v>Ledger</v>
      </c>
      <c r="Q152" s="139" t="str">
        <v>PL</v>
      </c>
      <c r="R152" s="158" t="str">
        <v>Office Expenses</v>
      </c>
      <c r="S152" s="139" t="str">
        <v>Telephone Expenses</v>
      </c>
    </row>
    <row r="153" spans="1:19" ht="14.4">
      <c r="A153" s="323" t="s">
        <v>776</v>
      </c>
      <c r="B153" s="271"/>
      <c r="C153" s="271"/>
      <c r="D153" s="271"/>
      <c r="E153" s="271"/>
      <c r="F153" s="271"/>
      <c r="G153" s="139">
        <f t="shared" si="26"/>
        <v>0</v>
      </c>
      <c r="H153" s="180">
        <f t="shared" si="27"/>
        <v>0</v>
      </c>
      <c r="I153" s="180">
        <f t="shared" si="28"/>
        <v>0</v>
      </c>
      <c r="J153" s="180">
        <f t="shared" si="29"/>
        <v>0</v>
      </c>
      <c r="K153" s="180">
        <f t="shared" si="30"/>
        <v>0</v>
      </c>
      <c r="L153" s="180">
        <f t="shared" si="31"/>
        <v>0</v>
      </c>
      <c r="M153" s="180">
        <f t="shared" si="32"/>
        <v>0</v>
      </c>
      <c r="N153" s="50" t="s">
        <v>826</v>
      </c>
      <c r="O153" s="50" t="str">
        <f t="shared" si="33"/>
        <v>Toll &amp; Parking ChargesArha General Trading Co (AGT)</v>
      </c>
      <c r="P153" s="139" t="str" cm="1">
        <f t="array" ref="P153:S153">_xlfn.XLOOKUP(O153,Table4[Concate],Table4[[Group/Legder]:[Sub Category]],,0)</f>
        <v>Ledger</v>
      </c>
      <c r="Q153" s="139" t="str">
        <v>PL</v>
      </c>
      <c r="R153" s="158" t="str">
        <v>Office Expenses</v>
      </c>
      <c r="S153" s="139" t="str">
        <v>Other</v>
      </c>
    </row>
    <row r="154" spans="1:19" ht="14.4">
      <c r="A154" s="323" t="s">
        <v>652</v>
      </c>
      <c r="B154" s="271"/>
      <c r="C154" s="271"/>
      <c r="D154" s="271"/>
      <c r="E154" s="271"/>
      <c r="F154" s="271"/>
      <c r="G154" s="139">
        <f t="shared" si="26"/>
        <v>0</v>
      </c>
      <c r="H154" s="180">
        <f t="shared" si="27"/>
        <v>0</v>
      </c>
      <c r="I154" s="180">
        <f t="shared" si="28"/>
        <v>0</v>
      </c>
      <c r="J154" s="180">
        <f t="shared" si="29"/>
        <v>0</v>
      </c>
      <c r="K154" s="180">
        <f t="shared" si="30"/>
        <v>0</v>
      </c>
      <c r="L154" s="180">
        <f t="shared" si="31"/>
        <v>0</v>
      </c>
      <c r="M154" s="180">
        <f t="shared" si="32"/>
        <v>0</v>
      </c>
      <c r="N154" s="50" t="s">
        <v>826</v>
      </c>
      <c r="O154" s="50" t="str">
        <f t="shared" si="33"/>
        <v>TransportationArha General Trading Co (AGT)</v>
      </c>
      <c r="P154" s="139" t="str" cm="1">
        <f t="array" ref="P154:S154">_xlfn.XLOOKUP(O154,Table4[Concate],Table4[[Group/Legder]:[Sub Category]],,0)</f>
        <v>Ledger</v>
      </c>
      <c r="Q154" s="139" t="str">
        <v>PL</v>
      </c>
      <c r="R154" s="158" t="str">
        <v>Direct Expenses</v>
      </c>
      <c r="S154" s="139" t="str">
        <v>Transportation Charges</v>
      </c>
    </row>
    <row r="155" spans="1:19" ht="14.4">
      <c r="A155" s="323" t="s">
        <v>999</v>
      </c>
      <c r="B155" s="271"/>
      <c r="C155" s="271"/>
      <c r="D155" s="271"/>
      <c r="E155" s="271"/>
      <c r="F155" s="271"/>
      <c r="G155" s="139">
        <f t="shared" si="26"/>
        <v>0</v>
      </c>
      <c r="H155" s="180">
        <f t="shared" si="27"/>
        <v>0</v>
      </c>
      <c r="I155" s="180">
        <f t="shared" si="28"/>
        <v>0</v>
      </c>
      <c r="J155" s="180">
        <f t="shared" si="29"/>
        <v>0</v>
      </c>
      <c r="K155" s="180">
        <f t="shared" si="30"/>
        <v>0</v>
      </c>
      <c r="L155" s="180">
        <f t="shared" si="31"/>
        <v>0</v>
      </c>
      <c r="M155" s="180">
        <f t="shared" si="32"/>
        <v>0</v>
      </c>
      <c r="N155" s="50" t="s">
        <v>826</v>
      </c>
      <c r="O155" s="50" t="str">
        <f t="shared" si="33"/>
        <v>Warehouse ExpensesArha General Trading Co (AGT)</v>
      </c>
      <c r="P155" s="139" t="str" cm="1">
        <f t="array" ref="P155:S155">_xlfn.XLOOKUP(O155,Table4[Concate],Table4[[Group/Legder]:[Sub Category]],,0)</f>
        <v>Ledger</v>
      </c>
      <c r="Q155" s="139" t="str">
        <v>PL</v>
      </c>
      <c r="R155" s="158" t="str">
        <v>Direct Expenses</v>
      </c>
      <c r="S155" s="139" t="str">
        <v>Warehouse Rent</v>
      </c>
    </row>
    <row r="156" spans="1:19" ht="14.4">
      <c r="A156" s="323" t="s">
        <v>2245</v>
      </c>
      <c r="B156" s="271"/>
      <c r="C156" s="271"/>
      <c r="D156" s="271"/>
      <c r="E156" s="271"/>
      <c r="F156" s="271"/>
      <c r="G156" s="139">
        <f t="shared" si="26"/>
        <v>0</v>
      </c>
      <c r="H156" s="180">
        <f t="shared" si="27"/>
        <v>0</v>
      </c>
      <c r="I156" s="180">
        <f t="shared" si="28"/>
        <v>0</v>
      </c>
      <c r="J156" s="180">
        <f t="shared" si="29"/>
        <v>0</v>
      </c>
      <c r="K156" s="180">
        <f t="shared" si="30"/>
        <v>0</v>
      </c>
      <c r="L156" s="180">
        <f t="shared" si="31"/>
        <v>0</v>
      </c>
      <c r="M156" s="180">
        <f t="shared" si="32"/>
        <v>0</v>
      </c>
      <c r="N156" s="50" t="s">
        <v>826</v>
      </c>
      <c r="O156" s="50" t="str">
        <f t="shared" si="33"/>
        <v>Warehouse InsuranceArha General Trading Co (AGT)</v>
      </c>
      <c r="P156" s="139" t="str" cm="1">
        <f t="array" ref="P156:S156">_xlfn.XLOOKUP(O156,Table4[Concate],Table4[[Group/Legder]:[Sub Category]],,0)</f>
        <v>Ledger</v>
      </c>
      <c r="Q156" s="139" t="str">
        <v>PL</v>
      </c>
      <c r="R156" s="158" t="str">
        <v>Office Expenses</v>
      </c>
      <c r="S156" s="139" t="str">
        <v>Insurance Charges</v>
      </c>
    </row>
    <row r="157" spans="1:19">
      <c r="A157" s="324" t="s">
        <v>2477</v>
      </c>
      <c r="G157" s="139">
        <f t="shared" si="26"/>
        <v>0</v>
      </c>
      <c r="H157" s="180">
        <f t="shared" si="27"/>
        <v>0</v>
      </c>
      <c r="I157" s="180">
        <f t="shared" si="28"/>
        <v>0</v>
      </c>
      <c r="J157" s="180">
        <f t="shared" si="29"/>
        <v>0</v>
      </c>
      <c r="K157" s="180">
        <f t="shared" si="30"/>
        <v>0</v>
      </c>
      <c r="L157" s="180">
        <f t="shared" si="31"/>
        <v>0</v>
      </c>
      <c r="M157" s="180">
        <f t="shared" si="32"/>
        <v>0</v>
      </c>
      <c r="N157" s="50" t="s">
        <v>826</v>
      </c>
      <c r="O157" s="50" t="str">
        <f t="shared" si="33"/>
        <v>Warehouse Municipal ChargesArha General Trading Co (AGT)</v>
      </c>
      <c r="P157" s="139" t="str" cm="1">
        <f t="array" ref="P157:S157">_xlfn.XLOOKUP(O157,Table4[Concate],Table4[[Group/Legder]:[Sub Category]],,0)</f>
        <v>Ledger</v>
      </c>
      <c r="Q157" s="139" t="str">
        <v>PL</v>
      </c>
      <c r="R157" s="158" t="str">
        <v>Office Expenses</v>
      </c>
      <c r="S157" s="139" t="str">
        <v>Other Expenses</v>
      </c>
    </row>
    <row r="158" spans="1:19">
      <c r="A158" s="324" t="s">
        <v>2478</v>
      </c>
      <c r="G158" s="139">
        <f t="shared" si="26"/>
        <v>0</v>
      </c>
      <c r="H158" s="180">
        <f t="shared" si="27"/>
        <v>0</v>
      </c>
      <c r="I158" s="180">
        <f t="shared" si="28"/>
        <v>0</v>
      </c>
      <c r="J158" s="180">
        <f t="shared" si="29"/>
        <v>0</v>
      </c>
      <c r="K158" s="180">
        <f t="shared" si="30"/>
        <v>0</v>
      </c>
      <c r="L158" s="180">
        <f t="shared" si="31"/>
        <v>0</v>
      </c>
      <c r="M158" s="180">
        <f t="shared" si="32"/>
        <v>0</v>
      </c>
      <c r="N158" s="50" t="s">
        <v>826</v>
      </c>
      <c r="O158" s="50" t="str">
        <f t="shared" si="33"/>
        <v>Wastage ExpensesArha General Trading Co (AGT)</v>
      </c>
      <c r="P158" s="139" t="str" cm="1">
        <f t="array" ref="P158:S158">_xlfn.XLOOKUP(O158,Table4[Concate],Table4[[Group/Legder]:[Sub Category]],,0)</f>
        <v>Ledger</v>
      </c>
      <c r="Q158" s="139" t="str">
        <v>PL</v>
      </c>
      <c r="R158" s="158" t="str">
        <v>Office Expenses</v>
      </c>
      <c r="S158" s="139" t="str">
        <v>Other Expenses</v>
      </c>
    </row>
    <row r="159" spans="1:19">
      <c r="A159" s="324" t="s">
        <v>2479</v>
      </c>
      <c r="G159" s="139">
        <f t="shared" si="26"/>
        <v>0</v>
      </c>
      <c r="H159" s="180">
        <f t="shared" si="27"/>
        <v>0</v>
      </c>
      <c r="I159" s="180">
        <f t="shared" si="28"/>
        <v>0</v>
      </c>
      <c r="J159" s="180">
        <f t="shared" si="29"/>
        <v>0</v>
      </c>
      <c r="K159" s="180">
        <f t="shared" si="30"/>
        <v>0</v>
      </c>
      <c r="L159" s="180">
        <f t="shared" si="31"/>
        <v>0</v>
      </c>
      <c r="M159" s="180">
        <f t="shared" si="32"/>
        <v>0</v>
      </c>
      <c r="N159" s="50" t="s">
        <v>826</v>
      </c>
      <c r="O159" s="50" t="str">
        <f t="shared" si="33"/>
        <v>Water chargesArha General Trading Co (AGT)</v>
      </c>
      <c r="P159" s="139" t="str" cm="1">
        <f t="array" ref="P159:S159">_xlfn.XLOOKUP(O159,Table4[Concate],Table4[[Group/Legder]:[Sub Category]],,0)</f>
        <v>Ledger</v>
      </c>
      <c r="Q159" s="139" t="str">
        <v>PL</v>
      </c>
      <c r="R159" s="158" t="str">
        <v>Office Expenses</v>
      </c>
      <c r="S159" s="139" t="str">
        <v>Other Expenses</v>
      </c>
    </row>
    <row r="160" spans="1:19">
      <c r="A160" s="324" t="s">
        <v>2566</v>
      </c>
      <c r="G160" s="139">
        <f t="shared" si="26"/>
        <v>0</v>
      </c>
      <c r="H160" s="180">
        <f t="shared" si="27"/>
        <v>0</v>
      </c>
      <c r="I160" s="180">
        <f t="shared" si="28"/>
        <v>0</v>
      </c>
      <c r="J160" s="180">
        <f t="shared" si="29"/>
        <v>0</v>
      </c>
      <c r="K160" s="180">
        <f t="shared" si="30"/>
        <v>0</v>
      </c>
      <c r="L160" s="180">
        <f t="shared" si="31"/>
        <v>0</v>
      </c>
      <c r="M160" s="180">
        <f t="shared" si="32"/>
        <v>0</v>
      </c>
      <c r="N160" s="50" t="s">
        <v>826</v>
      </c>
      <c r="O160" s="50" t="str">
        <f t="shared" ref="O160" si="34">CONCATENATE(A160,N160)</f>
        <v>Written offArha General Trading Co (AGT)</v>
      </c>
      <c r="P160" s="139" t="str" cm="1">
        <f t="array" ref="P160:S160">_xlfn.XLOOKUP(O160,Table4[Concate],Table4[[Group/Legder]:[Sub Category]],,0)</f>
        <v>Ledger</v>
      </c>
      <c r="Q160" s="139" t="str">
        <v>PL</v>
      </c>
      <c r="R160" s="158" t="str">
        <v>Office Expenses</v>
      </c>
      <c r="S160" s="139" t="str">
        <v>Other Expenses</v>
      </c>
    </row>
  </sheetData>
  <autoFilter ref="A3:T160" xr:uid="{C6FD4402-716B-4F36-B86A-72055739106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B0124A5F-8761-482E-8D8B-577E34079AC7}">
  <ds:schemaRefs/>
</ds:datastoreItem>
</file>

<file path=customXml/itemProps2.xml><?xml version="1.0" encoding="utf-8"?>
<ds:datastoreItem xmlns:ds="http://schemas.openxmlformats.org/officeDocument/2006/customXml" ds:itemID="{B5EB22B4-FD9B-47B2-B098-6B02ADA9BF5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B884483-060C-44A6-8C24-163FAEAB61E4}">
  <ds:schemaRefs/>
</ds:datastoreItem>
</file>

<file path=customXml/itemProps4.xml><?xml version="1.0" encoding="utf-8"?>
<ds:datastoreItem xmlns:ds="http://schemas.openxmlformats.org/officeDocument/2006/customXml" ds:itemID="{507EC382-75CE-445E-9D02-6242945329AA}">
  <ds:schemaRefs/>
</ds:datastoreItem>
</file>

<file path=customXml/itemProps5.xml><?xml version="1.0" encoding="utf-8"?>
<ds:datastoreItem xmlns:ds="http://schemas.openxmlformats.org/officeDocument/2006/customXml" ds:itemID="{BAC43789-63F2-46C7-8C9D-AE577C57E57D}">
  <ds:schemaRefs/>
</ds:datastoreItem>
</file>

<file path=customXml/itemProps6.xml><?xml version="1.0" encoding="utf-8"?>
<ds:datastoreItem xmlns:ds="http://schemas.openxmlformats.org/officeDocument/2006/customXml" ds:itemID="{2B10D427-03B4-4B38-85B4-C6A5F515356C}">
  <ds:schemaRefs/>
</ds:datastoreItem>
</file>

<file path=customXml/itemProps7.xml><?xml version="1.0" encoding="utf-8"?>
<ds:datastoreItem xmlns:ds="http://schemas.openxmlformats.org/officeDocument/2006/customXml" ds:itemID="{121472BE-6D51-4789-877C-09A9DA0E24A5}">
  <ds:schemaRefs/>
</ds:datastoreItem>
</file>

<file path=customXml/itemProps8.xml><?xml version="1.0" encoding="utf-8"?>
<ds:datastoreItem xmlns:ds="http://schemas.openxmlformats.org/officeDocument/2006/customXml" ds:itemID="{3C2B10B8-7E55-4510-BA56-60787E0FB640}">
  <ds:schemaRefs/>
</ds:datastoreItem>
</file>

<file path=customXml/itemProps9.xml><?xml version="1.0" encoding="utf-8"?>
<ds:datastoreItem xmlns:ds="http://schemas.openxmlformats.org/officeDocument/2006/customXml" ds:itemID="{E4580A27-554D-4615-8ACA-35E930E6471D}">
  <ds:schemaRefs/>
</ds:datastoreItem>
</file>

<file path=customXml/itemProps10.xml><?xml version="1.0" encoding="utf-8"?>
<ds:datastoreItem xmlns:ds="http://schemas.openxmlformats.org/officeDocument/2006/customXml" ds:itemID="{E9AA9AC8-C6A4-458E-86AA-C52F70777119}">
  <ds:schemaRefs/>
</ds:datastoreItem>
</file>

<file path=customXml/itemProps11.xml><?xml version="1.0" encoding="utf-8"?>
<ds:datastoreItem xmlns:ds="http://schemas.openxmlformats.org/officeDocument/2006/customXml" ds:itemID="{EAC393C6-97FF-4F6E-8F25-134E9448BDEC}">
  <ds:schemaRefs/>
</ds:datastoreItem>
</file>

<file path=customXml/itemProps12.xml><?xml version="1.0" encoding="utf-8"?>
<ds:datastoreItem xmlns:ds="http://schemas.openxmlformats.org/officeDocument/2006/customXml" ds:itemID="{18823D69-2B4B-423A-8036-3288D7AEB9A6}">
  <ds:schemaRefs/>
</ds:datastoreItem>
</file>

<file path=customXml/itemProps13.xml><?xml version="1.0" encoding="utf-8"?>
<ds:datastoreItem xmlns:ds="http://schemas.openxmlformats.org/officeDocument/2006/customXml" ds:itemID="{E8AE4EFE-B2B6-42FC-A2F5-1B0F976FA10A}">
  <ds:schemaRefs/>
</ds:datastoreItem>
</file>

<file path=customXml/itemProps14.xml><?xml version="1.0" encoding="utf-8"?>
<ds:datastoreItem xmlns:ds="http://schemas.openxmlformats.org/officeDocument/2006/customXml" ds:itemID="{C0996A2E-A83C-4E80-86AA-FF12400589C9}">
  <ds:schemaRefs/>
</ds:datastoreItem>
</file>

<file path=customXml/itemProps15.xml><?xml version="1.0" encoding="utf-8"?>
<ds:datastoreItem xmlns:ds="http://schemas.openxmlformats.org/officeDocument/2006/customXml" ds:itemID="{8E3134BB-8A75-42FB-94B8-D27D60E40B16}">
  <ds:schemaRefs/>
</ds:datastoreItem>
</file>

<file path=customXml/itemProps16.xml><?xml version="1.0" encoding="utf-8"?>
<ds:datastoreItem xmlns:ds="http://schemas.openxmlformats.org/officeDocument/2006/customXml" ds:itemID="{C368162D-F815-447F-B529-EA40DCD23958}">
  <ds:schemaRefs/>
</ds:datastoreItem>
</file>

<file path=customXml/itemProps17.xml><?xml version="1.0" encoding="utf-8"?>
<ds:datastoreItem xmlns:ds="http://schemas.openxmlformats.org/officeDocument/2006/customXml" ds:itemID="{AD6F67CF-D56C-4282-A360-7E47B5BA251D}">
  <ds:schemaRefs/>
</ds:datastoreItem>
</file>

<file path=customXml/itemProps18.xml><?xml version="1.0" encoding="utf-8"?>
<ds:datastoreItem xmlns:ds="http://schemas.openxmlformats.org/officeDocument/2006/customXml" ds:itemID="{DF8DE46B-2FB4-4D77-B5E1-54FBAEFA22B8}">
  <ds:schemaRefs/>
</ds:datastoreItem>
</file>

<file path=customXml/itemProps19.xml><?xml version="1.0" encoding="utf-8"?>
<ds:datastoreItem xmlns:ds="http://schemas.openxmlformats.org/officeDocument/2006/customXml" ds:itemID="{18B9EDA1-E487-4B84-9F4E-0FF133276D6A}">
  <ds:schemaRefs/>
</ds:datastoreItem>
</file>

<file path=customXml/itemProps20.xml><?xml version="1.0" encoding="utf-8"?>
<ds:datastoreItem xmlns:ds="http://schemas.openxmlformats.org/officeDocument/2006/customXml" ds:itemID="{D1B2E13A-DD70-4AFC-8273-8EFE0D6FD28A}">
  <ds:schemaRefs/>
</ds:datastoreItem>
</file>

<file path=customXml/itemProps21.xml><?xml version="1.0" encoding="utf-8"?>
<ds:datastoreItem xmlns:ds="http://schemas.openxmlformats.org/officeDocument/2006/customXml" ds:itemID="{F101D7D5-C8E6-42A8-AFEF-96BEBC743FF2}">
  <ds:schemaRefs/>
</ds:datastoreItem>
</file>

<file path=customXml/itemProps22.xml><?xml version="1.0" encoding="utf-8"?>
<ds:datastoreItem xmlns:ds="http://schemas.openxmlformats.org/officeDocument/2006/customXml" ds:itemID="{1FE5B5D3-DB6A-41C7-8286-32B5706213A4}">
  <ds:schemaRefs/>
</ds:datastoreItem>
</file>

<file path=customXml/itemProps23.xml><?xml version="1.0" encoding="utf-8"?>
<ds:datastoreItem xmlns:ds="http://schemas.openxmlformats.org/officeDocument/2006/customXml" ds:itemID="{8EF68B4E-93FA-4921-BC9D-07D3041106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Executive Summary</vt:lpstr>
      <vt:lpstr>PL</vt:lpstr>
      <vt:lpstr>PL1_AGT</vt:lpstr>
      <vt:lpstr>BS</vt:lpstr>
      <vt:lpstr>Category Master</vt:lpstr>
      <vt:lpstr>AGT TB Apr -25</vt:lpstr>
      <vt:lpstr>'Executive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doshi</dc:creator>
  <cp:lastModifiedBy>Fathima Rafiq</cp:lastModifiedBy>
  <cp:lastPrinted>2026-09-13T08:16:19Z</cp:lastPrinted>
  <dcterms:created xsi:type="dcterms:W3CDTF">2022-04-06T13:43:50Z</dcterms:created>
  <dcterms:modified xsi:type="dcterms:W3CDTF">2026-10-12T08:36:17Z</dcterms:modified>
</cp:coreProperties>
</file>